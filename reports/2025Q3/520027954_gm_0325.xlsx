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092025\Hamahar histalmut\"/>
    </mc:Choice>
  </mc:AlternateContent>
  <xr:revisionPtr revIDLastSave="0" documentId="13_ncr:1_{F5810F09-C3AD-41AE-9903-BCEC5158DC28}" xr6:coauthVersionLast="47" xr6:coauthVersionMax="47" xr10:uidLastSave="{00000000-0000-0000-0000-000000000000}"/>
  <bookViews>
    <workbookView xWindow="28680" yWindow="84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30" i="2" s="1"/>
  <c r="D13" i="38"/>
  <c r="D15" i="38" s="1"/>
  <c r="E28" i="2" l="1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<sst xmlns="http://schemas.openxmlformats.org/spreadsheetml/2006/main" count="16049" uniqueCount="2811">
  <si>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</si>
  <si>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</si>
  <si>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</si>
  <si>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</si>
  <si>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</si>
  <si>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</si>
  <si>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</si>
  <si>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</si>
  <si>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</si>
  <si>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</si>
  <si>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</si>
  <si>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</si>
  <si>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</si>
  <si>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</si>
  <si>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</si>
  <si>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</si>
  <si>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</si>
  <si>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</si>
  <si>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</si>
  <si>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</si>
  <si>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</si>
  <si>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</si>
  <si>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</si>
  <si>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</si>
  <si>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</si>
  <si>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</si>
  <si>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</si>
  <si>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</si>
  <si>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</si>
  <si>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צמוד מט"ח בריבית קבועה</t>
  </si>
  <si>
    <t>ישראל</t>
  </si>
  <si>
    <t>אחר</t>
  </si>
  <si>
    <t>Baa1</t>
  </si>
  <si>
    <t>Moodys</t>
  </si>
  <si>
    <t>USD</t>
  </si>
  <si>
    <t>12/03/2034</t>
  </si>
  <si>
    <t>שווי הוגן</t>
  </si>
  <si>
    <t>בנק ישראל- מק"מ</t>
  </si>
  <si>
    <t>מ.ק.מ. 1215</t>
  </si>
  <si>
    <t>IL0082512174</t>
  </si>
  <si>
    <t>מק"מ קצר משנים עשר חודשים</t>
  </si>
  <si>
    <t>TASE</t>
  </si>
  <si>
    <t>RF</t>
  </si>
  <si>
    <t>פנימי</t>
  </si>
  <si>
    <t>ILS</t>
  </si>
  <si>
    <t>03/12/2025</t>
  </si>
  <si>
    <t>מלווה קצר מועד 116</t>
  </si>
  <si>
    <t>IL0082601191</t>
  </si>
  <si>
    <t>07/01/2026</t>
  </si>
  <si>
    <t>מלווה קצר מועד 416</t>
  </si>
  <si>
    <t>IL0082604161</t>
  </si>
  <si>
    <t>01/04/2026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</si>
  <si>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</si>
  <si>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</si>
  <si>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</si>
  <si>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</si>
  <si>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</si>
  <si>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</si>
  <si>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</si>
  <si>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</si>
  <si>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</si>
  <si>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</si>
  <si>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</si>
  <si>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</si>
  <si>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</si>
  <si>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0226</t>
  </si>
  <si>
    <t>IL0011746976</t>
  </si>
  <si>
    <t>27/02/2026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</si>
  <si>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</si>
  <si>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</si>
  <si>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</si>
  <si>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</si>
  <si>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</si>
  <si>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</si>
  <si>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</si>
  <si>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</si>
  <si>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</si>
  <si>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</si>
  <si>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</si>
  <si>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</si>
  <si>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</si>
  <si>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</si>
  <si>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</si>
  <si>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</si>
  <si>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</si>
  <si>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</si>
  <si>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</si>
  <si>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</si>
  <si>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</si>
  <si>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</si>
  <si>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</si>
  <si>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</si>
  <si>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</si>
  <si>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</si>
  <si>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</si>
  <si>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</si>
  <si>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</si>
  <si>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</si>
  <si>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ISRAEL 5 3/8 03/12/29</t>
  </si>
  <si>
    <t>US46514BRN90</t>
  </si>
  <si>
    <t>12/03/2029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</si>
  <si>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</si>
  <si>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</si>
  <si>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</si>
  <si>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</si>
  <si>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</si>
  <si>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</si>
  <si>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</si>
  <si>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</si>
  <si>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</si>
  <si>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מקמ       516</t>
  </si>
  <si>
    <t>IL0082605150</t>
  </si>
  <si>
    <t>06/05/2026</t>
  </si>
  <si>
    <t>US TREASURY Bills</t>
  </si>
  <si>
    <t>B 01/22/26</t>
  </si>
  <si>
    <t>US912797PO35</t>
  </si>
  <si>
    <t>חו"ל</t>
  </si>
  <si>
    <t>ארה"ב</t>
  </si>
  <si>
    <t>NR</t>
  </si>
  <si>
    <t>22/01/2026</t>
  </si>
  <si>
    <t>US Govt</t>
  </si>
  <si>
    <t>T 3.875% 08/34</t>
  </si>
  <si>
    <t>US91282CLF67</t>
  </si>
  <si>
    <t>Aa1</t>
  </si>
  <si>
    <t>15/08/2034</t>
  </si>
  <si>
    <t>ממשלתית שקלית 0537</t>
  </si>
  <si>
    <t>IL0011661803</t>
  </si>
  <si>
    <t>31/05/2037</t>
  </si>
  <si>
    <t>T 4.625% 15/02/35</t>
  </si>
  <si>
    <t>US91282CMM00</t>
  </si>
  <si>
    <t>15/02/2035</t>
  </si>
  <si>
    <t>מקמ       316</t>
  </si>
  <si>
    <t>IL0082603171</t>
  </si>
  <si>
    <t>04/03/2026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</si>
  <si>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</si>
  <si>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</si>
  <si>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</si>
  <si>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</si>
  <si>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</si>
  <si>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</si>
  <si>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</si>
  <si>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</si>
  <si>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</si>
  <si>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</si>
  <si>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</si>
  <si>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אבגול תעשיות 1953 בע"מ</t>
  </si>
  <si>
    <t>510119068</t>
  </si>
  <si>
    <t>ח.פ.</t>
  </si>
  <si>
    <t>אבגול אג"ח ד' 5</t>
  </si>
  <si>
    <t>IL0011404170</t>
  </si>
  <si>
    <t>ISIN</t>
  </si>
  <si>
    <t>צמוד למט"ח</t>
  </si>
  <si>
    <t>סחיר</t>
  </si>
  <si>
    <t>עץ, נייר ודפוס</t>
  </si>
  <si>
    <t>לא</t>
  </si>
  <si>
    <t>A+</t>
  </si>
  <si>
    <t>S&amp;P מעלות</t>
  </si>
  <si>
    <t>נייר ערך</t>
  </si>
  <si>
    <t>31/12/2025</t>
  </si>
  <si>
    <t>החוב לא נחות</t>
  </si>
  <si>
    <t xml:space="preserve">אול-יר  הולדינגס לימיטד </t>
  </si>
  <si>
    <t>1841580</t>
  </si>
  <si>
    <t>מספר תאגיד או שותפות בחו"ל</t>
  </si>
  <si>
    <t>אול-יר אג"ח ה' חסום 2040720</t>
  </si>
  <si>
    <t>IL001433047</t>
  </si>
  <si>
    <t>לא צמוד למדד המחירים לצרכן</t>
  </si>
  <si>
    <t>חסום</t>
  </si>
  <si>
    <t>נדל"ן מניב בחו"ל</t>
  </si>
  <si>
    <t>A3</t>
  </si>
  <si>
    <t>מידרוג Moodys</t>
  </si>
  <si>
    <t>31/07/2024</t>
  </si>
  <si>
    <t>החוב נחות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</si>
  <si>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</si>
  <si>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</si>
  <si>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</si>
  <si>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</si>
  <si>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</si>
  <si>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</si>
  <si>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</si>
  <si>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</si>
  <si>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</si>
  <si>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</si>
  <si>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</si>
  <si>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</si>
  <si>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</si>
  <si>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</si>
  <si>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</si>
  <si>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</si>
  <si>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</si>
  <si>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</si>
  <si>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</si>
  <si>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</si>
  <si>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</si>
  <si>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שירותים</t>
  </si>
  <si>
    <t>30/09/2029</t>
  </si>
  <si>
    <t>אלוני-חץ נכסים והשקעות בע"מ</t>
  </si>
  <si>
    <t>520038506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</si>
  <si>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</si>
  <si>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</si>
  <si>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</si>
  <si>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</si>
  <si>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</si>
  <si>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</si>
  <si>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</si>
  <si>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</si>
  <si>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</si>
  <si>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</si>
  <si>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</si>
  <si>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</si>
  <si>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</si>
  <si>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</si>
  <si>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</si>
  <si>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</si>
  <si>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</si>
  <si>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</si>
  <si>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</si>
  <si>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</si>
  <si>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</si>
  <si>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</si>
  <si>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</si>
  <si>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</si>
  <si>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</si>
  <si>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</si>
  <si>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01/09/2026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</si>
  <si>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</si>
  <si>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</si>
  <si>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</si>
  <si>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</si>
  <si>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</si>
  <si>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</si>
  <si>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בתי זקוק לנפט בע"מ</t>
  </si>
  <si>
    <t>520036658</t>
  </si>
  <si>
    <t>בזן אגח יב</t>
  </si>
  <si>
    <t>IL0025905782</t>
  </si>
  <si>
    <t>אנרגיה</t>
  </si>
  <si>
    <t>25/09/2029</t>
  </si>
  <si>
    <t>בזק החברה הישראלית לתקשורת בע"מ</t>
  </si>
  <si>
    <t>520031931</t>
  </si>
  <si>
    <t>בזק אגח 9</t>
  </si>
  <si>
    <t>IL0023001766</t>
  </si>
  <si>
    <t>תקשורת ומדיה</t>
  </si>
  <si>
    <t>01/12/2025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</si>
  <si>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</si>
  <si>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</si>
  <si>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</si>
  <si>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</si>
  <si>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</si>
  <si>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</si>
  <si>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</si>
  <si>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</si>
  <si>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</si>
  <si>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</si>
  <si>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</si>
  <si>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</si>
  <si>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</si>
  <si>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</si>
  <si>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</si>
  <si>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</si>
  <si>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</si>
  <si>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</si>
  <si>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</si>
  <si>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</si>
  <si>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</si>
  <si>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</si>
  <si>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</si>
  <si>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</si>
  <si>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</si>
  <si>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גלובלי</t>
  </si>
  <si>
    <t>A-</t>
  </si>
  <si>
    <t>30/06/2027</t>
  </si>
  <si>
    <t>ג'י סיטי אגח יד</t>
  </si>
  <si>
    <t>IL0012607367</t>
  </si>
  <si>
    <t>30/09/2031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</si>
  <si>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</si>
  <si>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</si>
  <si>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</si>
  <si>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</si>
  <si>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</si>
  <si>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</si>
  <si>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</si>
  <si>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</si>
  <si>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</si>
  <si>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</si>
  <si>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</si>
  <si>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</si>
  <si>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טז</t>
  </si>
  <si>
    <t>IL0012031576</t>
  </si>
  <si>
    <t>20/03/2035</t>
  </si>
  <si>
    <t>דלתא-גליל תעשיות בע"מ</t>
  </si>
  <si>
    <t>520025602</t>
  </si>
  <si>
    <t>דלתא אגח א</t>
  </si>
  <si>
    <t>IL0062701441</t>
  </si>
  <si>
    <t>אופנה והלבשה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</si>
  <si>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</si>
  <si>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</si>
  <si>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</si>
  <si>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</si>
  <si>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</si>
  <si>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</si>
  <si>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</si>
  <si>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</si>
  <si>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</si>
  <si>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</si>
  <si>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</si>
  <si>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</si>
  <si>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</si>
  <si>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</si>
  <si>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</si>
  <si>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</si>
  <si>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</si>
  <si>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</si>
  <si>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החברה לישראל בע"מ</t>
  </si>
  <si>
    <t>520028010</t>
  </si>
  <si>
    <t>חברה לישראל אגח 14</t>
  </si>
  <si>
    <t>IL0057603016</t>
  </si>
  <si>
    <t>30/06/2028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</si>
  <si>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</si>
  <si>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</si>
  <si>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</si>
  <si>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</si>
  <si>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</si>
  <si>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</si>
  <si>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</si>
  <si>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</si>
  <si>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</si>
  <si>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</si>
  <si>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</si>
  <si>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</si>
  <si>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</si>
  <si>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</si>
  <si>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ישראמקו נגב 2 שותפות מוגבלת</t>
  </si>
  <si>
    <t>550010003</t>
  </si>
  <si>
    <t>מספר שותפות</t>
  </si>
  <si>
    <t>ישראמקו נגב 2 א</t>
  </si>
  <si>
    <t>IL0023201747</t>
  </si>
  <si>
    <t>חיפושי נפט וגז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</si>
  <si>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</si>
  <si>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</si>
  <si>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</si>
  <si>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</si>
  <si>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</si>
  <si>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</si>
  <si>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</si>
  <si>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</si>
  <si>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</si>
  <si>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</si>
  <si>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</si>
  <si>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</si>
  <si>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</si>
  <si>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</si>
  <si>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</si>
  <si>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</si>
  <si>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</si>
  <si>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</si>
  <si>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</si>
  <si>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</si>
  <si>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</si>
  <si>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</si>
  <si>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</si>
  <si>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</si>
  <si>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</si>
  <si>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</si>
  <si>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</si>
  <si>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</si>
  <si>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</si>
  <si>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</si>
  <si>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</si>
  <si>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</si>
  <si>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</si>
  <si>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</si>
  <si>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</si>
  <si>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</si>
  <si>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</si>
  <si>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</si>
  <si>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</si>
  <si>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</si>
  <si>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</si>
  <si>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</si>
  <si>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</si>
  <si>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</si>
  <si>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</si>
  <si>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</si>
  <si>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</si>
  <si>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</si>
  <si>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</si>
  <si>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ט</t>
  </si>
  <si>
    <t>IL0011856288</t>
  </si>
  <si>
    <t>31/03/2028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</si>
  <si>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</si>
  <si>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</si>
  <si>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</si>
  <si>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</si>
  <si>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</si>
  <si>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</si>
  <si>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</si>
  <si>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</si>
  <si>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</si>
  <si>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</si>
  <si>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</si>
  <si>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</si>
  <si>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</si>
  <si>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</si>
  <si>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</si>
  <si>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</si>
  <si>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</si>
  <si>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</si>
  <si>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</si>
  <si>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</si>
  <si>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</si>
  <si>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</si>
  <si>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</si>
  <si>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</si>
  <si>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</si>
  <si>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</si>
  <si>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</si>
  <si>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</si>
  <si>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</si>
  <si>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</si>
  <si>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</si>
  <si>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</si>
  <si>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</si>
  <si>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</si>
  <si>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</si>
  <si>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ג</t>
  </si>
  <si>
    <t>IL0011712143</t>
  </si>
  <si>
    <t>אשראי חוץ בנקאי</t>
  </si>
  <si>
    <t>מימון ישיר אגח ה</t>
  </si>
  <si>
    <t>IL0011828311</t>
  </si>
  <si>
    <t>31/07/2031</t>
  </si>
  <si>
    <t>מימון ישיר אגח ו</t>
  </si>
  <si>
    <t>IL0011916595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</si>
  <si>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</si>
  <si>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</si>
  <si>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</si>
  <si>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</si>
  <si>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</si>
  <si>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</si>
  <si>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</si>
  <si>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מנורה מבטחים החזקות בע"מ</t>
  </si>
  <si>
    <t>520007469</t>
  </si>
  <si>
    <t>מנורה מב  אגח ג</t>
  </si>
  <si>
    <t>IL0056600633</t>
  </si>
  <si>
    <t>Aa2</t>
  </si>
  <si>
    <t>חברה לנכסים ולבנין בע"מ</t>
  </si>
  <si>
    <t>520025438</t>
  </si>
  <si>
    <t>נכסים ובנין אגח י</t>
  </si>
  <si>
    <t>IL0011936304</t>
  </si>
  <si>
    <t>01/07/2029</t>
  </si>
  <si>
    <t>סלקום ישראל בע"מ</t>
  </si>
  <si>
    <t>511930125</t>
  </si>
  <si>
    <t>סלקום אגח י</t>
  </si>
  <si>
    <t>IL0011392458</t>
  </si>
  <si>
    <t>05/07/2026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</si>
  <si>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</si>
  <si>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</si>
  <si>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</si>
  <si>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</si>
  <si>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</si>
  <si>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</si>
  <si>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</si>
  <si>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</si>
  <si>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</si>
  <si>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</si>
  <si>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</si>
  <si>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</si>
  <si>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</si>
  <si>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</si>
  <si>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</si>
  <si>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</si>
  <si>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</si>
  <si>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</si>
  <si>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</si>
  <si>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</si>
  <si>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</si>
  <si>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</si>
  <si>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</si>
  <si>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</si>
  <si>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</si>
  <si>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</si>
  <si>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</si>
  <si>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</si>
  <si>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</si>
  <si>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</si>
  <si>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</si>
  <si>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</si>
  <si>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</si>
  <si>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</si>
  <si>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</si>
  <si>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</si>
  <si>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</si>
  <si>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</si>
  <si>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</si>
  <si>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</si>
  <si>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</si>
  <si>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</si>
  <si>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</si>
  <si>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</si>
  <si>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</si>
  <si>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קרסו מוטורס בע"מ</t>
  </si>
  <si>
    <t>514065283</t>
  </si>
  <si>
    <t>קרסו מוטורס   אגח ג</t>
  </si>
  <si>
    <t>IL0011418295</t>
  </si>
  <si>
    <t>מסחר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</si>
  <si>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</si>
  <si>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</si>
  <si>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</si>
  <si>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</si>
  <si>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</si>
  <si>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</si>
  <si>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</si>
  <si>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</si>
  <si>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</si>
  <si>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</si>
  <si>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</si>
  <si>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</si>
  <si>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</si>
  <si>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</si>
  <si>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</si>
  <si>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</si>
  <si>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</si>
  <si>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רשתות שיווק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</si>
  <si>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</si>
  <si>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</si>
  <si>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</si>
  <si>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</si>
  <si>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</si>
  <si>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</si>
  <si>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</si>
  <si>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</si>
  <si>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</si>
  <si>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</si>
  <si>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</si>
  <si>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</si>
  <si>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</si>
  <si>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</si>
  <si>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</si>
  <si>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</si>
  <si>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</si>
  <si>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</si>
  <si>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</si>
  <si>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</si>
  <si>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פטרוליום אגח א</t>
  </si>
  <si>
    <t>IL0011413320</t>
  </si>
  <si>
    <t>30/08/2028</t>
  </si>
  <si>
    <t>אדמה פתרונות לחקלאות בע"מ</t>
  </si>
  <si>
    <t>520043605</t>
  </si>
  <si>
    <t>אדמה אגח ב</t>
  </si>
  <si>
    <t>IL0011109159</t>
  </si>
  <si>
    <t>כימיה, גומי ופלסטיק</t>
  </si>
  <si>
    <t>30/11/2036</t>
  </si>
  <si>
    <t>אלביט מערכות בע"מ</t>
  </si>
  <si>
    <t>520043027</t>
  </si>
  <si>
    <t>אלביט מערכות ב' 1.08%</t>
  </si>
  <si>
    <t>IL0011782351</t>
  </si>
  <si>
    <t>ביטחוניות</t>
  </si>
  <si>
    <t>אלבר שירותי מימונית בע"מ</t>
  </si>
  <si>
    <t>512025891</t>
  </si>
  <si>
    <t>אלבר אגח כב</t>
  </si>
  <si>
    <t>IL0012160359</t>
  </si>
  <si>
    <t>20/10/2032</t>
  </si>
  <si>
    <t>אלון רבוע כחול ישראל בעמ</t>
  </si>
  <si>
    <t>520042847</t>
  </si>
  <si>
    <t>אלון רבוע כחול אגח ח</t>
  </si>
  <si>
    <t>IL0011972762</t>
  </si>
  <si>
    <t>אלוני חץ אגח יג</t>
  </si>
  <si>
    <t>IL0011894065</t>
  </si>
  <si>
    <t>אמות אגח ו</t>
  </si>
  <si>
    <t>IL0011586091</t>
  </si>
  <si>
    <t>03/10/2029</t>
  </si>
  <si>
    <t>אמות אגח ז</t>
  </si>
  <si>
    <t>IL0011628661</t>
  </si>
  <si>
    <t>אפי נכסים בע"מ</t>
  </si>
  <si>
    <t>510560188</t>
  </si>
  <si>
    <t>אפי נכסים אגח יג</t>
  </si>
  <si>
    <t>IL0011782922</t>
  </si>
  <si>
    <t>ארפורט אגח יב</t>
  </si>
  <si>
    <t>IL0012115643</t>
  </si>
  <si>
    <t>30/04/2037</t>
  </si>
  <si>
    <t>ביג אג"ח כ"א</t>
  </si>
  <si>
    <t>IL0012022179</t>
  </si>
  <si>
    <t>03/07/2030</t>
  </si>
  <si>
    <t>ביג אגח כג</t>
  </si>
  <si>
    <t>IL0012249558</t>
  </si>
  <si>
    <t>גב ים אגח ח</t>
  </si>
  <si>
    <t>IL0075901517</t>
  </si>
  <si>
    <t>דיסקונט אגח יד</t>
  </si>
  <si>
    <t>IL0074801635</t>
  </si>
  <si>
    <t>05/12/2030</t>
  </si>
  <si>
    <t>קבוצת דלק בע"מ</t>
  </si>
  <si>
    <t>520044322</t>
  </si>
  <si>
    <t>דלק קבוצה אג"ח מא</t>
  </si>
  <si>
    <t>IL0012286188</t>
  </si>
  <si>
    <t>31/03/2035</t>
  </si>
  <si>
    <t>הראל הנפק אגח כ 31/12/2036</t>
  </si>
  <si>
    <t>IL0012079849</t>
  </si>
  <si>
    <t>חשמל אגח 35</t>
  </si>
  <si>
    <t>IL0011967994</t>
  </si>
  <si>
    <t>12/06/2037</t>
  </si>
  <si>
    <t>כלל מימון אגח יב</t>
  </si>
  <si>
    <t>IL0011799280</t>
  </si>
  <si>
    <t>31/03/2032</t>
  </si>
  <si>
    <t>מבנה אגח כה</t>
  </si>
  <si>
    <t>IL0022606367</t>
  </si>
  <si>
    <t>30/09/2033</t>
  </si>
  <si>
    <t>מבני תעשיה  אגח כ</t>
  </si>
  <si>
    <t>IL0022604958</t>
  </si>
  <si>
    <t>31/12/2029</t>
  </si>
  <si>
    <t>מזרחי טפחות הנפק אגח 64</t>
  </si>
  <si>
    <t>IL0023105559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</si>
  <si>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</si>
  <si>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</si>
  <si>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</si>
  <si>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</si>
  <si>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</si>
  <si>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</si>
  <si>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</si>
  <si>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</si>
  <si>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ע.י נופר אנרגי' בע"מ</t>
  </si>
  <si>
    <t>514599943</t>
  </si>
  <si>
    <t>נופר אנרג אגח ג</t>
  </si>
  <si>
    <t>IL0011980435</t>
  </si>
  <si>
    <t>נכסים ובנין אגח יא</t>
  </si>
  <si>
    <t>IL0012055666</t>
  </si>
  <si>
    <t>24/12/2027</t>
  </si>
  <si>
    <t>סלקום אגח יב</t>
  </si>
  <si>
    <t>IL0011430803</t>
  </si>
  <si>
    <t>05/01/2028</t>
  </si>
  <si>
    <t>עזריאלי אגח ט</t>
  </si>
  <si>
    <t>IL0012092537</t>
  </si>
  <si>
    <t>02/01/2046</t>
  </si>
  <si>
    <t>פז נפט  אגח ח</t>
  </si>
  <si>
    <t>IL0011628174</t>
  </si>
  <si>
    <t>שופרסל אגח ז</t>
  </si>
  <si>
    <t>IL0077702582</t>
  </si>
  <si>
    <t>20/08/2030</t>
  </si>
  <si>
    <t>שטראוס גרופ בע"מ</t>
  </si>
  <si>
    <t>520003781</t>
  </si>
  <si>
    <t>שטראוס אגח ו</t>
  </si>
  <si>
    <t>IL0074604211</t>
  </si>
  <si>
    <t>מזון</t>
  </si>
  <si>
    <t>30/06/2037</t>
  </si>
  <si>
    <t>שיכון ובינוי בע"מ</t>
  </si>
  <si>
    <t>520036104</t>
  </si>
  <si>
    <t>שיכון ובינוי אגח 10</t>
  </si>
  <si>
    <t>IL0011751323</t>
  </si>
  <si>
    <t>בנייה</t>
  </si>
  <si>
    <t>30/04/2030</t>
  </si>
  <si>
    <t>שיכון ובינוי אגח 8</t>
  </si>
  <si>
    <t>IL0011358889</t>
  </si>
  <si>
    <t>01/05/2029</t>
  </si>
  <si>
    <t>Bank of America</t>
  </si>
  <si>
    <t>9DJT3UXIJIZJI4WXO774</t>
  </si>
  <si>
    <t>LEI</t>
  </si>
  <si>
    <t>BAC 2.884 10/22/30</t>
  </si>
  <si>
    <t>US06051GHX07</t>
  </si>
  <si>
    <t>Banks</t>
  </si>
  <si>
    <t>S&amp;P</t>
  </si>
  <si>
    <t>22/10/2030</t>
  </si>
  <si>
    <t>בנק דיסקונט לישראל בע"מ</t>
  </si>
  <si>
    <t>520007030</t>
  </si>
  <si>
    <t>IDBILI 5 3/8 01/26/28</t>
  </si>
  <si>
    <t>IL0011920878</t>
  </si>
  <si>
    <t>26/01/2028</t>
  </si>
  <si>
    <t>JPMORGAN</t>
  </si>
  <si>
    <t>8I5DZWZKVSZI1NUHU748</t>
  </si>
  <si>
    <t>JPM 4.493 03/24/31</t>
  </si>
  <si>
    <t>US48647PBJ49</t>
  </si>
  <si>
    <t>Diversified Financial Services Financial Services</t>
  </si>
  <si>
    <t>24/03/2030</t>
  </si>
  <si>
    <t>אלבר אגח יט</t>
  </si>
  <si>
    <t>IL0011918245</t>
  </si>
  <si>
    <t>15/05/2028</t>
  </si>
  <si>
    <t>ביג אגח טז</t>
  </si>
  <si>
    <t>IL0011684425</t>
  </si>
  <si>
    <t>28/08/2028</t>
  </si>
  <si>
    <t>גב ים סד' ו'</t>
  </si>
  <si>
    <t>IL0075901285</t>
  </si>
  <si>
    <t>31/03/2026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</si>
  <si>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</si>
  <si>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</si>
  <si>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</si>
  <si>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</si>
  <si>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</si>
  <si>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</si>
  <si>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</si>
  <si>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</si>
  <si>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</si>
  <si>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</si>
  <si>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</si>
  <si>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</si>
  <si>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</si>
  <si>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</si>
  <si>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</si>
  <si>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</si>
  <si>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</si>
  <si>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אגח ג</t>
  </si>
  <si>
    <t>IL0023202323</t>
  </si>
  <si>
    <t>10/10/2030</t>
  </si>
  <si>
    <t>לאומי אגח 179</t>
  </si>
  <si>
    <t>IL0060403727</t>
  </si>
  <si>
    <t>לאומי אגח 182</t>
  </si>
  <si>
    <t>IL0060405391</t>
  </si>
  <si>
    <t>25/11/2027</t>
  </si>
  <si>
    <t>מגדל הון  אגח ח</t>
  </si>
  <si>
    <t>IL0011829558</t>
  </si>
  <si>
    <t>מז טפ הנפק 52</t>
  </si>
  <si>
    <t>IL0023103810</t>
  </si>
  <si>
    <t>01/07/2030</t>
  </si>
  <si>
    <t>מיטב דש השקעות בע"מ</t>
  </si>
  <si>
    <t>520043795</t>
  </si>
  <si>
    <t>מיטב דש אגח ד</t>
  </si>
  <si>
    <t>IL0011613713</t>
  </si>
  <si>
    <t>10/12/2029</t>
  </si>
  <si>
    <t>מיטב השקעות אג3</t>
  </si>
  <si>
    <t>IL0011217630</t>
  </si>
  <si>
    <t>10/12/2025</t>
  </si>
  <si>
    <t>מליסרון אגח כ</t>
  </si>
  <si>
    <t>IL0032304227</t>
  </si>
  <si>
    <t>מנורה מבטחים גיוס הון בע"מ</t>
  </si>
  <si>
    <t>513937714</t>
  </si>
  <si>
    <t>מנורה הון התחייבות ו'2030</t>
  </si>
  <si>
    <t>IL0011602419</t>
  </si>
  <si>
    <t>פניקס הון אגח יג</t>
  </si>
  <si>
    <t>IL0011881351</t>
  </si>
  <si>
    <t>פתאל החזקות 1998 בע"מ</t>
  </si>
  <si>
    <t>512607888</t>
  </si>
  <si>
    <t>פתאל החזקות אגח ג</t>
  </si>
  <si>
    <t>IL0011617854</t>
  </si>
  <si>
    <t>מלונאות ותיירות</t>
  </si>
  <si>
    <t>31/08/2031</t>
  </si>
  <si>
    <t>שופרסל אגח ו</t>
  </si>
  <si>
    <t>IL0077702178</t>
  </si>
  <si>
    <t>08/10/2028</t>
  </si>
  <si>
    <t>תמר פטרו אגח ב</t>
  </si>
  <si>
    <t>IL0011435935</t>
  </si>
  <si>
    <t>נובה  בע"מ</t>
  </si>
  <si>
    <t>511812463</t>
  </si>
  <si>
    <t>Nova measuring inst</t>
  </si>
  <si>
    <t>IL0010845571</t>
  </si>
  <si>
    <t>מניות</t>
  </si>
  <si>
    <t>NASDAQ</t>
  </si>
  <si>
    <t>מוליכים למחצה</t>
  </si>
  <si>
    <t>אל על נתיבי אויר לישראל בע"מ</t>
  </si>
  <si>
    <t>520017146</t>
  </si>
  <si>
    <t>אל על</t>
  </si>
  <si>
    <t>IL0010878242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</si>
  <si>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</si>
  <si>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</si>
  <si>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</si>
  <si>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</si>
  <si>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</si>
  <si>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</si>
  <si>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</si>
  <si>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</si>
  <si>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</si>
  <si>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</si>
  <si>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</t>
  </si>
  <si>
    <t>IL0002300114</t>
  </si>
  <si>
    <t>אחים דוניץ בע"מ</t>
  </si>
  <si>
    <t>520038605</t>
  </si>
  <si>
    <t>דוניץ</t>
  </si>
  <si>
    <t>IL0004000100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</si>
  <si>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</si>
  <si>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</si>
  <si>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</si>
  <si>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</si>
  <si>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</si>
  <si>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</si>
  <si>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</si>
  <si>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</si>
  <si>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</si>
  <si>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</si>
  <si>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</si>
  <si>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</si>
  <si>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</si>
  <si>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 (ט.ר) בעמ</t>
  </si>
  <si>
    <t>520039298</t>
  </si>
  <si>
    <t>ישראל קנדה</t>
  </si>
  <si>
    <t>IL0004340191</t>
  </si>
  <si>
    <t>כלל ביטוח</t>
  </si>
  <si>
    <t>IL0002240146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</si>
  <si>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</si>
  <si>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</si>
  <si>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</si>
  <si>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</si>
  <si>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</si>
  <si>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</si>
  <si>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כן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</si>
  <si>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</si>
  <si>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</si>
  <si>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</si>
  <si>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</si>
  <si>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</si>
  <si>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</si>
  <si>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</si>
  <si>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</si>
  <si>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</si>
  <si>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</si>
  <si>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</si>
  <si>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</si>
  <si>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</si>
  <si>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</si>
  <si>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</si>
  <si>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</si>
  <si>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</si>
  <si>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</si>
  <si>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</si>
  <si>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</si>
  <si>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</si>
  <si>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</si>
  <si>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</si>
  <si>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</si>
  <si>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</si>
  <si>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</si>
  <si>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</si>
  <si>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</si>
  <si>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</si>
  <si>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</si>
  <si>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</si>
  <si>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</si>
  <si>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</si>
  <si>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</si>
  <si>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קבוצת אקרשטיין בע"מ</t>
  </si>
  <si>
    <t>512714494</t>
  </si>
  <si>
    <t>קבוצת אקרשטיין</t>
  </si>
  <si>
    <t>IL0011762056</t>
  </si>
  <si>
    <t>מתכת ומוצרי בניה</t>
  </si>
  <si>
    <t>רציו חיפושי נפט (1992) - שותפות מוגבלת</t>
  </si>
  <si>
    <t>550012777</t>
  </si>
  <si>
    <t>רציו יהש</t>
  </si>
  <si>
    <t>IL0003940157</t>
  </si>
  <si>
    <t>איי.סי.אל גרופ בע"מ (דואלי)</t>
  </si>
  <si>
    <t>520027830</t>
  </si>
  <si>
    <t>איי.סי.אל</t>
  </si>
  <si>
    <t>IL0002810146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</si>
  <si>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</si>
  <si>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</si>
  <si>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</si>
  <si>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</si>
  <si>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</si>
  <si>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</si>
  <si>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דלק קבוצה</t>
  </si>
  <si>
    <t>IL0010841281</t>
  </si>
  <si>
    <t>הבורסה לניירות ערך בתל-אביב בע"מ</t>
  </si>
  <si>
    <t>520020033</t>
  </si>
  <si>
    <t>הבורסה לניע בתא</t>
  </si>
  <si>
    <t>IL0011590291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</si>
  <si>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</si>
  <si>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</si>
  <si>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</si>
  <si>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</si>
  <si>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</si>
  <si>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</si>
  <si>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</si>
  <si>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</si>
  <si>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</si>
  <si>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</si>
  <si>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</si>
  <si>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</si>
  <si>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מטריקס אי.טי בע"מ</t>
  </si>
  <si>
    <t>520039413</t>
  </si>
  <si>
    <t>מטריקס</t>
  </si>
  <si>
    <t>IL0004450156</t>
  </si>
  <si>
    <t>סלקום</t>
  </si>
  <si>
    <t>IL0011015349</t>
  </si>
  <si>
    <t>חברת פרטנר תקשורת בע"מ</t>
  </si>
  <si>
    <t>520044314</t>
  </si>
  <si>
    <t>פרטנר</t>
  </si>
  <si>
    <t>IL0010834849</t>
  </si>
  <si>
    <t>קמטק בע"מ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</si>
  <si>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</si>
  <si>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</si>
  <si>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</si>
  <si>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</si>
  <si>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</si>
  <si>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</si>
  <si>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</si>
  <si>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</si>
  <si>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</si>
  <si>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Advanced Micro Devices inc</t>
  </si>
  <si>
    <t>R2I72C950HOYXII45366</t>
  </si>
  <si>
    <t>ADVANCED MICRO DEVICES INC</t>
  </si>
  <si>
    <t>US0079031078</t>
  </si>
  <si>
    <t>Semiconductors &amp; Semiconductor Equipment</t>
  </si>
  <si>
    <t>amazon.com</t>
  </si>
  <si>
    <t>ZXTILKJKG63JELOEG630</t>
  </si>
  <si>
    <t>AMAZON.COM INC</t>
  </si>
  <si>
    <t>US0231351067</t>
  </si>
  <si>
    <t>Textiles, Apparel &amp; Luxury Goods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</si>
  <si>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</si>
  <si>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</si>
  <si>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</si>
  <si>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</si>
  <si>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</si>
  <si>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</si>
  <si>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</si>
  <si>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</si>
  <si>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</si>
  <si>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</si>
  <si>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</si>
  <si>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</si>
  <si>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</si>
  <si>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</si>
  <si>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</si>
  <si>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Consumer Staples Distribution &amp; Retail</t>
  </si>
  <si>
    <t>ALPHABET INC</t>
  </si>
  <si>
    <t>5493006MHB84DD0ZWV18</t>
  </si>
  <si>
    <t>Google Inc</t>
  </si>
  <si>
    <t>US38259P5089</t>
  </si>
  <si>
    <t>Diversified Telecommunication Services</t>
  </si>
  <si>
    <t>Google Us Class c</t>
  </si>
  <si>
    <t>US02079K1079</t>
  </si>
  <si>
    <t>JD.com Inc</t>
  </si>
  <si>
    <t>549300HVTWB0GJZ16V92</t>
  </si>
  <si>
    <t>JD.COM INC-CL A</t>
  </si>
  <si>
    <t>KYG8208B1014</t>
  </si>
  <si>
    <t>סין</t>
  </si>
  <si>
    <t>HKSE</t>
  </si>
  <si>
    <t>HKD</t>
  </si>
  <si>
    <t>MASTERCARD INC</t>
  </si>
  <si>
    <t>AR5L2ODV9HN37376R084</t>
  </si>
  <si>
    <t>MASTERCARD UNC</t>
  </si>
  <si>
    <t>US57636Q1040</t>
  </si>
  <si>
    <t>NYSE</t>
  </si>
  <si>
    <t>Consumer Finance </t>
  </si>
  <si>
    <t>MICROSOFT CORP</t>
  </si>
  <si>
    <t>INR2EJN1ERAN0W5ZP974</t>
  </si>
  <si>
    <t>Microsoft crop</t>
  </si>
  <si>
    <t>US5949181045</t>
  </si>
  <si>
    <t>Software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</si>
  <si>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</si>
  <si>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</si>
  <si>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</si>
  <si>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</si>
  <si>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</si>
  <si>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</si>
  <si>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</si>
  <si>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</si>
  <si>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</si>
  <si>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</si>
  <si>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</si>
  <si>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Scoutcam LTD</t>
  </si>
  <si>
    <t>549300FBP1ANSJE5TE25</t>
  </si>
  <si>
    <t>SCOUTCAM מניה פיקטיבית</t>
  </si>
  <si>
    <t>US81063V2043</t>
  </si>
  <si>
    <t>Technology Hardware, Storage &amp; Peripherals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</si>
  <si>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</si>
  <si>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</si>
  <si>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</si>
  <si>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</si>
  <si>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</si>
  <si>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</si>
  <si>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</si>
  <si>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</si>
  <si>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</si>
  <si>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</si>
  <si>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</si>
  <si>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</si>
  <si>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</si>
  <si>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</si>
  <si>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</si>
  <si>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</si>
  <si>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</si>
  <si>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</si>
  <si>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</si>
  <si>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</si>
  <si>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BERKSHIRE HATHAWAY FIN</t>
  </si>
  <si>
    <t>5493000C01ZX7D35SD85</t>
  </si>
  <si>
    <t>BERKSHIRE HATHAWAY INC</t>
  </si>
  <si>
    <t>US0846702076</t>
  </si>
  <si>
    <t>D.R Horton inc</t>
  </si>
  <si>
    <t>529900ZIUEYVSB8QDD25</t>
  </si>
  <si>
    <t>DR HORTON INC</t>
  </si>
  <si>
    <t>US23331A1097</t>
  </si>
  <si>
    <t>Household Products</t>
  </si>
  <si>
    <t>EXXON MOBIL CORP</t>
  </si>
  <si>
    <t>J3WHBG0MTS7O8ZVMDC91</t>
  </si>
  <si>
    <t>US30231G1022</t>
  </si>
  <si>
    <t>Energy Equipment &amp; Services</t>
  </si>
  <si>
    <t>Freeport- McmoRan Copper &amp; Gold Inc</t>
  </si>
  <si>
    <t>549300IRDTHJQ1PVET45</t>
  </si>
  <si>
    <t>FREEPORT MCMORAN INC</t>
  </si>
  <si>
    <t>US35671D8570</t>
  </si>
  <si>
    <t>Construction Materials</t>
  </si>
  <si>
    <t>Ibi Lion SA Sociedad</t>
  </si>
  <si>
    <t>959800EJ2LEQTV090B71</t>
  </si>
  <si>
    <t>IBI lion SASoc</t>
  </si>
  <si>
    <t>ES0105633004</t>
  </si>
  <si>
    <t>ספרד</t>
  </si>
  <si>
    <t>BME</t>
  </si>
  <si>
    <t>Real Estate Management &amp; Development</t>
  </si>
  <si>
    <t>EUR</t>
  </si>
  <si>
    <t>JP MORGAN ASSET MANAGEMENT</t>
  </si>
  <si>
    <t>JPMORGAN CHASE &amp; CO</t>
  </si>
  <si>
    <t>US46625H1005</t>
  </si>
  <si>
    <t>LINDE AG</t>
  </si>
  <si>
    <t>5299003QR1WT0EF88V51</t>
  </si>
  <si>
    <t>LINDE PLC</t>
  </si>
  <si>
    <t>IE000S9YS762</t>
  </si>
  <si>
    <t>Other</t>
  </si>
  <si>
    <t>-LION SOCIMI SA RIGHTSאקסלנס זכויות</t>
  </si>
  <si>
    <t>ES0605633975</t>
  </si>
  <si>
    <t>MARVELL TECH</t>
  </si>
  <si>
    <t>8DF36O58U3QIHUCGZB18</t>
  </si>
  <si>
    <t>Marvell tech group</t>
  </si>
  <si>
    <t>BMG5876H1051</t>
  </si>
  <si>
    <t>Meta Platforms Inc</t>
  </si>
  <si>
    <t>BQ4BKCS1HXDV9HN80Z93</t>
  </si>
  <si>
    <t>US30303M1027</t>
  </si>
  <si>
    <t xml:space="preserve"> Entertainment</t>
  </si>
  <si>
    <t>NIKE INC</t>
  </si>
  <si>
    <t>787RXPR0UX0O0XUXPZ81</t>
  </si>
  <si>
    <t>US6541061031</t>
  </si>
  <si>
    <t>ORACLE CORP</t>
  </si>
  <si>
    <t>1Z4GXXU7ZHVWFCD8TV52</t>
  </si>
  <si>
    <t>US68389X1054</t>
  </si>
  <si>
    <t>Software &amp; Services</t>
  </si>
  <si>
    <t>Palo alto networks inc</t>
  </si>
  <si>
    <t>549300QXR2YVZV231H43</t>
  </si>
  <si>
    <t>PALO ALTO NETWORKS INC</t>
  </si>
  <si>
    <t>US6974351057</t>
  </si>
  <si>
    <t>PROGRESSIVE CORP</t>
  </si>
  <si>
    <t>529900TACNVLY9DCR586</t>
  </si>
  <si>
    <t>Progressive Corp</t>
  </si>
  <si>
    <t>US7433151039</t>
  </si>
  <si>
    <t>Insurance</t>
  </si>
  <si>
    <t>SHELL INTERNATIONAL FIN</t>
  </si>
  <si>
    <t>21380068P1DRHMJ8KU70</t>
  </si>
  <si>
    <t>SHELL PLC</t>
  </si>
  <si>
    <t>GB00BP6MXD84</t>
  </si>
  <si>
    <t>הולנד</t>
  </si>
  <si>
    <t>LSE</t>
  </si>
  <si>
    <t>GBP</t>
  </si>
  <si>
    <t>UBER TECHNOLOGIE</t>
  </si>
  <si>
    <t>549300B2FTG34FILDR98</t>
  </si>
  <si>
    <t>UBER TECHNOLOGIES INC</t>
  </si>
  <si>
    <t>US90353T1007</t>
  </si>
  <si>
    <t>Transportation Infrastructure</t>
  </si>
  <si>
    <t>UNITEDHEALTH GROUP</t>
  </si>
  <si>
    <t>549300GHBMY8T5GXDE41</t>
  </si>
  <si>
    <t>UNITEDHEALTH GROUP INC</t>
  </si>
  <si>
    <t>US91324P1021</t>
  </si>
  <si>
    <t>Health Care Equipment &amp; Supplies</t>
  </si>
  <si>
    <t>WELLS FARGO COMPANY</t>
  </si>
  <si>
    <t>PBLD0EJDB5FWOLXP3B76</t>
  </si>
  <si>
    <t>WELLS FARGO &amp; CO</t>
  </si>
  <si>
    <t>us9497461015</t>
  </si>
  <si>
    <t>Wal-Mart Stores</t>
  </si>
  <si>
    <t>Y87794H0US1R65VBXU25</t>
  </si>
  <si>
    <t>WMT US Wal-Mart Stores Inc</t>
  </si>
  <si>
    <t>US9311421039</t>
  </si>
  <si>
    <t>Food &amp; Staples Retailing Consumer Staples Distribution &amp; Retail</t>
  </si>
  <si>
    <t xml:space="preserve">קבוצת חג'ג' ייזום נדל"ן בע"מ </t>
  </si>
  <si>
    <t>520033309</t>
  </si>
  <si>
    <t>חג'ג' נדלן</t>
  </si>
  <si>
    <t>IL0008230133</t>
  </si>
  <si>
    <t>סיווג הקרן</t>
  </si>
  <si>
    <t xml:space="preserve">BlackRock  Asset Managment </t>
  </si>
  <si>
    <t>97ZR60BLU36N5VJMH054</t>
  </si>
  <si>
    <t>ITB US</t>
  </si>
  <si>
    <t>US4642887529</t>
  </si>
  <si>
    <t>עוקב אחר מדדי מניות בחו"ל</t>
  </si>
  <si>
    <t>מניות בחו"ל - מניות בחו"ל משולבת</t>
  </si>
  <si>
    <t>קסם קרנות נאמנות בע"מ</t>
  </si>
  <si>
    <t>510938608</t>
  </si>
  <si>
    <t>KSM.CSI300 (4D) ETF</t>
  </si>
  <si>
    <t>IL0011627838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</si>
  <si>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</si>
  <si>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</si>
  <si>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</si>
  <si>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</si>
  <si>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</si>
  <si>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</si>
  <si>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</si>
  <si>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</si>
  <si>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</si>
  <si>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STX600.MTF</t>
  </si>
  <si>
    <t>IL0011502262</t>
  </si>
  <si>
    <t>אירופה</t>
  </si>
  <si>
    <t>STOXX EUROPE 600 -מניות בחו"ל - מניות גיאוגרפי - חשופת מט"ח-אירופה כללי</t>
  </si>
  <si>
    <t>הראל קרנות נאמנות בע"מ</t>
  </si>
  <si>
    <t>511776783</t>
  </si>
  <si>
    <t>הראל סל SP500</t>
  </si>
  <si>
    <t>IL0011490203</t>
  </si>
  <si>
    <t>S&amp;P 500 - מניות בחו"ל - מניות גיאוגרפי - חשופת מט"ח-ארה"ב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</si>
  <si>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</si>
  <si>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</si>
  <si>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</si>
  <si>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</si>
  <si>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</si>
  <si>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</si>
  <si>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</si>
  <si>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</si>
  <si>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</si>
  <si>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</si>
  <si>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</si>
  <si>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</si>
  <si>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)4D(י NASDAQ 100</t>
  </si>
  <si>
    <t>IL0011658361</t>
  </si>
  <si>
    <t>NASDAQ 100 - מניות בחו"ל - מניות גיאוגרפי - חשופת מט"ח-ארה"ב</t>
  </si>
  <si>
    <t>קסם קרן סל תא 125</t>
  </si>
  <si>
    <t>IL0011463564</t>
  </si>
  <si>
    <t>מיטב קרנות נאמנות בע"מ</t>
  </si>
  <si>
    <t>513534974</t>
  </si>
  <si>
    <t>תכלית סל תא 90</t>
  </si>
  <si>
    <t>IL0011437832</t>
  </si>
  <si>
    <t>תכלית תל בונד 60</t>
  </si>
  <si>
    <t>IL0011451015</t>
  </si>
  <si>
    <t>60 אג"ח בארץ - חברות והמרה-תל בונד צמוד מדד-תל בונד</t>
  </si>
  <si>
    <t>MTF סל S&amp;P Industria ממ</t>
  </si>
  <si>
    <t>IL0011504573</t>
  </si>
  <si>
    <t>MTF סל‏ צריכה בסיס SP ממ</t>
  </si>
  <si>
    <t>IL0011506891</t>
  </si>
  <si>
    <t>MTF&amp;SPUSA</t>
  </si>
  <si>
    <t>IL0011505646</t>
  </si>
  <si>
    <t>MTF2000RUSS ממ</t>
  </si>
  <si>
    <t>IL0011505497</t>
  </si>
  <si>
    <t>RUSSELL 2000 - מניות בחו"ל - מניות גיאוגרפי - חשופת מט"ח-ארה"ב</t>
  </si>
  <si>
    <t>MTF600STX ממ</t>
  </si>
  <si>
    <t>IL0011506149</t>
  </si>
  <si>
    <t>NIKKEI225.MTFמגדל קרן סל ממ</t>
  </si>
  <si>
    <t>IL0011505315</t>
  </si>
  <si>
    <t>יפן</t>
  </si>
  <si>
    <t>NIKKEI 225 - מניות בחו"ל - מניות גיאוגרפי - חשופת מט"ח-אסיה יפן</t>
  </si>
  <si>
    <t>SP ENERGY סל MTF</t>
  </si>
  <si>
    <t>IL 0011507212</t>
  </si>
  <si>
    <t>SP TECH מגדל קרן סל ממ</t>
  </si>
  <si>
    <t>IL0011504813</t>
  </si>
  <si>
    <t>Technology מניות בחו"ל - מניות לפי ענפים בחו"ל - חשופת מט"ח-ארה"ב- מניות</t>
  </si>
  <si>
    <t>אי.בי.אי קרנות נאמנות בע"מ</t>
  </si>
  <si>
    <t>513765339</t>
  </si>
  <si>
    <t>אי.בי.אי. סל (4A)י S&amp;P Health Care מנוטרלת מט"ח</t>
  </si>
  <si>
    <t>IL0011482127</t>
  </si>
  <si>
    <t>Health Care מניות בחו"ל - מניות לפי ענפים בחו"ל - חשופת מט"ח-ארה"ב- מניות</t>
  </si>
  <si>
    <t>אי.בי.אי IBI</t>
  </si>
  <si>
    <t>550270045</t>
  </si>
  <si>
    <t>אייבי אי ת"א בנקים</t>
  </si>
  <si>
    <t>IL0011487746</t>
  </si>
  <si>
    <t>מניות בארץ - מניות לפי ענפים-ת"א בנקים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</si>
  <si>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</si>
  <si>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</si>
  <si>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</si>
  <si>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</si>
  <si>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</si>
  <si>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</si>
  <si>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</si>
  <si>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</si>
  <si>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תכ.EUSTOXX50ממ</t>
  </si>
  <si>
    <t>IL0011437675</t>
  </si>
  <si>
    <t>EURO STOXX 50 - מניות בחו"ל - מניות גיאוגרפי - חשופת מט"ח-אירופה כללי</t>
  </si>
  <si>
    <t>תכ.SPMIDCA400ממ</t>
  </si>
  <si>
    <t>IL0011449555</t>
  </si>
  <si>
    <t>תכלית סל (40) ת"א נפט וגז</t>
  </si>
  <si>
    <t>IL0011448078</t>
  </si>
  <si>
    <t>מניות בארץ - מניות לפי ענפים-ת"א נפט וגז</t>
  </si>
  <si>
    <t>תכלית סל פוטסי 100 מנוטרלת</t>
  </si>
  <si>
    <t>IL0011451270</t>
  </si>
  <si>
    <t>בריטניה</t>
  </si>
  <si>
    <t>FTSE 250 INDEX - מניות בחו"ל - מניות גיאוגרפי - מנוטרלת מט"ח-אירופה אנגליה</t>
  </si>
  <si>
    <t>Amundi Asset Management</t>
  </si>
  <si>
    <t>213800VZW861M5FHMD50</t>
  </si>
  <si>
    <t>AMUNDI S&amp;P 500 UCITS ETF</t>
  </si>
  <si>
    <t>LU1681049018</t>
  </si>
  <si>
    <t>EURONEXT</t>
  </si>
  <si>
    <t>CNDX LN Equity</t>
  </si>
  <si>
    <t>IE00B53SZB19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</si>
  <si>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</si>
  <si>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</si>
  <si>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</si>
  <si>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</si>
  <si>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</si>
  <si>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ISHARES EURO STOXX 50 DE</t>
  </si>
  <si>
    <t>DE0005933956</t>
  </si>
  <si>
    <t>FWB</t>
  </si>
  <si>
    <t>ISHARES S&amp;P US BANKS UCITS</t>
  </si>
  <si>
    <t>IE00BD3V0810</t>
  </si>
  <si>
    <t>Regional Banks מניות בחו"ל - מניות לפי ענפים בחו"ל - חשופת מט"ח-ארה"ב- מניות</t>
  </si>
  <si>
    <t>ISHARES USD CROP BOND UCITS ET</t>
  </si>
  <si>
    <t>IE00BYXYYJ35</t>
  </si>
  <si>
    <t>עוקב אחר מדדים אחרים בחו"ל</t>
  </si>
  <si>
    <t>אג"ח בחו"ל - אג"ח חשופת מט"ח</t>
  </si>
  <si>
    <t>KraneShares CSI China Internet</t>
  </si>
  <si>
    <t>635400XKS4TFYYAQ1K41</t>
  </si>
  <si>
    <t>KRANESHARES CSI CHINA INTERNET</t>
  </si>
  <si>
    <t>IE00BFXR7892</t>
  </si>
  <si>
    <t>FTSE China 50 - מניות בחו"ל - מניות גיאוגרפי - חשופת מט"ח-אסיה סין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</si>
  <si>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</si>
  <si>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</si>
  <si>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</si>
  <si>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</si>
  <si>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</si>
  <si>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</si>
  <si>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Equity Funds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</si>
  <si>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</si>
  <si>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</si>
  <si>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</si>
  <si>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</si>
  <si>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</si>
  <si>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</si>
  <si>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</si>
  <si>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JPX</t>
  </si>
  <si>
    <t>JPY</t>
  </si>
  <si>
    <t>Invesco investment management limited</t>
  </si>
  <si>
    <t>635400TLFJSNHVSOFH59</t>
  </si>
  <si>
    <t>SOURCE S&amp;P 500 UCITS EFT</t>
  </si>
  <si>
    <t>IE00B3YCGJ38</t>
  </si>
  <si>
    <t>SPDR BLOOMBERG SASB US CORPORA</t>
  </si>
  <si>
    <t>IE00BLF7VX27</t>
  </si>
  <si>
    <t>SPDR S&amp;P 500 UCITS EFT</t>
  </si>
  <si>
    <t>IE000XZSV718</t>
  </si>
  <si>
    <t>SPDR S&amp;P U.S. ENERGY SELECT SE</t>
  </si>
  <si>
    <t>IE00BWBXM492</t>
  </si>
  <si>
    <t>SPDR S&amp;P U.S. FINANCIALS SELEC</t>
  </si>
  <si>
    <t>IE00BWBXM500</t>
  </si>
  <si>
    <t>Vanguard Group</t>
  </si>
  <si>
    <t>549300Y88GQ3VLJIBX57</t>
  </si>
  <si>
    <t>VANGUARD FTSE EMERGING MARKETS</t>
  </si>
  <si>
    <t>IE00BK5BR733</t>
  </si>
  <si>
    <t>MSCI EMERGING MARKETS - מניות בחו"ל - מניות גיאוגרפי - חשופת מט"ח-שווקים מתעוררים כללי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</si>
  <si>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</si>
  <si>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</si>
  <si>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</si>
  <si>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</si>
  <si>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</si>
  <si>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</si>
  <si>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</si>
  <si>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</si>
  <si>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FEZ_Spdr Euro Stoxx 50 etf</t>
  </si>
  <si>
    <t>US78463X2027</t>
  </si>
  <si>
    <t>Global X Defense Tech ETF</t>
  </si>
  <si>
    <t>1104809</t>
  </si>
  <si>
    <t>GLOBAL X DEFENSE TECH ETF</t>
  </si>
  <si>
    <t>US37960A5294</t>
  </si>
  <si>
    <t>ISHARES 5-10 YEAR INVESTMENT</t>
  </si>
  <si>
    <t>US4642886380</t>
  </si>
  <si>
    <t>Ishares msci acwi index</t>
  </si>
  <si>
    <t>us4642882579</t>
  </si>
  <si>
    <t>MSCI AC WORLD INDEX - מניות בחו"ל - מניות כללי בחו"ל - חשופת מט"ח-מניות כללי בחו"ל</t>
  </si>
  <si>
    <t>ISHARES MSCI INDIA ETF</t>
  </si>
  <si>
    <t>US46429B5984</t>
  </si>
  <si>
    <t>הודו</t>
  </si>
  <si>
    <t>CNX NIFTY - מניות בחו"ל - מניות גיאוגרפי - חשופת מט"ח-אסיה הודו</t>
  </si>
  <si>
    <t>ISHARES MSFI TAIWAN ETF</t>
  </si>
  <si>
    <t>US46434G7723</t>
  </si>
  <si>
    <t>ISHARES USD SHORT DURATION COR</t>
  </si>
  <si>
    <t>IE00BYXYYP94</t>
  </si>
  <si>
    <t>NERGY S.SECTOR SPDR</t>
  </si>
  <si>
    <t>US81369Y5069</t>
  </si>
  <si>
    <t>SPDR BARCLAYS INTERMEDIATE</t>
  </si>
  <si>
    <t>US78464A3757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</si>
  <si>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</si>
  <si>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</si>
  <si>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</si>
  <si>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</si>
  <si>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</si>
  <si>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</si>
  <si>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SEMICONDUCTOR</t>
  </si>
  <si>
    <t>US92189F6768</t>
  </si>
  <si>
    <t>Vanguard Emrg mkt et</t>
  </si>
  <si>
    <t>US9220428588</t>
  </si>
  <si>
    <t>שווקים מתעוררים</t>
  </si>
  <si>
    <t>קסם 500 P&amp;S PR מנוטרלת מטבע</t>
  </si>
  <si>
    <t>IL0011466047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</si>
  <si>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</si>
  <si>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</si>
  <si>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</si>
  <si>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</si>
  <si>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</si>
  <si>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</si>
  <si>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MTF500SP ממ</t>
  </si>
  <si>
    <t>IL0011505729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</si>
  <si>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</si>
  <si>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</si>
  <si>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</si>
  <si>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</si>
  <si>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</si>
  <si>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</si>
  <si>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</si>
  <si>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</si>
  <si>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</si>
  <si>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</si>
  <si>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</si>
  <si>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</si>
  <si>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</si>
  <si>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</si>
  <si>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SPDR S&amp;P US TECHNOLOGY SELECT</t>
  </si>
  <si>
    <t>IE00BWBXM948</t>
  </si>
  <si>
    <t>WISDOMTREE JAPAN EQUITY UCITS</t>
  </si>
  <si>
    <t>IE00BYQCZD50</t>
  </si>
  <si>
    <t>MTF סל (S&amp;P 500 (4D</t>
  </si>
  <si>
    <t>IL0011503336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</si>
  <si>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</si>
  <si>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</si>
  <si>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</si>
  <si>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</si>
  <si>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</si>
  <si>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</si>
  <si>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 xml:space="preserve">שם נייר ערך </t>
  </si>
  <si>
    <t>3 i   Corps Liquid)י0A) הראל</t>
  </si>
  <si>
    <t>IL0051297708</t>
  </si>
  <si>
    <t>מניות בארץ - מניות לפי ענפים</t>
  </si>
  <si>
    <t>MTF מחקה IBOX $ מנוטרלת מטח</t>
  </si>
  <si>
    <t>IL0051212079</t>
  </si>
  <si>
    <t>אי.בי.אי. מחקה‏ (00) אינדקס A-AA מנגנון מרווח</t>
  </si>
  <si>
    <t>IL0051307036</t>
  </si>
  <si>
    <t>אג"ח קונצרני</t>
  </si>
  <si>
    <t>אג"ח בארץ - מדינה-אג"ח מדינה כללי - ללא מניות</t>
  </si>
  <si>
    <t>אי.בי.אי. מחקה (4A) ת"א 90</t>
  </si>
  <si>
    <t>IL0051309198</t>
  </si>
  <si>
    <t>הראל Htfי )4A( ת"א 90</t>
  </si>
  <si>
    <t>IL0051306384</t>
  </si>
  <si>
    <t>Artemis Funds Lux - US Smaller</t>
  </si>
  <si>
    <t>213800SJ3IH3EXMXSJ47</t>
  </si>
  <si>
    <t>ARTEMIS SMARTGARP EUROP.EQUITY</t>
  </si>
  <si>
    <t>GB00B2PLJD73</t>
  </si>
  <si>
    <t>CIFC Senior Secured Corporate</t>
  </si>
  <si>
    <t>3912000TN89ESDWHS93</t>
  </si>
  <si>
    <t>CIFC SEN SEC CORP LN ISRLP</t>
  </si>
  <si>
    <t>XD1119644098</t>
  </si>
  <si>
    <t>Fidelity Fund Management</t>
  </si>
  <si>
    <t>549300JFYFTF85QAQR28</t>
  </si>
  <si>
    <t>Fidelity Funds - US High Yield Fund</t>
  </si>
  <si>
    <t>LU0891474172</t>
  </si>
  <si>
    <t>IUSSENG LX Equity</t>
  </si>
  <si>
    <t>LU0564079282</t>
  </si>
  <si>
    <t>Kotak</t>
  </si>
  <si>
    <t>KOTAK FUNDS - I</t>
  </si>
  <si>
    <t>LU0675383409</t>
  </si>
  <si>
    <t>NOMURA-US HIGH YLD BD-I USD</t>
  </si>
  <si>
    <t>IE00B3RW8498</t>
  </si>
  <si>
    <t>Straffan Asset Management Ltd</t>
  </si>
  <si>
    <t xml:space="preserve">2138006P5SXAKKF3H358
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</si>
  <si>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</si>
  <si>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</si>
  <si>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</si>
  <si>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</si>
  <si>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</si>
  <si>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</si>
  <si>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</si>
  <si>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</si>
  <si>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</si>
  <si>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</si>
  <si>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</si>
  <si>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</si>
  <si>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</si>
  <si>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</si>
  <si>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</si>
  <si>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</si>
  <si>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</si>
  <si>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</si>
  <si>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</si>
  <si>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</si>
  <si>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חוזים עתידיים בחול</t>
  </si>
  <si>
    <t>10527</t>
  </si>
  <si>
    <t>MINI S&amp;P 500 FUTURES 12/2025</t>
  </si>
  <si>
    <t>ESZ5</t>
  </si>
  <si>
    <t>CME</t>
  </si>
  <si>
    <t>מניות לרבות מדדי מניות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</si>
  <si>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</si>
  <si>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</si>
  <si>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</si>
  <si>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</si>
  <si>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</si>
  <si>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</si>
  <si>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</si>
  <si>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</si>
  <si>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</si>
  <si>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</si>
  <si>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</si>
  <si>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</si>
  <si>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</si>
  <si>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</si>
  <si>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</si>
  <si>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</si>
  <si>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</si>
  <si>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 טכנולוגיות בע"מ</t>
  </si>
  <si>
    <t>520036419</t>
  </si>
  <si>
    <t>אדאקום הנפקה פרטית</t>
  </si>
  <si>
    <t>2390318</t>
  </si>
  <si>
    <t>31/12/2013</t>
  </si>
  <si>
    <t>30/06/2004</t>
  </si>
  <si>
    <t>קיימת תלות</t>
  </si>
  <si>
    <t>30/09/2025</t>
  </si>
  <si>
    <t>אינטרנט גולד - קווי זהב בע"מ</t>
  </si>
  <si>
    <t>520044264</t>
  </si>
  <si>
    <t>אינטרנט זהב אגח ד</t>
  </si>
  <si>
    <t>IL0011316143</t>
  </si>
  <si>
    <t>לא סחיר</t>
  </si>
  <si>
    <t>חברות ללא פעילות ומעטפת</t>
  </si>
  <si>
    <t>02/03/2017</t>
  </si>
  <si>
    <t>15/09/2022</t>
  </si>
  <si>
    <t>גורם תלוי/פנימי</t>
  </si>
  <si>
    <t>אי-תלות</t>
  </si>
  <si>
    <t>02/02/2021</t>
  </si>
  <si>
    <t>31/05/2025</t>
  </si>
  <si>
    <t>אלון חברת הדלק לישראל בע"מ</t>
  </si>
  <si>
    <t>520041690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</si>
  <si>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</si>
  <si>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</si>
  <si>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</si>
  <si>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</si>
  <si>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</si>
  <si>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</si>
  <si>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</si>
  <si>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</si>
  <si>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</si>
  <si>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</si>
  <si>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27/01/2023</t>
  </si>
  <si>
    <t>וי.אי.די. התפלת מי אשקלון</t>
  </si>
  <si>
    <t>513102384</t>
  </si>
  <si>
    <t>וי.אי.די. אג"ח מאוחד 0706</t>
  </si>
  <si>
    <t>IL0010979974</t>
  </si>
  <si>
    <t>22/10/2025</t>
  </si>
  <si>
    <t>חברת ציטוט</t>
  </si>
  <si>
    <t>כלל תעשיות בע"מ</t>
  </si>
  <si>
    <t>520021874</t>
  </si>
  <si>
    <t>כלל תעש אגח טז-רמ</t>
  </si>
  <si>
    <t>IL0060802381</t>
  </si>
  <si>
    <t>29/12/2019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</si>
  <si>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</si>
  <si>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</si>
  <si>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</si>
  <si>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</si>
  <si>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</si>
  <si>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</si>
  <si>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</si>
  <si>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</si>
  <si>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</si>
  <si>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</si>
  <si>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</si>
  <si>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</si>
  <si>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</si>
  <si>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</si>
  <si>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</si>
  <si>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</si>
  <si>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</si>
  <si>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קאר אנד גו 4.95% 2009</t>
  </si>
  <si>
    <t>1088210</t>
  </si>
  <si>
    <t>01/11/2011</t>
  </si>
  <si>
    <t>אגד חברה לתחבורה בע"מ</t>
  </si>
  <si>
    <t>570012377</t>
  </si>
  <si>
    <t>אגד אגח 1-רמ</t>
  </si>
  <si>
    <t>IL0011987877</t>
  </si>
  <si>
    <t>16/08/2023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</si>
  <si>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</si>
  <si>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</si>
  <si>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</si>
  <si>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</si>
  <si>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</si>
  <si>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</si>
  <si>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</si>
  <si>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</si>
  <si>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</si>
  <si>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</si>
  <si>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</si>
  <si>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</si>
  <si>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אדאקום</t>
  </si>
  <si>
    <t>IL0002390123</t>
  </si>
  <si>
    <t>מניות לא סחירות</t>
  </si>
  <si>
    <t>ביוטכנולוגיה</t>
  </si>
  <si>
    <t>אפאר</t>
  </si>
  <si>
    <t>516072931</t>
  </si>
  <si>
    <t>IL0002940174</t>
  </si>
  <si>
    <t>10/11/2024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</si>
  <si>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</si>
  <si>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</si>
  <si>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</si>
  <si>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</si>
  <si>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</si>
  <si>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</si>
  <si>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</si>
  <si>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</si>
  <si>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</si>
  <si>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</si>
  <si>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</si>
  <si>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</si>
  <si>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</si>
  <si>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13/03/2022</t>
  </si>
  <si>
    <t>מומחה בלתי תלוי</t>
  </si>
  <si>
    <t>28/07/2025</t>
  </si>
  <si>
    <t>אפיקס פראם מ"ר</t>
  </si>
  <si>
    <t>10956</t>
  </si>
  <si>
    <t>98251</t>
  </si>
  <si>
    <t>05/02/2021</t>
  </si>
  <si>
    <t>ג'נריישן ניהול בע"מ</t>
  </si>
  <si>
    <t>515785012</t>
  </si>
  <si>
    <t>560930</t>
  </si>
  <si>
    <t>18/04/2021</t>
  </si>
  <si>
    <t>29/07/2025</t>
  </si>
  <si>
    <t>וואסט פייר</t>
  </si>
  <si>
    <t>10959</t>
  </si>
  <si>
    <t>98244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</si>
  <si>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</si>
  <si>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</si>
  <si>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</si>
  <si>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</si>
  <si>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</si>
  <si>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</si>
  <si>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</si>
  <si>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</si>
  <si>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</si>
  <si>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</si>
  <si>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</si>
  <si>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</t>
  </si>
  <si>
    <t>CO-101523</t>
  </si>
  <si>
    <t>Klirmark Fund IV</t>
  </si>
  <si>
    <t>פרייבט אקוויטי</t>
  </si>
  <si>
    <t>Special Situations Debt</t>
  </si>
  <si>
    <t>איי קיימן</t>
  </si>
  <si>
    <t>כתובת: ז'בוטינסקי 2 , רמת גן , ישראל</t>
  </si>
  <si>
    <t>19/04/2023</t>
  </si>
  <si>
    <t>דיווח מנהל הקרן</t>
  </si>
  <si>
    <t>26/08/2025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</si>
  <si>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</si>
  <si>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</si>
  <si>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</si>
  <si>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</si>
  <si>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</si>
  <si>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</si>
  <si>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</si>
  <si>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קרן חוב</t>
  </si>
  <si>
    <t>Venture Debt</t>
  </si>
  <si>
    <t>כתובת: בר כוכבא 23, בני ברק, ישראל</t>
  </si>
  <si>
    <t>02/12/2019</t>
  </si>
  <si>
    <t>10/09/2025</t>
  </si>
  <si>
    <t>MEDICA 2</t>
  </si>
  <si>
    <t>27366</t>
  </si>
  <si>
    <t>מדיקה ק.הון 2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</si>
  <si>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</si>
  <si>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</si>
  <si>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</si>
  <si>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</si>
  <si>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</si>
  <si>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</si>
  <si>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</si>
  <si>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Buyout</t>
  </si>
  <si>
    <t>כתובת: אבא אבן 10 , הרצליה</t>
  </si>
  <si>
    <t>25/05/2017</t>
  </si>
  <si>
    <t>נוקד</t>
  </si>
  <si>
    <t>515419356</t>
  </si>
  <si>
    <t>קרן גידור נוקד שותפות מוגבלת</t>
  </si>
  <si>
    <t>קרן גידור (Hedge Fund)</t>
  </si>
  <si>
    <t>כתובת:  הארבעה 30 תל אביב</t>
  </si>
  <si>
    <t>27/06/2018</t>
  </si>
  <si>
    <t>21/08/2025</t>
  </si>
  <si>
    <t>קרן נוקד אגח</t>
  </si>
  <si>
    <t>31/10/2023</t>
  </si>
  <si>
    <t>Kedma Capital</t>
  </si>
  <si>
    <t>540286333</t>
  </si>
  <si>
    <t>קרן קדמה 4</t>
  </si>
  <si>
    <t>מנחם בגין 132, מגדלי עזריאלי, תל אביב</t>
  </si>
  <si>
    <t>23/12/2024</t>
  </si>
  <si>
    <t>17/09/2025</t>
  </si>
  <si>
    <t>תש"י</t>
  </si>
  <si>
    <t>550243026</t>
  </si>
  <si>
    <t>תשתיות ישראל  4-אקדמאים</t>
  </si>
  <si>
    <t>Value Added Infrastructure</t>
  </si>
  <si>
    <t>כתובת:  השלושה 2 ת, תל אביב</t>
  </si>
  <si>
    <t>30/11/2021</t>
  </si>
  <si>
    <t>28/08/2025</t>
  </si>
  <si>
    <t>Ares Capital Europe</t>
  </si>
  <si>
    <t>11273</t>
  </si>
  <si>
    <t>ARES CAPITAL EUROPE VI</t>
  </si>
  <si>
    <t>Direct Lending Debt</t>
  </si>
  <si>
    <t>דלאוור</t>
  </si>
  <si>
    <t>Address: 14-16 Avenue Pasteur, Luxembourg L-2310</t>
  </si>
  <si>
    <t>08/11/2023</t>
  </si>
  <si>
    <t>25/09/2025</t>
  </si>
  <si>
    <t xml:space="preserve"> Reality Real Estate Investment Fund 5</t>
  </si>
  <si>
    <t>1981081</t>
  </si>
  <si>
    <t>Brookfield Stategic Feal Estate</t>
  </si>
  <si>
    <t>Distressed Real Estate</t>
  </si>
  <si>
    <t>לוכסמבורג</t>
  </si>
  <si>
    <t>, One Canada Square, Canary Wharf, London, E14 5AA, United Kingdom</t>
  </si>
  <si>
    <t>Coller International</t>
  </si>
  <si>
    <t>10087</t>
  </si>
  <si>
    <t>Coller IX-B</t>
  </si>
  <si>
    <t>Address: Trafalgar Court, Les Banques, st Peter Port, Guernsey</t>
  </si>
  <si>
    <t>04/03/2025</t>
  </si>
  <si>
    <t>CVC EUDL IV</t>
  </si>
  <si>
    <t>B278095</t>
  </si>
  <si>
    <t>Address: 3, rue Gabriel Lippmann, L - 5365 Munsbach, Grand-Duché de Luxembourg</t>
  </si>
  <si>
    <t>12/12/2024</t>
  </si>
  <si>
    <t>18/09/2025</t>
  </si>
  <si>
    <t>Electra</t>
  </si>
  <si>
    <t>89410</t>
  </si>
  <si>
    <t>ELECTRA CAPITAL PM FEEDER 3</t>
  </si>
  <si>
    <t>קרן נדל"ן</t>
  </si>
  <si>
    <t>Mezzanine Debt</t>
  </si>
  <si>
    <t>Address: 4890 West Kennedy blvd. Tampa, FL 33609 USA</t>
  </si>
  <si>
    <t>08/05/2023</t>
  </si>
  <si>
    <t>520039967</t>
  </si>
  <si>
    <t>ELECTRA MULTI FAMILY NADLAN 2 NEW</t>
  </si>
  <si>
    <t>Value Added Real Estate</t>
  </si>
  <si>
    <t>Address: 1331 South Killian Drive, Suite A, Lake Park, FL 33403</t>
  </si>
  <si>
    <t>28/05/2019</t>
  </si>
  <si>
    <t>2138005O9XJIJN4JPN90</t>
  </si>
  <si>
    <t>Electra UK Fund I</t>
  </si>
  <si>
    <t>Address: 1331 South Killian Drive, Suite A, Lake Park, FL 33403
Grand Cayman, KY1-1001</t>
  </si>
  <si>
    <t>14/03/2024</t>
  </si>
  <si>
    <t>31/08/2025</t>
  </si>
  <si>
    <t>Faro Point</t>
  </si>
  <si>
    <t>86-2034928</t>
  </si>
  <si>
    <t>Faro Point FIVF III (F-5)</t>
  </si>
  <si>
    <t>Address: 5 Marine View Plz. , Hoboken, NJ 07030, USA</t>
  </si>
  <si>
    <t>19/10/2022</t>
  </si>
  <si>
    <t>פורמה</t>
  </si>
  <si>
    <t>530278654</t>
  </si>
  <si>
    <t>FORMA FUND</t>
  </si>
  <si>
    <t>Address: 20 Raul Valenberg , Tel Aviv, Israel</t>
  </si>
  <si>
    <t>16/06/2017</t>
  </si>
  <si>
    <t>17/08/2025</t>
  </si>
  <si>
    <t>Hamilton</t>
  </si>
  <si>
    <t xml:space="preserve">98-1588386 </t>
  </si>
  <si>
    <t>HAMILTON LANE STRATEGIC OPPOTUNITI</t>
  </si>
  <si>
    <t>Address: 610 Fifth Avenue , New York , NY 10020</t>
  </si>
  <si>
    <t>HAMILTON STRATEGIC OPP 2020 VI</t>
  </si>
  <si>
    <t>24/03/2021</t>
  </si>
  <si>
    <t>HAMILTON TON LANE</t>
  </si>
  <si>
    <t>Co-Investment/Direct</t>
  </si>
  <si>
    <t>06/08/2018</t>
  </si>
  <si>
    <t>29/09/2025</t>
  </si>
  <si>
    <t>HarbourVest</t>
  </si>
  <si>
    <t>27330</t>
  </si>
  <si>
    <t>Harbourvest 2018 Global Fund L.P</t>
  </si>
  <si>
    <t>Address: One Financial Center, Boston, Massachusetts 02111</t>
  </si>
  <si>
    <t>20/05/2020</t>
  </si>
  <si>
    <t>21/09/2025</t>
  </si>
  <si>
    <t>invesco</t>
  </si>
  <si>
    <t>549300FEA3DT84FOZ304</t>
  </si>
  <si>
    <t>Invesco Direct Lending II</t>
  </si>
  <si>
    <t>כתובת: 225 Liberty st. , New York, NY , 10281</t>
  </si>
  <si>
    <t>09/04/2024</t>
  </si>
  <si>
    <t>LLCP</t>
  </si>
  <si>
    <t>820734071</t>
  </si>
  <si>
    <t>LLCP VI</t>
  </si>
  <si>
    <t>Address: 345 N Maple Dr. Ste. 300 Beverly Hills, CA 90210</t>
  </si>
  <si>
    <t>12/09/2018</t>
  </si>
  <si>
    <t>MV Credit</t>
  </si>
  <si>
    <t>2016 2429 508</t>
  </si>
  <si>
    <t>MV CREDIT SENIOR II</t>
  </si>
  <si>
    <t>לוקסמבורג</t>
  </si>
  <si>
    <t>Address: 8 rue lou Hemmer, L-1748 senningerberg, Luxembourg</t>
  </si>
  <si>
    <t>26/07/2021</t>
  </si>
  <si>
    <t>Starlight Bond</t>
  </si>
  <si>
    <t>90109</t>
  </si>
  <si>
    <t>Starlight Bond FP I LP</t>
  </si>
  <si>
    <t>Address: 1400-3280 Bloor Street West, Centre Tower Toronto, Ontario</t>
  </si>
  <si>
    <t>24/01/2023</t>
  </si>
  <si>
    <t xml:space="preserve">Tikehau </t>
  </si>
  <si>
    <t>GP-070000060</t>
  </si>
  <si>
    <t>TDL VI (TIKEHAU)</t>
  </si>
  <si>
    <t>Address: 32 rue de Monceau, Paris, France 75008</t>
  </si>
  <si>
    <t>29/05/2025</t>
  </si>
  <si>
    <t>Veritas</t>
  </si>
  <si>
    <t>549300TO59X5MBW1JM68</t>
  </si>
  <si>
    <t>Veritas Capital Fund IX</t>
  </si>
  <si>
    <t>WEST 57TH STREET 32nd FLOOR, NEW YORK, NY 10019</t>
  </si>
  <si>
    <t>Vestar</t>
  </si>
  <si>
    <t>549300DYMC8BGZZC8844</t>
  </si>
  <si>
    <t>VESTAR VII A</t>
  </si>
  <si>
    <t>Address: 245 Park Avenue, New York, NY  10167</t>
  </si>
  <si>
    <t>11/03/2020</t>
  </si>
  <si>
    <t>ויולה</t>
  </si>
  <si>
    <t>12169</t>
  </si>
  <si>
    <t>VIOLA CREDIT ALF II</t>
  </si>
  <si>
    <t>Address: 12 Aba Even, Herzelia Pituach, Israel</t>
  </si>
  <si>
    <t>19/01/2022</t>
  </si>
  <si>
    <t>פנתאון</t>
  </si>
  <si>
    <t>12902</t>
  </si>
  <si>
    <t>PGCO VI  פנתאון</t>
  </si>
  <si>
    <t>Address: 10 Finsbury Square, London</t>
  </si>
  <si>
    <t>09/04/2025</t>
  </si>
  <si>
    <t>אי.בי.אי שותפויות נדל"ן בע"מ</t>
  </si>
  <si>
    <t>IBI PILLAR</t>
  </si>
  <si>
    <t>22/07/2021</t>
  </si>
  <si>
    <t>07/07/2025</t>
  </si>
  <si>
    <t>נוקד אקוויטי השקעות בע"מ</t>
  </si>
  <si>
    <t>קרן גידור - נוקד</t>
  </si>
  <si>
    <t>31/08/2017</t>
  </si>
  <si>
    <t>דוניץ אופציה לא סחירה</t>
  </si>
  <si>
    <t>50008416</t>
  </si>
  <si>
    <t>IL0011987042</t>
  </si>
  <si>
    <t>24/02/2025</t>
  </si>
  <si>
    <t>ODYSIGHT</t>
  </si>
  <si>
    <t>515950400</t>
  </si>
  <si>
    <t>ODYSIGHT  אופציה לא סחירה (לשעבר SCOUTCAM)</t>
  </si>
  <si>
    <t>62022694</t>
  </si>
  <si>
    <t>נגזרים</t>
  </si>
  <si>
    <t>14/09/2025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</si>
  <si>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</si>
  <si>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</si>
  <si>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</si>
  <si>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</si>
  <si>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</si>
  <si>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</si>
  <si>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</si>
  <si>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</si>
  <si>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</si>
  <si>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</si>
  <si>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</si>
  <si>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</si>
  <si>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</si>
  <si>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</si>
  <si>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</si>
  <si>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</si>
  <si>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</si>
  <si>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</si>
  <si>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</si>
  <si>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</si>
  <si>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</si>
  <si>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</si>
  <si>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</si>
  <si>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</si>
  <si>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</si>
  <si>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</si>
  <si>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</si>
  <si>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</si>
  <si>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</si>
  <si>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</si>
  <si>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</si>
  <si>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288</t>
  </si>
  <si>
    <t>Funded Forward</t>
  </si>
  <si>
    <t>9943079</t>
  </si>
  <si>
    <t>מט"ח</t>
  </si>
  <si>
    <t>מדינה/איזור גאוגרפי</t>
  </si>
  <si>
    <t>מט"ח/₪</t>
  </si>
  <si>
    <t>USD ILS</t>
  </si>
  <si>
    <t>01/07/2025 00:00:00</t>
  </si>
  <si>
    <t>23/10/2025 00:00:00</t>
  </si>
  <si>
    <t>ללא</t>
  </si>
  <si>
    <t>delivery</t>
  </si>
  <si>
    <t>הצד הנגדי</t>
  </si>
  <si>
    <t>שבועי</t>
  </si>
  <si>
    <t>0</t>
  </si>
  <si>
    <t>3.296</t>
  </si>
  <si>
    <t>POALILIT</t>
  </si>
  <si>
    <t>9943089</t>
  </si>
  <si>
    <t>EUR ILS</t>
  </si>
  <si>
    <t>3.875</t>
  </si>
  <si>
    <t>9944751</t>
  </si>
  <si>
    <t>03/09/2025 00:00:00</t>
  </si>
  <si>
    <t>17/12/2025 00:00:00</t>
  </si>
  <si>
    <t>רבעוני</t>
  </si>
  <si>
    <t>3.275</t>
  </si>
  <si>
    <t>1451</t>
  </si>
  <si>
    <t>1452</t>
  </si>
  <si>
    <t>9944424</t>
  </si>
  <si>
    <t>19/08/2025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</si>
  <si>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</si>
  <si>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</si>
  <si>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</si>
  <si>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</si>
  <si>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</si>
  <si>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</si>
  <si>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</si>
  <si>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</si>
  <si>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</si>
  <si>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</si>
  <si>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</si>
  <si>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</si>
  <si>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</si>
  <si>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</si>
  <si>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</si>
  <si>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</si>
  <si>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</si>
  <si>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</si>
  <si>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</si>
  <si>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</si>
  <si>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</si>
  <si>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</si>
  <si>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</si>
  <si>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520027954</t>
  </si>
  <si>
    <t>הלוואות עמיתים ל.צ</t>
  </si>
  <si>
    <t>300202086</t>
  </si>
  <si>
    <t>עמית/מבוטח</t>
  </si>
  <si>
    <t>אנשים פרטיים </t>
  </si>
  <si>
    <t>30/10/2017</t>
  </si>
  <si>
    <t>הלוואה</t>
  </si>
  <si>
    <t>משתנה</t>
  </si>
  <si>
    <t>לא צמוד</t>
  </si>
  <si>
    <t>other</t>
  </si>
  <si>
    <t>12/09/2032</t>
  </si>
  <si>
    <t xml:space="preserve">אחר </t>
  </si>
  <si>
    <t>הלוואה לעמית</t>
  </si>
  <si>
    <t>מערכת פריים</t>
  </si>
  <si>
    <t xml:space="preserve">31/03/2024 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</si>
  <si>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</si>
  <si>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</si>
  <si>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</si>
  <si>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</si>
  <si>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</si>
  <si>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</si>
  <si>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</si>
  <si>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</si>
  <si>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</si>
  <si>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</si>
  <si>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</si>
  <si>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</si>
  <si>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</si>
  <si>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</si>
  <si>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</si>
  <si>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</si>
  <si>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</si>
  <si>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</si>
  <si>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</si>
  <si>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</si>
  <si>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</si>
  <si>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</si>
  <si>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</si>
  <si>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</si>
  <si>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</si>
  <si>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</si>
  <si>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</si>
  <si>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</si>
  <si>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</si>
  <si>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</si>
  <si>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</si>
  <si>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</si>
  <si>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</si>
  <si>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</si>
  <si>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</si>
  <si>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</si>
  <si>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</si>
  <si>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</si>
  <si>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</si>
  <si>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Brookfield Strategic Real Estate Partners V</t>
  </si>
  <si>
    <t>0001981081</t>
  </si>
  <si>
    <t>שותפות</t>
  </si>
  <si>
    <t>62022702</t>
  </si>
  <si>
    <t>Coller International General Partner</t>
  </si>
  <si>
    <t>4310</t>
  </si>
  <si>
    <t>62022223</t>
  </si>
  <si>
    <t>796442</t>
  </si>
  <si>
    <t>62021589</t>
  </si>
  <si>
    <t>62020904</t>
  </si>
  <si>
    <t>232962336</t>
  </si>
  <si>
    <t>Hamilton Co-invest IV</t>
  </si>
  <si>
    <t>62008453</t>
  </si>
  <si>
    <t>Hamilton Strategic Opp 2018 IV</t>
  </si>
  <si>
    <t>62007901</t>
  </si>
  <si>
    <t>27949</t>
  </si>
  <si>
    <t>HarbourVest 2018 Global</t>
  </si>
  <si>
    <t>62020698</t>
  </si>
  <si>
    <t>30208674</t>
  </si>
  <si>
    <t>LLCP  VI</t>
  </si>
  <si>
    <t>62008925</t>
  </si>
  <si>
    <t>62022330</t>
  </si>
  <si>
    <t>Starlight Bond FP I</t>
  </si>
  <si>
    <t>62021118</t>
  </si>
  <si>
    <t>Veritas Capital Partners IX, LLC</t>
  </si>
  <si>
    <t>2708590</t>
  </si>
  <si>
    <t>62022462</t>
  </si>
  <si>
    <t>Vestar  VII-A</t>
  </si>
  <si>
    <t>62015821</t>
  </si>
  <si>
    <t>ח.פ</t>
  </si>
  <si>
    <t>62002035</t>
  </si>
  <si>
    <t>קדמה</t>
  </si>
  <si>
    <t>540328218</t>
  </si>
  <si>
    <t>קדמה 4</t>
  </si>
  <si>
    <t>62022116</t>
  </si>
  <si>
    <t>תשי IIF  IV</t>
  </si>
  <si>
    <t>62019773</t>
  </si>
  <si>
    <t>Ares Capital Management</t>
  </si>
  <si>
    <t>LLC-131619</t>
  </si>
  <si>
    <t>Ares Capital Europe VI</t>
  </si>
  <si>
    <t>62021456</t>
  </si>
  <si>
    <t>62022041</t>
  </si>
  <si>
    <t>87-4615747</t>
  </si>
  <si>
    <t>Electra Capital PM II  Feeder 3</t>
  </si>
  <si>
    <t>62021167</t>
  </si>
  <si>
    <t>Hamilton Strategic Opp 2020 VI</t>
  </si>
  <si>
    <t>62018031</t>
  </si>
  <si>
    <t>Invesco Direct Lending</t>
  </si>
  <si>
    <t>949417</t>
  </si>
  <si>
    <t>62021621</t>
  </si>
  <si>
    <t>500473707</t>
  </si>
  <si>
    <t>50007921</t>
  </si>
  <si>
    <t>MV Credit Senior II</t>
  </si>
  <si>
    <t>62018759</t>
  </si>
  <si>
    <t>Tikehau Investment Management</t>
  </si>
  <si>
    <t>62022405</t>
  </si>
  <si>
    <t>540290103</t>
  </si>
  <si>
    <t>יסודות נדלן ג</t>
  </si>
  <si>
    <t>50000868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</si>
  <si>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</si>
  <si>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</si>
  <si>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</si>
  <si>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</si>
  <si>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</si>
  <si>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</si>
  <si>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</si>
  <si>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</si>
  <si>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</si>
  <si>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</si>
  <si>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</si>
  <si>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</si>
  <si>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</si>
  <si>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</si>
  <si>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</si>
  <si>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</si>
  <si>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</si>
  <si>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</si>
  <si>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</si>
  <si>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</si>
  <si>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</si>
  <si>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</si>
  <si>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</si>
  <si>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</si>
  <si>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</si>
  <si>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</si>
  <si>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</si>
  <si>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</si>
  <si>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</si>
  <si>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</si>
  <si>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</si>
  <si>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</si>
  <si>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</si>
  <si>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</si>
  <si>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</si>
  <si>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</si>
  <si>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</si>
  <si>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</si>
  <si>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</si>
  <si>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</si>
  <si>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</si>
  <si>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</si>
  <si>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</si>
  <si>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</si>
  <si>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</si>
  <si>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</si>
  <si>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</si>
  <si>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</si>
  <si>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</si>
  <si>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</si>
  <si>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</si>
  <si>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</si>
  <si>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</si>
  <si>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</si>
  <si>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</si>
  <si>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</si>
  <si>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</si>
  <si>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</si>
  <si>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</si>
  <si>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</si>
  <si>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</si>
  <si>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</si>
  <si>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</si>
  <si>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</si>
  <si>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</si>
  <si>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</si>
  <si>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</si>
  <si>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</si>
  <si>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</si>
  <si>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</si>
  <si>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</si>
  <si>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</si>
  <si>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</si>
  <si>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</si>
  <si>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</si>
  <si>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</si>
  <si>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</si>
  <si>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</si>
  <si>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</si>
  <si>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</si>
  <si>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</si>
  <si>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</si>
  <si>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</si>
  <si>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</si>
  <si>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</si>
  <si>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</si>
  <si>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</si>
  <si>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</si>
  <si>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</si>
  <si>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</si>
  <si>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</si>
  <si>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</si>
  <si>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</si>
  <si>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</si>
  <si>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</si>
  <si>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</si>
  <si>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</si>
  <si>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</si>
  <si>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</si>
  <si>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</si>
  <si>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</si>
  <si>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</si>
  <si>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</si>
  <si>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</si>
  <si>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</si>
  <si>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</si>
  <si>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</si>
  <si>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</si>
  <si>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</si>
  <si>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</si>
  <si>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</si>
  <si>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</si>
  <si>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</si>
  <si>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</si>
  <si>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</si>
  <si>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</si>
  <si>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</si>
  <si>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</si>
  <si>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</si>
  <si>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</si>
  <si>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</si>
  <si>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</si>
  <si>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</si>
  <si>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</si>
  <si>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</si>
  <si>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</si>
  <si>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</si>
  <si>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</si>
  <si>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</si>
  <si>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</si>
  <si>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</si>
  <si>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</si>
  <si>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</si>
  <si>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</si>
  <si>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</si>
  <si>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</si>
  <si>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</si>
  <si>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</si>
  <si>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</si>
  <si>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</si>
  <si>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</si>
  <si>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</si>
  <si>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</si>
  <si>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</si>
  <si>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</si>
  <si>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</si>
  <si>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</si>
  <si>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</si>
  <si>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</si>
  <si>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</si>
  <si>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</si>
  <si>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</si>
  <si>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</si>
  <si>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</si>
  <si>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</si>
  <si>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</si>
  <si>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</si>
  <si>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</si>
  <si>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</si>
  <si>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</si>
  <si>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</si>
  <si>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</si>
  <si>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</si>
  <si>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</si>
  <si>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</si>
  <si>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</si>
  <si>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</si>
  <si>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</si>
  <si>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</si>
  <si>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</si>
  <si>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</si>
  <si>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</si>
  <si>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</si>
  <si>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</si>
  <si>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</si>
  <si>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</si>
  <si>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</si>
  <si>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</si>
  <si>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</si>
  <si>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</si>
  <si>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</si>
  <si>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</si>
  <si>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</si>
  <si>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</si>
  <si>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</si>
  <si>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</si>
  <si>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</si>
  <si>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</si>
  <si>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</si>
  <si>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</si>
  <si>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</si>
  <si>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</si>
  <si>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</si>
  <si>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</si>
  <si>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</si>
  <si>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</si>
  <si>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השקעות בהיי-טק</t>
  </si>
  <si>
    <t>השקעות במדעי החיים</t>
  </si>
  <si>
    <t>חברות מעטפת</t>
  </si>
  <si>
    <t>חשמל</t>
  </si>
  <si>
    <t>ליסינג</t>
  </si>
  <si>
    <t>מכשור רפואי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</si>
  <si>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</si>
  <si>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</si>
  <si>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</si>
  <si>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</si>
  <si>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</si>
  <si>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</si>
  <si>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</si>
  <si>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</si>
  <si>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</si>
  <si>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</si>
  <si>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</si>
  <si>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</si>
  <si>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</si>
  <si>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</si>
  <si>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</si>
  <si>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</si>
  <si>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</si>
  <si>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</si>
  <si>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</si>
  <si>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</si>
  <si>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</si>
  <si>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</si>
  <si>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</si>
  <si>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</si>
  <si>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</si>
  <si>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</si>
  <si>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</si>
  <si>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</si>
  <si>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</si>
  <si>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</si>
  <si>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</si>
  <si>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</si>
  <si>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</si>
  <si>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</si>
  <si>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</si>
  <si>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</si>
  <si>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</si>
  <si>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</si>
  <si>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</si>
  <si>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</si>
  <si>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</si>
  <si>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</si>
  <si>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</si>
  <si>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</si>
  <si>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</si>
  <si>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</si>
  <si>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</si>
  <si>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</si>
  <si>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</si>
  <si>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</si>
  <si>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</si>
  <si>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</si>
  <si>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</si>
  <si>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</si>
  <si>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</si>
  <si>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</si>
  <si>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</si>
  <si>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</si>
  <si>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</si>
  <si>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</si>
  <si>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</si>
  <si>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</si>
  <si>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</si>
  <si>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</si>
  <si>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</si>
  <si>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</si>
  <si>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</si>
  <si>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</si>
  <si>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</si>
  <si>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</si>
  <si>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</si>
  <si>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</si>
  <si>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</si>
  <si>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</si>
  <si>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</si>
  <si>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</si>
  <si>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</si>
  <si>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</si>
  <si>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</si>
  <si>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</si>
  <si>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</si>
  <si>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</si>
  <si>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</si>
  <si>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</si>
  <si>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</si>
  <si>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</si>
  <si>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</si>
  <si>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</si>
  <si>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</si>
  <si>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</si>
  <si>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מנוטרלת מט"ח-אירופה כללי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</si>
  <si>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</si>
  <si>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</si>
  <si>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</si>
  <si>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</si>
  <si>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</si>
  <si>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</si>
  <si>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מנוטרלת מט"ח-אסיה יפן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</si>
  <si>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</si>
  <si>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</si>
  <si>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</si>
  <si>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</si>
  <si>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</si>
  <si>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</si>
  <si>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</si>
  <si>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</si>
  <si>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</si>
  <si>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</si>
  <si>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</si>
  <si>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</si>
  <si>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</si>
  <si>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</si>
  <si>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</si>
  <si>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</si>
  <si>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</si>
  <si>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</si>
  <si>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</si>
  <si>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</si>
  <si>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</si>
  <si>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</si>
  <si>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</si>
  <si>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</si>
  <si>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</si>
  <si>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</si>
  <si>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</si>
  <si>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</si>
  <si>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</si>
  <si>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</si>
  <si>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</si>
  <si>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</si>
  <si>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</si>
  <si>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</si>
  <si>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</si>
  <si>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</si>
  <si>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</si>
  <si>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</si>
  <si>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</si>
  <si>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</si>
  <si>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</si>
  <si>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</si>
  <si>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</si>
  <si>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</si>
  <si>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</si>
  <si>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</si>
  <si>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</si>
  <si>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</si>
  <si>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</si>
  <si>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</si>
  <si>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</si>
  <si>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</si>
  <si>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</si>
  <si>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</si>
  <si>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</si>
  <si>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</si>
  <si>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</si>
  <si>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</si>
  <si>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</si>
  <si>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</si>
  <si>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</si>
  <si>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</si>
  <si>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</si>
  <si>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</si>
  <si>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</si>
  <si>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</si>
  <si>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</si>
  <si>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</si>
  <si>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</si>
  <si>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</si>
  <si>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</si>
  <si>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</si>
  <si>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</si>
  <si>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</si>
  <si>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</si>
  <si>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</si>
  <si>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</si>
  <si>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</si>
  <si>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</si>
  <si>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</si>
  <si>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</si>
  <si>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</si>
  <si>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</si>
  <si>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</si>
  <si>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</si>
  <si>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</si>
  <si>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</si>
  <si>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</si>
  <si>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</si>
  <si>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</si>
  <si>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</si>
  <si>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</si>
  <si>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</si>
  <si>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</si>
  <si>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</si>
  <si>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</si>
  <si>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</si>
  <si>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</si>
  <si>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</si>
  <si>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</si>
  <si>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</si>
  <si>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</si>
  <si>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</si>
  <si>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</si>
  <si>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</si>
  <si>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</si>
  <si>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</si>
  <si>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</si>
  <si>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</si>
  <si>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</si>
  <si>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</si>
  <si>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</si>
  <si>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</si>
  <si>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</si>
  <si>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</si>
  <si>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</si>
  <si>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</si>
  <si>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</si>
  <si>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</si>
  <si>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</si>
  <si>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</si>
  <si>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</si>
  <si>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</si>
  <si>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</si>
  <si>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</si>
  <si>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</si>
  <si>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</si>
  <si>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</si>
  <si>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</si>
  <si>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</si>
  <si>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</si>
  <si>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</si>
  <si>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</si>
  <si>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</si>
  <si>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</si>
  <si>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</si>
  <si>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</si>
  <si>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</si>
  <si>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</si>
  <si>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</si>
  <si>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</si>
  <si>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</si>
  <si>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</si>
  <si>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</si>
  <si>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</si>
  <si>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</si>
  <si>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</si>
  <si>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</si>
  <si>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</si>
  <si>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</si>
  <si>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</si>
  <si>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</si>
  <si>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</si>
  <si>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</si>
  <si>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</si>
  <si>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</si>
  <si>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</si>
  <si>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</si>
  <si>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</si>
  <si>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</si>
  <si>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</si>
  <si>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</si>
  <si>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</si>
  <si>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</si>
  <si>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</si>
  <si>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</si>
  <si>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</si>
  <si>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</si>
  <si>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</si>
  <si>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</si>
  <si>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</si>
  <si>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</si>
  <si>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</si>
  <si>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</si>
  <si>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</si>
  <si>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</si>
  <si>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</si>
  <si>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</si>
  <si>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</si>
  <si>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</si>
  <si>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</si>
  <si>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</si>
  <si>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</si>
  <si>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</si>
  <si>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</si>
  <si>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</si>
  <si>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</si>
  <si>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</si>
  <si>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</si>
  <si>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</si>
  <si>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</si>
  <si>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</si>
  <si>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</si>
  <si>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</si>
  <si>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</si>
  <si>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</si>
  <si>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</si>
  <si>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</si>
  <si>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</si>
  <si>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</si>
  <si>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</si>
  <si>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</si>
  <si>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</si>
  <si>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</si>
  <si>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</si>
  <si>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</si>
  <si>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</si>
  <si>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</si>
  <si>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</si>
  <si>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</si>
  <si>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</si>
  <si>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</si>
  <si>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</si>
  <si>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</si>
  <si>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</si>
  <si>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</si>
  <si>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</si>
  <si>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</si>
  <si>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</si>
  <si>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</si>
  <si>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</si>
  <si>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</si>
  <si>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</si>
  <si>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</si>
  <si>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</si>
  <si>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</si>
  <si>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</si>
  <si>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</si>
  <si>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</si>
  <si>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</si>
  <si>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</si>
  <si>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</si>
  <si>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</si>
  <si>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</si>
  <si>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</si>
  <si>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</si>
  <si>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</si>
  <si>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</si>
  <si>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</si>
  <si>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</si>
  <si>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</si>
  <si>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</si>
  <si>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</si>
  <si>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</si>
  <si>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</si>
  <si>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</si>
  <si>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</si>
  <si>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</si>
  <si>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</si>
  <si>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</si>
  <si>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</si>
  <si>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</si>
  <si>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</si>
  <si>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</si>
  <si>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</si>
  <si>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חודשי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</si>
  <si>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</si>
  <si>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</si>
  <si>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</si>
  <si>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</si>
  <si>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</si>
  <si>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</si>
  <si>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</si>
  <si>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</si>
  <si>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</si>
  <si>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</si>
  <si>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</si>
  <si>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</si>
  <si>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</si>
  <si>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</si>
  <si>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</si>
  <si>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</si>
  <si>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</si>
  <si>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</si>
  <si>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</si>
  <si>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</si>
  <si>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</si>
  <si>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</si>
  <si>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</si>
  <si>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</si>
  <si>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</si>
  <si>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</si>
  <si>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</si>
  <si>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</si>
  <si>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</si>
  <si>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</si>
  <si>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</si>
  <si>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</si>
  <si>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</si>
  <si>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</si>
  <si>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</si>
  <si>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</si>
  <si>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</si>
  <si>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</si>
  <si>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</si>
  <si>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</si>
  <si>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</si>
  <si>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</si>
  <si>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</si>
  <si>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</si>
  <si>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</si>
  <si>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</si>
  <si>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</si>
  <si>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</si>
  <si>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</si>
  <si>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</si>
  <si>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</si>
  <si>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</si>
  <si>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</si>
  <si>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</si>
  <si>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</si>
  <si>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</si>
  <si>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</si>
  <si>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</si>
  <si>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</si>
  <si>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</si>
  <si>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</si>
  <si>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</si>
  <si>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</si>
  <si>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</si>
  <si>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</si>
  <si>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</si>
  <si>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</si>
  <si>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</si>
  <si>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</si>
  <si>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</si>
  <si>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</si>
  <si>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</si>
  <si>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</si>
  <si>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</si>
  <si>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</si>
  <si>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</si>
  <si>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</si>
  <si>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</si>
  <si>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</si>
  <si>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</si>
  <si>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</si>
  <si>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</si>
  <si>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</si>
  <si>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</si>
  <si>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</si>
  <si>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</si>
  <si>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</si>
  <si>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</si>
  <si>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</si>
  <si>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</si>
  <si>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</si>
  <si>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</si>
  <si>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</si>
  <si>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</si>
  <si>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</si>
  <si>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</si>
  <si>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</si>
  <si>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</si>
  <si>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</si>
  <si>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</si>
  <si>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</si>
  <si>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</si>
  <si>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</si>
  <si>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</si>
  <si>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</si>
  <si>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</si>
  <si>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</si>
  <si>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</si>
  <si>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</si>
  <si>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</si>
  <si>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</si>
  <si>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</si>
  <si>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</si>
  <si>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</si>
  <si>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</si>
  <si>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</si>
  <si>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</si>
  <si>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</si>
  <si>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</si>
  <si>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</si>
  <si>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</si>
  <si>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</si>
  <si>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</si>
  <si>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</si>
  <si>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</si>
  <si>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</si>
  <si>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</si>
  <si>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</si>
  <si>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</si>
  <si>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</si>
  <si>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</si>
  <si>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</si>
  <si>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</si>
  <si>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</si>
  <si>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</si>
  <si>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</si>
  <si>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</si>
  <si>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</si>
  <si>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</si>
  <si>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</si>
  <si>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</si>
  <si>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</si>
  <si>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</si>
  <si>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</si>
  <si>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</si>
  <si>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</si>
  <si>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</si>
  <si>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</si>
  <si>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</si>
  <si>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</si>
  <si>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</si>
  <si>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</si>
  <si>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</si>
  <si>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</si>
  <si>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</si>
  <si>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</si>
  <si>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</si>
  <si>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</si>
  <si>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</si>
  <si>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</si>
  <si>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</si>
  <si>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</si>
  <si>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</si>
  <si>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</si>
  <si>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</si>
  <si>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</si>
  <si>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</si>
  <si>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</si>
  <si>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</si>
  <si>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</si>
  <si>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</si>
  <si>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</si>
  <si>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</si>
  <si>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</si>
  <si>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</si>
  <si>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</si>
  <si>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</si>
  <si>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</si>
  <si>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</si>
  <si>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</si>
  <si>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</si>
  <si>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</si>
  <si>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</si>
  <si>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</si>
  <si>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</si>
  <si>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</si>
  <si>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</si>
  <si>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</si>
  <si>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</si>
  <si>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</si>
  <si>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</si>
  <si>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</si>
  <si>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</si>
  <si>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</si>
  <si>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</si>
  <si>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</si>
  <si>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</si>
  <si>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</si>
  <si>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</si>
  <si>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</si>
  <si>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</si>
  <si>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</si>
  <si>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</si>
  <si>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</si>
  <si>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</si>
  <si>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</si>
  <si>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</si>
  <si>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</si>
  <si>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</si>
  <si>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</si>
  <si>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</si>
  <si>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</si>
  <si>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</si>
  <si>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</si>
  <si>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</si>
  <si>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</si>
  <si>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</si>
  <si>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</si>
  <si>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</si>
  <si>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</si>
  <si>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</si>
  <si>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</si>
  <si>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</si>
  <si>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</si>
  <si>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</si>
  <si>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</si>
  <si>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</si>
  <si>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</si>
  <si>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</si>
  <si>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</si>
  <si>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</si>
  <si>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</si>
  <si>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</si>
  <si>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</si>
  <si>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</si>
  <si>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</si>
  <si>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</si>
  <si>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</si>
  <si>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</si>
  <si>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</si>
  <si>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</si>
  <si>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</si>
  <si>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</si>
  <si>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</si>
  <si>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</si>
  <si>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</si>
  <si>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</si>
  <si>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</si>
  <si>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</si>
  <si>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</si>
  <si>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</si>
  <si>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</si>
  <si>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</si>
  <si>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</si>
  <si>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</si>
  <si>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</si>
  <si>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</si>
  <si>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</si>
  <si>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</si>
  <si>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</si>
  <si>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</si>
  <si>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</si>
  <si>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</si>
  <si>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</si>
  <si>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</si>
  <si>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</si>
  <si>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</si>
  <si>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</si>
  <si>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</si>
  <si>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</si>
  <si>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</si>
  <si>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</si>
  <si>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</si>
  <si>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</si>
  <si>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</si>
  <si>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</si>
  <si>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</si>
  <si>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</si>
  <si>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</si>
  <si>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</si>
  <si>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</si>
  <si>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</si>
  <si>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</si>
  <si>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</si>
  <si>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</si>
  <si>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</si>
  <si>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</si>
  <si>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</si>
  <si>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</si>
  <si>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</si>
  <si>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</si>
  <si>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</si>
  <si>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</si>
  <si>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</si>
  <si>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</si>
  <si>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</si>
  <si>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</si>
  <si>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</si>
  <si>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</si>
  <si>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</si>
  <si>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</si>
  <si>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</si>
  <si>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</si>
  <si>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</si>
  <si>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</si>
  <si>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</si>
  <si>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</si>
  <si>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</si>
  <si>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</si>
  <si>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</si>
  <si>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</si>
  <si>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</si>
  <si>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</si>
  <si>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</si>
  <si>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</si>
  <si>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</si>
  <si>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</si>
  <si>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</si>
  <si>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</si>
  <si>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</si>
  <si>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</si>
  <si>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</si>
  <si>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</si>
  <si>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</si>
  <si>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</si>
  <si>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</si>
  <si>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</si>
  <si>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</si>
  <si>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</si>
  <si>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</si>
  <si>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</si>
  <si>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</si>
  <si>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</si>
  <si>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</si>
  <si>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</si>
  <si>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</si>
  <si>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</si>
  <si>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</si>
  <si>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גמול פועלים סהר</t>
  </si>
  <si>
    <t>33-414</t>
  </si>
  <si>
    <t>AUD</t>
  </si>
  <si>
    <t>SGD</t>
  </si>
  <si>
    <t>CHF</t>
  </si>
  <si>
    <t>דרור יעקובסון</t>
  </si>
  <si>
    <t>052-5321699</t>
  </si>
  <si>
    <t>drorja@gmail.com</t>
  </si>
  <si>
    <t>83.70%</t>
  </si>
  <si>
    <t>76.81%</t>
  </si>
  <si>
    <t>55.00%</t>
  </si>
  <si>
    <t>5.00%</t>
  </si>
  <si>
    <t>21.39%</t>
  </si>
  <si>
    <t>13.69%</t>
  </si>
  <si>
    <t>13.50%</t>
  </si>
  <si>
    <t>7.08%</t>
  </si>
  <si>
    <t>92.80%</t>
  </si>
  <si>
    <t>80.35%</t>
  </si>
  <si>
    <t>97.40%</t>
  </si>
  <si>
    <t>32.17%</t>
  </si>
  <si>
    <t>0.62%</t>
  </si>
  <si>
    <t>69.63%</t>
  </si>
  <si>
    <t>14.00%</t>
  </si>
  <si>
    <t>62.97%</t>
  </si>
  <si>
    <t>75.00%</t>
  </si>
  <si>
    <t>10.00%</t>
  </si>
  <si>
    <t>8.57%</t>
  </si>
  <si>
    <t>67.23%</t>
  </si>
  <si>
    <t>53.00%</t>
  </si>
  <si>
    <t>8.89%</t>
  </si>
  <si>
    <t>79.00%</t>
  </si>
  <si>
    <t>29.66%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</si>
</sst>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7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43" fontId="8" fillId="0" borderId="10" xfId="4" applyFont="1" applyFill="1" applyBorder="1" applyAlignment="1">
      <alignment horizontal="center" vertical="center" wrapText="1"/>
    </xf>
    <xf numFmtId="43" fontId="8" fillId="0" borderId="21" xfId="4" applyFont="1" applyFill="1" applyBorder="1" applyAlignment="1">
      <alignment horizontal="center" vertical="center" wrapText="1"/>
    </xf>
    <xf numFmtId="43" fontId="24" fillId="0" borderId="20" xfId="4" applyFont="1" applyFill="1" applyBorder="1" applyAlignment="1">
      <alignment horizontal="center" vertical="center" wrapText="1"/>
    </xf>
    <xf numFmtId="10" fontId="8" fillId="0" borderId="10" xfId="5" applyNumberFormat="1" applyFont="1" applyFill="1" applyBorder="1" applyAlignment="1">
      <alignment horizontal="center" vertical="center" wrapText="1"/>
    </xf>
    <xf numFmtId="10" fontId="8" fillId="0" borderId="21" xfId="5" applyNumberFormat="1" applyFont="1" applyFill="1" applyBorder="1" applyAlignment="1">
      <alignment horizontal="center" vertical="center" wrapText="1"/>
    </xf>
    <xf numFmtId="9" fontId="24" fillId="0" borderId="20" xfId="5" applyFont="1" applyFill="1" applyBorder="1" applyAlignment="1">
      <alignment horizontal="center" vertical="center" wrapText="1"/>
    </xf>
    <xf numFmtId="167" fontId="26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 applyProtection="1">
      <alignment horizontal="center" vertical="center"/>
      <protection locked="0"/>
    </xf>
    <xf numFmtId="4" fontId="4" fillId="0" borderId="0" xfId="0" applyNumberFormat="1" applyFont="1" applyFill="1" applyBorder="1" applyAlignment="1">
      <alignment horizontal="center" vertical="center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3" t="s">
        <v>2620</v>
      </c>
      <c r="B1" s="34"/>
      <c r="C1" s="34"/>
      <c r="D1" s="34"/>
    </row>
    <row r="3" spans="1:4">
      <c r="A3" t="s">
        <v>2621</v>
      </c>
      <c r="D3" s="111" t="s">
        <v>2637</v>
      </c>
    </row>
    <row r="5" spans="1:4">
      <c r="A5" t="s">
        <v>2622</v>
      </c>
      <c r="D5" s="111" t="s">
        <v>2649</v>
      </c>
    </row>
    <row r="7" spans="1:4">
      <c r="A7" t="s">
        <v>2623</v>
      </c>
      <c r="D7" s="111" t="s">
        <v>2654</v>
      </c>
    </row>
    <row r="8" spans="1:4">
      <c r="D8" s="32"/>
    </row>
    <row r="9" spans="1:4">
      <c r="A9" t="s">
        <v>2624</v>
      </c>
      <c r="D9" s="111">
        <v>2025</v>
      </c>
    </row>
    <row r="11" spans="1:4">
      <c r="A11" t="s">
        <v>2625</v>
      </c>
      <c r="D11" s="111" t="s">
        <v>2685</v>
      </c>
    </row>
    <row r="13" spans="1:4">
      <c r="A13" t="s">
        <v>2626</v>
      </c>
      <c r="D13" s="112">
        <f>IFERROR(VLOOKUP(D11,'File Name Info'!A35:B130,2,0),"תא מחושב")</f>
        <v>520027954</v>
      </c>
    </row>
    <row r="15" spans="1:4" ht="15">
      <c r="A15" s="19" t="s">
        <v>2627</v>
      </c>
      <c r="D15" s="11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520027954_gm_p_0325.xlsx</v>
      </c>
    </row>
    <row r="16" spans="1:4" ht="15">
      <c r="A16" s="19"/>
      <c r="D16" s="32"/>
    </row>
    <row r="17" spans="1:4" ht="15">
      <c r="A17" s="19" t="s">
        <v>2628</v>
      </c>
      <c r="B17" s="17" t="s">
        <v>2629</v>
      </c>
      <c r="C17" s="17"/>
      <c r="D17" s="192" t="s">
        <v>2784</v>
      </c>
    </row>
    <row r="18" spans="1:4">
      <c r="A18" s="15"/>
      <c r="B18" s="18"/>
      <c r="C18" s="18"/>
      <c r="D18" s="193"/>
    </row>
    <row r="19" spans="1:4">
      <c r="A19" s="15"/>
      <c r="B19" s="17" t="s">
        <v>2630</v>
      </c>
      <c r="C19" s="17"/>
      <c r="D19" s="192" t="s">
        <v>2785</v>
      </c>
    </row>
    <row r="20" spans="1:4">
      <c r="A20" s="15"/>
      <c r="B20" s="18"/>
      <c r="C20" s="18"/>
      <c r="D20" s="194"/>
    </row>
    <row r="21" spans="1:4">
      <c r="A21" s="15"/>
      <c r="B21" s="17" t="s">
        <v>2631</v>
      </c>
      <c r="C21" s="17"/>
      <c r="D21" s="194" t="s">
        <v>2786</v>
      </c>
    </row>
    <row r="22" spans="1:4">
      <c r="A22" s="15"/>
      <c r="B22" s="16"/>
      <c r="C22" s="16"/>
    </row>
    <row r="23" spans="1:4" ht="28.5">
      <c r="A23" s="152" t="s">
        <v>2632</v>
      </c>
      <c r="D23" s="151" t="s">
        <v>2633</v>
      </c>
    </row>
  </sheetData>
  <conditionalFormatting sqref="D16">
    <cfRule type="containsText" dxfId="12" priority="22" operator="containsText" text="Please fill in data">
      <formula>NOT(ISERROR(SEARCH("Please fill in data",D16)))</formula>
    </cfRule>
  </conditionalFormatting>
  <conditionalFormatting sqref="D3">
    <cfRule type="containsText" dxfId="11" priority="17" operator="containsText" text="Please fill in data">
      <formula>NOT(ISERROR(SEARCH("Please fill in data",D3)))</formula>
    </cfRule>
  </conditionalFormatting>
  <conditionalFormatting sqref="D7">
    <cfRule type="containsText" dxfId="10" priority="10" operator="containsText" text="Please fill in data">
      <formula>NOT(ISERROR(SEARCH("Please fill in data",D7)))</formula>
    </cfRule>
  </conditionalFormatting>
  <conditionalFormatting sqref="D8">
    <cfRule type="containsText" dxfId="9" priority="15" operator="containsText" text="Please fill in data">
      <formula>NOT(ISERROR(SEARCH("Please fill in data",D8)))</formula>
    </cfRule>
  </conditionalFormatting>
  <conditionalFormatting sqref="D5">
    <cfRule type="containsText" dxfId="8" priority="11" operator="containsText" text="Please fill in data">
      <formula>NOT(ISERROR(SEARCH("Please fill in data",D5)))</formula>
    </cfRule>
  </conditionalFormatting>
  <conditionalFormatting sqref="D9">
    <cfRule type="containsText" dxfId="7" priority="9" operator="containsText" text="Please fill in data">
      <formula>NOT(ISERROR(SEARCH("Please fill in data",D9)))</formula>
    </cfRule>
  </conditionalFormatting>
  <conditionalFormatting sqref="D11">
    <cfRule type="containsText" dxfId="6" priority="8" operator="containsText" text="Please fill in data">
      <formula>NOT(ISERROR(SEARCH("Please fill in data",D11)))</formula>
    </cfRule>
  </conditionalFormatting>
  <conditionalFormatting sqref="D13">
    <cfRule type="containsText" dxfId="5" priority="7" operator="containsText" text="Please fill in data">
      <formula>NOT(ISERROR(SEARCH("Please fill in data",D13)))</formula>
    </cfRule>
  </conditionalFormatting>
  <conditionalFormatting sqref="D15">
    <cfRule type="containsText" dxfId="4" priority="5" operator="containsText" text="Please fill in data">
      <formula>NOT(ISERROR(SEARCH("Please fill in data",D15)))</formula>
    </cfRule>
  </conditionalFormatting>
  <conditionalFormatting sqref="D17">
    <cfRule type="containsText" dxfId="3" priority="4" operator="containsText" text="Please fill in data">
      <formula>NOT(ISERROR(SEARCH("Please fill in data",D17)))</formula>
    </cfRule>
  </conditionalFormatting>
  <conditionalFormatting sqref="D19">
    <cfRule type="containsText" dxfId="2" priority="3" operator="containsText" text="Please fill in data">
      <formula>NOT(ISERROR(SEARCH("Please fill in data",D19)))</formula>
    </cfRule>
  </conditionalFormatting>
  <conditionalFormatting sqref="D20">
    <cfRule type="containsText" dxfId="1" priority="2" operator="containsText" text="Please fill in data">
      <formula>NOT(ISERROR(SEARCH("Please fill in data",D20)))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32" sqref="E32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8" customWidth="1"/>
    <col min="6" max="6" width="2.375" style="7" hidden="1" customWidth="1"/>
    <col min="7" max="16384" width="2.375" style="7" hidden="1"/>
  </cols>
  <sheetData>
    <row r="1" spans="1:5" ht="18.75" customHeight="1">
      <c r="A1" s="52"/>
      <c r="B1" s="53"/>
      <c r="C1" s="114" t="s">
        <v>2774</v>
      </c>
      <c r="D1" s="113"/>
      <c r="E1" s="53"/>
    </row>
    <row r="2" spans="1:5" ht="25.5">
      <c r="A2" s="52"/>
      <c r="B2" s="53" t="s">
        <v>36</v>
      </c>
      <c r="C2" s="53" t="s">
        <v>2438</v>
      </c>
      <c r="D2" s="53" t="s">
        <v>22</v>
      </c>
      <c r="E2" s="53" t="s">
        <v>2775</v>
      </c>
    </row>
    <row r="3" spans="1:5">
      <c r="A3" s="55" t="s">
        <v>2476</v>
      </c>
      <c r="B3" s="195">
        <f>SUM('מזומנים ושווי מזומנים'!O:O)</f>
        <v>77060.540999999968</v>
      </c>
      <c r="C3" s="56"/>
      <c r="D3" s="56"/>
      <c r="E3" s="198">
        <f>SUM('מזומנים ושווי מזומנים'!O:O)/B30</f>
        <v>2.7834486161918668E-2</v>
      </c>
    </row>
    <row r="4" spans="1:5">
      <c r="A4" s="55" t="s">
        <v>2486</v>
      </c>
      <c r="B4" s="195">
        <f>SUM('איגרות חוב ממשלתיות'!U:U)</f>
        <v>735750.79300000018</v>
      </c>
      <c r="C4" s="56"/>
      <c r="D4" s="56"/>
      <c r="E4" s="198">
        <f>SUM('איגרות חוב ממשלתיות'!U:U)/B30</f>
        <v>0.26575527501655094</v>
      </c>
    </row>
    <row r="5" spans="1:5">
      <c r="A5" s="55" t="s">
        <v>2491</v>
      </c>
      <c r="B5" s="195">
        <f>SUM('ניירות ערך מסחריים'!AD:AD)</f>
        <v>0</v>
      </c>
      <c r="C5" s="56"/>
      <c r="D5" s="56"/>
      <c r="E5" s="198">
        <f>SUM('ניירות ערך מסחריים'!AD:AD)/B30</f>
        <v>0</v>
      </c>
    </row>
    <row r="6" spans="1:5">
      <c r="A6" s="55" t="s">
        <v>2492</v>
      </c>
      <c r="B6" s="195">
        <f>SUM('איגרות חוב'!AD:AD)</f>
        <v>324032.08299999981</v>
      </c>
      <c r="C6" s="56"/>
      <c r="D6" s="56"/>
      <c r="E6" s="198">
        <f>SUM('איגרות חוב'!AD:AD)/B30</f>
        <v>0.11704130821351462</v>
      </c>
    </row>
    <row r="7" spans="1:5">
      <c r="A7" s="55" t="s">
        <v>2498</v>
      </c>
      <c r="B7" s="195">
        <f>SUM('מניות מבכ ויהש'!U:U)</f>
        <v>476219.03799999983</v>
      </c>
      <c r="C7" s="56"/>
      <c r="D7" s="56"/>
      <c r="E7" s="198">
        <f>SUM('מניות מבכ ויהש'!U:U)/B30</f>
        <v>0.17201166837452156</v>
      </c>
    </row>
    <row r="8" spans="1:5">
      <c r="A8" s="55" t="s">
        <v>2092</v>
      </c>
      <c r="B8" s="195">
        <f>SUM('קרנות סל'!T:T)</f>
        <v>779040.27499999991</v>
      </c>
      <c r="C8" s="56"/>
      <c r="D8" s="56"/>
      <c r="E8" s="198">
        <f>SUM('קרנות סל'!T:T)/B30</f>
        <v>0.28139155880134326</v>
      </c>
    </row>
    <row r="9" spans="1:5">
      <c r="A9" s="55" t="s">
        <v>2507</v>
      </c>
      <c r="B9" s="195">
        <f>SUM('קרנות נאמנות'!T:T)</f>
        <v>175130.54599999997</v>
      </c>
      <c r="C9" s="56"/>
      <c r="D9" s="56"/>
      <c r="E9" s="198">
        <f>SUM('קרנות נאמנות'!T:T)/B30</f>
        <v>6.3257650360464796E-2</v>
      </c>
    </row>
    <row r="10" spans="1:5">
      <c r="A10" s="55" t="s">
        <v>2762</v>
      </c>
      <c r="B10" s="195">
        <f>SUM('כתבי אופציה'!W:W)</f>
        <v>491.02199999999999</v>
      </c>
      <c r="C10" s="56"/>
      <c r="D10" s="56"/>
      <c r="E10" s="198">
        <f>SUM('כתבי אופציה'!W:W)/B30</f>
        <v>1.7735854027027445E-4</v>
      </c>
    </row>
    <row r="11" spans="1:5">
      <c r="A11" s="55" t="s">
        <v>2509</v>
      </c>
      <c r="B11" s="195">
        <f>SUM(אופציות!V:V)</f>
        <v>0</v>
      </c>
      <c r="C11" s="56"/>
      <c r="D11" s="56"/>
      <c r="E11" s="198">
        <f>SUM(אופציות!V:V)/B30</f>
        <v>0</v>
      </c>
    </row>
    <row r="12" spans="1:5">
      <c r="A12" s="55" t="s">
        <v>2763</v>
      </c>
      <c r="B12" s="195">
        <f>SUM('חוזים עתידיים'!R:R)</f>
        <v>1605.6579999999999</v>
      </c>
      <c r="C12" s="56"/>
      <c r="D12" s="56"/>
      <c r="E12" s="198">
        <f>SUM('חוזים עתידיים'!R:R)/B30</f>
        <v>5.7996822760138711E-4</v>
      </c>
    </row>
    <row r="13" spans="1:5">
      <c r="A13" s="55" t="s">
        <v>2514</v>
      </c>
      <c r="B13" s="195">
        <f>SUM('מוצרים מובנים'!Z:Z)</f>
        <v>1291.4939999999999</v>
      </c>
      <c r="C13" s="56"/>
      <c r="D13" s="56"/>
      <c r="E13" s="198">
        <f>SUM('מוצרים מובנים'!Z:Z)/B30</f>
        <v>4.664912989801227E-4</v>
      </c>
    </row>
    <row r="14" spans="1:5">
      <c r="A14" s="55" t="s">
        <v>2520</v>
      </c>
      <c r="B14" s="195">
        <f>SUM('לא סחיר איגרות חוב ממשלתיות'!U:U)</f>
        <v>0</v>
      </c>
      <c r="C14" s="56"/>
      <c r="D14" s="56"/>
      <c r="E14" s="198">
        <f>SUM('לא סחיר איגרות חוב ממשלתיות'!U:U)/B30</f>
        <v>0</v>
      </c>
    </row>
    <row r="15" spans="1:5">
      <c r="A15" s="55" t="s">
        <v>2521</v>
      </c>
      <c r="B15" s="195">
        <f>SUM('לא סחיר איגרות חוב מיועדות'!N:N)</f>
        <v>0</v>
      </c>
      <c r="C15" s="56"/>
      <c r="D15" s="56"/>
      <c r="E15" s="198">
        <f>SUM('לא סחיר איגרות חוב מיועדות'!N:N)/B30</f>
        <v>0</v>
      </c>
    </row>
    <row r="16" spans="1:5" s="117" customFormat="1">
      <c r="A16" s="57" t="s">
        <v>2527</v>
      </c>
      <c r="B16" s="195">
        <f>SUM('אפיק השקעה מובטח תשואה'!F:F)</f>
        <v>0</v>
      </c>
      <c r="C16" s="58"/>
      <c r="D16" s="58"/>
      <c r="E16" s="198">
        <f>SUM('אפיק השקעה מובטח תשואה'!F:F)/B30</f>
        <v>0</v>
      </c>
    </row>
    <row r="17" spans="1:5">
      <c r="A17" s="57" t="s">
        <v>2531</v>
      </c>
      <c r="B17" s="195">
        <f>SUM('לא סחיר ניירות ערך מסחריים'!AI:AI)</f>
        <v>0</v>
      </c>
      <c r="C17" s="58"/>
      <c r="D17" s="58"/>
      <c r="E17" s="198">
        <f>SUM('לא סחיר ניירות ערך מסחריים'!AI:AI)/B30</f>
        <v>0</v>
      </c>
    </row>
    <row r="18" spans="1:5">
      <c r="A18" s="55" t="s">
        <v>2533</v>
      </c>
      <c r="B18" s="195">
        <f>SUM('לא סחיר איגרות חוב'!AG:AG)</f>
        <v>9568.1849999999995</v>
      </c>
      <c r="C18" s="56"/>
      <c r="D18" s="56"/>
      <c r="E18" s="198">
        <f>SUM('לא סחיר איגרות חוב'!AG:AG)/B30</f>
        <v>3.4560555833260745E-3</v>
      </c>
    </row>
    <row r="19" spans="1:5">
      <c r="A19" s="55" t="s">
        <v>2536</v>
      </c>
      <c r="B19" s="195">
        <f>SUM('לא סחיר מניות מבכ ויהש'!X:X)</f>
        <v>611.25799999999992</v>
      </c>
      <c r="C19" s="56"/>
      <c r="D19" s="56"/>
      <c r="E19" s="198">
        <f>SUM('לא סחיר מניות מבכ ויהש'!X:X)/B30</f>
        <v>2.2078812478570694E-4</v>
      </c>
    </row>
    <row r="20" spans="1:5">
      <c r="A20" s="55" t="s">
        <v>2337</v>
      </c>
      <c r="B20" s="195">
        <f>SUM('קרנות השקעה'!W:W)</f>
        <v>145753.42299999998</v>
      </c>
      <c r="C20" s="56"/>
      <c r="D20" s="56"/>
      <c r="E20" s="198">
        <f>SUM('קרנות השקעה'!W:W)/B30</f>
        <v>5.2646550139659409E-2</v>
      </c>
    </row>
    <row r="21" spans="1:5">
      <c r="A21" s="55" t="s">
        <v>2766</v>
      </c>
      <c r="B21" s="195">
        <f>SUM('לא סחיר כתבי אופציה'!Z:Z)</f>
        <v>3.3280000000000003</v>
      </c>
      <c r="C21" s="56"/>
      <c r="D21" s="56"/>
      <c r="E21" s="198">
        <f>SUM('לא סחיר כתבי אופציה'!Z:Z)/B30</f>
        <v>1.2020830472351003E-6</v>
      </c>
    </row>
    <row r="22" spans="1:5">
      <c r="A22" s="55" t="s">
        <v>2547</v>
      </c>
      <c r="B22" s="195">
        <f>SUM('לא סחיר אופציות'!Z:Z)</f>
        <v>0</v>
      </c>
      <c r="C22" s="56"/>
      <c r="D22" s="56"/>
      <c r="E22" s="198">
        <f>SUM('לא סחיר אופציות'!Z:Z)/B30</f>
        <v>0</v>
      </c>
    </row>
    <row r="23" spans="1:5">
      <c r="A23" s="55" t="s">
        <v>2555</v>
      </c>
      <c r="B23" s="195">
        <f>SUM('לא סחיר נגזרים אחרים'!R:R)</f>
        <v>7472.213999999999</v>
      </c>
      <c r="C23" s="56"/>
      <c r="D23" s="56"/>
      <c r="E23" s="198">
        <f>SUM('לא סחיר נגזרים אחרים'!R:R)/B30</f>
        <v>2.6989849082670598E-3</v>
      </c>
    </row>
    <row r="24" spans="1:5">
      <c r="A24" s="55" t="s">
        <v>2549</v>
      </c>
      <c r="B24" s="195">
        <f>SUM(הלוואות!AT:AT)</f>
        <v>35257.271999999997</v>
      </c>
      <c r="C24" s="56"/>
      <c r="D24" s="56"/>
      <c r="E24" s="198">
        <f>SUM(הלוואות!AT:AT)/B30</f>
        <v>1.2735026731657684E-2</v>
      </c>
    </row>
    <row r="25" spans="1:5">
      <c r="A25" s="55" t="s">
        <v>2566</v>
      </c>
      <c r="B25" s="195">
        <f>SUM('לא סחיר מוצרים מובנים'!AB:AB)</f>
        <v>0</v>
      </c>
      <c r="C25" s="56"/>
      <c r="D25" s="56"/>
      <c r="E25" s="198">
        <f>SUM('לא סחיר מוצרים מובנים'!AB:AB)/B30</f>
        <v>0</v>
      </c>
    </row>
    <row r="26" spans="1:5">
      <c r="A26" s="55" t="s">
        <v>2571</v>
      </c>
      <c r="B26" s="195">
        <f>SUM('פיקדונות מעל 3 חודשים'!T:T)</f>
        <v>0</v>
      </c>
      <c r="C26" s="56"/>
      <c r="D26" s="56"/>
      <c r="E26" s="198">
        <f>SUM('פיקדונות מעל 3 חודשים'!T:T)/B30</f>
        <v>0</v>
      </c>
    </row>
    <row r="27" spans="1:5">
      <c r="A27" s="55" t="s">
        <v>2574</v>
      </c>
      <c r="B27" s="195">
        <f>SUM('זכויות מקרקעין'!S:S)</f>
        <v>0</v>
      </c>
      <c r="C27" s="56"/>
      <c r="D27" s="56"/>
      <c r="E27" s="198">
        <f>SUM('זכויות מקרקעין'!S:S)/B30</f>
        <v>0</v>
      </c>
    </row>
    <row r="28" spans="1:5">
      <c r="A28" s="55" t="s">
        <v>2609</v>
      </c>
      <c r="B28" s="195">
        <f>SUM('השקעה בחברות מוחזקות'!U:U)</f>
        <v>0</v>
      </c>
      <c r="C28" s="56"/>
      <c r="D28" s="56"/>
      <c r="E28" s="198">
        <f>SUM('השקעה בחברות מוחזקות'!U:U)/B30</f>
        <v>0</v>
      </c>
    </row>
    <row r="29" spans="1:5">
      <c r="A29" s="55" t="s">
        <v>2577</v>
      </c>
      <c r="B29" s="196">
        <f>SUM('נכסים אחרים'!N:N)</f>
        <v>-759.60799999999995</v>
      </c>
      <c r="C29" s="149"/>
      <c r="D29" s="149"/>
      <c r="E29" s="199">
        <f>SUM('נכסים אחרים'!N:N)/B30</f>
        <v>-2.7437256590870189E-4</v>
      </c>
    </row>
    <row r="30" spans="1:5" ht="15">
      <c r="A30" s="54" t="s">
        <v>2776</v>
      </c>
      <c r="B30" s="197">
        <f>IF(SUM(B3:B29)=0,0.0001,SUM(B3:B29))</f>
        <v>2768527.5219999994</v>
      </c>
      <c r="C30" s="150">
        <f t="shared" ref="C30:D30" si="0">SUM(C3:C29)</f>
        <v>0</v>
      </c>
      <c r="D30" s="150">
        <f t="shared" si="0"/>
        <v>0</v>
      </c>
      <c r="E30" s="200">
        <f>SUM(E3:E29)</f>
        <v>1</v>
      </c>
    </row>
    <row r="31" spans="1:5" s="117" customFormat="1">
      <c r="A31" s="57" t="s">
        <v>2773</v>
      </c>
      <c r="B31" s="195"/>
      <c r="C31" s="58"/>
      <c r="D31" s="58"/>
      <c r="E31" s="58"/>
    </row>
    <row r="32" spans="1:5">
      <c r="A32" s="57" t="s">
        <v>2777</v>
      </c>
      <c r="B32" s="195">
        <f>SUM('יתרות התחייבות להשקעה'!O:O)</f>
        <v>112870.80999999998</v>
      </c>
      <c r="C32" s="58"/>
      <c r="D32" s="58"/>
      <c r="E32" s="195">
        <f>SUM('יתרות התחייבות להשקעה'!O:O)</f>
        <v>112870.80999999998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4"/>
  <sheetViews>
    <sheetView rightToLeft="1" topLeftCell="H1" workbookViewId="0">
      <selection activeCell="L10" sqref="L10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1" t="s">
        <v>0</v>
      </c>
      <c r="B1" s="21" t="s">
        <v>1</v>
      </c>
      <c r="C1" s="21" t="s">
        <v>1787</v>
      </c>
      <c r="D1" s="21" t="s">
        <v>1788</v>
      </c>
      <c r="E1" s="21" t="s">
        <v>1789</v>
      </c>
      <c r="F1" s="21" t="s">
        <v>5</v>
      </c>
      <c r="G1" s="21" t="s">
        <v>6</v>
      </c>
      <c r="H1" s="21" t="s">
        <v>138</v>
      </c>
      <c r="I1" s="21" t="s">
        <v>1791</v>
      </c>
      <c r="J1" s="21" t="s">
        <v>10</v>
      </c>
      <c r="K1" s="21" t="s">
        <v>11</v>
      </c>
      <c r="L1" s="21" t="s">
        <v>1792</v>
      </c>
      <c r="M1" s="162" t="s">
        <v>18</v>
      </c>
      <c r="N1" s="164" t="s">
        <v>14</v>
      </c>
      <c r="O1" s="21" t="s">
        <v>20</v>
      </c>
      <c r="P1" s="164" t="s">
        <v>24</v>
      </c>
      <c r="Q1" s="164" t="s">
        <v>25</v>
      </c>
    </row>
    <row r="2" spans="1:17">
      <c r="A2" s="3">
        <v>288</v>
      </c>
      <c r="B2" s="3">
        <v>288</v>
      </c>
      <c r="C2" s="3" t="s">
        <v>355</v>
      </c>
      <c r="D2" s="3" t="s">
        <v>2778</v>
      </c>
      <c r="E2" s="5" t="s">
        <v>1982</v>
      </c>
      <c r="F2" s="3" t="s">
        <v>2477</v>
      </c>
      <c r="G2" s="3" t="s">
        <v>30</v>
      </c>
      <c r="H2" s="3" t="s">
        <v>154</v>
      </c>
      <c r="I2" s="3" t="s">
        <v>283</v>
      </c>
      <c r="J2" s="3" t="s">
        <v>156</v>
      </c>
      <c r="K2" s="3" t="s">
        <v>44</v>
      </c>
      <c r="L2" s="153">
        <v>2917.9079999999999</v>
      </c>
      <c r="M2" s="163">
        <v>1</v>
      </c>
      <c r="N2" s="201">
        <v>0</v>
      </c>
      <c r="O2" s="154">
        <v>2917.9079999999999</v>
      </c>
      <c r="P2" s="165">
        <v>4.06616165954896E-2</v>
      </c>
      <c r="Q2" s="165">
        <v>1.13803384026075E-3</v>
      </c>
    </row>
    <row r="3" spans="1:17">
      <c r="A3" s="3">
        <v>288</v>
      </c>
      <c r="B3" s="3">
        <v>288</v>
      </c>
      <c r="C3" s="3" t="s">
        <v>2779</v>
      </c>
      <c r="D3" s="3" t="s">
        <v>2780</v>
      </c>
      <c r="E3" s="30" t="s">
        <v>1982</v>
      </c>
      <c r="F3" s="3" t="s">
        <v>2479</v>
      </c>
      <c r="G3" s="3" t="s">
        <v>30</v>
      </c>
      <c r="H3" s="3" t="s">
        <v>154</v>
      </c>
      <c r="I3" s="3" t="s">
        <v>283</v>
      </c>
      <c r="J3" s="3" t="s">
        <v>156</v>
      </c>
      <c r="K3" s="3" t="s">
        <v>2781</v>
      </c>
      <c r="L3" s="154">
        <v>1E-3</v>
      </c>
      <c r="M3" s="163">
        <v>2.1848999999999998</v>
      </c>
      <c r="N3" s="165">
        <v>0</v>
      </c>
      <c r="O3" s="154">
        <v>2E-3</v>
      </c>
      <c r="P3" s="165">
        <v>2.1921845236940099E-8</v>
      </c>
      <c r="Q3" s="165">
        <v>6.1354672562044802E-10</v>
      </c>
    </row>
    <row r="4" spans="1:17">
      <c r="A4" s="3">
        <v>288</v>
      </c>
      <c r="B4" s="3">
        <v>288</v>
      </c>
      <c r="C4" s="3" t="s">
        <v>2779</v>
      </c>
      <c r="D4" s="3" t="s">
        <v>2780</v>
      </c>
      <c r="E4" s="30" t="s">
        <v>1982</v>
      </c>
      <c r="F4" s="3" t="s">
        <v>2479</v>
      </c>
      <c r="G4" s="3" t="s">
        <v>30</v>
      </c>
      <c r="H4" s="3" t="s">
        <v>154</v>
      </c>
      <c r="I4" s="3" t="s">
        <v>283</v>
      </c>
      <c r="J4" s="3" t="s">
        <v>156</v>
      </c>
      <c r="K4" s="3" t="s">
        <v>34</v>
      </c>
      <c r="L4" s="154">
        <v>9112.0959999999995</v>
      </c>
      <c r="M4" s="163">
        <v>3.306</v>
      </c>
      <c r="N4" s="165">
        <v>2.6015900000000002E-2</v>
      </c>
      <c r="O4" s="154">
        <v>30124.589</v>
      </c>
      <c r="P4" s="165">
        <v>0.419792013687113</v>
      </c>
      <c r="Q4" s="165">
        <v>1.17491028996651E-2</v>
      </c>
    </row>
    <row r="5" spans="1:17">
      <c r="A5" s="3">
        <v>288</v>
      </c>
      <c r="B5" s="3">
        <v>288</v>
      </c>
      <c r="C5" s="3" t="s">
        <v>2779</v>
      </c>
      <c r="D5" s="3" t="s">
        <v>2780</v>
      </c>
      <c r="E5" s="30" t="s">
        <v>1982</v>
      </c>
      <c r="F5" s="3" t="s">
        <v>2479</v>
      </c>
      <c r="G5" s="3" t="s">
        <v>30</v>
      </c>
      <c r="H5" s="3" t="s">
        <v>154</v>
      </c>
      <c r="I5" s="3" t="s">
        <v>283</v>
      </c>
      <c r="J5" s="3" t="s">
        <v>156</v>
      </c>
      <c r="K5" s="3" t="s">
        <v>918</v>
      </c>
      <c r="L5" s="154">
        <v>9.6389999999999993</v>
      </c>
      <c r="M5" s="163">
        <v>0.42420000000000002</v>
      </c>
      <c r="N5" s="165">
        <v>0</v>
      </c>
      <c r="O5" s="154">
        <v>4.0890000000000004</v>
      </c>
      <c r="P5" s="165">
        <v>5.6979350306139502E-5</v>
      </c>
      <c r="Q5" s="165">
        <v>1.59473317279892E-6</v>
      </c>
    </row>
    <row r="6" spans="1:17">
      <c r="A6" s="3">
        <v>288</v>
      </c>
      <c r="B6" s="3">
        <v>288</v>
      </c>
      <c r="C6" s="3" t="s">
        <v>2779</v>
      </c>
      <c r="D6" s="3" t="s">
        <v>2780</v>
      </c>
      <c r="E6" s="30" t="s">
        <v>1982</v>
      </c>
      <c r="F6" s="3" t="s">
        <v>2479</v>
      </c>
      <c r="G6" s="3" t="s">
        <v>30</v>
      </c>
      <c r="H6" s="3" t="s">
        <v>154</v>
      </c>
      <c r="I6" s="3" t="s">
        <v>283</v>
      </c>
      <c r="J6" s="3" t="s">
        <v>156</v>
      </c>
      <c r="K6" s="3" t="s">
        <v>2782</v>
      </c>
      <c r="L6" s="154">
        <v>16.574999999999999</v>
      </c>
      <c r="M6" s="163">
        <v>2.5581999999999998</v>
      </c>
      <c r="N6" s="165">
        <v>0</v>
      </c>
      <c r="O6" s="154">
        <v>42.401000000000003</v>
      </c>
      <c r="P6" s="165">
        <v>5.9086817261875797E-4</v>
      </c>
      <c r="Q6" s="165">
        <v>1.6537167773299201E-5</v>
      </c>
    </row>
    <row r="7" spans="1:17">
      <c r="A7" s="3">
        <v>288</v>
      </c>
      <c r="B7" s="3">
        <v>288</v>
      </c>
      <c r="C7" s="3" t="s">
        <v>2779</v>
      </c>
      <c r="D7" s="3" t="s">
        <v>2780</v>
      </c>
      <c r="E7" s="30" t="s">
        <v>1982</v>
      </c>
      <c r="F7" s="3" t="s">
        <v>2479</v>
      </c>
      <c r="G7" s="3" t="s">
        <v>30</v>
      </c>
      <c r="H7" s="3" t="s">
        <v>154</v>
      </c>
      <c r="I7" s="3" t="s">
        <v>283</v>
      </c>
      <c r="J7" s="3" t="s">
        <v>156</v>
      </c>
      <c r="K7" s="3" t="s">
        <v>991</v>
      </c>
      <c r="L7" s="154">
        <v>181.14</v>
      </c>
      <c r="M7" s="163">
        <v>3.8807</v>
      </c>
      <c r="N7" s="165">
        <v>0</v>
      </c>
      <c r="O7" s="154">
        <v>702.94899999999996</v>
      </c>
      <c r="P7" s="165">
        <v>9.7957289831672196E-3</v>
      </c>
      <c r="Q7" s="165">
        <v>2.7416202321144101E-4</v>
      </c>
    </row>
    <row r="8" spans="1:17">
      <c r="A8" s="3">
        <v>288</v>
      </c>
      <c r="B8" s="3">
        <v>288</v>
      </c>
      <c r="C8" s="3" t="s">
        <v>2779</v>
      </c>
      <c r="D8" s="3" t="s">
        <v>2780</v>
      </c>
      <c r="E8" s="30" t="s">
        <v>1982</v>
      </c>
      <c r="F8" s="3" t="s">
        <v>2479</v>
      </c>
      <c r="G8" s="3" t="s">
        <v>30</v>
      </c>
      <c r="H8" s="3" t="s">
        <v>154</v>
      </c>
      <c r="I8" s="3" t="s">
        <v>283</v>
      </c>
      <c r="J8" s="3" t="s">
        <v>156</v>
      </c>
      <c r="K8" s="3" t="s">
        <v>1201</v>
      </c>
      <c r="L8" s="154">
        <v>184.38800000000001</v>
      </c>
      <c r="M8" s="163">
        <v>2.2332000000000001E-2</v>
      </c>
      <c r="N8" s="165">
        <v>0</v>
      </c>
      <c r="O8" s="154">
        <v>411.774</v>
      </c>
      <c r="P8" s="165">
        <v>5.7381567891205097E-3</v>
      </c>
      <c r="Q8" s="165">
        <v>1.60599040409659E-4</v>
      </c>
    </row>
    <row r="9" spans="1:17">
      <c r="A9" s="3">
        <v>288</v>
      </c>
      <c r="B9" s="3">
        <v>288</v>
      </c>
      <c r="C9" s="3" t="s">
        <v>2779</v>
      </c>
      <c r="D9" s="3" t="s">
        <v>2780</v>
      </c>
      <c r="E9" s="30" t="s">
        <v>1982</v>
      </c>
      <c r="F9" s="3" t="s">
        <v>2479</v>
      </c>
      <c r="G9" s="3" t="s">
        <v>30</v>
      </c>
      <c r="H9" s="3" t="s">
        <v>154</v>
      </c>
      <c r="I9" s="3" t="s">
        <v>283</v>
      </c>
      <c r="J9" s="3" t="s">
        <v>156</v>
      </c>
      <c r="K9" s="3" t="s">
        <v>1032</v>
      </c>
      <c r="L9" s="154">
        <v>91.736000000000004</v>
      </c>
      <c r="M9" s="163">
        <v>4.4409000000000001</v>
      </c>
      <c r="N9" s="165">
        <v>0</v>
      </c>
      <c r="O9" s="154">
        <v>407.38900000000001</v>
      </c>
      <c r="P9" s="165">
        <v>5.6770423674662399E-3</v>
      </c>
      <c r="Q9" s="165">
        <v>1.5888857521437601E-4</v>
      </c>
    </row>
    <row r="10" spans="1:17">
      <c r="A10" s="3">
        <v>288</v>
      </c>
      <c r="B10" s="3">
        <v>288</v>
      </c>
      <c r="C10" s="3" t="s">
        <v>2779</v>
      </c>
      <c r="D10" s="3" t="s">
        <v>2780</v>
      </c>
      <c r="E10" s="30" t="s">
        <v>1982</v>
      </c>
      <c r="F10" s="3" t="s">
        <v>2477</v>
      </c>
      <c r="G10" s="3" t="s">
        <v>30</v>
      </c>
      <c r="H10" s="3" t="s">
        <v>154</v>
      </c>
      <c r="I10" s="3" t="s">
        <v>283</v>
      </c>
      <c r="J10" s="3" t="s">
        <v>156</v>
      </c>
      <c r="K10" s="3" t="s">
        <v>44</v>
      </c>
      <c r="L10" s="154">
        <v>0</v>
      </c>
      <c r="M10" s="163">
        <v>1</v>
      </c>
      <c r="N10" s="165">
        <v>0</v>
      </c>
      <c r="O10" s="154">
        <v>0</v>
      </c>
      <c r="P10" s="165">
        <v>-1.39351948709451E-10</v>
      </c>
      <c r="Q10" s="165">
        <v>-3.9001703969444802E-12</v>
      </c>
    </row>
    <row r="11" spans="1:17">
      <c r="A11" s="3">
        <v>288</v>
      </c>
      <c r="B11" s="3">
        <v>288</v>
      </c>
      <c r="C11" s="3" t="s">
        <v>2779</v>
      </c>
      <c r="D11" s="3" t="s">
        <v>2780</v>
      </c>
      <c r="E11" s="30" t="s">
        <v>1982</v>
      </c>
      <c r="F11" s="3" t="s">
        <v>2480</v>
      </c>
      <c r="G11" s="3" t="s">
        <v>30</v>
      </c>
      <c r="H11" s="3" t="s">
        <v>154</v>
      </c>
      <c r="I11" s="3" t="s">
        <v>283</v>
      </c>
      <c r="J11" s="3" t="s">
        <v>156</v>
      </c>
      <c r="K11" s="3" t="s">
        <v>44</v>
      </c>
      <c r="L11" s="154">
        <v>31134.036</v>
      </c>
      <c r="M11" s="163">
        <v>1</v>
      </c>
      <c r="N11" s="165">
        <v>4.0300000000000002E-2</v>
      </c>
      <c r="O11" s="154">
        <v>31134.036</v>
      </c>
      <c r="P11" s="165">
        <v>0.43385885724614698</v>
      </c>
      <c r="Q11" s="165">
        <v>1.2142804511558501E-2</v>
      </c>
    </row>
    <row r="12" spans="1:17">
      <c r="A12" s="3">
        <v>288</v>
      </c>
      <c r="B12" s="3">
        <v>288</v>
      </c>
      <c r="C12" s="3" t="s">
        <v>2779</v>
      </c>
      <c r="D12" s="3" t="s">
        <v>2780</v>
      </c>
      <c r="E12" s="30" t="s">
        <v>1982</v>
      </c>
      <c r="F12" s="3" t="s">
        <v>2479</v>
      </c>
      <c r="G12" s="3" t="s">
        <v>30</v>
      </c>
      <c r="H12" s="3" t="s">
        <v>154</v>
      </c>
      <c r="I12" s="3" t="s">
        <v>283</v>
      </c>
      <c r="J12" s="3" t="s">
        <v>156</v>
      </c>
      <c r="K12" s="3" t="s">
        <v>2783</v>
      </c>
      <c r="L12" s="154">
        <v>0</v>
      </c>
      <c r="M12" s="163">
        <v>4.1426999999999996</v>
      </c>
      <c r="N12" s="165">
        <v>0</v>
      </c>
      <c r="O12" s="154">
        <v>1E-3</v>
      </c>
      <c r="P12" s="165">
        <v>1.0968573040454199E-8</v>
      </c>
      <c r="Q12" s="165">
        <v>3.0698748216501599E-10</v>
      </c>
    </row>
    <row r="13" spans="1:17">
      <c r="A13" s="3">
        <v>288</v>
      </c>
      <c r="B13" s="3">
        <v>288</v>
      </c>
      <c r="C13" s="3" t="s">
        <v>2779</v>
      </c>
      <c r="D13" s="3" t="s">
        <v>2780</v>
      </c>
      <c r="E13" s="30" t="s">
        <v>1982</v>
      </c>
      <c r="F13" s="3" t="s">
        <v>2479</v>
      </c>
      <c r="G13" s="3" t="s">
        <v>30</v>
      </c>
      <c r="H13" s="3" t="s">
        <v>154</v>
      </c>
      <c r="I13" s="3" t="s">
        <v>283</v>
      </c>
      <c r="J13" s="3" t="s">
        <v>156</v>
      </c>
      <c r="K13" s="3" t="s">
        <v>34</v>
      </c>
      <c r="L13" s="154">
        <v>171.38</v>
      </c>
      <c r="M13" s="163">
        <v>3.306</v>
      </c>
      <c r="N13" s="165">
        <v>2.6015900000000002E-2</v>
      </c>
      <c r="O13" s="154">
        <v>566.58199999999999</v>
      </c>
      <c r="P13" s="165">
        <v>7.8954298752489296E-3</v>
      </c>
      <c r="Q13" s="165">
        <v>2.2097661464929799E-4</v>
      </c>
    </row>
    <row r="14" spans="1:17">
      <c r="A14" s="3">
        <v>288</v>
      </c>
      <c r="B14" s="3">
        <v>288</v>
      </c>
      <c r="C14" s="3" t="s">
        <v>2779</v>
      </c>
      <c r="D14" s="3" t="s">
        <v>2780</v>
      </c>
      <c r="E14" s="30" t="s">
        <v>1982</v>
      </c>
      <c r="F14" s="3" t="s">
        <v>2479</v>
      </c>
      <c r="G14" s="3" t="s">
        <v>30</v>
      </c>
      <c r="H14" s="3" t="s">
        <v>154</v>
      </c>
      <c r="I14" s="3" t="s">
        <v>283</v>
      </c>
      <c r="J14" s="3" t="s">
        <v>156</v>
      </c>
      <c r="K14" s="3" t="s">
        <v>991</v>
      </c>
      <c r="L14" s="154">
        <v>243.309</v>
      </c>
      <c r="M14" s="163">
        <v>3.8807</v>
      </c>
      <c r="N14" s="165">
        <v>0</v>
      </c>
      <c r="O14" s="154">
        <v>944.21100000000001</v>
      </c>
      <c r="P14" s="165">
        <v>1.31577656643759E-2</v>
      </c>
      <c r="Q14" s="165">
        <v>3.6825841769266198E-4</v>
      </c>
    </row>
    <row r="15" spans="1:17">
      <c r="A15" s="3">
        <v>288</v>
      </c>
      <c r="B15" s="3">
        <v>288</v>
      </c>
      <c r="C15" s="3" t="s">
        <v>2779</v>
      </c>
      <c r="D15" s="3" t="s">
        <v>2780</v>
      </c>
      <c r="E15" s="30" t="s">
        <v>1982</v>
      </c>
      <c r="F15" s="3" t="s">
        <v>2479</v>
      </c>
      <c r="G15" s="3" t="s">
        <v>30</v>
      </c>
      <c r="H15" s="3" t="s">
        <v>154</v>
      </c>
      <c r="I15" s="3" t="s">
        <v>283</v>
      </c>
      <c r="J15" s="3" t="s">
        <v>156</v>
      </c>
      <c r="K15" s="3" t="s">
        <v>1032</v>
      </c>
      <c r="L15" s="154">
        <v>13.733000000000001</v>
      </c>
      <c r="M15" s="163">
        <v>4.4409000000000001</v>
      </c>
      <c r="N15" s="165">
        <v>0</v>
      </c>
      <c r="O15" s="154">
        <v>60.988999999999997</v>
      </c>
      <c r="P15" s="165">
        <v>8.4989128250541996E-4</v>
      </c>
      <c r="Q15" s="165">
        <v>2.3786684372530901E-5</v>
      </c>
    </row>
    <row r="16" spans="1:17">
      <c r="A16" s="3">
        <v>288</v>
      </c>
      <c r="B16" s="3">
        <v>288</v>
      </c>
      <c r="C16" s="3" t="s">
        <v>2779</v>
      </c>
      <c r="D16" s="3" t="s">
        <v>2780</v>
      </c>
      <c r="E16" s="30" t="s">
        <v>1982</v>
      </c>
      <c r="F16" s="3" t="s">
        <v>2477</v>
      </c>
      <c r="G16" s="3" t="s">
        <v>30</v>
      </c>
      <c r="H16" s="3" t="s">
        <v>154</v>
      </c>
      <c r="I16" s="3" t="s">
        <v>283</v>
      </c>
      <c r="J16" s="3" t="s">
        <v>156</v>
      </c>
      <c r="K16" s="3" t="s">
        <v>44</v>
      </c>
      <c r="L16" s="154">
        <v>0</v>
      </c>
      <c r="M16" s="163">
        <v>1</v>
      </c>
      <c r="N16" s="165">
        <v>0</v>
      </c>
      <c r="O16" s="154">
        <v>0</v>
      </c>
      <c r="P16" s="165">
        <v>5.1560221022496703E-9</v>
      </c>
      <c r="Q16" s="165">
        <v>1.44306304686946E-10</v>
      </c>
    </row>
    <row r="17" spans="1:17">
      <c r="A17" s="3">
        <v>288</v>
      </c>
      <c r="B17" s="3">
        <v>288</v>
      </c>
      <c r="C17" s="3" t="s">
        <v>2779</v>
      </c>
      <c r="D17" s="3" t="s">
        <v>2780</v>
      </c>
      <c r="E17" s="30" t="s">
        <v>1982</v>
      </c>
      <c r="F17" s="3" t="s">
        <v>2480</v>
      </c>
      <c r="G17" s="3" t="s">
        <v>30</v>
      </c>
      <c r="H17" s="3" t="s">
        <v>154</v>
      </c>
      <c r="I17" s="3" t="s">
        <v>283</v>
      </c>
      <c r="J17" s="3" t="s">
        <v>156</v>
      </c>
      <c r="K17" s="3" t="s">
        <v>44</v>
      </c>
      <c r="L17" s="154">
        <v>4443.8059999999996</v>
      </c>
      <c r="M17" s="163">
        <v>1</v>
      </c>
      <c r="N17" s="165">
        <v>4.0300000000000002E-2</v>
      </c>
      <c r="O17" s="154">
        <v>4443.8059999999996</v>
      </c>
      <c r="P17" s="165">
        <v>6.1925309546272303E-2</v>
      </c>
      <c r="Q17" s="165">
        <v>1.73316025610495E-3</v>
      </c>
    </row>
    <row r="18" spans="1:17">
      <c r="A18" s="3">
        <v>288</v>
      </c>
      <c r="B18" s="3">
        <v>288</v>
      </c>
      <c r="C18" s="3" t="s">
        <v>355</v>
      </c>
      <c r="D18" s="3" t="s">
        <v>2778</v>
      </c>
      <c r="E18" s="30" t="s">
        <v>1982</v>
      </c>
      <c r="F18" s="3" t="s">
        <v>2477</v>
      </c>
      <c r="G18" s="3" t="s">
        <v>30</v>
      </c>
      <c r="H18" s="3" t="s">
        <v>154</v>
      </c>
      <c r="I18" s="3" t="s">
        <v>283</v>
      </c>
      <c r="J18" s="3" t="s">
        <v>156</v>
      </c>
      <c r="K18" s="3" t="s">
        <v>44</v>
      </c>
      <c r="L18" s="154">
        <v>2.1999999999999999E-2</v>
      </c>
      <c r="M18" s="163">
        <v>1</v>
      </c>
      <c r="N18" s="165">
        <v>0</v>
      </c>
      <c r="O18" s="154">
        <v>2.1999999999999999E-2</v>
      </c>
      <c r="P18" s="165">
        <v>3.02533080648217E-7</v>
      </c>
      <c r="Q18" s="165">
        <v>8.4672699317664708E-9</v>
      </c>
    </row>
    <row r="19" spans="1:17">
      <c r="A19" s="3">
        <v>288</v>
      </c>
      <c r="B19" s="3">
        <v>1451</v>
      </c>
      <c r="C19" s="3" t="s">
        <v>2779</v>
      </c>
      <c r="D19" s="3" t="s">
        <v>2780</v>
      </c>
      <c r="E19" s="30" t="s">
        <v>1982</v>
      </c>
      <c r="F19" s="3" t="s">
        <v>2479</v>
      </c>
      <c r="G19" s="3" t="s">
        <v>30</v>
      </c>
      <c r="H19" s="3" t="s">
        <v>154</v>
      </c>
      <c r="I19" s="3" t="s">
        <v>283</v>
      </c>
      <c r="J19" s="3" t="s">
        <v>156</v>
      </c>
      <c r="K19" s="3" t="s">
        <v>34</v>
      </c>
      <c r="L19" s="154">
        <v>36.56</v>
      </c>
      <c r="M19" s="163">
        <v>3.306</v>
      </c>
      <c r="N19" s="165">
        <v>2.6015900000000002E-2</v>
      </c>
      <c r="O19" s="154">
        <v>120.867</v>
      </c>
      <c r="P19" s="165">
        <v>0.108493614171465</v>
      </c>
      <c r="Q19" s="165">
        <v>2.4336599656220401E-3</v>
      </c>
    </row>
    <row r="20" spans="1:17">
      <c r="A20" s="3">
        <v>288</v>
      </c>
      <c r="B20" s="3">
        <v>1451</v>
      </c>
      <c r="C20" s="3" t="s">
        <v>2779</v>
      </c>
      <c r="D20" s="3" t="s">
        <v>2780</v>
      </c>
      <c r="E20" s="30" t="s">
        <v>1982</v>
      </c>
      <c r="F20" s="3" t="s">
        <v>2479</v>
      </c>
      <c r="G20" s="3" t="s">
        <v>30</v>
      </c>
      <c r="H20" s="3" t="s">
        <v>154</v>
      </c>
      <c r="I20" s="3" t="s">
        <v>283</v>
      </c>
      <c r="J20" s="3" t="s">
        <v>156</v>
      </c>
      <c r="K20" s="3" t="s">
        <v>991</v>
      </c>
      <c r="L20" s="154">
        <v>0</v>
      </c>
      <c r="M20" s="163">
        <v>3.8807</v>
      </c>
      <c r="N20" s="165">
        <v>0</v>
      </c>
      <c r="O20" s="154">
        <v>1E-3</v>
      </c>
      <c r="P20" s="165">
        <v>1.3237038352108301E-6</v>
      </c>
      <c r="Q20" s="165">
        <v>2.9692485172461101E-8</v>
      </c>
    </row>
    <row r="21" spans="1:17" s="41" customFormat="1">
      <c r="A21" s="41">
        <v>288</v>
      </c>
      <c r="B21" s="41">
        <v>1451</v>
      </c>
      <c r="C21" s="41" t="s">
        <v>2779</v>
      </c>
      <c r="D21" s="40" t="s">
        <v>2780</v>
      </c>
      <c r="E21" s="44" t="s">
        <v>1982</v>
      </c>
      <c r="F21" s="41" t="s">
        <v>2480</v>
      </c>
      <c r="G21" s="41" t="s">
        <v>30</v>
      </c>
      <c r="H21" s="41" t="s">
        <v>154</v>
      </c>
      <c r="I21" s="41" t="s">
        <v>283</v>
      </c>
      <c r="J21" s="41" t="s">
        <v>156</v>
      </c>
      <c r="K21" s="41" t="s">
        <v>44</v>
      </c>
      <c r="L21" s="154">
        <v>892.96199999999999</v>
      </c>
      <c r="M21" s="163">
        <v>1</v>
      </c>
      <c r="N21" s="165">
        <v>4.0300000000000002E-2</v>
      </c>
      <c r="O21" s="154">
        <v>892.96199999999999</v>
      </c>
      <c r="P21" s="165">
        <v>0.80154928343181298</v>
      </c>
      <c r="Q21" s="165">
        <v>1.7979845325072501E-2</v>
      </c>
    </row>
    <row r="22" spans="1:17">
      <c r="A22" s="3">
        <v>288</v>
      </c>
      <c r="B22" s="3">
        <v>1451</v>
      </c>
      <c r="C22" s="3" t="s">
        <v>355</v>
      </c>
      <c r="D22" s="3" t="s">
        <v>2778</v>
      </c>
      <c r="E22" s="5" t="s">
        <v>1982</v>
      </c>
      <c r="F22" s="3" t="s">
        <v>2477</v>
      </c>
      <c r="G22" s="3" t="s">
        <v>30</v>
      </c>
      <c r="H22" s="3" t="s">
        <v>154</v>
      </c>
      <c r="I22" s="3" t="s">
        <v>283</v>
      </c>
      <c r="J22" s="3" t="s">
        <v>156</v>
      </c>
      <c r="K22" s="3" t="s">
        <v>44</v>
      </c>
      <c r="L22" s="154">
        <v>100.215</v>
      </c>
      <c r="M22" s="163">
        <v>1</v>
      </c>
      <c r="N22" s="165">
        <v>0</v>
      </c>
      <c r="O22" s="154">
        <v>100.215</v>
      </c>
      <c r="P22" s="165">
        <v>8.9955778692886595E-2</v>
      </c>
      <c r="Q22" s="165">
        <v>2.0178309935849899E-3</v>
      </c>
    </row>
    <row r="23" spans="1:17">
      <c r="A23" s="3">
        <v>288</v>
      </c>
      <c r="B23" s="3">
        <v>1452</v>
      </c>
      <c r="C23" s="3" t="s">
        <v>2779</v>
      </c>
      <c r="D23" s="3" t="s">
        <v>2780</v>
      </c>
      <c r="E23" s="5" t="s">
        <v>1982</v>
      </c>
      <c r="F23" s="3" t="s">
        <v>2479</v>
      </c>
      <c r="G23" s="3" t="s">
        <v>30</v>
      </c>
      <c r="H23" s="3" t="s">
        <v>154</v>
      </c>
      <c r="I23" s="3" t="s">
        <v>283</v>
      </c>
      <c r="J23" s="3" t="s">
        <v>156</v>
      </c>
      <c r="K23" s="3" t="s">
        <v>34</v>
      </c>
      <c r="L23" s="154">
        <v>82.411000000000001</v>
      </c>
      <c r="M23" s="163">
        <v>3.306</v>
      </c>
      <c r="N23" s="165">
        <v>2.6015900000000002E-2</v>
      </c>
      <c r="O23" s="154">
        <v>272.45</v>
      </c>
      <c r="P23" s="165">
        <v>7.0548408663942797E-2</v>
      </c>
      <c r="Q23" s="165">
        <v>3.0883669078005998E-3</v>
      </c>
    </row>
    <row r="24" spans="1:17">
      <c r="A24" s="3">
        <v>288</v>
      </c>
      <c r="B24" s="3">
        <v>1452</v>
      </c>
      <c r="C24" s="3" t="s">
        <v>2779</v>
      </c>
      <c r="D24" s="3" t="s">
        <v>2780</v>
      </c>
      <c r="E24" s="5" t="s">
        <v>1982</v>
      </c>
      <c r="F24" s="3" t="s">
        <v>2479</v>
      </c>
      <c r="G24" s="3" t="s">
        <v>30</v>
      </c>
      <c r="H24" s="3" t="s">
        <v>154</v>
      </c>
      <c r="I24" s="3" t="s">
        <v>283</v>
      </c>
      <c r="J24" s="3" t="s">
        <v>156</v>
      </c>
      <c r="K24" s="3" t="s">
        <v>918</v>
      </c>
      <c r="L24" s="154">
        <v>9.5760000000000005</v>
      </c>
      <c r="M24" s="163">
        <v>0.42420000000000002</v>
      </c>
      <c r="N24" s="165">
        <v>0</v>
      </c>
      <c r="O24" s="154">
        <v>4.0620000000000003</v>
      </c>
      <c r="P24" s="165">
        <v>1.05190558304458E-3</v>
      </c>
      <c r="Q24" s="165">
        <v>4.6048811792206702E-5</v>
      </c>
    </row>
    <row r="25" spans="1:17">
      <c r="A25" s="3">
        <v>288</v>
      </c>
      <c r="B25" s="3">
        <v>1452</v>
      </c>
      <c r="C25" s="3" t="s">
        <v>2779</v>
      </c>
      <c r="D25" s="3" t="s">
        <v>2780</v>
      </c>
      <c r="E25" s="5" t="s">
        <v>1982</v>
      </c>
      <c r="F25" s="3" t="s">
        <v>2479</v>
      </c>
      <c r="G25" s="3" t="s">
        <v>30</v>
      </c>
      <c r="H25" s="3" t="s">
        <v>154</v>
      </c>
      <c r="I25" s="3" t="s">
        <v>283</v>
      </c>
      <c r="J25" s="3" t="s">
        <v>156</v>
      </c>
      <c r="L25" s="154">
        <v>1.2</v>
      </c>
      <c r="M25" s="163">
        <v>0.4632</v>
      </c>
      <c r="N25" s="165">
        <v>0</v>
      </c>
      <c r="O25" s="154">
        <v>0.55600000000000005</v>
      </c>
      <c r="P25" s="165">
        <v>1.4392955635763401E-4</v>
      </c>
      <c r="Q25" s="165">
        <v>6.3007413962623603E-6</v>
      </c>
    </row>
    <row r="26" spans="1:17">
      <c r="A26" s="3">
        <v>288</v>
      </c>
      <c r="B26" s="3">
        <v>1452</v>
      </c>
      <c r="C26" s="3" t="s">
        <v>2779</v>
      </c>
      <c r="D26" s="3" t="s">
        <v>2780</v>
      </c>
      <c r="E26" s="5" t="s">
        <v>1982</v>
      </c>
      <c r="F26" s="3" t="s">
        <v>2479</v>
      </c>
      <c r="G26" s="3" t="s">
        <v>30</v>
      </c>
      <c r="H26" s="3" t="s">
        <v>154</v>
      </c>
      <c r="I26" s="3" t="s">
        <v>283</v>
      </c>
      <c r="J26" s="3" t="s">
        <v>156</v>
      </c>
      <c r="K26" s="3" t="s">
        <v>991</v>
      </c>
      <c r="L26" s="154">
        <v>22.138999999999999</v>
      </c>
      <c r="M26" s="163">
        <v>3.8807</v>
      </c>
      <c r="N26" s="165">
        <v>0</v>
      </c>
      <c r="O26" s="154">
        <v>85.915999999999997</v>
      </c>
      <c r="P26" s="165">
        <v>2.2247258434903001E-2</v>
      </c>
      <c r="Q26" s="165">
        <v>9.7390852665339798E-4</v>
      </c>
    </row>
    <row r="27" spans="1:17">
      <c r="A27" s="3">
        <v>288</v>
      </c>
      <c r="B27" s="3">
        <v>1452</v>
      </c>
      <c r="C27" s="3" t="s">
        <v>2779</v>
      </c>
      <c r="D27" s="3" t="s">
        <v>2780</v>
      </c>
      <c r="E27" s="5" t="s">
        <v>1982</v>
      </c>
      <c r="F27" s="3" t="s">
        <v>2479</v>
      </c>
      <c r="G27" s="3" t="s">
        <v>30</v>
      </c>
      <c r="H27" s="3" t="s">
        <v>154</v>
      </c>
      <c r="I27" s="3" t="s">
        <v>283</v>
      </c>
      <c r="J27" s="3" t="s">
        <v>156</v>
      </c>
      <c r="K27" s="3" t="s">
        <v>1201</v>
      </c>
      <c r="L27" s="154">
        <v>0.72399999999999998</v>
      </c>
      <c r="M27" s="163">
        <v>2.2332000000000001E-2</v>
      </c>
      <c r="N27" s="165">
        <v>0</v>
      </c>
      <c r="O27" s="154">
        <v>1.617</v>
      </c>
      <c r="P27" s="165">
        <v>4.1877043670804798E-4</v>
      </c>
      <c r="Q27" s="165">
        <v>1.83323307100385E-5</v>
      </c>
    </row>
    <row r="28" spans="1:17">
      <c r="A28" s="3">
        <v>288</v>
      </c>
      <c r="B28" s="3">
        <v>1452</v>
      </c>
      <c r="C28" s="3" t="s">
        <v>2779</v>
      </c>
      <c r="D28" s="3" t="s">
        <v>2780</v>
      </c>
      <c r="E28" s="5" t="s">
        <v>1982</v>
      </c>
      <c r="F28" s="3" t="s">
        <v>2479</v>
      </c>
      <c r="G28" s="3" t="s">
        <v>30</v>
      </c>
      <c r="H28" s="3" t="s">
        <v>154</v>
      </c>
      <c r="I28" s="3" t="s">
        <v>283</v>
      </c>
      <c r="J28" s="3" t="s">
        <v>156</v>
      </c>
      <c r="K28" s="3" t="s">
        <v>1032</v>
      </c>
      <c r="L28" s="154">
        <v>10.906000000000001</v>
      </c>
      <c r="M28" s="163">
        <v>4.4409000000000001</v>
      </c>
      <c r="N28" s="165">
        <v>0</v>
      </c>
      <c r="O28" s="154">
        <v>48.432000000000002</v>
      </c>
      <c r="P28" s="165">
        <v>1.25409807247647E-2</v>
      </c>
      <c r="Q28" s="165">
        <v>5.49001041911863E-4</v>
      </c>
    </row>
    <row r="29" spans="1:17">
      <c r="A29" s="3">
        <v>288</v>
      </c>
      <c r="B29" s="3">
        <v>1452</v>
      </c>
      <c r="C29" s="3" t="s">
        <v>2779</v>
      </c>
      <c r="D29" s="3" t="s">
        <v>2780</v>
      </c>
      <c r="E29" s="5" t="s">
        <v>1982</v>
      </c>
      <c r="F29" s="3" t="s">
        <v>2480</v>
      </c>
      <c r="G29" s="3" t="s">
        <v>30</v>
      </c>
      <c r="H29" s="3" t="s">
        <v>154</v>
      </c>
      <c r="I29" s="3" t="s">
        <v>283</v>
      </c>
      <c r="J29" s="3" t="s">
        <v>156</v>
      </c>
      <c r="K29" s="3" t="s">
        <v>44</v>
      </c>
      <c r="L29" s="154">
        <v>1650.3889999999999</v>
      </c>
      <c r="M29" s="163">
        <v>1</v>
      </c>
      <c r="N29" s="165">
        <v>4.0300000000000002E-2</v>
      </c>
      <c r="O29" s="154">
        <v>1650.3889999999999</v>
      </c>
      <c r="P29" s="165">
        <v>0.42735279867632397</v>
      </c>
      <c r="Q29" s="165">
        <v>1.87080370256812E-2</v>
      </c>
    </row>
    <row r="30" spans="1:17">
      <c r="A30" s="3">
        <v>288</v>
      </c>
      <c r="B30" s="3">
        <v>1452</v>
      </c>
      <c r="C30" s="3" t="s">
        <v>2779</v>
      </c>
      <c r="D30" s="3" t="s">
        <v>2780</v>
      </c>
      <c r="E30" s="5" t="s">
        <v>1982</v>
      </c>
      <c r="F30" s="3" t="s">
        <v>2479</v>
      </c>
      <c r="G30" s="3" t="s">
        <v>30</v>
      </c>
      <c r="H30" s="3" t="s">
        <v>154</v>
      </c>
      <c r="I30" s="3" t="s">
        <v>283</v>
      </c>
      <c r="J30" s="3" t="s">
        <v>156</v>
      </c>
      <c r="K30" s="3" t="s">
        <v>2783</v>
      </c>
      <c r="L30" s="154">
        <v>1E-3</v>
      </c>
      <c r="M30" s="163">
        <v>4.1426999999999996</v>
      </c>
      <c r="N30" s="165">
        <v>0</v>
      </c>
      <c r="O30" s="154">
        <v>3.0000000000000001E-3</v>
      </c>
      <c r="P30" s="165">
        <v>7.8308072535193799E-7</v>
      </c>
      <c r="Q30" s="165">
        <v>3.4280583277698803E-8</v>
      </c>
    </row>
    <row r="31" spans="1:17">
      <c r="A31" s="3">
        <v>288</v>
      </c>
      <c r="B31" s="3">
        <v>1452</v>
      </c>
      <c r="C31" s="3" t="s">
        <v>355</v>
      </c>
      <c r="D31" s="3" t="s">
        <v>2778</v>
      </c>
      <c r="E31" s="5" t="s">
        <v>1982</v>
      </c>
      <c r="F31" s="3" t="s">
        <v>2477</v>
      </c>
      <c r="G31" s="3" t="s">
        <v>30</v>
      </c>
      <c r="H31" s="3" t="s">
        <v>154</v>
      </c>
      <c r="I31" s="3" t="s">
        <v>283</v>
      </c>
      <c r="J31" s="3" t="s">
        <v>156</v>
      </c>
      <c r="K31" s="3" t="s">
        <v>44</v>
      </c>
      <c r="L31" s="154">
        <v>1798.463</v>
      </c>
      <c r="M31" s="163">
        <v>1</v>
      </c>
      <c r="N31" s="165">
        <v>0</v>
      </c>
      <c r="O31" s="154">
        <v>1798.463</v>
      </c>
      <c r="P31" s="165">
        <v>0.46569516484322998</v>
      </c>
      <c r="Q31" s="165">
        <v>2.0386534061677002E-2</v>
      </c>
    </row>
    <row r="32" spans="1:17">
      <c r="A32" s="3">
        <v>288</v>
      </c>
      <c r="B32" s="3">
        <v>15046</v>
      </c>
      <c r="C32" s="3" t="s">
        <v>355</v>
      </c>
      <c r="D32" s="3" t="s">
        <v>2778</v>
      </c>
      <c r="E32" s="5" t="s">
        <v>1982</v>
      </c>
      <c r="F32" s="3" t="s">
        <v>2477</v>
      </c>
      <c r="G32" s="3" t="s">
        <v>30</v>
      </c>
      <c r="H32" s="3" t="s">
        <v>154</v>
      </c>
      <c r="I32" s="3" t="s">
        <v>283</v>
      </c>
      <c r="J32" s="3" t="s">
        <v>156</v>
      </c>
      <c r="K32" s="3" t="s">
        <v>44</v>
      </c>
      <c r="L32" s="154">
        <v>-31.763999999999999</v>
      </c>
      <c r="M32" s="163">
        <v>1</v>
      </c>
      <c r="N32" s="165">
        <v>0</v>
      </c>
      <c r="O32" s="154">
        <v>-31.763999999999999</v>
      </c>
      <c r="P32" s="165">
        <v>-9.80798416468847E-2</v>
      </c>
      <c r="Q32" s="165">
        <v>-5.3671907865454204E-4</v>
      </c>
    </row>
    <row r="33" spans="1:17">
      <c r="A33" s="3">
        <v>288</v>
      </c>
      <c r="B33" s="3">
        <v>15046</v>
      </c>
      <c r="C33" s="3" t="s">
        <v>2779</v>
      </c>
      <c r="D33" s="3" t="s">
        <v>2780</v>
      </c>
      <c r="E33" s="5" t="s">
        <v>1982</v>
      </c>
      <c r="F33" s="3" t="s">
        <v>2479</v>
      </c>
      <c r="G33" s="3" t="s">
        <v>30</v>
      </c>
      <c r="H33" s="3" t="s">
        <v>154</v>
      </c>
      <c r="I33" s="3" t="s">
        <v>283</v>
      </c>
      <c r="J33" s="3" t="s">
        <v>156</v>
      </c>
      <c r="K33" s="3" t="s">
        <v>34</v>
      </c>
      <c r="L33" s="154">
        <v>5.6429999999999998</v>
      </c>
      <c r="M33" s="163">
        <v>3.306</v>
      </c>
      <c r="N33" s="165">
        <v>2.6015900000000002E-2</v>
      </c>
      <c r="O33" s="154">
        <v>18.655999999999999</v>
      </c>
      <c r="P33" s="165">
        <v>5.7605395687982397E-2</v>
      </c>
      <c r="Q33" s="165">
        <v>3.1523210457962998E-4</v>
      </c>
    </row>
    <row r="34" spans="1:17">
      <c r="A34" s="3">
        <v>288</v>
      </c>
      <c r="B34" s="3">
        <v>15046</v>
      </c>
      <c r="C34" s="3" t="s">
        <v>2779</v>
      </c>
      <c r="D34" s="3" t="s">
        <v>2780</v>
      </c>
      <c r="E34" s="5" t="s">
        <v>1982</v>
      </c>
      <c r="F34" s="3" t="s">
        <v>2480</v>
      </c>
      <c r="G34" s="3" t="s">
        <v>30</v>
      </c>
      <c r="H34" s="3" t="s">
        <v>154</v>
      </c>
      <c r="I34" s="3" t="s">
        <v>283</v>
      </c>
      <c r="J34" s="3" t="s">
        <v>156</v>
      </c>
      <c r="K34" s="3" t="s">
        <v>44</v>
      </c>
      <c r="L34" s="154">
        <v>336.96800000000002</v>
      </c>
      <c r="M34" s="163">
        <v>1</v>
      </c>
      <c r="N34" s="165">
        <v>4.0300000000000002E-2</v>
      </c>
      <c r="O34" s="154">
        <v>336.96800000000002</v>
      </c>
      <c r="P34" s="165">
        <v>1.0404744459588999</v>
      </c>
      <c r="Q34" s="165">
        <v>5.6937539521037198E-3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5"/>
  <sheetViews>
    <sheetView rightToLeft="1" workbookViewId="0">
      <selection activeCell="A2" sqref="A2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164" t="s">
        <v>14</v>
      </c>
      <c r="P1" s="164" t="s">
        <v>15</v>
      </c>
      <c r="Q1" s="21" t="s">
        <v>16</v>
      </c>
      <c r="R1" s="21" t="s">
        <v>17</v>
      </c>
      <c r="S1" s="162" t="s">
        <v>18</v>
      </c>
      <c r="T1" s="168" t="s">
        <v>19</v>
      </c>
      <c r="U1" s="21" t="s">
        <v>20</v>
      </c>
      <c r="V1" s="21" t="s">
        <v>21</v>
      </c>
      <c r="W1" s="21" t="s">
        <v>22</v>
      </c>
      <c r="X1" s="164" t="s">
        <v>23</v>
      </c>
      <c r="Y1" s="164" t="s">
        <v>24</v>
      </c>
      <c r="Z1" s="164" t="s">
        <v>25</v>
      </c>
    </row>
    <row r="2" spans="1:26">
      <c r="A2" s="20">
        <v>288</v>
      </c>
      <c r="B2" s="20">
        <v>288</v>
      </c>
      <c r="C2" s="20" t="s">
        <v>26</v>
      </c>
      <c r="D2" s="20" t="s">
        <v>27</v>
      </c>
      <c r="E2" s="20" t="s">
        <v>28</v>
      </c>
      <c r="F2" s="20" t="s">
        <v>29</v>
      </c>
      <c r="G2" s="20" t="s">
        <v>30</v>
      </c>
      <c r="H2" s="20" t="s">
        <v>30</v>
      </c>
      <c r="I2" s="20" t="s">
        <v>31</v>
      </c>
      <c r="J2" s="20" t="s">
        <v>32</v>
      </c>
      <c r="K2" s="20" t="s">
        <v>33</v>
      </c>
      <c r="L2" s="5" t="s">
        <v>34</v>
      </c>
      <c r="M2" s="155">
        <v>6.8620000000000001</v>
      </c>
      <c r="N2" s="5" t="s">
        <v>35</v>
      </c>
      <c r="O2" s="166">
        <v>5.5E-2</v>
      </c>
      <c r="P2" s="166">
        <v>5.1110000000000003E-2</v>
      </c>
      <c r="R2" s="155">
        <v>1820000</v>
      </c>
      <c r="S2" s="167">
        <v>3.306</v>
      </c>
      <c r="T2" s="169">
        <v>103.03</v>
      </c>
      <c r="U2" s="155">
        <v>6199.2510000000002</v>
      </c>
      <c r="W2" s="20" t="s">
        <v>36</v>
      </c>
      <c r="X2" s="166">
        <v>6.0700000000000001E-4</v>
      </c>
      <c r="Y2" s="166">
        <v>8.87515005942199E-3</v>
      </c>
      <c r="Z2" s="166">
        <v>2.4178134167745901E-3</v>
      </c>
    </row>
    <row r="3" spans="1:26">
      <c r="A3" s="20">
        <v>288</v>
      </c>
      <c r="B3" s="20">
        <v>288</v>
      </c>
      <c r="C3" s="20" t="s">
        <v>37</v>
      </c>
      <c r="D3" s="20" t="s">
        <v>38</v>
      </c>
      <c r="E3" s="20" t="s">
        <v>39</v>
      </c>
      <c r="F3" s="20" t="s">
        <v>40</v>
      </c>
      <c r="G3" s="20" t="s">
        <v>30</v>
      </c>
      <c r="H3" s="20" t="s">
        <v>30</v>
      </c>
      <c r="I3" s="20" t="s">
        <v>41</v>
      </c>
      <c r="J3" s="20" t="s">
        <v>42</v>
      </c>
      <c r="K3" s="20" t="s">
        <v>43</v>
      </c>
      <c r="L3" s="5" t="s">
        <v>44</v>
      </c>
      <c r="M3" s="155">
        <v>0.159</v>
      </c>
      <c r="N3" s="5" t="s">
        <v>45</v>
      </c>
      <c r="O3" s="166">
        <v>0</v>
      </c>
      <c r="P3" s="166">
        <v>4.4540000000000003E-2</v>
      </c>
      <c r="R3" s="155">
        <v>28000000</v>
      </c>
      <c r="S3" s="167">
        <v>1</v>
      </c>
      <c r="T3" s="169">
        <v>99.31</v>
      </c>
      <c r="U3" s="155">
        <v>27806.799999999999</v>
      </c>
      <c r="W3" s="20" t="s">
        <v>36</v>
      </c>
      <c r="X3" s="166">
        <v>9.3300000000000002E-4</v>
      </c>
      <c r="Y3" s="166">
        <v>3.98095727290124E-2</v>
      </c>
      <c r="Z3" s="166">
        <v>1.0845125819375599E-2</v>
      </c>
    </row>
    <row r="4" spans="1:26">
      <c r="A4" s="20">
        <v>288</v>
      </c>
      <c r="B4" s="20">
        <v>288</v>
      </c>
      <c r="C4" s="20" t="s">
        <v>37</v>
      </c>
      <c r="D4" s="20" t="s">
        <v>46</v>
      </c>
      <c r="E4" s="20" t="s">
        <v>47</v>
      </c>
      <c r="F4" s="20" t="s">
        <v>40</v>
      </c>
      <c r="G4" s="20" t="s">
        <v>30</v>
      </c>
      <c r="H4" s="20" t="s">
        <v>30</v>
      </c>
      <c r="I4" s="20" t="s">
        <v>41</v>
      </c>
      <c r="J4" s="20" t="s">
        <v>42</v>
      </c>
      <c r="K4" s="20" t="s">
        <v>43</v>
      </c>
      <c r="L4" s="5" t="s">
        <v>44</v>
      </c>
      <c r="M4" s="155">
        <v>0.255</v>
      </c>
      <c r="N4" s="5" t="s">
        <v>48</v>
      </c>
      <c r="O4" s="166">
        <v>0</v>
      </c>
      <c r="P4" s="166">
        <v>4.3950000000000003E-2</v>
      </c>
      <c r="R4" s="155">
        <v>52000000</v>
      </c>
      <c r="S4" s="167">
        <v>1</v>
      </c>
      <c r="T4" s="169">
        <v>98.91</v>
      </c>
      <c r="U4" s="155">
        <v>51433.2</v>
      </c>
      <c r="W4" s="20" t="s">
        <v>36</v>
      </c>
      <c r="X4" s="166">
        <v>3.2499999999999999E-3</v>
      </c>
      <c r="Y4" s="166">
        <v>7.3634280682633099E-2</v>
      </c>
      <c r="Z4" s="166">
        <v>2.0059824406012498E-2</v>
      </c>
    </row>
    <row r="5" spans="1:26">
      <c r="A5" s="20">
        <v>288</v>
      </c>
      <c r="B5" s="20">
        <v>288</v>
      </c>
      <c r="C5" s="20" t="s">
        <v>37</v>
      </c>
      <c r="D5" s="20" t="s">
        <v>49</v>
      </c>
      <c r="E5" s="20" t="s">
        <v>50</v>
      </c>
      <c r="F5" s="20" t="s">
        <v>40</v>
      </c>
      <c r="G5" s="20" t="s">
        <v>30</v>
      </c>
      <c r="H5" s="20" t="s">
        <v>30</v>
      </c>
      <c r="I5" s="20" t="s">
        <v>41</v>
      </c>
      <c r="J5" s="20" t="s">
        <v>42</v>
      </c>
      <c r="K5" s="20" t="s">
        <v>43</v>
      </c>
      <c r="L5" s="5" t="s">
        <v>44</v>
      </c>
      <c r="M5" s="155">
        <v>0.48499999999999999</v>
      </c>
      <c r="N5" s="5" t="s">
        <v>51</v>
      </c>
      <c r="O5" s="166">
        <v>0</v>
      </c>
      <c r="P5" s="166">
        <v>4.2540000000000001E-2</v>
      </c>
      <c r="R5" s="155">
        <v>18000000</v>
      </c>
      <c r="S5" s="167">
        <v>1</v>
      </c>
      <c r="T5" s="169">
        <v>98</v>
      </c>
      <c r="U5" s="155">
        <v>17640</v>
      </c>
      <c r="W5" s="20" t="s">
        <v>36</v>
      </c>
      <c r="X5" s="166">
        <v>1E-3</v>
      </c>
      <c r="Y5" s="166">
        <v>2.5254285388458201E-2</v>
      </c>
      <c r="Z5" s="166">
        <v>6.8799005802100697E-3</v>
      </c>
    </row>
    <row r="6" spans="1:26">
      <c r="A6" s="20">
        <v>288</v>
      </c>
      <c r="B6" s="20">
        <v>288</v>
      </c>
      <c r="C6" s="20" t="s">
        <v>52</v>
      </c>
      <c r="D6" s="20" t="s">
        <v>53</v>
      </c>
      <c r="E6" s="20" t="s">
        <v>54</v>
      </c>
      <c r="F6" s="20" t="s">
        <v>55</v>
      </c>
      <c r="G6" s="20" t="s">
        <v>30</v>
      </c>
      <c r="H6" s="20" t="s">
        <v>30</v>
      </c>
      <c r="I6" s="20" t="s">
        <v>41</v>
      </c>
      <c r="J6" s="20" t="s">
        <v>42</v>
      </c>
      <c r="K6" s="20" t="s">
        <v>43</v>
      </c>
      <c r="L6" s="5" t="s">
        <v>44</v>
      </c>
      <c r="M6" s="155">
        <v>1.6419999999999999</v>
      </c>
      <c r="N6" s="5" t="s">
        <v>56</v>
      </c>
      <c r="O6" s="166">
        <v>7.4999999999999997E-3</v>
      </c>
      <c r="P6" s="166">
        <v>2.0979999999999999E-2</v>
      </c>
      <c r="R6" s="155">
        <v>10089000</v>
      </c>
      <c r="S6" s="167">
        <v>1</v>
      </c>
      <c r="T6" s="169">
        <v>117.66</v>
      </c>
      <c r="U6" s="155">
        <v>11870.717000000001</v>
      </c>
      <c r="W6" s="20" t="s">
        <v>36</v>
      </c>
      <c r="X6" s="166">
        <v>4.1399999999999998E-4</v>
      </c>
      <c r="Y6" s="166">
        <v>1.6994698695313899E-2</v>
      </c>
      <c r="Z6" s="166">
        <v>4.6297820593973801E-3</v>
      </c>
    </row>
    <row r="7" spans="1:26">
      <c r="A7" s="20">
        <v>288</v>
      </c>
      <c r="B7" s="20">
        <v>288</v>
      </c>
      <c r="C7" s="20" t="s">
        <v>52</v>
      </c>
      <c r="D7" s="20" t="s">
        <v>57</v>
      </c>
      <c r="E7" s="20" t="s">
        <v>58</v>
      </c>
      <c r="F7" s="20" t="s">
        <v>55</v>
      </c>
      <c r="G7" s="20" t="s">
        <v>30</v>
      </c>
      <c r="H7" s="20" t="s">
        <v>30</v>
      </c>
      <c r="I7" s="20" t="s">
        <v>41</v>
      </c>
      <c r="J7" s="20" t="s">
        <v>42</v>
      </c>
      <c r="K7" s="20" t="s">
        <v>43</v>
      </c>
      <c r="L7" s="5" t="s">
        <v>44</v>
      </c>
      <c r="M7" s="155">
        <v>6.1310000000000002</v>
      </c>
      <c r="N7" s="5" t="s">
        <v>59</v>
      </c>
      <c r="O7" s="166">
        <v>1E-3</v>
      </c>
      <c r="P7" s="166">
        <v>1.9009999999999999E-2</v>
      </c>
      <c r="R7" s="155">
        <v>23915000</v>
      </c>
      <c r="S7" s="167">
        <v>1</v>
      </c>
      <c r="T7" s="169">
        <v>106.54</v>
      </c>
      <c r="U7" s="155">
        <v>25479.041000000001</v>
      </c>
      <c r="W7" s="20" t="s">
        <v>36</v>
      </c>
      <c r="X7" s="166">
        <v>6.9899999999999997E-4</v>
      </c>
      <c r="Y7" s="166">
        <v>3.6477039276543499E-2</v>
      </c>
      <c r="Z7" s="166">
        <v>9.9372601450734704E-3</v>
      </c>
    </row>
    <row r="8" spans="1:26">
      <c r="A8" s="20">
        <v>288</v>
      </c>
      <c r="B8" s="20">
        <v>288</v>
      </c>
      <c r="C8" s="20" t="s">
        <v>60</v>
      </c>
      <c r="D8" s="20" t="s">
        <v>61</v>
      </c>
      <c r="E8" s="20" t="s">
        <v>62</v>
      </c>
      <c r="F8" s="20" t="s">
        <v>63</v>
      </c>
      <c r="G8" s="20" t="s">
        <v>30</v>
      </c>
      <c r="H8" s="20" t="s">
        <v>30</v>
      </c>
      <c r="I8" s="20" t="s">
        <v>41</v>
      </c>
      <c r="J8" s="20" t="s">
        <v>42</v>
      </c>
      <c r="K8" s="20" t="s">
        <v>43</v>
      </c>
      <c r="L8" s="5" t="s">
        <v>44</v>
      </c>
      <c r="M8" s="155">
        <v>2.9140000000000001</v>
      </c>
      <c r="N8" s="5" t="s">
        <v>64</v>
      </c>
      <c r="O8" s="166">
        <v>2.2499999999999999E-2</v>
      </c>
      <c r="P8" s="166">
        <v>3.9399999999999998E-2</v>
      </c>
      <c r="R8" s="155">
        <v>27194561</v>
      </c>
      <c r="S8" s="167">
        <v>1</v>
      </c>
      <c r="T8" s="169">
        <v>95.37</v>
      </c>
      <c r="U8" s="155">
        <v>25935.453000000001</v>
      </c>
      <c r="W8" s="20" t="s">
        <v>36</v>
      </c>
      <c r="X8" s="166">
        <v>7.8299999999999995E-4</v>
      </c>
      <c r="Y8" s="166">
        <v>3.7130460733510298E-2</v>
      </c>
      <c r="Z8" s="166">
        <v>1.0115268534214499E-2</v>
      </c>
    </row>
    <row r="9" spans="1:26">
      <c r="A9" s="20">
        <v>288</v>
      </c>
      <c r="B9" s="20">
        <v>288</v>
      </c>
      <c r="C9" s="20" t="s">
        <v>60</v>
      </c>
      <c r="D9" s="20" t="s">
        <v>65</v>
      </c>
      <c r="E9" s="20" t="s">
        <v>66</v>
      </c>
      <c r="F9" s="20" t="s">
        <v>63</v>
      </c>
      <c r="G9" s="20" t="s">
        <v>30</v>
      </c>
      <c r="H9" s="20" t="s">
        <v>30</v>
      </c>
      <c r="I9" s="20" t="s">
        <v>41</v>
      </c>
      <c r="J9" s="20" t="s">
        <v>42</v>
      </c>
      <c r="K9" s="20" t="s">
        <v>43</v>
      </c>
      <c r="L9" s="5" t="s">
        <v>44</v>
      </c>
      <c r="M9" s="155">
        <v>0.39500000000000002</v>
      </c>
      <c r="N9" s="5" t="s">
        <v>67</v>
      </c>
      <c r="O9" s="166">
        <v>5.0000000000000001E-3</v>
      </c>
      <c r="P9" s="166">
        <v>4.1750000000000002E-2</v>
      </c>
      <c r="R9" s="155">
        <v>5000000</v>
      </c>
      <c r="S9" s="167">
        <v>1</v>
      </c>
      <c r="T9" s="169">
        <v>98.89</v>
      </c>
      <c r="U9" s="155">
        <v>4944.5</v>
      </c>
      <c r="W9" s="20" t="s">
        <v>36</v>
      </c>
      <c r="X9" s="166">
        <v>1.8000000000000001E-4</v>
      </c>
      <c r="Y9" s="166">
        <v>7.0787876475754902E-3</v>
      </c>
      <c r="Z9" s="166">
        <v>1.9284392527692E-3</v>
      </c>
    </row>
    <row r="10" spans="1:26">
      <c r="A10" s="20">
        <v>288</v>
      </c>
      <c r="B10" s="20">
        <v>288</v>
      </c>
      <c r="C10" s="20" t="s">
        <v>60</v>
      </c>
      <c r="D10" s="20" t="s">
        <v>68</v>
      </c>
      <c r="E10" s="20" t="s">
        <v>69</v>
      </c>
      <c r="F10" s="20" t="s">
        <v>63</v>
      </c>
      <c r="G10" s="20" t="s">
        <v>30</v>
      </c>
      <c r="H10" s="20" t="s">
        <v>30</v>
      </c>
      <c r="I10" s="20" t="s">
        <v>41</v>
      </c>
      <c r="J10" s="20" t="s">
        <v>42</v>
      </c>
      <c r="K10" s="20" t="s">
        <v>43</v>
      </c>
      <c r="L10" s="5" t="s">
        <v>44</v>
      </c>
      <c r="M10" s="155">
        <v>7.9119999999999999</v>
      </c>
      <c r="N10" s="5" t="s">
        <v>70</v>
      </c>
      <c r="O10" s="166">
        <v>0.04</v>
      </c>
      <c r="P10" s="166">
        <v>4.104E-2</v>
      </c>
      <c r="R10" s="155">
        <v>60563000</v>
      </c>
      <c r="S10" s="167">
        <v>1</v>
      </c>
      <c r="T10" s="169">
        <v>101.25</v>
      </c>
      <c r="U10" s="155">
        <v>61320.036999999997</v>
      </c>
      <c r="W10" s="20" t="s">
        <v>36</v>
      </c>
      <c r="X10" s="166">
        <v>1.7030000000000001E-3</v>
      </c>
      <c r="Y10" s="166">
        <v>8.7788760037185901E-2</v>
      </c>
      <c r="Z10" s="166">
        <v>2.39158594997026E-2</v>
      </c>
    </row>
    <row r="11" spans="1:26">
      <c r="A11" s="20">
        <v>288</v>
      </c>
      <c r="B11" s="20">
        <v>288</v>
      </c>
      <c r="C11" s="20" t="s">
        <v>60</v>
      </c>
      <c r="D11" s="20" t="s">
        <v>71</v>
      </c>
      <c r="E11" s="20" t="s">
        <v>72</v>
      </c>
      <c r="F11" s="20" t="s">
        <v>63</v>
      </c>
      <c r="G11" s="20" t="s">
        <v>30</v>
      </c>
      <c r="H11" s="20" t="s">
        <v>30</v>
      </c>
      <c r="I11" s="20" t="s">
        <v>41</v>
      </c>
      <c r="J11" s="20" t="s">
        <v>42</v>
      </c>
      <c r="K11" s="20" t="s">
        <v>43</v>
      </c>
      <c r="L11" s="5" t="s">
        <v>44</v>
      </c>
      <c r="M11" s="155">
        <v>14.433999999999999</v>
      </c>
      <c r="N11" s="5" t="s">
        <v>73</v>
      </c>
      <c r="O11" s="166">
        <v>3.7499999999999999E-2</v>
      </c>
      <c r="P11" s="166">
        <v>4.4900000000000002E-2</v>
      </c>
      <c r="R11" s="155">
        <v>15996884</v>
      </c>
      <c r="S11" s="167">
        <v>1</v>
      </c>
      <c r="T11" s="169">
        <v>91.85</v>
      </c>
      <c r="U11" s="155">
        <v>14693.138000000001</v>
      </c>
      <c r="W11" s="20" t="s">
        <v>36</v>
      </c>
      <c r="X11" s="166">
        <v>6.0899999999999995E-4</v>
      </c>
      <c r="Y11" s="166">
        <v>2.10354137835773E-2</v>
      </c>
      <c r="Z11" s="166">
        <v>5.7305741686412203E-3</v>
      </c>
    </row>
    <row r="12" spans="1:26">
      <c r="A12" s="20">
        <v>288</v>
      </c>
      <c r="B12" s="20">
        <v>288</v>
      </c>
      <c r="C12" s="20" t="s">
        <v>60</v>
      </c>
      <c r="D12" s="20" t="s">
        <v>74</v>
      </c>
      <c r="E12" s="20" t="s">
        <v>75</v>
      </c>
      <c r="F12" s="20" t="s">
        <v>63</v>
      </c>
      <c r="G12" s="20" t="s">
        <v>30</v>
      </c>
      <c r="H12" s="20" t="s">
        <v>30</v>
      </c>
      <c r="I12" s="20" t="s">
        <v>41</v>
      </c>
      <c r="J12" s="20" t="s">
        <v>42</v>
      </c>
      <c r="K12" s="20" t="s">
        <v>43</v>
      </c>
      <c r="L12" s="5" t="s">
        <v>44</v>
      </c>
      <c r="M12" s="155">
        <v>1.008</v>
      </c>
      <c r="N12" s="5" t="s">
        <v>76</v>
      </c>
      <c r="O12" s="166">
        <v>6.25E-2</v>
      </c>
      <c r="P12" s="166">
        <v>3.9019999999999999E-2</v>
      </c>
      <c r="R12" s="155">
        <v>4000000</v>
      </c>
      <c r="S12" s="167">
        <v>1</v>
      </c>
      <c r="T12" s="169">
        <v>108.22</v>
      </c>
      <c r="U12" s="155">
        <v>4328.8</v>
      </c>
      <c r="W12" s="20" t="s">
        <v>36</v>
      </c>
      <c r="X12" s="166">
        <v>2.6899999999999998E-4</v>
      </c>
      <c r="Y12" s="166">
        <v>6.1973214619930796E-3</v>
      </c>
      <c r="Z12" s="166">
        <v>1.6883057614293299E-3</v>
      </c>
    </row>
    <row r="13" spans="1:26">
      <c r="A13" s="20">
        <v>288</v>
      </c>
      <c r="B13" s="20">
        <v>288</v>
      </c>
      <c r="C13" s="20" t="s">
        <v>60</v>
      </c>
      <c r="D13" s="20" t="s">
        <v>77</v>
      </c>
      <c r="E13" s="20" t="s">
        <v>78</v>
      </c>
      <c r="F13" s="20" t="s">
        <v>63</v>
      </c>
      <c r="G13" s="20" t="s">
        <v>30</v>
      </c>
      <c r="H13" s="20" t="s">
        <v>30</v>
      </c>
      <c r="I13" s="20" t="s">
        <v>41</v>
      </c>
      <c r="J13" s="20" t="s">
        <v>42</v>
      </c>
      <c r="K13" s="20" t="s">
        <v>43</v>
      </c>
      <c r="L13" s="5" t="s">
        <v>44</v>
      </c>
      <c r="M13" s="155">
        <v>11.16</v>
      </c>
      <c r="N13" s="5" t="s">
        <v>79</v>
      </c>
      <c r="O13" s="166">
        <v>5.5E-2</v>
      </c>
      <c r="P13" s="166">
        <v>4.3470000000000002E-2</v>
      </c>
      <c r="R13" s="155">
        <v>15455811</v>
      </c>
      <c r="S13" s="167">
        <v>1</v>
      </c>
      <c r="T13" s="169">
        <v>117</v>
      </c>
      <c r="U13" s="155">
        <v>18083.298999999999</v>
      </c>
      <c r="W13" s="20" t="s">
        <v>36</v>
      </c>
      <c r="X13" s="166">
        <v>4.9899999999999999E-4</v>
      </c>
      <c r="Y13" s="166">
        <v>2.5888933697719E-2</v>
      </c>
      <c r="Z13" s="166">
        <v>7.0527946931873602E-3</v>
      </c>
    </row>
    <row r="14" spans="1:26">
      <c r="A14" s="20">
        <v>288</v>
      </c>
      <c r="B14" s="20">
        <v>288</v>
      </c>
      <c r="C14" s="20" t="s">
        <v>52</v>
      </c>
      <c r="D14" s="20" t="s">
        <v>80</v>
      </c>
      <c r="E14" s="20" t="s">
        <v>81</v>
      </c>
      <c r="F14" s="20" t="s">
        <v>55</v>
      </c>
      <c r="G14" s="20" t="s">
        <v>30</v>
      </c>
      <c r="H14" s="20" t="s">
        <v>30</v>
      </c>
      <c r="I14" s="20" t="s">
        <v>41</v>
      </c>
      <c r="J14" s="20" t="s">
        <v>42</v>
      </c>
      <c r="K14" s="20" t="s">
        <v>43</v>
      </c>
      <c r="L14" s="5" t="s">
        <v>44</v>
      </c>
      <c r="M14" s="155">
        <v>3.621</v>
      </c>
      <c r="N14" s="5" t="s">
        <v>82</v>
      </c>
      <c r="O14" s="166">
        <v>5.0000000000000001E-3</v>
      </c>
      <c r="P14" s="166">
        <v>1.9359999999999999E-2</v>
      </c>
      <c r="R14" s="155">
        <v>44078000</v>
      </c>
      <c r="S14" s="167">
        <v>1</v>
      </c>
      <c r="T14" s="169">
        <v>113</v>
      </c>
      <c r="U14" s="155">
        <v>49808.14</v>
      </c>
      <c r="W14" s="20" t="s">
        <v>36</v>
      </c>
      <c r="X14" s="166">
        <v>1.498E-3</v>
      </c>
      <c r="Y14" s="166">
        <v>7.1307765432442202E-2</v>
      </c>
      <c r="Z14" s="166">
        <v>1.9426023315486599E-2</v>
      </c>
    </row>
    <row r="15" spans="1:26">
      <c r="A15" s="20">
        <v>288</v>
      </c>
      <c r="B15" s="20">
        <v>288</v>
      </c>
      <c r="C15" s="20" t="s">
        <v>52</v>
      </c>
      <c r="D15" s="20" t="s">
        <v>83</v>
      </c>
      <c r="E15" s="20" t="s">
        <v>84</v>
      </c>
      <c r="F15" s="20" t="s">
        <v>55</v>
      </c>
      <c r="G15" s="20" t="s">
        <v>30</v>
      </c>
      <c r="H15" s="20" t="s">
        <v>30</v>
      </c>
      <c r="I15" s="20" t="s">
        <v>41</v>
      </c>
      <c r="J15" s="20" t="s">
        <v>42</v>
      </c>
      <c r="K15" s="20" t="s">
        <v>43</v>
      </c>
      <c r="L15" s="5" t="s">
        <v>44</v>
      </c>
      <c r="M15" s="155">
        <v>0.81599999999999995</v>
      </c>
      <c r="N15" s="5" t="s">
        <v>85</v>
      </c>
      <c r="O15" s="166">
        <v>1E-3</v>
      </c>
      <c r="P15" s="166">
        <v>2.7019999999999999E-2</v>
      </c>
      <c r="R15" s="155">
        <v>4074056</v>
      </c>
      <c r="S15" s="167">
        <v>1</v>
      </c>
      <c r="T15" s="169">
        <v>116.31</v>
      </c>
      <c r="U15" s="155">
        <v>4738.5349999999999</v>
      </c>
      <c r="W15" s="20" t="s">
        <v>36</v>
      </c>
      <c r="X15" s="166">
        <v>2.02E-4</v>
      </c>
      <c r="Y15" s="166">
        <v>6.7839174282652596E-3</v>
      </c>
      <c r="Z15" s="166">
        <v>1.84810921128458E-3</v>
      </c>
    </row>
    <row r="16" spans="1:26">
      <c r="A16" s="20">
        <v>288</v>
      </c>
      <c r="B16" s="20">
        <v>288</v>
      </c>
      <c r="C16" s="20" t="s">
        <v>52</v>
      </c>
      <c r="D16" s="20" t="s">
        <v>86</v>
      </c>
      <c r="E16" s="20" t="s">
        <v>87</v>
      </c>
      <c r="F16" s="20" t="s">
        <v>55</v>
      </c>
      <c r="G16" s="20" t="s">
        <v>30</v>
      </c>
      <c r="H16" s="20" t="s">
        <v>30</v>
      </c>
      <c r="I16" s="20" t="s">
        <v>41</v>
      </c>
      <c r="J16" s="20" t="s">
        <v>42</v>
      </c>
      <c r="K16" s="20" t="s">
        <v>43</v>
      </c>
      <c r="L16" s="5" t="s">
        <v>44</v>
      </c>
      <c r="M16" s="155">
        <v>3.0049999999999999</v>
      </c>
      <c r="N16" s="5" t="s">
        <v>88</v>
      </c>
      <c r="O16" s="166">
        <v>1.0999999999999999E-2</v>
      </c>
      <c r="P16" s="166">
        <v>1.9990000000000001E-2</v>
      </c>
      <c r="R16" s="155">
        <v>34079522</v>
      </c>
      <c r="S16" s="167">
        <v>1</v>
      </c>
      <c r="T16" s="169">
        <v>105.65</v>
      </c>
      <c r="U16" s="155">
        <v>36005.014999999999</v>
      </c>
      <c r="W16" s="20" t="s">
        <v>36</v>
      </c>
      <c r="X16" s="166">
        <v>1.0859999999999999E-3</v>
      </c>
      <c r="Y16" s="166">
        <v>5.1546537644497598E-2</v>
      </c>
      <c r="Z16" s="166">
        <v>1.40425693617241E-2</v>
      </c>
    </row>
    <row r="17" spans="1:26">
      <c r="A17" s="20">
        <v>288</v>
      </c>
      <c r="B17" s="20">
        <v>288</v>
      </c>
      <c r="C17" s="20" t="s">
        <v>52</v>
      </c>
      <c r="D17" s="20" t="s">
        <v>89</v>
      </c>
      <c r="E17" s="20" t="s">
        <v>90</v>
      </c>
      <c r="F17" s="20" t="s">
        <v>55</v>
      </c>
      <c r="G17" s="20" t="s">
        <v>30</v>
      </c>
      <c r="H17" s="20" t="s">
        <v>30</v>
      </c>
      <c r="I17" s="20" t="s">
        <v>41</v>
      </c>
      <c r="J17" s="20" t="s">
        <v>42</v>
      </c>
      <c r="K17" s="20" t="s">
        <v>43</v>
      </c>
      <c r="L17" s="5" t="s">
        <v>44</v>
      </c>
      <c r="M17" s="155">
        <v>7.5170000000000003</v>
      </c>
      <c r="N17" s="5" t="s">
        <v>91</v>
      </c>
      <c r="O17" s="166">
        <v>1.6E-2</v>
      </c>
      <c r="P17" s="166">
        <v>1.951E-2</v>
      </c>
      <c r="R17" s="155">
        <v>10000000</v>
      </c>
      <c r="S17" s="167">
        <v>1</v>
      </c>
      <c r="T17" s="169">
        <v>105.4</v>
      </c>
      <c r="U17" s="155">
        <v>10540</v>
      </c>
      <c r="W17" s="20" t="s">
        <v>36</v>
      </c>
      <c r="X17" s="166">
        <v>3.7800000000000003E-4</v>
      </c>
      <c r="Y17" s="166">
        <v>1.5089578684486901E-2</v>
      </c>
      <c r="Z17" s="166">
        <v>4.1107795983794798E-3</v>
      </c>
    </row>
    <row r="18" spans="1:26">
      <c r="A18" s="20">
        <v>288</v>
      </c>
      <c r="B18" s="20">
        <v>288</v>
      </c>
      <c r="C18" s="20" t="s">
        <v>60</v>
      </c>
      <c r="D18" s="20" t="s">
        <v>92</v>
      </c>
      <c r="E18" s="20" t="s">
        <v>93</v>
      </c>
      <c r="F18" s="20" t="s">
        <v>63</v>
      </c>
      <c r="G18" s="20" t="s">
        <v>30</v>
      </c>
      <c r="H18" s="20" t="s">
        <v>30</v>
      </c>
      <c r="I18" s="20" t="s">
        <v>41</v>
      </c>
      <c r="J18" s="20" t="s">
        <v>42</v>
      </c>
      <c r="K18" s="20" t="s">
        <v>43</v>
      </c>
      <c r="L18" s="5" t="s">
        <v>44</v>
      </c>
      <c r="M18" s="155">
        <v>4.3780000000000001</v>
      </c>
      <c r="N18" s="5" t="s">
        <v>94</v>
      </c>
      <c r="O18" s="166">
        <v>0.01</v>
      </c>
      <c r="P18" s="166">
        <v>3.934E-2</v>
      </c>
      <c r="R18" s="155">
        <v>46500000</v>
      </c>
      <c r="S18" s="167">
        <v>1</v>
      </c>
      <c r="T18" s="169">
        <v>88.66</v>
      </c>
      <c r="U18" s="155">
        <v>41226.9</v>
      </c>
      <c r="W18" s="20" t="s">
        <v>36</v>
      </c>
      <c r="X18" s="166">
        <v>1.232E-3</v>
      </c>
      <c r="Y18" s="166">
        <v>5.90224432132328E-2</v>
      </c>
      <c r="Z18" s="166">
        <v>1.6079193493778999E-2</v>
      </c>
    </row>
    <row r="19" spans="1:26">
      <c r="A19" s="20">
        <v>288</v>
      </c>
      <c r="B19" s="20">
        <v>288</v>
      </c>
      <c r="C19" s="20" t="s">
        <v>60</v>
      </c>
      <c r="D19" s="20" t="s">
        <v>95</v>
      </c>
      <c r="E19" s="20" t="s">
        <v>96</v>
      </c>
      <c r="F19" s="20" t="s">
        <v>63</v>
      </c>
      <c r="G19" s="20" t="s">
        <v>30</v>
      </c>
      <c r="H19" s="20" t="s">
        <v>30</v>
      </c>
      <c r="I19" s="20" t="s">
        <v>41</v>
      </c>
      <c r="J19" s="20" t="s">
        <v>42</v>
      </c>
      <c r="K19" s="20" t="s">
        <v>43</v>
      </c>
      <c r="L19" s="5" t="s">
        <v>44</v>
      </c>
      <c r="M19" s="155">
        <v>6.2750000000000004</v>
      </c>
      <c r="N19" s="5" t="s">
        <v>97</v>
      </c>
      <c r="O19" s="166">
        <v>1.2999999999999999E-2</v>
      </c>
      <c r="P19" s="166">
        <v>4.027E-2</v>
      </c>
      <c r="R19" s="155">
        <v>53983000</v>
      </c>
      <c r="S19" s="167">
        <v>1</v>
      </c>
      <c r="T19" s="169">
        <v>85.09</v>
      </c>
      <c r="U19" s="155">
        <v>45934.135000000002</v>
      </c>
      <c r="W19" s="20" t="s">
        <v>36</v>
      </c>
      <c r="X19" s="166">
        <v>1.477E-3</v>
      </c>
      <c r="Y19" s="166">
        <v>6.5761550271297098E-2</v>
      </c>
      <c r="Z19" s="166">
        <v>1.791509523662E-2</v>
      </c>
    </row>
    <row r="20" spans="1:26">
      <c r="A20" s="5">
        <v>288</v>
      </c>
      <c r="B20" s="5">
        <v>288</v>
      </c>
      <c r="C20" s="5" t="s">
        <v>26</v>
      </c>
      <c r="D20" s="5" t="s">
        <v>98</v>
      </c>
      <c r="E20" s="5" t="s">
        <v>99</v>
      </c>
      <c r="F20" s="20" t="s">
        <v>29</v>
      </c>
      <c r="G20" s="20" t="s">
        <v>30</v>
      </c>
      <c r="H20" s="20" t="s">
        <v>30</v>
      </c>
      <c r="I20" s="20" t="s">
        <v>31</v>
      </c>
      <c r="J20" s="5" t="s">
        <v>32</v>
      </c>
      <c r="K20" s="20" t="s">
        <v>33</v>
      </c>
      <c r="L20" s="5" t="s">
        <v>34</v>
      </c>
      <c r="M20" s="155">
        <v>3.1749999999999998</v>
      </c>
      <c r="N20" s="5" t="s">
        <v>100</v>
      </c>
      <c r="O20" s="166">
        <v>5.3749999999999999E-2</v>
      </c>
      <c r="P20" s="166">
        <v>4.5350000000000001E-2</v>
      </c>
      <c r="R20" s="155">
        <v>400000</v>
      </c>
      <c r="S20" s="167">
        <v>3.306</v>
      </c>
      <c r="T20" s="169">
        <v>103.13200000000001</v>
      </c>
      <c r="U20" s="155">
        <v>1363.8140000000001</v>
      </c>
      <c r="W20" s="20" t="s">
        <v>36</v>
      </c>
      <c r="X20" s="166">
        <v>2.0000000000000001E-4</v>
      </c>
      <c r="Y20" s="166">
        <v>1.95250214803084E-3</v>
      </c>
      <c r="Z20" s="166">
        <v>5.31910543279042E-4</v>
      </c>
    </row>
    <row r="21" spans="1:26" s="44" customFormat="1">
      <c r="A21" s="44">
        <v>288</v>
      </c>
      <c r="B21" s="44">
        <v>288</v>
      </c>
      <c r="C21" s="44" t="s">
        <v>26</v>
      </c>
      <c r="D21" s="44" t="s">
        <v>101</v>
      </c>
      <c r="E21" s="44" t="s">
        <v>102</v>
      </c>
      <c r="F21" s="44" t="s">
        <v>29</v>
      </c>
      <c r="G21" s="44" t="s">
        <v>30</v>
      </c>
      <c r="H21" s="44" t="s">
        <v>30</v>
      </c>
      <c r="I21" s="44" t="s">
        <v>31</v>
      </c>
      <c r="J21" s="44" t="s">
        <v>32</v>
      </c>
      <c r="K21" s="44" t="s">
        <v>33</v>
      </c>
      <c r="L21" s="30" t="s">
        <v>34</v>
      </c>
      <c r="M21" s="155">
        <v>5.0419999999999998</v>
      </c>
      <c r="N21" s="44" t="s">
        <v>103</v>
      </c>
      <c r="O21" s="166">
        <v>6.5000000000000002E-2</v>
      </c>
      <c r="P21" s="166">
        <v>4.7809999999999998E-2</v>
      </c>
      <c r="R21" s="155">
        <v>500000</v>
      </c>
      <c r="S21" s="167">
        <v>3.306</v>
      </c>
      <c r="T21" s="169">
        <v>111.791</v>
      </c>
      <c r="U21" s="155">
        <v>1847.9069999999999</v>
      </c>
      <c r="W21" s="44" t="s">
        <v>36</v>
      </c>
      <c r="X21" s="166">
        <v>6.2500000000000001E-4</v>
      </c>
      <c r="Y21" s="166">
        <v>2.64555372985137E-3</v>
      </c>
      <c r="Z21" s="166">
        <v>7.2071517213865503E-4</v>
      </c>
    </row>
    <row r="22" spans="1:26">
      <c r="A22" s="5">
        <v>288</v>
      </c>
      <c r="B22" s="5">
        <v>288</v>
      </c>
      <c r="C22" s="5" t="s">
        <v>52</v>
      </c>
      <c r="D22" s="5" t="s">
        <v>53</v>
      </c>
      <c r="E22" s="5" t="s">
        <v>54</v>
      </c>
      <c r="F22" s="5" t="s">
        <v>55</v>
      </c>
      <c r="G22" s="5" t="s">
        <v>30</v>
      </c>
      <c r="H22" s="5" t="s">
        <v>30</v>
      </c>
      <c r="I22" s="5" t="s">
        <v>41</v>
      </c>
      <c r="J22" s="5" t="s">
        <v>42</v>
      </c>
      <c r="K22" s="5" t="s">
        <v>43</v>
      </c>
      <c r="L22" s="20" t="s">
        <v>44</v>
      </c>
      <c r="M22" s="155">
        <v>1.6419999999999999</v>
      </c>
      <c r="N22" s="5" t="s">
        <v>56</v>
      </c>
      <c r="O22" s="166">
        <v>7.4999999999999997E-3</v>
      </c>
      <c r="P22" s="166">
        <v>2.0979999999999999E-2</v>
      </c>
      <c r="R22" s="155">
        <v>12536095</v>
      </c>
      <c r="S22" s="167">
        <v>1</v>
      </c>
      <c r="T22" s="169">
        <v>117.66</v>
      </c>
      <c r="U22" s="155">
        <v>14749.968999999999</v>
      </c>
      <c r="W22" s="5" t="s">
        <v>36</v>
      </c>
      <c r="X22" s="166">
        <v>5.1500000000000005E-4</v>
      </c>
      <c r="Y22" s="166">
        <v>2.11167764239103E-2</v>
      </c>
      <c r="Z22" s="166">
        <v>5.7527393920013001E-3</v>
      </c>
    </row>
    <row r="23" spans="1:26">
      <c r="A23" s="5">
        <v>288</v>
      </c>
      <c r="B23" s="5">
        <v>288</v>
      </c>
      <c r="C23" s="5" t="s">
        <v>52</v>
      </c>
      <c r="D23" s="5" t="s">
        <v>57</v>
      </c>
      <c r="E23" s="5" t="s">
        <v>58</v>
      </c>
      <c r="F23" s="5" t="s">
        <v>55</v>
      </c>
      <c r="G23" s="5" t="s">
        <v>30</v>
      </c>
      <c r="H23" s="5" t="s">
        <v>30</v>
      </c>
      <c r="I23" s="5" t="s">
        <v>41</v>
      </c>
      <c r="J23" s="5" t="s">
        <v>42</v>
      </c>
      <c r="K23" s="5" t="s">
        <v>43</v>
      </c>
      <c r="L23" s="20" t="s">
        <v>44</v>
      </c>
      <c r="M23" s="155">
        <v>6.1310000000000002</v>
      </c>
      <c r="N23" s="5" t="s">
        <v>59</v>
      </c>
      <c r="O23" s="166">
        <v>1E-3</v>
      </c>
      <c r="P23" s="166">
        <v>1.9009999999999999E-2</v>
      </c>
      <c r="R23" s="155">
        <v>24300000</v>
      </c>
      <c r="S23" s="167">
        <v>1</v>
      </c>
      <c r="T23" s="169">
        <v>106.54</v>
      </c>
      <c r="U23" s="155">
        <v>25889.22</v>
      </c>
      <c r="W23" s="5" t="s">
        <v>36</v>
      </c>
      <c r="X23" s="166">
        <v>7.1000000000000002E-4</v>
      </c>
      <c r="Y23" s="166">
        <v>3.70642715626179E-2</v>
      </c>
      <c r="Z23" s="166">
        <v>1.00972369443983E-2</v>
      </c>
    </row>
    <row r="24" spans="1:26">
      <c r="A24" s="5">
        <v>288</v>
      </c>
      <c r="B24" s="5">
        <v>288</v>
      </c>
      <c r="C24" s="5" t="s">
        <v>60</v>
      </c>
      <c r="D24" s="5" t="s">
        <v>61</v>
      </c>
      <c r="E24" s="5" t="s">
        <v>62</v>
      </c>
      <c r="F24" s="5" t="s">
        <v>63</v>
      </c>
      <c r="G24" s="5" t="s">
        <v>30</v>
      </c>
      <c r="H24" s="5" t="s">
        <v>30</v>
      </c>
      <c r="I24" s="5" t="s">
        <v>41</v>
      </c>
      <c r="J24" s="5" t="s">
        <v>42</v>
      </c>
      <c r="K24" s="5" t="s">
        <v>43</v>
      </c>
      <c r="L24" s="20" t="s">
        <v>44</v>
      </c>
      <c r="M24" s="155">
        <v>2.9140000000000001</v>
      </c>
      <c r="N24" s="5" t="s">
        <v>64</v>
      </c>
      <c r="O24" s="166">
        <v>2.2499999999999999E-2</v>
      </c>
      <c r="P24" s="166">
        <v>3.9399999999999998E-2</v>
      </c>
      <c r="R24" s="155">
        <v>12825000</v>
      </c>
      <c r="S24" s="167">
        <v>1</v>
      </c>
      <c r="T24" s="169">
        <v>95.37</v>
      </c>
      <c r="U24" s="155">
        <v>12231.201999999999</v>
      </c>
      <c r="W24" s="5" t="s">
        <v>36</v>
      </c>
      <c r="X24" s="166">
        <v>3.6900000000000002E-4</v>
      </c>
      <c r="Y24" s="166">
        <v>1.7510786767518299E-2</v>
      </c>
      <c r="Z24" s="166">
        <v>4.7703773909533297E-3</v>
      </c>
    </row>
    <row r="25" spans="1:26">
      <c r="A25" s="5">
        <v>288</v>
      </c>
      <c r="B25" s="5">
        <v>288</v>
      </c>
      <c r="C25" s="5" t="s">
        <v>60</v>
      </c>
      <c r="D25" s="5" t="s">
        <v>104</v>
      </c>
      <c r="E25" s="5" t="s">
        <v>105</v>
      </c>
      <c r="F25" s="5" t="s">
        <v>63</v>
      </c>
      <c r="G25" s="5" t="s">
        <v>30</v>
      </c>
      <c r="H25" s="5" t="s">
        <v>30</v>
      </c>
      <c r="I25" s="5" t="s">
        <v>41</v>
      </c>
      <c r="J25" s="5" t="s">
        <v>42</v>
      </c>
      <c r="K25" s="5" t="s">
        <v>43</v>
      </c>
      <c r="L25" s="20" t="s">
        <v>44</v>
      </c>
      <c r="M25" s="155">
        <v>3.1869999999999998</v>
      </c>
      <c r="N25" s="5" t="s">
        <v>106</v>
      </c>
      <c r="O25" s="166">
        <v>3.7499999999999999E-2</v>
      </c>
      <c r="P25" s="166">
        <v>3.9239999999999997E-2</v>
      </c>
      <c r="R25" s="155">
        <v>12650000</v>
      </c>
      <c r="S25" s="167">
        <v>1</v>
      </c>
      <c r="T25" s="169">
        <v>101.7</v>
      </c>
      <c r="U25" s="155">
        <v>12865.05</v>
      </c>
      <c r="W25" s="5" t="s">
        <v>36</v>
      </c>
      <c r="X25" s="166">
        <v>3.6099999999999999E-4</v>
      </c>
      <c r="Y25" s="166">
        <v>1.8418233800271199E-2</v>
      </c>
      <c r="Z25" s="166">
        <v>5.0175887165210603E-3</v>
      </c>
    </row>
    <row r="26" spans="1:26">
      <c r="A26" s="5">
        <v>288</v>
      </c>
      <c r="B26" s="5">
        <v>288</v>
      </c>
      <c r="C26" s="5" t="s">
        <v>60</v>
      </c>
      <c r="D26" s="5" t="s">
        <v>107</v>
      </c>
      <c r="E26" s="5" t="s">
        <v>108</v>
      </c>
      <c r="F26" s="5" t="s">
        <v>63</v>
      </c>
      <c r="G26" s="5" t="s">
        <v>30</v>
      </c>
      <c r="H26" s="5" t="s">
        <v>30</v>
      </c>
      <c r="I26" s="5" t="s">
        <v>41</v>
      </c>
      <c r="J26" s="5" t="s">
        <v>42</v>
      </c>
      <c r="K26" s="5" t="s">
        <v>43</v>
      </c>
      <c r="L26" s="20" t="s">
        <v>44</v>
      </c>
      <c r="M26" s="155">
        <v>1.462</v>
      </c>
      <c r="N26" s="5" t="s">
        <v>109</v>
      </c>
      <c r="O26" s="166">
        <v>0.02</v>
      </c>
      <c r="P26" s="166">
        <v>3.9870000000000003E-2</v>
      </c>
      <c r="R26" s="155">
        <v>11085000</v>
      </c>
      <c r="S26" s="167">
        <v>1</v>
      </c>
      <c r="T26" s="169">
        <v>98.22</v>
      </c>
      <c r="U26" s="155">
        <v>10887.687</v>
      </c>
      <c r="W26" s="5" t="s">
        <v>36</v>
      </c>
      <c r="X26" s="166">
        <v>3.9300000000000001E-4</v>
      </c>
      <c r="Y26" s="166">
        <v>1.5587344371780399E-2</v>
      </c>
      <c r="Z26" s="166">
        <v>4.24638345285973E-3</v>
      </c>
    </row>
    <row r="27" spans="1:26">
      <c r="A27" s="5">
        <v>288</v>
      </c>
      <c r="B27" s="5">
        <v>288</v>
      </c>
      <c r="C27" s="5" t="s">
        <v>60</v>
      </c>
      <c r="D27" s="5" t="s">
        <v>68</v>
      </c>
      <c r="E27" s="5" t="s">
        <v>69</v>
      </c>
      <c r="F27" s="5" t="s">
        <v>63</v>
      </c>
      <c r="G27" s="5" t="s">
        <v>30</v>
      </c>
      <c r="H27" s="5" t="s">
        <v>30</v>
      </c>
      <c r="I27" s="5" t="s">
        <v>41</v>
      </c>
      <c r="J27" s="5" t="s">
        <v>42</v>
      </c>
      <c r="K27" s="5" t="s">
        <v>43</v>
      </c>
      <c r="L27" s="5" t="s">
        <v>44</v>
      </c>
      <c r="M27" s="155">
        <v>7.9119999999999999</v>
      </c>
      <c r="N27" s="5" t="s">
        <v>70</v>
      </c>
      <c r="O27" s="166">
        <v>0.04</v>
      </c>
      <c r="P27" s="166">
        <v>4.104E-2</v>
      </c>
      <c r="R27" s="155">
        <v>28300000</v>
      </c>
      <c r="S27" s="167">
        <v>1</v>
      </c>
      <c r="T27" s="169">
        <v>101.25</v>
      </c>
      <c r="U27" s="155">
        <v>28653.75</v>
      </c>
      <c r="W27" s="5" t="s">
        <v>36</v>
      </c>
      <c r="X27" s="166">
        <v>7.9600000000000005E-4</v>
      </c>
      <c r="Y27" s="166">
        <v>4.1022107706889702E-2</v>
      </c>
      <c r="Z27" s="166">
        <v>1.1175450751144801E-2</v>
      </c>
    </row>
    <row r="28" spans="1:26">
      <c r="A28" s="5">
        <v>288</v>
      </c>
      <c r="B28" s="5">
        <v>288</v>
      </c>
      <c r="C28" s="5" t="s">
        <v>60</v>
      </c>
      <c r="D28" s="5" t="s">
        <v>74</v>
      </c>
      <c r="E28" s="5" t="s">
        <v>75</v>
      </c>
      <c r="F28" s="5" t="s">
        <v>63</v>
      </c>
      <c r="G28" s="5" t="s">
        <v>30</v>
      </c>
      <c r="H28" s="5" t="s">
        <v>30</v>
      </c>
      <c r="I28" s="5" t="s">
        <v>41</v>
      </c>
      <c r="J28" s="5" t="s">
        <v>42</v>
      </c>
      <c r="K28" s="5" t="s">
        <v>43</v>
      </c>
      <c r="L28" s="5" t="s">
        <v>44</v>
      </c>
      <c r="M28" s="155">
        <v>1.008</v>
      </c>
      <c r="N28" s="5" t="s">
        <v>76</v>
      </c>
      <c r="O28" s="166">
        <v>6.25E-2</v>
      </c>
      <c r="P28" s="166">
        <v>3.9019999999999999E-2</v>
      </c>
      <c r="R28" s="155">
        <v>200000</v>
      </c>
      <c r="S28" s="167">
        <v>1</v>
      </c>
      <c r="T28" s="169">
        <v>108.22</v>
      </c>
      <c r="U28" s="155">
        <v>216.44</v>
      </c>
      <c r="W28" s="5" t="s">
        <v>36</v>
      </c>
      <c r="X28" s="166">
        <v>1.2999999999999999E-5</v>
      </c>
      <c r="Y28" s="166">
        <v>3.0986607309965399E-4</v>
      </c>
      <c r="Z28" s="166">
        <v>8.4415288071466404E-5</v>
      </c>
    </row>
    <row r="29" spans="1:26">
      <c r="A29" s="5">
        <v>288</v>
      </c>
      <c r="B29" s="5">
        <v>288</v>
      </c>
      <c r="C29" s="5" t="s">
        <v>52</v>
      </c>
      <c r="D29" s="5" t="s">
        <v>80</v>
      </c>
      <c r="E29" s="5" t="s">
        <v>81</v>
      </c>
      <c r="F29" s="5" t="s">
        <v>55</v>
      </c>
      <c r="G29" s="5" t="s">
        <v>30</v>
      </c>
      <c r="H29" s="5" t="s">
        <v>30</v>
      </c>
      <c r="I29" s="5" t="s">
        <v>41</v>
      </c>
      <c r="J29" s="5" t="s">
        <v>42</v>
      </c>
      <c r="K29" s="5" t="s">
        <v>43</v>
      </c>
      <c r="L29" s="5" t="s">
        <v>44</v>
      </c>
      <c r="M29" s="155">
        <v>3.621</v>
      </c>
      <c r="N29" s="5" t="s">
        <v>82</v>
      </c>
      <c r="O29" s="166">
        <v>5.0000000000000001E-3</v>
      </c>
      <c r="P29" s="166">
        <v>1.9359999999999999E-2</v>
      </c>
      <c r="R29" s="155">
        <v>27000000</v>
      </c>
      <c r="S29" s="167">
        <v>1</v>
      </c>
      <c r="T29" s="169">
        <v>113</v>
      </c>
      <c r="U29" s="155">
        <v>30510</v>
      </c>
      <c r="W29" s="5" t="s">
        <v>36</v>
      </c>
      <c r="X29" s="166">
        <v>9.1699999999999995E-4</v>
      </c>
      <c r="Y29" s="166">
        <v>4.3679605850445599E-2</v>
      </c>
      <c r="Z29" s="166">
        <v>1.1899419881077599E-2</v>
      </c>
    </row>
    <row r="30" spans="1:26">
      <c r="A30" s="5">
        <v>288</v>
      </c>
      <c r="B30" s="5">
        <v>288</v>
      </c>
      <c r="C30" s="5" t="s">
        <v>52</v>
      </c>
      <c r="D30" s="5" t="s">
        <v>86</v>
      </c>
      <c r="E30" s="5" t="s">
        <v>87</v>
      </c>
      <c r="F30" s="5" t="s">
        <v>55</v>
      </c>
      <c r="G30" s="5" t="s">
        <v>30</v>
      </c>
      <c r="H30" s="5" t="s">
        <v>30</v>
      </c>
      <c r="I30" s="5" t="s">
        <v>41</v>
      </c>
      <c r="J30" s="5" t="s">
        <v>42</v>
      </c>
      <c r="K30" s="5" t="s">
        <v>43</v>
      </c>
      <c r="L30" s="5" t="s">
        <v>44</v>
      </c>
      <c r="M30" s="155">
        <v>3.0049999999999999</v>
      </c>
      <c r="N30" s="5" t="s">
        <v>88</v>
      </c>
      <c r="O30" s="166">
        <v>1.0999999999999999E-2</v>
      </c>
      <c r="P30" s="166">
        <v>1.9990000000000001E-2</v>
      </c>
      <c r="R30" s="155">
        <v>24500000</v>
      </c>
      <c r="S30" s="167">
        <v>1</v>
      </c>
      <c r="T30" s="169">
        <v>105.65</v>
      </c>
      <c r="U30" s="155">
        <v>25884.25</v>
      </c>
      <c r="W30" s="5" t="s">
        <v>36</v>
      </c>
      <c r="X30" s="166">
        <v>7.8100000000000001E-4</v>
      </c>
      <c r="Y30" s="166">
        <v>3.70571562679251E-2</v>
      </c>
      <c r="Z30" s="166">
        <v>1.0095298559711001E-2</v>
      </c>
    </row>
    <row r="31" spans="1:26">
      <c r="A31" s="5">
        <v>288</v>
      </c>
      <c r="B31" s="5">
        <v>288</v>
      </c>
      <c r="C31" s="5" t="s">
        <v>60</v>
      </c>
      <c r="D31" s="5" t="s">
        <v>92</v>
      </c>
      <c r="E31" s="5" t="s">
        <v>93</v>
      </c>
      <c r="F31" s="5" t="s">
        <v>63</v>
      </c>
      <c r="G31" s="5" t="s">
        <v>30</v>
      </c>
      <c r="H31" s="5" t="s">
        <v>30</v>
      </c>
      <c r="I31" s="5" t="s">
        <v>41</v>
      </c>
      <c r="J31" s="5" t="s">
        <v>42</v>
      </c>
      <c r="K31" s="5" t="s">
        <v>43</v>
      </c>
      <c r="L31" s="5" t="s">
        <v>44</v>
      </c>
      <c r="M31" s="155">
        <v>4.3780000000000001</v>
      </c>
      <c r="N31" s="5" t="s">
        <v>94</v>
      </c>
      <c r="O31" s="166">
        <v>0.01</v>
      </c>
      <c r="P31" s="166">
        <v>3.934E-2</v>
      </c>
      <c r="R31" s="155">
        <v>7720624</v>
      </c>
      <c r="S31" s="167">
        <v>1</v>
      </c>
      <c r="T31" s="169">
        <v>88.66</v>
      </c>
      <c r="U31" s="155">
        <v>6845.1049999999996</v>
      </c>
      <c r="W31" s="5" t="s">
        <v>36</v>
      </c>
      <c r="X31" s="166">
        <v>2.04E-4</v>
      </c>
      <c r="Y31" s="166">
        <v>9.7997869163596301E-3</v>
      </c>
      <c r="Z31" s="166">
        <v>2.66970768147773E-3</v>
      </c>
    </row>
    <row r="32" spans="1:26">
      <c r="A32" s="5">
        <v>288</v>
      </c>
      <c r="B32" s="5">
        <v>288</v>
      </c>
      <c r="C32" s="5" t="s">
        <v>60</v>
      </c>
      <c r="D32" s="5" t="s">
        <v>95</v>
      </c>
      <c r="E32" s="5" t="s">
        <v>96</v>
      </c>
      <c r="F32" s="5" t="s">
        <v>63</v>
      </c>
      <c r="G32" s="5" t="s">
        <v>30</v>
      </c>
      <c r="H32" s="5" t="s">
        <v>30</v>
      </c>
      <c r="I32" s="5" t="s">
        <v>41</v>
      </c>
      <c r="J32" s="5" t="s">
        <v>42</v>
      </c>
      <c r="K32" s="5" t="s">
        <v>43</v>
      </c>
      <c r="L32" s="5" t="s">
        <v>44</v>
      </c>
      <c r="M32" s="155">
        <v>6.2750000000000004</v>
      </c>
      <c r="N32" s="5" t="s">
        <v>97</v>
      </c>
      <c r="O32" s="166">
        <v>1.2999999999999999E-2</v>
      </c>
      <c r="P32" s="166">
        <v>4.027E-2</v>
      </c>
      <c r="R32" s="155">
        <v>36965000</v>
      </c>
      <c r="S32" s="167">
        <v>1</v>
      </c>
      <c r="T32" s="169">
        <v>85.09</v>
      </c>
      <c r="U32" s="155">
        <v>31453.518</v>
      </c>
      <c r="W32" s="5" t="s">
        <v>36</v>
      </c>
      <c r="X32" s="166">
        <v>1.0120000000000001E-3</v>
      </c>
      <c r="Y32" s="166">
        <v>4.5030393008511901E-2</v>
      </c>
      <c r="Z32" s="166">
        <v>1.22674081733446E-2</v>
      </c>
    </row>
    <row r="33" spans="1:26">
      <c r="A33" s="5">
        <v>288</v>
      </c>
      <c r="B33" s="5">
        <v>288</v>
      </c>
      <c r="C33" s="5" t="s">
        <v>37</v>
      </c>
      <c r="D33" s="5" t="s">
        <v>110</v>
      </c>
      <c r="E33" s="5" t="s">
        <v>111</v>
      </c>
      <c r="F33" s="5" t="s">
        <v>40</v>
      </c>
      <c r="G33" s="5" t="s">
        <v>30</v>
      </c>
      <c r="H33" s="5" t="s">
        <v>30</v>
      </c>
      <c r="I33" s="5" t="s">
        <v>41</v>
      </c>
      <c r="J33" s="5" t="s">
        <v>42</v>
      </c>
      <c r="K33" s="5" t="s">
        <v>43</v>
      </c>
      <c r="L33" s="5" t="s">
        <v>44</v>
      </c>
      <c r="M33" s="155">
        <v>0.58099999999999996</v>
      </c>
      <c r="N33" s="5" t="s">
        <v>112</v>
      </c>
      <c r="O33" s="166">
        <v>0</v>
      </c>
      <c r="P33" s="166">
        <v>4.2160000000000003E-2</v>
      </c>
      <c r="R33" s="155">
        <v>8250000</v>
      </c>
      <c r="S33" s="167">
        <v>1</v>
      </c>
      <c r="T33" s="169">
        <v>97.63</v>
      </c>
      <c r="U33" s="155">
        <v>8054.4750000000004</v>
      </c>
      <c r="W33" s="5" t="s">
        <v>36</v>
      </c>
      <c r="X33" s="166">
        <v>4.5800000000000002E-4</v>
      </c>
      <c r="Y33" s="166">
        <v>1.15311797224604E-2</v>
      </c>
      <c r="Z33" s="166">
        <v>3.14138249579294E-3</v>
      </c>
    </row>
    <row r="34" spans="1:26">
      <c r="A34" s="5">
        <v>288</v>
      </c>
      <c r="B34" s="5">
        <v>288</v>
      </c>
      <c r="C34" s="5" t="s">
        <v>113</v>
      </c>
      <c r="D34" s="5" t="s">
        <v>114</v>
      </c>
      <c r="E34" s="5" t="s">
        <v>115</v>
      </c>
      <c r="F34" s="5" t="s">
        <v>29</v>
      </c>
      <c r="G34" s="5" t="s">
        <v>116</v>
      </c>
      <c r="H34" s="5" t="s">
        <v>117</v>
      </c>
      <c r="I34" s="5" t="s">
        <v>31</v>
      </c>
      <c r="J34" s="5" t="s">
        <v>118</v>
      </c>
      <c r="K34" s="5" t="s">
        <v>118</v>
      </c>
      <c r="L34" s="5" t="s">
        <v>34</v>
      </c>
      <c r="M34" s="155">
        <v>0</v>
      </c>
      <c r="N34" s="5" t="s">
        <v>119</v>
      </c>
      <c r="O34" s="166">
        <v>0</v>
      </c>
      <c r="P34" s="166">
        <v>0</v>
      </c>
      <c r="R34" s="155">
        <v>2370000</v>
      </c>
      <c r="S34" s="167">
        <v>3.306</v>
      </c>
      <c r="T34" s="169">
        <v>98.811999999999998</v>
      </c>
      <c r="U34" s="155">
        <v>7742.1059999999998</v>
      </c>
      <c r="W34" s="5" t="s">
        <v>36</v>
      </c>
      <c r="X34" s="166">
        <v>0</v>
      </c>
      <c r="Y34" s="166">
        <v>1.1083977360097899E-2</v>
      </c>
      <c r="Z34" s="166">
        <v>3.0195533588776098E-3</v>
      </c>
    </row>
    <row r="35" spans="1:26">
      <c r="A35" s="5">
        <v>288</v>
      </c>
      <c r="B35" s="5">
        <v>288</v>
      </c>
      <c r="C35" s="5" t="s">
        <v>120</v>
      </c>
      <c r="D35" s="5" t="s">
        <v>121</v>
      </c>
      <c r="E35" s="5" t="s">
        <v>122</v>
      </c>
      <c r="F35" s="5" t="s">
        <v>29</v>
      </c>
      <c r="G35" s="5" t="s">
        <v>116</v>
      </c>
      <c r="H35" s="5" t="s">
        <v>117</v>
      </c>
      <c r="I35" s="5" t="s">
        <v>31</v>
      </c>
      <c r="J35" s="5" t="s">
        <v>123</v>
      </c>
      <c r="K35" s="5" t="s">
        <v>33</v>
      </c>
      <c r="L35" s="5" t="s">
        <v>34</v>
      </c>
      <c r="M35" s="155">
        <v>7.5309999999999997</v>
      </c>
      <c r="N35" s="5" t="s">
        <v>124</v>
      </c>
      <c r="O35" s="166">
        <v>3.875E-2</v>
      </c>
      <c r="P35" s="166">
        <v>4.0570000000000002E-2</v>
      </c>
      <c r="R35" s="155">
        <v>5588000</v>
      </c>
      <c r="S35" s="167">
        <v>3.306</v>
      </c>
      <c r="T35" s="169">
        <v>98.986999999999995</v>
      </c>
      <c r="U35" s="155">
        <v>18286.787</v>
      </c>
      <c r="W35" s="5" t="s">
        <v>36</v>
      </c>
      <c r="X35" s="166">
        <v>4.3000000000000002E-5</v>
      </c>
      <c r="Y35" s="166">
        <v>2.6180257397831998E-2</v>
      </c>
      <c r="Z35" s="166">
        <v>7.1321585739151797E-3</v>
      </c>
    </row>
    <row r="36" spans="1:26">
      <c r="A36" s="5">
        <v>288</v>
      </c>
      <c r="B36" s="5">
        <v>288</v>
      </c>
      <c r="C36" s="5" t="s">
        <v>120</v>
      </c>
      <c r="D36" s="5" t="s">
        <v>121</v>
      </c>
      <c r="E36" s="5" t="s">
        <v>122</v>
      </c>
      <c r="F36" s="5" t="s">
        <v>29</v>
      </c>
      <c r="G36" s="5" t="s">
        <v>116</v>
      </c>
      <c r="H36" s="5" t="s">
        <v>117</v>
      </c>
      <c r="I36" s="5" t="s">
        <v>31</v>
      </c>
      <c r="J36" s="5" t="s">
        <v>123</v>
      </c>
      <c r="K36" s="5" t="s">
        <v>33</v>
      </c>
      <c r="L36" s="5" t="s">
        <v>34</v>
      </c>
      <c r="M36" s="155">
        <v>7.5309999999999997</v>
      </c>
      <c r="N36" s="5" t="s">
        <v>124</v>
      </c>
      <c r="O36" s="166">
        <v>3.875E-2</v>
      </c>
      <c r="P36" s="166">
        <v>4.0570000000000002E-2</v>
      </c>
      <c r="R36" s="155">
        <v>925000</v>
      </c>
      <c r="S36" s="167">
        <v>3.306</v>
      </c>
      <c r="T36" s="169">
        <v>98.986999999999995</v>
      </c>
      <c r="U36" s="155">
        <v>3027.0720000000001</v>
      </c>
      <c r="W36" s="5" t="s">
        <v>36</v>
      </c>
      <c r="X36" s="166">
        <v>6.9999999999999999E-6</v>
      </c>
      <c r="Y36" s="166">
        <v>4.3337040252316699E-3</v>
      </c>
      <c r="Z36" s="166">
        <v>1.1806096422461599E-3</v>
      </c>
    </row>
    <row r="37" spans="1:26">
      <c r="A37" s="5">
        <v>288</v>
      </c>
      <c r="B37" s="5">
        <v>1451</v>
      </c>
      <c r="C37" s="5" t="s">
        <v>52</v>
      </c>
      <c r="D37" s="5" t="s">
        <v>53</v>
      </c>
      <c r="E37" s="5" t="s">
        <v>54</v>
      </c>
      <c r="F37" s="5" t="s">
        <v>55</v>
      </c>
      <c r="G37" s="5" t="s">
        <v>30</v>
      </c>
      <c r="H37" s="5" t="s">
        <v>30</v>
      </c>
      <c r="I37" s="5" t="s">
        <v>41</v>
      </c>
      <c r="J37" s="5" t="s">
        <v>42</v>
      </c>
      <c r="K37" s="5" t="s">
        <v>43</v>
      </c>
      <c r="L37" s="5" t="s">
        <v>44</v>
      </c>
      <c r="M37" s="155">
        <v>1.6419999999999999</v>
      </c>
      <c r="N37" s="5" t="s">
        <v>56</v>
      </c>
      <c r="O37" s="166">
        <v>7.4999999999999997E-3</v>
      </c>
      <c r="P37" s="166">
        <v>2.0979999999999999E-2</v>
      </c>
      <c r="R37" s="155">
        <v>857000</v>
      </c>
      <c r="S37" s="167">
        <v>1</v>
      </c>
      <c r="T37" s="169">
        <v>117.66</v>
      </c>
      <c r="U37" s="155">
        <v>1008.346</v>
      </c>
      <c r="W37" s="5" t="s">
        <v>36</v>
      </c>
      <c r="X37" s="166">
        <v>3.4999999999999997E-5</v>
      </c>
      <c r="Y37" s="166">
        <v>4.2356547037532603E-2</v>
      </c>
      <c r="Z37" s="166">
        <v>2.03031090377126E-2</v>
      </c>
    </row>
    <row r="38" spans="1:26">
      <c r="A38" s="5">
        <v>288</v>
      </c>
      <c r="B38" s="5">
        <v>1451</v>
      </c>
      <c r="C38" s="5" t="s">
        <v>52</v>
      </c>
      <c r="D38" s="5" t="s">
        <v>57</v>
      </c>
      <c r="E38" s="5" t="s">
        <v>58</v>
      </c>
      <c r="F38" s="5" t="s">
        <v>55</v>
      </c>
      <c r="G38" s="5" t="s">
        <v>30</v>
      </c>
      <c r="H38" s="5" t="s">
        <v>30</v>
      </c>
      <c r="I38" s="5" t="s">
        <v>41</v>
      </c>
      <c r="J38" s="5" t="s">
        <v>42</v>
      </c>
      <c r="K38" s="5" t="s">
        <v>43</v>
      </c>
      <c r="L38" s="5" t="s">
        <v>44</v>
      </c>
      <c r="M38" s="155">
        <v>6.1310000000000002</v>
      </c>
      <c r="N38" s="5" t="s">
        <v>59</v>
      </c>
      <c r="O38" s="166">
        <v>1E-3</v>
      </c>
      <c r="P38" s="166">
        <v>1.9009999999999999E-2</v>
      </c>
      <c r="R38" s="155">
        <v>275000</v>
      </c>
      <c r="S38" s="167">
        <v>1</v>
      </c>
      <c r="T38" s="169">
        <v>106.54</v>
      </c>
      <c r="U38" s="155">
        <v>292.98500000000001</v>
      </c>
      <c r="W38" s="5" t="s">
        <v>36</v>
      </c>
      <c r="X38" s="166">
        <v>7.9999999999999996E-6</v>
      </c>
      <c r="Y38" s="166">
        <v>1.23071152881733E-2</v>
      </c>
      <c r="Z38" s="166">
        <v>5.8992699148508899E-3</v>
      </c>
    </row>
    <row r="39" spans="1:26">
      <c r="A39" s="5">
        <v>288</v>
      </c>
      <c r="B39" s="5">
        <v>1451</v>
      </c>
      <c r="C39" s="5" t="s">
        <v>60</v>
      </c>
      <c r="D39" s="5" t="s">
        <v>61</v>
      </c>
      <c r="E39" s="5" t="s">
        <v>62</v>
      </c>
      <c r="F39" s="5" t="s">
        <v>63</v>
      </c>
      <c r="G39" s="5" t="s">
        <v>30</v>
      </c>
      <c r="H39" s="5" t="s">
        <v>30</v>
      </c>
      <c r="I39" s="5" t="s">
        <v>41</v>
      </c>
      <c r="J39" s="5" t="s">
        <v>42</v>
      </c>
      <c r="K39" s="5" t="s">
        <v>43</v>
      </c>
      <c r="L39" s="5" t="s">
        <v>44</v>
      </c>
      <c r="M39" s="155">
        <v>2.9140000000000001</v>
      </c>
      <c r="N39" s="5" t="s">
        <v>64</v>
      </c>
      <c r="O39" s="166">
        <v>2.2499999999999999E-2</v>
      </c>
      <c r="P39" s="166">
        <v>3.9399999999999998E-2</v>
      </c>
      <c r="R39" s="155">
        <v>814000</v>
      </c>
      <c r="S39" s="167">
        <v>1</v>
      </c>
      <c r="T39" s="169">
        <v>95.37</v>
      </c>
      <c r="U39" s="155">
        <v>776.31200000000001</v>
      </c>
      <c r="W39" s="5" t="s">
        <v>36</v>
      </c>
      <c r="X39" s="166">
        <v>2.3E-5</v>
      </c>
      <c r="Y39" s="166">
        <v>3.2609720027200598E-2</v>
      </c>
      <c r="Z39" s="166">
        <v>1.56310829779127E-2</v>
      </c>
    </row>
    <row r="40" spans="1:26">
      <c r="A40" s="5">
        <v>288</v>
      </c>
      <c r="B40" s="5">
        <v>1451</v>
      </c>
      <c r="C40" s="5" t="s">
        <v>60</v>
      </c>
      <c r="D40" s="5" t="s">
        <v>65</v>
      </c>
      <c r="E40" s="5" t="s">
        <v>66</v>
      </c>
      <c r="F40" s="5" t="s">
        <v>63</v>
      </c>
      <c r="G40" s="5" t="s">
        <v>30</v>
      </c>
      <c r="H40" s="5" t="s">
        <v>30</v>
      </c>
      <c r="I40" s="5" t="s">
        <v>41</v>
      </c>
      <c r="J40" s="5" t="s">
        <v>42</v>
      </c>
      <c r="K40" s="5" t="s">
        <v>43</v>
      </c>
      <c r="L40" s="5" t="s">
        <v>44</v>
      </c>
      <c r="M40" s="155">
        <v>0.39500000000000002</v>
      </c>
      <c r="N40" s="5" t="s">
        <v>67</v>
      </c>
      <c r="O40" s="166">
        <v>5.0000000000000001E-3</v>
      </c>
      <c r="P40" s="166">
        <v>4.1750000000000002E-2</v>
      </c>
      <c r="R40" s="155">
        <v>893685</v>
      </c>
      <c r="S40" s="167">
        <v>1</v>
      </c>
      <c r="T40" s="169">
        <v>98.89</v>
      </c>
      <c r="U40" s="155">
        <v>883.76499999999999</v>
      </c>
      <c r="W40" s="5" t="s">
        <v>36</v>
      </c>
      <c r="X40" s="166">
        <v>3.1999999999999999E-5</v>
      </c>
      <c r="Y40" s="166">
        <v>3.7123398570879498E-2</v>
      </c>
      <c r="Z40" s="166">
        <v>1.7794661315691102E-2</v>
      </c>
    </row>
    <row r="41" spans="1:26">
      <c r="A41" s="5">
        <v>288</v>
      </c>
      <c r="B41" s="5">
        <v>1451</v>
      </c>
      <c r="C41" s="5" t="s">
        <v>60</v>
      </c>
      <c r="D41" s="5" t="s">
        <v>68</v>
      </c>
      <c r="E41" s="5" t="s">
        <v>69</v>
      </c>
      <c r="F41" s="5" t="s">
        <v>63</v>
      </c>
      <c r="G41" s="5" t="s">
        <v>30</v>
      </c>
      <c r="H41" s="5" t="s">
        <v>30</v>
      </c>
      <c r="I41" s="5" t="s">
        <v>41</v>
      </c>
      <c r="J41" s="5" t="s">
        <v>42</v>
      </c>
      <c r="K41" s="5" t="s">
        <v>43</v>
      </c>
      <c r="L41" s="5" t="s">
        <v>44</v>
      </c>
      <c r="M41" s="155">
        <v>7.9119999999999999</v>
      </c>
      <c r="N41" s="5" t="s">
        <v>70</v>
      </c>
      <c r="O41" s="166">
        <v>0.04</v>
      </c>
      <c r="P41" s="166">
        <v>4.104E-2</v>
      </c>
      <c r="R41" s="155">
        <v>2953000</v>
      </c>
      <c r="S41" s="167">
        <v>1</v>
      </c>
      <c r="T41" s="169">
        <v>101.25</v>
      </c>
      <c r="U41" s="155">
        <v>2989.9119999999998</v>
      </c>
      <c r="W41" s="5" t="s">
        <v>36</v>
      </c>
      <c r="X41" s="166">
        <v>8.2999999999999998E-5</v>
      </c>
      <c r="Y41" s="166">
        <v>0.125594135669234</v>
      </c>
      <c r="Z41" s="166">
        <v>6.0202061058711599E-2</v>
      </c>
    </row>
    <row r="42" spans="1:26">
      <c r="A42" s="5">
        <v>288</v>
      </c>
      <c r="B42" s="5">
        <v>1451</v>
      </c>
      <c r="C42" s="5" t="s">
        <v>60</v>
      </c>
      <c r="D42" s="5" t="s">
        <v>71</v>
      </c>
      <c r="E42" s="5" t="s">
        <v>72</v>
      </c>
      <c r="F42" s="5" t="s">
        <v>63</v>
      </c>
      <c r="G42" s="5" t="s">
        <v>30</v>
      </c>
      <c r="H42" s="5" t="s">
        <v>30</v>
      </c>
      <c r="I42" s="5" t="s">
        <v>41</v>
      </c>
      <c r="J42" s="5" t="s">
        <v>42</v>
      </c>
      <c r="K42" s="5" t="s">
        <v>43</v>
      </c>
      <c r="L42" s="5" t="s">
        <v>44</v>
      </c>
      <c r="M42" s="155">
        <v>14.433999999999999</v>
      </c>
      <c r="N42" s="5" t="s">
        <v>73</v>
      </c>
      <c r="O42" s="166">
        <v>3.7499999999999999E-2</v>
      </c>
      <c r="P42" s="166">
        <v>4.4900000000000002E-2</v>
      </c>
      <c r="R42" s="155">
        <v>1200810</v>
      </c>
      <c r="S42" s="167">
        <v>1</v>
      </c>
      <c r="T42" s="169">
        <v>91.85</v>
      </c>
      <c r="U42" s="155">
        <v>1102.944</v>
      </c>
      <c r="W42" s="5" t="s">
        <v>36</v>
      </c>
      <c r="X42" s="166">
        <v>4.6E-5</v>
      </c>
      <c r="Y42" s="166">
        <v>4.6330217518959403E-2</v>
      </c>
      <c r="Z42" s="166">
        <v>2.2207840908156602E-2</v>
      </c>
    </row>
    <row r="43" spans="1:26">
      <c r="A43" s="5">
        <v>288</v>
      </c>
      <c r="B43" s="5">
        <v>1451</v>
      </c>
      <c r="C43" s="5" t="s">
        <v>60</v>
      </c>
      <c r="D43" s="5" t="s">
        <v>77</v>
      </c>
      <c r="E43" s="5" t="s">
        <v>78</v>
      </c>
      <c r="F43" s="5" t="s">
        <v>63</v>
      </c>
      <c r="G43" s="5" t="s">
        <v>30</v>
      </c>
      <c r="H43" s="5" t="s">
        <v>30</v>
      </c>
      <c r="I43" s="5" t="s">
        <v>41</v>
      </c>
      <c r="J43" s="5" t="s">
        <v>42</v>
      </c>
      <c r="K43" s="5" t="s">
        <v>43</v>
      </c>
      <c r="L43" s="5" t="s">
        <v>44</v>
      </c>
      <c r="M43" s="155">
        <v>11.16</v>
      </c>
      <c r="N43" s="5" t="s">
        <v>79</v>
      </c>
      <c r="O43" s="166">
        <v>5.5E-2</v>
      </c>
      <c r="P43" s="166">
        <v>4.3470000000000002E-2</v>
      </c>
      <c r="R43" s="155">
        <v>904183</v>
      </c>
      <c r="S43" s="167">
        <v>1</v>
      </c>
      <c r="T43" s="169">
        <v>117</v>
      </c>
      <c r="U43" s="155">
        <v>1057.894</v>
      </c>
      <c r="W43" s="5" t="s">
        <v>36</v>
      </c>
      <c r="X43" s="166">
        <v>2.9E-5</v>
      </c>
      <c r="Y43" s="166">
        <v>4.44378544104631E-2</v>
      </c>
      <c r="Z43" s="166">
        <v>2.1300759070331101E-2</v>
      </c>
    </row>
    <row r="44" spans="1:26">
      <c r="A44" s="5">
        <v>288</v>
      </c>
      <c r="B44" s="5">
        <v>1451</v>
      </c>
      <c r="C44" s="5" t="s">
        <v>52</v>
      </c>
      <c r="D44" s="5" t="s">
        <v>80</v>
      </c>
      <c r="E44" s="5" t="s">
        <v>81</v>
      </c>
      <c r="F44" s="5" t="s">
        <v>55</v>
      </c>
      <c r="G44" s="5" t="s">
        <v>30</v>
      </c>
      <c r="H44" s="5" t="s">
        <v>30</v>
      </c>
      <c r="I44" s="5" t="s">
        <v>41</v>
      </c>
      <c r="J44" s="5" t="s">
        <v>42</v>
      </c>
      <c r="K44" s="5" t="s">
        <v>43</v>
      </c>
      <c r="L44" s="5" t="s">
        <v>44</v>
      </c>
      <c r="M44" s="155">
        <v>3.621</v>
      </c>
      <c r="N44" s="5" t="s">
        <v>82</v>
      </c>
      <c r="O44" s="166">
        <v>5.0000000000000001E-3</v>
      </c>
      <c r="P44" s="166">
        <v>1.9359999999999999E-2</v>
      </c>
      <c r="R44" s="155">
        <v>3948000</v>
      </c>
      <c r="S44" s="167">
        <v>1</v>
      </c>
      <c r="T44" s="169">
        <v>113</v>
      </c>
      <c r="U44" s="155">
        <v>4461.24</v>
      </c>
      <c r="W44" s="5" t="s">
        <v>36</v>
      </c>
      <c r="X44" s="166">
        <v>1.34E-4</v>
      </c>
      <c r="Y44" s="166">
        <v>0.18739865524928001</v>
      </c>
      <c r="Z44" s="166">
        <v>8.9827325340646802E-2</v>
      </c>
    </row>
    <row r="45" spans="1:26">
      <c r="A45" s="5">
        <v>288</v>
      </c>
      <c r="B45" s="5">
        <v>1451</v>
      </c>
      <c r="C45" s="5" t="s">
        <v>52</v>
      </c>
      <c r="D45" s="5" t="s">
        <v>83</v>
      </c>
      <c r="E45" s="5" t="s">
        <v>84</v>
      </c>
      <c r="F45" s="5" t="s">
        <v>55</v>
      </c>
      <c r="G45" s="5" t="s">
        <v>30</v>
      </c>
      <c r="H45" s="5" t="s">
        <v>30</v>
      </c>
      <c r="I45" s="5" t="s">
        <v>41</v>
      </c>
      <c r="J45" s="5" t="s">
        <v>42</v>
      </c>
      <c r="K45" s="5" t="s">
        <v>43</v>
      </c>
      <c r="L45" s="5" t="s">
        <v>44</v>
      </c>
      <c r="M45" s="155">
        <v>0.81599999999999995</v>
      </c>
      <c r="N45" s="5" t="s">
        <v>85</v>
      </c>
      <c r="O45" s="166">
        <v>1E-3</v>
      </c>
      <c r="P45" s="166">
        <v>2.7019999999999999E-2</v>
      </c>
      <c r="R45" s="155">
        <v>761081</v>
      </c>
      <c r="S45" s="167">
        <v>1</v>
      </c>
      <c r="T45" s="169">
        <v>116.31</v>
      </c>
      <c r="U45" s="155">
        <v>885.21299999999997</v>
      </c>
      <c r="W45" s="5" t="s">
        <v>36</v>
      </c>
      <c r="X45" s="166">
        <v>3.8000000000000002E-5</v>
      </c>
      <c r="Y45" s="166">
        <v>3.7184232210977899E-2</v>
      </c>
      <c r="Z45" s="166">
        <v>1.7823821200395201E-2</v>
      </c>
    </row>
    <row r="46" spans="1:26">
      <c r="A46" s="5">
        <v>288</v>
      </c>
      <c r="B46" s="5">
        <v>1451</v>
      </c>
      <c r="C46" s="5" t="s">
        <v>52</v>
      </c>
      <c r="D46" s="5" t="s">
        <v>86</v>
      </c>
      <c r="E46" s="5" t="s">
        <v>87</v>
      </c>
      <c r="F46" s="5" t="s">
        <v>55</v>
      </c>
      <c r="G46" s="5" t="s">
        <v>30</v>
      </c>
      <c r="H46" s="5" t="s">
        <v>30</v>
      </c>
      <c r="I46" s="5" t="s">
        <v>41</v>
      </c>
      <c r="J46" s="5" t="s">
        <v>42</v>
      </c>
      <c r="K46" s="5" t="s">
        <v>43</v>
      </c>
      <c r="L46" s="5" t="s">
        <v>44</v>
      </c>
      <c r="M46" s="155">
        <v>3.0049999999999999</v>
      </c>
      <c r="N46" s="5" t="s">
        <v>88</v>
      </c>
      <c r="O46" s="166">
        <v>1.0999999999999999E-2</v>
      </c>
      <c r="P46" s="166">
        <v>1.9990000000000001E-2</v>
      </c>
      <c r="R46" s="155">
        <v>2022075</v>
      </c>
      <c r="S46" s="167">
        <v>1</v>
      </c>
      <c r="T46" s="169">
        <v>105.65</v>
      </c>
      <c r="U46" s="155">
        <v>2136.3220000000001</v>
      </c>
      <c r="W46" s="5" t="s">
        <v>36</v>
      </c>
      <c r="X46" s="166">
        <v>6.3999999999999997E-5</v>
      </c>
      <c r="Y46" s="166">
        <v>8.9738259875423401E-2</v>
      </c>
      <c r="Z46" s="166">
        <v>4.3014971770263602E-2</v>
      </c>
    </row>
    <row r="47" spans="1:26">
      <c r="A47" s="5">
        <v>288</v>
      </c>
      <c r="B47" s="5">
        <v>1451</v>
      </c>
      <c r="C47" s="5" t="s">
        <v>52</v>
      </c>
      <c r="D47" s="5" t="s">
        <v>89</v>
      </c>
      <c r="E47" s="5" t="s">
        <v>90</v>
      </c>
      <c r="F47" s="5" t="s">
        <v>55</v>
      </c>
      <c r="G47" s="5" t="s">
        <v>30</v>
      </c>
      <c r="H47" s="5" t="s">
        <v>30</v>
      </c>
      <c r="I47" s="5" t="s">
        <v>41</v>
      </c>
      <c r="J47" s="5" t="s">
        <v>42</v>
      </c>
      <c r="K47" s="5" t="s">
        <v>43</v>
      </c>
      <c r="L47" s="5" t="s">
        <v>44</v>
      </c>
      <c r="M47" s="155">
        <v>7.5170000000000003</v>
      </c>
      <c r="N47" s="5" t="s">
        <v>91</v>
      </c>
      <c r="O47" s="166">
        <v>1.6E-2</v>
      </c>
      <c r="P47" s="166">
        <v>1.951E-2</v>
      </c>
      <c r="R47" s="155">
        <v>720000</v>
      </c>
      <c r="S47" s="167">
        <v>1</v>
      </c>
      <c r="T47" s="169">
        <v>105.4</v>
      </c>
      <c r="U47" s="155">
        <v>758.88</v>
      </c>
      <c r="W47" s="5" t="s">
        <v>36</v>
      </c>
      <c r="X47" s="166">
        <v>2.6999999999999999E-5</v>
      </c>
      <c r="Y47" s="166">
        <v>3.1877480587364497E-2</v>
      </c>
      <c r="Z47" s="166">
        <v>1.52800926770382E-2</v>
      </c>
    </row>
    <row r="48" spans="1:26">
      <c r="A48" s="5">
        <v>288</v>
      </c>
      <c r="B48" s="5">
        <v>1451</v>
      </c>
      <c r="C48" s="5" t="s">
        <v>60</v>
      </c>
      <c r="D48" s="5" t="s">
        <v>125</v>
      </c>
      <c r="E48" s="5" t="s">
        <v>126</v>
      </c>
      <c r="F48" s="5" t="s">
        <v>63</v>
      </c>
      <c r="G48" s="5" t="s">
        <v>30</v>
      </c>
      <c r="H48" s="5" t="s">
        <v>30</v>
      </c>
      <c r="I48" s="5" t="s">
        <v>41</v>
      </c>
      <c r="J48" s="5" t="s">
        <v>42</v>
      </c>
      <c r="K48" s="5" t="s">
        <v>43</v>
      </c>
      <c r="L48" s="5" t="s">
        <v>44</v>
      </c>
      <c r="M48" s="155">
        <v>10.542999999999999</v>
      </c>
      <c r="N48" s="5" t="s">
        <v>127</v>
      </c>
      <c r="O48" s="166">
        <v>1.4999999999999999E-2</v>
      </c>
      <c r="P48" s="166">
        <v>4.2119999999999998E-2</v>
      </c>
      <c r="R48" s="155">
        <v>350000</v>
      </c>
      <c r="S48" s="167">
        <v>1</v>
      </c>
      <c r="T48" s="169">
        <v>75.94</v>
      </c>
      <c r="U48" s="155">
        <v>265.79000000000002</v>
      </c>
      <c r="W48" s="5" t="s">
        <v>36</v>
      </c>
      <c r="X48" s="166">
        <v>9.0000000000000002E-6</v>
      </c>
      <c r="Y48" s="166">
        <v>1.1164763289736999E-2</v>
      </c>
      <c r="Z48" s="166">
        <v>5.3516970174862797E-3</v>
      </c>
    </row>
    <row r="49" spans="1:26">
      <c r="A49" s="5">
        <v>288</v>
      </c>
      <c r="B49" s="5">
        <v>1451</v>
      </c>
      <c r="C49" s="5" t="s">
        <v>60</v>
      </c>
      <c r="D49" s="5" t="s">
        <v>92</v>
      </c>
      <c r="E49" s="5" t="s">
        <v>93</v>
      </c>
      <c r="F49" s="5" t="s">
        <v>63</v>
      </c>
      <c r="G49" s="5" t="s">
        <v>30</v>
      </c>
      <c r="H49" s="5" t="s">
        <v>30</v>
      </c>
      <c r="I49" s="5" t="s">
        <v>41</v>
      </c>
      <c r="J49" s="5" t="s">
        <v>42</v>
      </c>
      <c r="K49" s="5" t="s">
        <v>43</v>
      </c>
      <c r="L49" s="5" t="s">
        <v>44</v>
      </c>
      <c r="M49" s="155">
        <v>4.3780000000000001</v>
      </c>
      <c r="N49" s="5" t="s">
        <v>94</v>
      </c>
      <c r="O49" s="166">
        <v>0.01</v>
      </c>
      <c r="P49" s="166">
        <v>3.934E-2</v>
      </c>
      <c r="R49" s="155">
        <v>4460000</v>
      </c>
      <c r="S49" s="167">
        <v>1</v>
      </c>
      <c r="T49" s="169">
        <v>88.66</v>
      </c>
      <c r="U49" s="155">
        <v>3954.2359999999999</v>
      </c>
      <c r="W49" s="5" t="s">
        <v>36</v>
      </c>
      <c r="X49" s="166">
        <v>1.18E-4</v>
      </c>
      <c r="Y49" s="166">
        <v>0.16610146706706999</v>
      </c>
      <c r="Z49" s="166">
        <v>7.9618770486613102E-2</v>
      </c>
    </row>
    <row r="50" spans="1:26">
      <c r="A50" s="5">
        <v>288</v>
      </c>
      <c r="B50" s="5">
        <v>1451</v>
      </c>
      <c r="C50" s="5" t="s">
        <v>60</v>
      </c>
      <c r="D50" s="5" t="s">
        <v>95</v>
      </c>
      <c r="E50" s="5" t="s">
        <v>96</v>
      </c>
      <c r="F50" s="5" t="s">
        <v>63</v>
      </c>
      <c r="G50" s="5" t="s">
        <v>30</v>
      </c>
      <c r="H50" s="5" t="s">
        <v>30</v>
      </c>
      <c r="I50" s="5" t="s">
        <v>41</v>
      </c>
      <c r="J50" s="5" t="s">
        <v>42</v>
      </c>
      <c r="K50" s="5" t="s">
        <v>43</v>
      </c>
      <c r="L50" s="5" t="s">
        <v>44</v>
      </c>
      <c r="M50" s="155">
        <v>6.2750000000000004</v>
      </c>
      <c r="N50" s="5" t="s">
        <v>97</v>
      </c>
      <c r="O50" s="166">
        <v>1.2999999999999999E-2</v>
      </c>
      <c r="P50" s="166">
        <v>4.027E-2</v>
      </c>
      <c r="R50" s="155">
        <v>3555000</v>
      </c>
      <c r="S50" s="167">
        <v>1</v>
      </c>
      <c r="T50" s="169">
        <v>85.09</v>
      </c>
      <c r="U50" s="155">
        <v>3024.95</v>
      </c>
      <c r="W50" s="5" t="s">
        <v>36</v>
      </c>
      <c r="X50" s="166">
        <v>9.7E-5</v>
      </c>
      <c r="Y50" s="166">
        <v>0.12706589838183599</v>
      </c>
      <c r="Z50" s="166">
        <v>6.0907533079486202E-2</v>
      </c>
    </row>
    <row r="51" spans="1:26">
      <c r="A51" s="5">
        <v>288</v>
      </c>
      <c r="B51" s="5">
        <v>1451</v>
      </c>
      <c r="C51" s="5" t="s">
        <v>120</v>
      </c>
      <c r="D51" s="5" t="s">
        <v>128</v>
      </c>
      <c r="E51" s="5" t="s">
        <v>129</v>
      </c>
      <c r="F51" s="5" t="s">
        <v>29</v>
      </c>
      <c r="G51" s="5" t="s">
        <v>116</v>
      </c>
      <c r="H51" s="5" t="s">
        <v>117</v>
      </c>
      <c r="I51" s="5" t="s">
        <v>31</v>
      </c>
      <c r="J51" s="5" t="s">
        <v>123</v>
      </c>
      <c r="K51" s="5" t="s">
        <v>33</v>
      </c>
      <c r="L51" s="5" t="s">
        <v>34</v>
      </c>
      <c r="M51" s="155">
        <v>7.6950000000000003</v>
      </c>
      <c r="N51" s="5" t="s">
        <v>130</v>
      </c>
      <c r="O51" s="166">
        <v>4.6249999999999999E-2</v>
      </c>
      <c r="P51" s="166">
        <v>4.086E-2</v>
      </c>
      <c r="R51" s="155">
        <v>60000</v>
      </c>
      <c r="S51" s="167">
        <v>3.306</v>
      </c>
      <c r="T51" s="169">
        <v>104.536</v>
      </c>
      <c r="U51" s="155">
        <v>207.358</v>
      </c>
      <c r="W51" s="5" t="s">
        <v>36</v>
      </c>
      <c r="X51" s="166">
        <v>0</v>
      </c>
      <c r="Y51" s="166">
        <v>8.7102548158685192E-3</v>
      </c>
      <c r="Z51" s="166">
        <v>4.1751574583295302E-3</v>
      </c>
    </row>
    <row r="52" spans="1:26">
      <c r="A52" s="5">
        <v>288</v>
      </c>
      <c r="B52" s="5">
        <v>1452</v>
      </c>
      <c r="C52" s="5" t="s">
        <v>37</v>
      </c>
      <c r="D52" s="5" t="s">
        <v>38</v>
      </c>
      <c r="E52" s="5" t="s">
        <v>39</v>
      </c>
      <c r="F52" s="5" t="s">
        <v>40</v>
      </c>
      <c r="G52" s="5" t="s">
        <v>30</v>
      </c>
      <c r="H52" s="5" t="s">
        <v>30</v>
      </c>
      <c r="I52" s="5" t="s">
        <v>41</v>
      </c>
      <c r="J52" s="5" t="s">
        <v>42</v>
      </c>
      <c r="K52" s="5" t="s">
        <v>43</v>
      </c>
      <c r="L52" s="5" t="s">
        <v>44</v>
      </c>
      <c r="M52" s="155">
        <v>0.159</v>
      </c>
      <c r="N52" s="5" t="s">
        <v>45</v>
      </c>
      <c r="O52" s="166">
        <v>0</v>
      </c>
      <c r="P52" s="166">
        <v>4.4540000000000003E-2</v>
      </c>
      <c r="R52" s="155">
        <v>5500000</v>
      </c>
      <c r="S52" s="167">
        <v>1</v>
      </c>
      <c r="T52" s="169">
        <v>99.31</v>
      </c>
      <c r="U52" s="155">
        <v>5462.05</v>
      </c>
      <c r="W52" s="5" t="s">
        <v>36</v>
      </c>
      <c r="X52" s="166">
        <v>1.83E-4</v>
      </c>
      <c r="Y52" s="166">
        <v>0.40612049814909901</v>
      </c>
      <c r="Z52" s="166">
        <v>6.1915235577602902E-2</v>
      </c>
    </row>
    <row r="53" spans="1:26">
      <c r="A53" s="5">
        <v>288</v>
      </c>
      <c r="B53" s="5">
        <v>1452</v>
      </c>
      <c r="C53" s="5" t="s">
        <v>37</v>
      </c>
      <c r="D53" s="5" t="s">
        <v>46</v>
      </c>
      <c r="E53" s="5" t="s">
        <v>47</v>
      </c>
      <c r="F53" s="5" t="s">
        <v>40</v>
      </c>
      <c r="G53" s="5" t="s">
        <v>30</v>
      </c>
      <c r="H53" s="5" t="s">
        <v>30</v>
      </c>
      <c r="I53" s="5" t="s">
        <v>41</v>
      </c>
      <c r="J53" s="5" t="s">
        <v>42</v>
      </c>
      <c r="K53" s="5" t="s">
        <v>43</v>
      </c>
      <c r="L53" s="5" t="s">
        <v>44</v>
      </c>
      <c r="M53" s="155">
        <v>0.255</v>
      </c>
      <c r="N53" s="5" t="s">
        <v>48</v>
      </c>
      <c r="O53" s="166">
        <v>0</v>
      </c>
      <c r="P53" s="166">
        <v>4.3950000000000003E-2</v>
      </c>
      <c r="R53" s="155">
        <v>4500000</v>
      </c>
      <c r="S53" s="167">
        <v>1</v>
      </c>
      <c r="T53" s="169">
        <v>98.91</v>
      </c>
      <c r="U53" s="155">
        <v>4450.95</v>
      </c>
      <c r="W53" s="5" t="s">
        <v>36</v>
      </c>
      <c r="X53" s="166">
        <v>2.81E-4</v>
      </c>
      <c r="Y53" s="166">
        <v>0.33094205128783799</v>
      </c>
      <c r="Z53" s="166">
        <v>5.0453880465050997E-2</v>
      </c>
    </row>
    <row r="54" spans="1:26">
      <c r="A54" s="5">
        <v>288</v>
      </c>
      <c r="B54" s="5">
        <v>1452</v>
      </c>
      <c r="C54" s="5" t="s">
        <v>37</v>
      </c>
      <c r="D54" s="5" t="s">
        <v>131</v>
      </c>
      <c r="E54" s="5" t="s">
        <v>132</v>
      </c>
      <c r="F54" s="5" t="s">
        <v>40</v>
      </c>
      <c r="G54" s="5" t="s">
        <v>30</v>
      </c>
      <c r="H54" s="5" t="s">
        <v>30</v>
      </c>
      <c r="I54" s="5" t="s">
        <v>41</v>
      </c>
      <c r="J54" s="5" t="s">
        <v>42</v>
      </c>
      <c r="K54" s="5" t="s">
        <v>43</v>
      </c>
      <c r="L54" s="5" t="s">
        <v>44</v>
      </c>
      <c r="M54" s="155">
        <v>0.40799999999999997</v>
      </c>
      <c r="N54" s="5" t="s">
        <v>133</v>
      </c>
      <c r="O54" s="166">
        <v>0</v>
      </c>
      <c r="P54" s="166">
        <v>4.2380000000000001E-2</v>
      </c>
      <c r="R54" s="155">
        <v>2600000</v>
      </c>
      <c r="S54" s="167">
        <v>1</v>
      </c>
      <c r="T54" s="169">
        <v>98.32</v>
      </c>
      <c r="U54" s="155">
        <v>2556.3200000000002</v>
      </c>
      <c r="W54" s="5" t="s">
        <v>36</v>
      </c>
      <c r="X54" s="166">
        <v>1.44E-4</v>
      </c>
      <c r="Y54" s="166">
        <v>0.19007038599582701</v>
      </c>
      <c r="Z54" s="166">
        <v>2.8977243894094298E-2</v>
      </c>
    </row>
    <row r="55" spans="1:26">
      <c r="A55" s="5">
        <v>288</v>
      </c>
      <c r="B55" s="5">
        <v>1452</v>
      </c>
      <c r="C55" s="5" t="s">
        <v>113</v>
      </c>
      <c r="D55" s="5" t="s">
        <v>114</v>
      </c>
      <c r="E55" s="5" t="s">
        <v>115</v>
      </c>
      <c r="F55" s="5" t="s">
        <v>29</v>
      </c>
      <c r="G55" s="5" t="s">
        <v>116</v>
      </c>
      <c r="H55" s="5" t="s">
        <v>117</v>
      </c>
      <c r="I55" s="5" t="s">
        <v>31</v>
      </c>
      <c r="J55" s="5" t="s">
        <v>118</v>
      </c>
      <c r="K55" s="5" t="s">
        <v>118</v>
      </c>
      <c r="L55" s="5" t="s">
        <v>34</v>
      </c>
      <c r="M55" s="155">
        <v>0</v>
      </c>
      <c r="N55" s="5" t="s">
        <v>119</v>
      </c>
      <c r="O55" s="166">
        <v>0</v>
      </c>
      <c r="P55" s="166">
        <v>0</v>
      </c>
      <c r="R55" s="155">
        <v>300000</v>
      </c>
      <c r="S55" s="167">
        <v>3.306</v>
      </c>
      <c r="T55" s="169">
        <v>98.811999999999998</v>
      </c>
      <c r="U55" s="155">
        <v>980.01300000000003</v>
      </c>
      <c r="W55" s="5" t="s">
        <v>36</v>
      </c>
      <c r="X55" s="166">
        <v>0</v>
      </c>
      <c r="Y55" s="166">
        <v>7.2867064567236295E-2</v>
      </c>
      <c r="Z55" s="166">
        <v>1.1108972556397499E-2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137</v>
      </c>
      <c r="N1" s="21" t="s">
        <v>138</v>
      </c>
      <c r="O1" s="21" t="s">
        <v>9</v>
      </c>
      <c r="P1" s="21" t="s">
        <v>10</v>
      </c>
      <c r="Q1" s="21" t="s">
        <v>139</v>
      </c>
      <c r="R1" s="21" t="s">
        <v>11</v>
      </c>
      <c r="S1" s="21" t="s">
        <v>12</v>
      </c>
      <c r="T1" s="21" t="s">
        <v>140</v>
      </c>
      <c r="U1" s="21" t="s">
        <v>13</v>
      </c>
      <c r="V1" s="21" t="s">
        <v>14</v>
      </c>
      <c r="W1" s="21" t="s">
        <v>15</v>
      </c>
      <c r="X1" s="21" t="s">
        <v>141</v>
      </c>
      <c r="Y1" s="21" t="s">
        <v>142</v>
      </c>
      <c r="Z1" s="21" t="s">
        <v>17</v>
      </c>
      <c r="AA1" s="21" t="s">
        <v>18</v>
      </c>
      <c r="AB1" s="21" t="s">
        <v>19</v>
      </c>
      <c r="AC1" s="21" t="s">
        <v>16</v>
      </c>
      <c r="AD1" s="21" t="s">
        <v>20</v>
      </c>
      <c r="AE1" s="21" t="s">
        <v>21</v>
      </c>
      <c r="AF1" s="21" t="s">
        <v>143</v>
      </c>
      <c r="AG1" s="21" t="s">
        <v>22</v>
      </c>
      <c r="AH1" s="21" t="s">
        <v>23</v>
      </c>
      <c r="AI1" s="21" t="s">
        <v>24</v>
      </c>
      <c r="AJ1" s="21" t="s">
        <v>25</v>
      </c>
    </row>
    <row r="2" spans="1:36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P2" s="20"/>
      <c r="Q2" s="20"/>
      <c r="R2" s="20"/>
      <c r="S2" s="20"/>
      <c r="T2" s="22"/>
      <c r="U2" s="20"/>
      <c r="V2" s="20"/>
      <c r="X2" s="20"/>
      <c r="Y2" s="30"/>
      <c r="Z2" s="20"/>
      <c r="AA2" s="20"/>
      <c r="AB2" s="20"/>
      <c r="AC2" s="20"/>
      <c r="AD2" s="20"/>
      <c r="AE2" s="20"/>
      <c r="AG2" s="20"/>
    </row>
    <row r="3" spans="1:3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P3" s="20"/>
      <c r="Q3" s="20"/>
      <c r="R3" s="20"/>
      <c r="S3" s="20"/>
      <c r="T3" s="22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G3" s="20"/>
    </row>
    <row r="4" spans="1:3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P4" s="20"/>
      <c r="Q4" s="20"/>
      <c r="R4" s="20"/>
      <c r="S4" s="20"/>
      <c r="T4" s="22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G4" s="20"/>
    </row>
    <row r="5" spans="1:36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P5" s="20"/>
      <c r="Q5" s="20"/>
      <c r="R5" s="20"/>
      <c r="S5" s="20"/>
      <c r="T5" s="22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G5" s="20"/>
    </row>
    <row r="6" spans="1:36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P6" s="20"/>
      <c r="Q6" s="20"/>
      <c r="R6" s="20"/>
      <c r="S6" s="20"/>
      <c r="T6" s="22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G6" s="20"/>
    </row>
    <row r="7" spans="1:36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P7" s="20"/>
      <c r="Q7" s="20"/>
      <c r="R7" s="20"/>
      <c r="S7" s="20"/>
      <c r="T7" s="22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</row>
    <row r="8" spans="1:36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P8" s="20"/>
      <c r="Q8" s="20"/>
      <c r="R8" s="20"/>
      <c r="S8" s="20"/>
      <c r="T8" s="22"/>
      <c r="U8" s="20"/>
      <c r="V8" s="20"/>
      <c r="W8" s="20"/>
      <c r="X8" s="20"/>
      <c r="Y8" s="20"/>
      <c r="Z8" s="20"/>
    </row>
    <row r="9" spans="1:36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P9" s="20"/>
      <c r="Q9" s="20"/>
      <c r="R9" s="20"/>
      <c r="S9" s="20"/>
      <c r="T9" s="22"/>
      <c r="U9" s="20"/>
      <c r="V9" s="20"/>
      <c r="W9" s="20"/>
      <c r="X9" s="20"/>
      <c r="Y9" s="20"/>
      <c r="Z9" s="20"/>
      <c r="AB9" s="22"/>
      <c r="AC9" s="22"/>
      <c r="AD9" s="29"/>
      <c r="AG9" s="20"/>
    </row>
    <row r="10" spans="1:36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P10" s="20"/>
      <c r="Q10" s="20"/>
      <c r="R10" s="20"/>
      <c r="S10" s="20"/>
      <c r="T10" s="22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G10" s="20"/>
    </row>
    <row r="11" spans="1:36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P11" s="20"/>
      <c r="Q11" s="20"/>
      <c r="R11" s="20"/>
      <c r="S11" s="20"/>
      <c r="T11" s="22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G11" s="20"/>
    </row>
    <row r="12" spans="1:36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P12" s="20"/>
      <c r="Q12" s="20"/>
      <c r="R12" s="20"/>
      <c r="S12" s="20"/>
      <c r="T12" s="22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G12" s="20"/>
    </row>
    <row r="13" spans="1:36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P13" s="20"/>
      <c r="Q13" s="20"/>
      <c r="R13" s="20"/>
      <c r="S13" s="20"/>
      <c r="T13" s="22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G13" s="20"/>
    </row>
    <row r="14" spans="1:36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P14" s="20"/>
      <c r="Q14" s="20"/>
      <c r="R14" s="20"/>
      <c r="S14" s="20"/>
      <c r="T14" s="22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G14" s="20"/>
    </row>
    <row r="15" spans="1:3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P15" s="20"/>
      <c r="Q15" s="20"/>
      <c r="R15" s="20"/>
      <c r="S15" s="20"/>
      <c r="T15" s="22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G15" s="20"/>
    </row>
    <row r="16" spans="1:3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P16" s="20"/>
      <c r="Q16" s="20"/>
      <c r="R16" s="20"/>
      <c r="S16" s="20"/>
      <c r="T16" s="22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G16" s="20"/>
    </row>
    <row r="17" spans="1:3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P17" s="20"/>
      <c r="Q17" s="20"/>
      <c r="R17" s="20"/>
      <c r="S17" s="20"/>
      <c r="T17" s="22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G17" s="20"/>
    </row>
    <row r="18" spans="1:3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P18" s="20"/>
      <c r="Q18" s="20"/>
      <c r="R18" s="20"/>
      <c r="S18" s="20"/>
      <c r="T18" s="22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G18" s="20"/>
    </row>
    <row r="19" spans="1:3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P19" s="20"/>
      <c r="Q19" s="20"/>
      <c r="R19" s="20"/>
      <c r="S19" s="20"/>
      <c r="T19" s="22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G19" s="20"/>
    </row>
    <row r="20" spans="1:33">
      <c r="E20" s="20"/>
      <c r="H20" s="20"/>
      <c r="I20" s="20"/>
      <c r="J20" s="20"/>
      <c r="K20" s="20"/>
      <c r="L20" s="20"/>
      <c r="M20" s="20"/>
      <c r="N20" s="20"/>
      <c r="P20" s="20"/>
      <c r="Q20" s="20"/>
      <c r="T20" s="22"/>
      <c r="X20" s="20"/>
      <c r="Y20" s="20"/>
      <c r="AG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8</v>
      </c>
      <c r="N1" s="21" t="s">
        <v>137</v>
      </c>
      <c r="O1" s="21" t="s">
        <v>138</v>
      </c>
      <c r="P1" s="21" t="s">
        <v>9</v>
      </c>
      <c r="Q1" s="21" t="s">
        <v>10</v>
      </c>
      <c r="R1" s="21" t="s">
        <v>139</v>
      </c>
      <c r="S1" s="21" t="s">
        <v>11</v>
      </c>
      <c r="T1" s="21" t="s">
        <v>12</v>
      </c>
      <c r="U1" s="21" t="s">
        <v>13</v>
      </c>
      <c r="V1" s="164" t="s">
        <v>14</v>
      </c>
      <c r="W1" s="164" t="s">
        <v>15</v>
      </c>
      <c r="X1" s="21" t="s">
        <v>141</v>
      </c>
      <c r="Y1" s="21" t="s">
        <v>142</v>
      </c>
      <c r="Z1" s="21" t="s">
        <v>17</v>
      </c>
      <c r="AA1" s="162" t="s">
        <v>18</v>
      </c>
      <c r="AB1" s="168" t="s">
        <v>19</v>
      </c>
      <c r="AC1" s="21" t="s">
        <v>16</v>
      </c>
      <c r="AD1" s="21" t="s">
        <v>20</v>
      </c>
      <c r="AE1" s="21" t="s">
        <v>21</v>
      </c>
      <c r="AF1" s="21" t="s">
        <v>143</v>
      </c>
      <c r="AG1" s="21" t="s">
        <v>22</v>
      </c>
      <c r="AH1" s="164" t="s">
        <v>23</v>
      </c>
      <c r="AI1" s="164" t="s">
        <v>24</v>
      </c>
      <c r="AJ1" s="164" t="s">
        <v>25</v>
      </c>
    </row>
    <row r="2" spans="1:36">
      <c r="A2" s="3">
        <v>288</v>
      </c>
      <c r="B2" s="22">
        <v>288</v>
      </c>
      <c r="C2" s="22" t="s">
        <v>145</v>
      </c>
      <c r="D2" s="22" t="s">
        <v>146</v>
      </c>
      <c r="E2" s="20" t="s">
        <v>147</v>
      </c>
      <c r="F2" s="22" t="s">
        <v>148</v>
      </c>
      <c r="G2" s="22" t="s">
        <v>149</v>
      </c>
      <c r="H2" s="20" t="s">
        <v>150</v>
      </c>
      <c r="I2" s="39" t="s">
        <v>151</v>
      </c>
      <c r="J2" s="20" t="s">
        <v>30</v>
      </c>
      <c r="K2" s="20" t="s">
        <v>30</v>
      </c>
      <c r="L2" s="22" t="s">
        <v>152</v>
      </c>
      <c r="M2" s="20" t="s">
        <v>41</v>
      </c>
      <c r="N2" s="22" t="s">
        <v>153</v>
      </c>
      <c r="O2" s="22" t="s">
        <v>154</v>
      </c>
      <c r="P2" s="22" t="s">
        <v>155</v>
      </c>
      <c r="Q2" s="22" t="s">
        <v>156</v>
      </c>
      <c r="R2" s="22" t="s">
        <v>157</v>
      </c>
      <c r="S2" s="20" t="s">
        <v>44</v>
      </c>
      <c r="T2" s="156">
        <v>0.23599999999999999</v>
      </c>
      <c r="U2" s="22" t="s">
        <v>158</v>
      </c>
      <c r="V2" s="170">
        <v>3.9E-2</v>
      </c>
      <c r="W2" s="170">
        <v>3.9309999999999998E-2</v>
      </c>
      <c r="X2" s="20" t="s">
        <v>159</v>
      </c>
      <c r="Y2" s="30" t="s">
        <v>154</v>
      </c>
      <c r="Z2" s="156">
        <v>195600</v>
      </c>
      <c r="AA2" s="171">
        <v>1</v>
      </c>
      <c r="AB2" s="172">
        <v>91.08</v>
      </c>
      <c r="AC2" s="22"/>
      <c r="AD2" s="156">
        <v>178.15199999999999</v>
      </c>
      <c r="AE2" s="22"/>
      <c r="AF2" s="39"/>
      <c r="AG2" s="20" t="s">
        <v>36</v>
      </c>
      <c r="AH2" s="165">
        <v>4.9630000000000004E-3</v>
      </c>
      <c r="AI2" s="165">
        <v>5.74842373670116E-4</v>
      </c>
      <c r="AJ2" s="165">
        <v>6.9482502863824403E-5</v>
      </c>
    </row>
    <row r="3" spans="1:36">
      <c r="A3" s="22">
        <v>288</v>
      </c>
      <c r="B3" s="22">
        <v>288</v>
      </c>
      <c r="C3" s="22" t="s">
        <v>160</v>
      </c>
      <c r="D3" s="22" t="s">
        <v>161</v>
      </c>
      <c r="E3" s="20" t="s">
        <v>162</v>
      </c>
      <c r="F3" s="22" t="s">
        <v>163</v>
      </c>
      <c r="G3" s="22" t="s">
        <v>164</v>
      </c>
      <c r="H3" s="20" t="s">
        <v>150</v>
      </c>
      <c r="I3" s="23" t="s">
        <v>165</v>
      </c>
      <c r="J3" s="20" t="s">
        <v>30</v>
      </c>
      <c r="K3" s="20" t="s">
        <v>30</v>
      </c>
      <c r="L3" s="22" t="s">
        <v>166</v>
      </c>
      <c r="M3" s="20" t="s">
        <v>41</v>
      </c>
      <c r="N3" s="22" t="s">
        <v>167</v>
      </c>
      <c r="O3" s="22" t="s">
        <v>154</v>
      </c>
      <c r="P3" s="22" t="s">
        <v>168</v>
      </c>
      <c r="Q3" s="22" t="s">
        <v>169</v>
      </c>
      <c r="R3" s="22" t="s">
        <v>157</v>
      </c>
      <c r="S3" s="20" t="s">
        <v>44</v>
      </c>
      <c r="T3" s="156">
        <v>0.47</v>
      </c>
      <c r="U3" s="22" t="s">
        <v>170</v>
      </c>
      <c r="V3" s="170">
        <v>7.0000000000000007E-2</v>
      </c>
      <c r="W3" s="170">
        <v>1.814E-2</v>
      </c>
      <c r="X3" s="20" t="s">
        <v>171</v>
      </c>
      <c r="Y3" s="20" t="s">
        <v>154</v>
      </c>
      <c r="Z3" s="156">
        <v>212996.5</v>
      </c>
      <c r="AA3" s="171">
        <v>1</v>
      </c>
      <c r="AB3" s="172">
        <v>0</v>
      </c>
      <c r="AC3" s="22"/>
      <c r="AD3" s="156">
        <v>0</v>
      </c>
      <c r="AE3" s="22"/>
      <c r="AG3" s="20" t="s">
        <v>36</v>
      </c>
      <c r="AH3" s="165">
        <v>0</v>
      </c>
      <c r="AI3" s="165">
        <v>6.8727313615520203E-10</v>
      </c>
      <c r="AJ3" s="165">
        <v>8.3072264395278497E-11</v>
      </c>
    </row>
    <row r="4" spans="1:36">
      <c r="A4" s="22">
        <v>288</v>
      </c>
      <c r="B4" s="22">
        <v>288</v>
      </c>
      <c r="C4" s="22" t="s">
        <v>172</v>
      </c>
      <c r="D4" s="22" t="s">
        <v>173</v>
      </c>
      <c r="E4" s="20" t="s">
        <v>147</v>
      </c>
      <c r="F4" s="22" t="s">
        <v>174</v>
      </c>
      <c r="G4" s="22" t="s">
        <v>175</v>
      </c>
      <c r="H4" s="20" t="s">
        <v>150</v>
      </c>
      <c r="I4" s="23" t="s">
        <v>165</v>
      </c>
      <c r="J4" s="20" t="s">
        <v>30</v>
      </c>
      <c r="K4" s="20" t="s">
        <v>30</v>
      </c>
      <c r="L4" s="22" t="s">
        <v>152</v>
      </c>
      <c r="M4" s="20" t="s">
        <v>41</v>
      </c>
      <c r="N4" s="22" t="s">
        <v>176</v>
      </c>
      <c r="O4" s="22" t="s">
        <v>154</v>
      </c>
      <c r="P4" s="22" t="s">
        <v>177</v>
      </c>
      <c r="Q4" s="22" t="s">
        <v>169</v>
      </c>
      <c r="R4" s="22" t="s">
        <v>157</v>
      </c>
      <c r="S4" s="20" t="s">
        <v>44</v>
      </c>
      <c r="T4" s="156">
        <v>5.9370000000000003</v>
      </c>
      <c r="U4" s="22" t="s">
        <v>178</v>
      </c>
      <c r="V4" s="170">
        <v>5.1299999999999998E-2</v>
      </c>
      <c r="W4" s="170">
        <v>5.1470000000000002E-2</v>
      </c>
      <c r="X4" s="20" t="s">
        <v>159</v>
      </c>
      <c r="Y4" s="20" t="s">
        <v>154</v>
      </c>
      <c r="Z4" s="156">
        <v>1700000</v>
      </c>
      <c r="AA4" s="171">
        <v>1</v>
      </c>
      <c r="AB4" s="172">
        <v>100.43</v>
      </c>
      <c r="AC4" s="22"/>
      <c r="AD4" s="156">
        <v>1707.31</v>
      </c>
      <c r="AE4" s="22"/>
      <c r="AG4" s="20" t="s">
        <v>36</v>
      </c>
      <c r="AH4" s="165">
        <v>4.9909999999999998E-3</v>
      </c>
      <c r="AI4" s="165">
        <v>5.5089557719921996E-3</v>
      </c>
      <c r="AJ4" s="165">
        <v>6.6587999204072797E-4</v>
      </c>
    </row>
    <row r="5" spans="1:36">
      <c r="A5" s="22">
        <v>288</v>
      </c>
      <c r="B5" s="22">
        <v>288</v>
      </c>
      <c r="C5" s="22" t="s">
        <v>179</v>
      </c>
      <c r="D5" s="22" t="s">
        <v>180</v>
      </c>
      <c r="E5" s="20" t="s">
        <v>147</v>
      </c>
      <c r="F5" s="22" t="s">
        <v>181</v>
      </c>
      <c r="G5" s="22" t="s">
        <v>182</v>
      </c>
      <c r="H5" s="20" t="s">
        <v>150</v>
      </c>
      <c r="I5" s="23" t="s">
        <v>183</v>
      </c>
      <c r="J5" s="20" t="s">
        <v>30</v>
      </c>
      <c r="K5" s="20" t="s">
        <v>30</v>
      </c>
      <c r="L5" s="22" t="s">
        <v>152</v>
      </c>
      <c r="M5" s="20" t="s">
        <v>41</v>
      </c>
      <c r="N5" s="22" t="s">
        <v>184</v>
      </c>
      <c r="O5" s="22" t="s">
        <v>154</v>
      </c>
      <c r="P5" s="22" t="s">
        <v>185</v>
      </c>
      <c r="Q5" s="22" t="s">
        <v>156</v>
      </c>
      <c r="R5" s="22" t="s">
        <v>157</v>
      </c>
      <c r="S5" s="20" t="s">
        <v>44</v>
      </c>
      <c r="T5" s="156">
        <v>1.7490000000000001</v>
      </c>
      <c r="U5" s="22" t="s">
        <v>106</v>
      </c>
      <c r="V5" s="170">
        <v>2.3400000000000001E-2</v>
      </c>
      <c r="W5" s="170">
        <v>2.9860000000000001E-2</v>
      </c>
      <c r="X5" s="20" t="s">
        <v>159</v>
      </c>
      <c r="Y5" s="20" t="s">
        <v>154</v>
      </c>
      <c r="Z5" s="156">
        <v>2752334</v>
      </c>
      <c r="AA5" s="171">
        <v>1</v>
      </c>
      <c r="AB5" s="172">
        <v>118.73</v>
      </c>
      <c r="AC5" s="22"/>
      <c r="AD5" s="156">
        <v>3267.846</v>
      </c>
      <c r="AE5" s="22"/>
      <c r="AG5" s="20" t="s">
        <v>36</v>
      </c>
      <c r="AH5" s="165">
        <v>1.688E-3</v>
      </c>
      <c r="AI5" s="165">
        <v>1.05443182287917E-2</v>
      </c>
      <c r="AJ5" s="165">
        <v>1.27451568479804E-3</v>
      </c>
    </row>
    <row r="6" spans="1:36">
      <c r="A6" s="22">
        <v>288</v>
      </c>
      <c r="B6" s="22">
        <v>288</v>
      </c>
      <c r="C6" s="22" t="s">
        <v>179</v>
      </c>
      <c r="D6" s="22" t="s">
        <v>180</v>
      </c>
      <c r="E6" s="20" t="s">
        <v>147</v>
      </c>
      <c r="F6" s="22" t="s">
        <v>186</v>
      </c>
      <c r="G6" s="22" t="s">
        <v>187</v>
      </c>
      <c r="H6" s="20" t="s">
        <v>150</v>
      </c>
      <c r="I6" s="23" t="s">
        <v>165</v>
      </c>
      <c r="J6" s="20" t="s">
        <v>30</v>
      </c>
      <c r="K6" s="20" t="s">
        <v>30</v>
      </c>
      <c r="L6" s="22" t="s">
        <v>152</v>
      </c>
      <c r="M6" s="20" t="s">
        <v>41</v>
      </c>
      <c r="N6" s="22" t="s">
        <v>184</v>
      </c>
      <c r="O6" s="22" t="s">
        <v>154</v>
      </c>
      <c r="P6" s="22" t="s">
        <v>185</v>
      </c>
      <c r="Q6" s="22" t="s">
        <v>156</v>
      </c>
      <c r="R6" s="22" t="s">
        <v>157</v>
      </c>
      <c r="S6" s="20" t="s">
        <v>44</v>
      </c>
      <c r="T6" s="156">
        <v>2.12</v>
      </c>
      <c r="U6" s="22" t="s">
        <v>188</v>
      </c>
      <c r="V6" s="170">
        <v>0.05</v>
      </c>
      <c r="W6" s="170">
        <v>4.5929999999999999E-2</v>
      </c>
      <c r="X6" s="20" t="s">
        <v>159</v>
      </c>
      <c r="Y6" s="20" t="s">
        <v>154</v>
      </c>
      <c r="Z6" s="154">
        <v>2625000</v>
      </c>
      <c r="AA6" s="163">
        <v>1</v>
      </c>
      <c r="AB6" s="173">
        <v>103.14</v>
      </c>
      <c r="AC6" s="22"/>
      <c r="AD6" s="154">
        <v>2707.4250000000002</v>
      </c>
      <c r="AG6" s="3" t="s">
        <v>36</v>
      </c>
      <c r="AH6" s="165">
        <v>5.3229999999999996E-3</v>
      </c>
      <c r="AI6" s="165">
        <v>8.7360143037796198E-3</v>
      </c>
      <c r="AJ6" s="165">
        <v>1.0559418836947399E-3</v>
      </c>
    </row>
    <row r="7" spans="1:36">
      <c r="A7" s="22">
        <v>288</v>
      </c>
      <c r="B7" s="22">
        <v>288</v>
      </c>
      <c r="C7" s="22" t="s">
        <v>189</v>
      </c>
      <c r="D7" s="22" t="s">
        <v>190</v>
      </c>
      <c r="E7" s="20" t="s">
        <v>147</v>
      </c>
      <c r="F7" s="22" t="s">
        <v>191</v>
      </c>
      <c r="G7" s="22" t="s">
        <v>192</v>
      </c>
      <c r="H7" s="20" t="s">
        <v>150</v>
      </c>
      <c r="I7" s="23" t="s">
        <v>183</v>
      </c>
      <c r="J7" s="20" t="s">
        <v>30</v>
      </c>
      <c r="K7" s="20" t="s">
        <v>30</v>
      </c>
      <c r="L7" s="22" t="s">
        <v>152</v>
      </c>
      <c r="M7" s="20" t="s">
        <v>41</v>
      </c>
      <c r="N7" s="22" t="s">
        <v>193</v>
      </c>
      <c r="O7" s="22" t="s">
        <v>154</v>
      </c>
      <c r="P7" s="22" t="s">
        <v>155</v>
      </c>
      <c r="Q7" s="22" t="s">
        <v>156</v>
      </c>
      <c r="R7" s="22" t="s">
        <v>157</v>
      </c>
      <c r="S7" s="20" t="s">
        <v>44</v>
      </c>
      <c r="T7" s="156">
        <v>2.3919999999999999</v>
      </c>
      <c r="U7" s="22" t="s">
        <v>194</v>
      </c>
      <c r="V7" s="170">
        <v>3.2300000000000002E-2</v>
      </c>
      <c r="W7" s="170">
        <v>2.954E-2</v>
      </c>
      <c r="X7" s="20" t="s">
        <v>159</v>
      </c>
      <c r="Y7" s="20" t="s">
        <v>154</v>
      </c>
      <c r="Z7" s="154">
        <v>482800</v>
      </c>
      <c r="AA7" s="163">
        <v>1</v>
      </c>
      <c r="AB7" s="173">
        <v>110.84</v>
      </c>
      <c r="AC7" s="22"/>
      <c r="AD7" s="154">
        <v>535.13599999999997</v>
      </c>
      <c r="AG7" s="3" t="s">
        <v>36</v>
      </c>
      <c r="AH7" s="165">
        <v>9.3599999999999998E-4</v>
      </c>
      <c r="AI7" s="165">
        <v>1.7267150732450799E-3</v>
      </c>
      <c r="AJ7" s="165">
        <v>2.0871197134574899E-4</v>
      </c>
    </row>
    <row r="8" spans="1:36">
      <c r="A8" s="22">
        <v>288</v>
      </c>
      <c r="B8" s="22">
        <v>288</v>
      </c>
      <c r="C8" s="22" t="s">
        <v>195</v>
      </c>
      <c r="D8" s="22" t="s">
        <v>196</v>
      </c>
      <c r="E8" s="20" t="s">
        <v>147</v>
      </c>
      <c r="F8" s="22" t="s">
        <v>197</v>
      </c>
      <c r="G8" s="22" t="s">
        <v>198</v>
      </c>
      <c r="H8" s="20" t="s">
        <v>150</v>
      </c>
      <c r="I8" s="23" t="s">
        <v>183</v>
      </c>
      <c r="J8" s="20" t="s">
        <v>30</v>
      </c>
      <c r="K8" s="20" t="s">
        <v>30</v>
      </c>
      <c r="L8" s="22" t="s">
        <v>152</v>
      </c>
      <c r="M8" s="20" t="s">
        <v>41</v>
      </c>
      <c r="N8" s="22" t="s">
        <v>184</v>
      </c>
      <c r="O8" s="22" t="s">
        <v>154</v>
      </c>
      <c r="P8" s="22" t="s">
        <v>199</v>
      </c>
      <c r="Q8" s="22" t="s">
        <v>156</v>
      </c>
      <c r="R8" s="22" t="s">
        <v>157</v>
      </c>
      <c r="S8" s="20" t="s">
        <v>44</v>
      </c>
      <c r="T8" s="156">
        <v>6.1760000000000002</v>
      </c>
      <c r="U8" s="22" t="s">
        <v>200</v>
      </c>
      <c r="V8" s="170">
        <v>2.5600000000000001E-2</v>
      </c>
      <c r="W8" s="170">
        <v>3.1919999999999997E-2</v>
      </c>
      <c r="X8" s="20" t="s">
        <v>159</v>
      </c>
      <c r="Y8" s="20" t="s">
        <v>154</v>
      </c>
      <c r="Z8" s="156">
        <v>1620000</v>
      </c>
      <c r="AA8" s="171">
        <v>1</v>
      </c>
      <c r="AB8" s="172">
        <v>108.14</v>
      </c>
      <c r="AC8" s="22"/>
      <c r="AD8" s="156">
        <v>1751.8679999999999</v>
      </c>
      <c r="AE8" s="22"/>
      <c r="AG8" s="20" t="s">
        <v>36</v>
      </c>
      <c r="AH8" s="165">
        <v>1.542E-3</v>
      </c>
      <c r="AI8" s="165">
        <v>5.6527305119564901E-3</v>
      </c>
      <c r="AJ8" s="165">
        <v>6.8325837129543402E-4</v>
      </c>
    </row>
    <row r="9" spans="1:36">
      <c r="A9" s="22">
        <v>288</v>
      </c>
      <c r="B9" s="22">
        <v>288</v>
      </c>
      <c r="C9" s="22" t="s">
        <v>195</v>
      </c>
      <c r="D9" s="22" t="s">
        <v>196</v>
      </c>
      <c r="E9" s="20" t="s">
        <v>147</v>
      </c>
      <c r="F9" s="22" t="s">
        <v>201</v>
      </c>
      <c r="G9" s="22" t="s">
        <v>202</v>
      </c>
      <c r="H9" s="20" t="s">
        <v>150</v>
      </c>
      <c r="I9" s="23" t="s">
        <v>165</v>
      </c>
      <c r="J9" s="20" t="s">
        <v>30</v>
      </c>
      <c r="K9" s="20" t="s">
        <v>30</v>
      </c>
      <c r="L9" s="22" t="s">
        <v>152</v>
      </c>
      <c r="M9" s="20" t="s">
        <v>41</v>
      </c>
      <c r="N9" s="22" t="s">
        <v>184</v>
      </c>
      <c r="O9" s="22" t="s">
        <v>154</v>
      </c>
      <c r="P9" s="22" t="s">
        <v>199</v>
      </c>
      <c r="Q9" s="22" t="s">
        <v>156</v>
      </c>
      <c r="R9" s="22" t="s">
        <v>157</v>
      </c>
      <c r="S9" s="20" t="s">
        <v>44</v>
      </c>
      <c r="T9" s="156">
        <v>3.4430000000000001</v>
      </c>
      <c r="U9" s="22" t="s">
        <v>203</v>
      </c>
      <c r="V9" s="170">
        <v>2.41E-2</v>
      </c>
      <c r="W9" s="170">
        <v>4.8230000000000002E-2</v>
      </c>
      <c r="X9" s="20" t="s">
        <v>159</v>
      </c>
      <c r="Y9" s="20" t="s">
        <v>154</v>
      </c>
      <c r="Z9" s="156">
        <v>1600000</v>
      </c>
      <c r="AA9" s="171">
        <v>1</v>
      </c>
      <c r="AB9" s="172">
        <v>93.59</v>
      </c>
      <c r="AC9" s="22"/>
      <c r="AD9" s="156">
        <v>1497.44</v>
      </c>
      <c r="AE9" s="22"/>
      <c r="AG9" s="20" t="s">
        <v>36</v>
      </c>
      <c r="AH9" s="165">
        <v>7.7899999999999996E-4</v>
      </c>
      <c r="AI9" s="165">
        <v>4.8317708741892201E-3</v>
      </c>
      <c r="AJ9" s="165">
        <v>5.8402711592005501E-4</v>
      </c>
    </row>
    <row r="10" spans="1:36">
      <c r="A10" s="22">
        <v>288</v>
      </c>
      <c r="B10" s="22">
        <v>288</v>
      </c>
      <c r="C10" s="22" t="s">
        <v>204</v>
      </c>
      <c r="D10" s="22" t="s">
        <v>205</v>
      </c>
      <c r="E10" s="20" t="s">
        <v>147</v>
      </c>
      <c r="F10" s="22" t="s">
        <v>206</v>
      </c>
      <c r="G10" s="22" t="s">
        <v>207</v>
      </c>
      <c r="H10" s="20" t="s">
        <v>150</v>
      </c>
      <c r="I10" s="23" t="s">
        <v>165</v>
      </c>
      <c r="J10" s="20" t="s">
        <v>30</v>
      </c>
      <c r="K10" s="20" t="s">
        <v>30</v>
      </c>
      <c r="L10" s="22" t="s">
        <v>152</v>
      </c>
      <c r="M10" s="20" t="s">
        <v>41</v>
      </c>
      <c r="N10" s="22" t="s">
        <v>208</v>
      </c>
      <c r="O10" s="22" t="s">
        <v>154</v>
      </c>
      <c r="P10" s="22" t="s">
        <v>155</v>
      </c>
      <c r="Q10" s="22" t="s">
        <v>156</v>
      </c>
      <c r="R10" s="22" t="s">
        <v>157</v>
      </c>
      <c r="S10" s="20" t="s">
        <v>44</v>
      </c>
      <c r="T10" s="156">
        <v>2.5489999999999999</v>
      </c>
      <c r="U10" s="22" t="s">
        <v>209</v>
      </c>
      <c r="V10" s="170">
        <v>0.04</v>
      </c>
      <c r="W10" s="170">
        <v>4.802E-2</v>
      </c>
      <c r="X10" s="20" t="s">
        <v>159</v>
      </c>
      <c r="Y10" s="20" t="s">
        <v>154</v>
      </c>
      <c r="Z10" s="156">
        <v>3477751.3</v>
      </c>
      <c r="AA10" s="171">
        <v>1</v>
      </c>
      <c r="AB10" s="172">
        <v>99.07</v>
      </c>
      <c r="AC10" s="22"/>
      <c r="AD10" s="156">
        <v>3445.4079999999999</v>
      </c>
      <c r="AE10" s="22"/>
      <c r="AG10" s="20" t="s">
        <v>36</v>
      </c>
      <c r="AH10" s="165">
        <v>5.9890000000000004E-3</v>
      </c>
      <c r="AI10" s="165">
        <v>1.1117255484580899E-2</v>
      </c>
      <c r="AJ10" s="165">
        <v>1.3437679117381E-3</v>
      </c>
    </row>
    <row r="11" spans="1:36">
      <c r="A11" s="22">
        <v>288</v>
      </c>
      <c r="B11" s="22">
        <v>288</v>
      </c>
      <c r="C11" s="22" t="s">
        <v>210</v>
      </c>
      <c r="D11" s="22" t="s">
        <v>211</v>
      </c>
      <c r="E11" s="20" t="s">
        <v>147</v>
      </c>
      <c r="F11" s="22" t="s">
        <v>212</v>
      </c>
      <c r="G11" s="22" t="s">
        <v>213</v>
      </c>
      <c r="H11" s="20" t="s">
        <v>150</v>
      </c>
      <c r="I11" s="23" t="s">
        <v>183</v>
      </c>
      <c r="J11" s="20" t="s">
        <v>30</v>
      </c>
      <c r="K11" s="20" t="s">
        <v>30</v>
      </c>
      <c r="L11" s="22" t="s">
        <v>152</v>
      </c>
      <c r="M11" s="20" t="s">
        <v>41</v>
      </c>
      <c r="N11" s="22" t="s">
        <v>184</v>
      </c>
      <c r="O11" s="22" t="s">
        <v>154</v>
      </c>
      <c r="P11" s="22" t="s">
        <v>185</v>
      </c>
      <c r="Q11" s="22" t="s">
        <v>156</v>
      </c>
      <c r="R11" s="22" t="s">
        <v>157</v>
      </c>
      <c r="S11" s="20" t="s">
        <v>44</v>
      </c>
      <c r="T11" s="156">
        <v>1.6990000000000001</v>
      </c>
      <c r="U11" s="22" t="s">
        <v>214</v>
      </c>
      <c r="V11" s="170">
        <v>3.2000000000000001E-2</v>
      </c>
      <c r="W11" s="170">
        <v>2.8459999999999999E-2</v>
      </c>
      <c r="X11" s="20" t="s">
        <v>159</v>
      </c>
      <c r="Y11" s="20" t="s">
        <v>154</v>
      </c>
      <c r="Z11" s="156">
        <v>2015100</v>
      </c>
      <c r="AA11" s="171">
        <v>1</v>
      </c>
      <c r="AB11" s="172">
        <v>120.07</v>
      </c>
      <c r="AC11" s="22"/>
      <c r="AD11" s="156">
        <v>2419.5309999999999</v>
      </c>
      <c r="AE11" s="22"/>
      <c r="AG11" s="20" t="s">
        <v>36</v>
      </c>
      <c r="AH11" s="165">
        <v>4.8659999999999997E-3</v>
      </c>
      <c r="AI11" s="165">
        <v>7.8070689559090502E-3</v>
      </c>
      <c r="AJ11" s="165">
        <v>9.4365815036162105E-4</v>
      </c>
    </row>
    <row r="12" spans="1:36">
      <c r="A12" s="22">
        <v>288</v>
      </c>
      <c r="B12" s="22">
        <v>288</v>
      </c>
      <c r="C12" s="22" t="s">
        <v>210</v>
      </c>
      <c r="D12" s="22" t="s">
        <v>211</v>
      </c>
      <c r="E12" s="20" t="s">
        <v>147</v>
      </c>
      <c r="F12" s="22" t="s">
        <v>215</v>
      </c>
      <c r="G12" s="22" t="s">
        <v>216</v>
      </c>
      <c r="H12" s="20" t="s">
        <v>150</v>
      </c>
      <c r="I12" s="23" t="s">
        <v>183</v>
      </c>
      <c r="J12" s="20" t="s">
        <v>30</v>
      </c>
      <c r="K12" s="20" t="s">
        <v>30</v>
      </c>
      <c r="L12" s="22" t="s">
        <v>152</v>
      </c>
      <c r="M12" s="20" t="s">
        <v>41</v>
      </c>
      <c r="N12" s="22" t="s">
        <v>184</v>
      </c>
      <c r="O12" s="22" t="s">
        <v>154</v>
      </c>
      <c r="P12" s="22" t="s">
        <v>185</v>
      </c>
      <c r="Q12" s="22" t="s">
        <v>156</v>
      </c>
      <c r="R12" s="22" t="s">
        <v>157</v>
      </c>
      <c r="S12" s="20" t="s">
        <v>44</v>
      </c>
      <c r="T12" s="156">
        <v>4.6059999999999999</v>
      </c>
      <c r="U12" s="22" t="s">
        <v>217</v>
      </c>
      <c r="V12" s="170">
        <v>9.1999999999999998E-3</v>
      </c>
      <c r="W12" s="170">
        <v>2.8729999999999999E-2</v>
      </c>
      <c r="X12" s="20" t="s">
        <v>159</v>
      </c>
      <c r="Y12" s="20" t="s">
        <v>154</v>
      </c>
      <c r="Z12" s="156">
        <v>587250</v>
      </c>
      <c r="AA12" s="171">
        <v>1</v>
      </c>
      <c r="AB12" s="172">
        <v>109.54</v>
      </c>
      <c r="AC12" s="22"/>
      <c r="AD12" s="156">
        <v>643.274</v>
      </c>
      <c r="AE12" s="22"/>
      <c r="AG12" s="20" t="s">
        <v>36</v>
      </c>
      <c r="AH12" s="165">
        <v>2.2699999999999999E-4</v>
      </c>
      <c r="AI12" s="165">
        <v>2.0756430215590599E-3</v>
      </c>
      <c r="AJ12" s="165">
        <v>2.50887684686443E-4</v>
      </c>
    </row>
    <row r="13" spans="1:36">
      <c r="A13" s="22">
        <v>288</v>
      </c>
      <c r="B13" s="22">
        <v>288</v>
      </c>
      <c r="C13" s="22" t="s">
        <v>218</v>
      </c>
      <c r="D13" s="22" t="s">
        <v>219</v>
      </c>
      <c r="E13" s="20" t="s">
        <v>147</v>
      </c>
      <c r="F13" s="22" t="s">
        <v>220</v>
      </c>
      <c r="G13" s="22" t="s">
        <v>221</v>
      </c>
      <c r="H13" s="20" t="s">
        <v>150</v>
      </c>
      <c r="I13" s="23" t="s">
        <v>165</v>
      </c>
      <c r="J13" s="20" t="s">
        <v>30</v>
      </c>
      <c r="K13" s="20" t="s">
        <v>117</v>
      </c>
      <c r="L13" s="22" t="s">
        <v>152</v>
      </c>
      <c r="M13" s="20" t="s">
        <v>41</v>
      </c>
      <c r="N13" s="22" t="s">
        <v>222</v>
      </c>
      <c r="O13" s="22" t="s">
        <v>154</v>
      </c>
      <c r="P13" s="22" t="s">
        <v>177</v>
      </c>
      <c r="Q13" s="22" t="s">
        <v>169</v>
      </c>
      <c r="R13" s="22" t="s">
        <v>157</v>
      </c>
      <c r="S13" s="20" t="s">
        <v>44</v>
      </c>
      <c r="T13" s="156">
        <v>0.89500000000000002</v>
      </c>
      <c r="U13" s="22" t="s">
        <v>223</v>
      </c>
      <c r="V13" s="170">
        <v>3.4500000000000003E-2</v>
      </c>
      <c r="W13" s="170">
        <v>5.1270000000000003E-2</v>
      </c>
      <c r="X13" s="20" t="s">
        <v>159</v>
      </c>
      <c r="Y13" s="20" t="s">
        <v>154</v>
      </c>
      <c r="Z13" s="156">
        <v>1413043.49</v>
      </c>
      <c r="AA13" s="171">
        <v>1</v>
      </c>
      <c r="AB13" s="172">
        <v>98.92</v>
      </c>
      <c r="AC13" s="22"/>
      <c r="AD13" s="156">
        <v>1397.7829999999999</v>
      </c>
      <c r="AE13" s="22"/>
      <c r="AG13" s="20" t="s">
        <v>36</v>
      </c>
      <c r="AH13" s="165">
        <v>2.5370000000000002E-3</v>
      </c>
      <c r="AI13" s="165">
        <v>4.5102076565686003E-3</v>
      </c>
      <c r="AJ13" s="165">
        <v>5.45159039708875E-4</v>
      </c>
    </row>
    <row r="14" spans="1:36">
      <c r="A14" s="22">
        <v>288</v>
      </c>
      <c r="B14" s="22">
        <v>288</v>
      </c>
      <c r="C14" s="22" t="s">
        <v>224</v>
      </c>
      <c r="D14" s="22" t="s">
        <v>225</v>
      </c>
      <c r="E14" s="20" t="s">
        <v>147</v>
      </c>
      <c r="F14" s="22" t="s">
        <v>226</v>
      </c>
      <c r="G14" s="22" t="s">
        <v>227</v>
      </c>
      <c r="H14" s="20" t="s">
        <v>150</v>
      </c>
      <c r="I14" s="23" t="s">
        <v>165</v>
      </c>
      <c r="J14" s="20" t="s">
        <v>30</v>
      </c>
      <c r="K14" s="20" t="s">
        <v>30</v>
      </c>
      <c r="L14" s="22" t="s">
        <v>152</v>
      </c>
      <c r="M14" s="20" t="s">
        <v>41</v>
      </c>
      <c r="N14" s="22" t="s">
        <v>222</v>
      </c>
      <c r="O14" s="22" t="s">
        <v>154</v>
      </c>
      <c r="P14" s="22" t="s">
        <v>228</v>
      </c>
      <c r="Q14" s="22" t="s">
        <v>156</v>
      </c>
      <c r="R14" s="22" t="s">
        <v>157</v>
      </c>
      <c r="S14" s="20" t="s">
        <v>44</v>
      </c>
      <c r="T14" s="156">
        <v>2.4319999999999999</v>
      </c>
      <c r="U14" s="22" t="s">
        <v>229</v>
      </c>
      <c r="V14" s="170">
        <v>2.0500000000000001E-2</v>
      </c>
      <c r="W14" s="170">
        <v>5.0529999999999999E-2</v>
      </c>
      <c r="X14" s="20" t="s">
        <v>159</v>
      </c>
      <c r="Y14" s="20" t="s">
        <v>154</v>
      </c>
      <c r="Z14" s="156">
        <v>1125000.78</v>
      </c>
      <c r="AA14" s="171">
        <v>1</v>
      </c>
      <c r="AB14" s="172">
        <v>93.47</v>
      </c>
      <c r="AC14" s="22"/>
      <c r="AD14" s="156">
        <v>1051.538</v>
      </c>
      <c r="AE14" s="22"/>
      <c r="AG14" s="20" t="s">
        <v>36</v>
      </c>
      <c r="AH14" s="165">
        <v>1.291E-3</v>
      </c>
      <c r="AI14" s="165">
        <v>3.3929852203077402E-3</v>
      </c>
      <c r="AJ14" s="165">
        <v>4.1011782722586402E-4</v>
      </c>
    </row>
    <row r="15" spans="1:36">
      <c r="A15" s="22">
        <v>288</v>
      </c>
      <c r="B15" s="22">
        <v>288</v>
      </c>
      <c r="C15" s="22" t="s">
        <v>230</v>
      </c>
      <c r="D15" s="22" t="s">
        <v>231</v>
      </c>
      <c r="E15" s="20" t="s">
        <v>147</v>
      </c>
      <c r="F15" s="22" t="s">
        <v>232</v>
      </c>
      <c r="G15" s="22" t="s">
        <v>233</v>
      </c>
      <c r="H15" s="20" t="s">
        <v>150</v>
      </c>
      <c r="I15" s="23" t="s">
        <v>165</v>
      </c>
      <c r="J15" s="20" t="s">
        <v>30</v>
      </c>
      <c r="K15" s="20" t="s">
        <v>30</v>
      </c>
      <c r="L15" s="22" t="s">
        <v>152</v>
      </c>
      <c r="M15" s="20" t="s">
        <v>41</v>
      </c>
      <c r="N15" s="22" t="s">
        <v>234</v>
      </c>
      <c r="O15" s="22" t="s">
        <v>154</v>
      </c>
      <c r="P15" s="22" t="s">
        <v>155</v>
      </c>
      <c r="Q15" s="22" t="s">
        <v>156</v>
      </c>
      <c r="R15" s="22" t="s">
        <v>157</v>
      </c>
      <c r="S15" s="20" t="s">
        <v>44</v>
      </c>
      <c r="T15" s="156">
        <v>2.4500000000000002</v>
      </c>
      <c r="U15" s="22" t="s">
        <v>235</v>
      </c>
      <c r="V15" s="170">
        <v>0.05</v>
      </c>
      <c r="W15" s="170">
        <v>5.1810000000000002E-2</v>
      </c>
      <c r="X15" s="20" t="s">
        <v>159</v>
      </c>
      <c r="Y15" s="20" t="s">
        <v>154</v>
      </c>
      <c r="Z15" s="156">
        <v>1335789.48</v>
      </c>
      <c r="AA15" s="171">
        <v>1</v>
      </c>
      <c r="AB15" s="172">
        <v>99.87</v>
      </c>
      <c r="AC15" s="22"/>
      <c r="AD15" s="156">
        <v>1334.0530000000001</v>
      </c>
      <c r="AE15" s="22"/>
      <c r="AG15" s="20" t="s">
        <v>36</v>
      </c>
      <c r="AH15" s="165">
        <v>1.3259999999999999E-3</v>
      </c>
      <c r="AI15" s="165">
        <v>4.3045719402432202E-3</v>
      </c>
      <c r="AJ15" s="165">
        <v>5.2030338378834795E-4</v>
      </c>
    </row>
    <row r="16" spans="1:36">
      <c r="A16" s="22">
        <v>288</v>
      </c>
      <c r="B16" s="22">
        <v>288</v>
      </c>
      <c r="C16" s="22" t="s">
        <v>236</v>
      </c>
      <c r="D16" s="22" t="s">
        <v>237</v>
      </c>
      <c r="E16" s="20" t="s">
        <v>147</v>
      </c>
      <c r="F16" s="22" t="s">
        <v>238</v>
      </c>
      <c r="G16" s="22" t="s">
        <v>239</v>
      </c>
      <c r="H16" s="20" t="s">
        <v>150</v>
      </c>
      <c r="I16" s="23" t="s">
        <v>165</v>
      </c>
      <c r="J16" s="20" t="s">
        <v>30</v>
      </c>
      <c r="K16" s="20" t="s">
        <v>30</v>
      </c>
      <c r="L16" s="22" t="s">
        <v>152</v>
      </c>
      <c r="M16" s="20" t="s">
        <v>41</v>
      </c>
      <c r="N16" s="22" t="s">
        <v>240</v>
      </c>
      <c r="O16" s="22" t="s">
        <v>154</v>
      </c>
      <c r="P16" s="22" t="s">
        <v>185</v>
      </c>
      <c r="Q16" s="22" t="s">
        <v>156</v>
      </c>
      <c r="R16" s="22" t="s">
        <v>157</v>
      </c>
      <c r="S16" s="20" t="s">
        <v>44</v>
      </c>
      <c r="T16" s="156">
        <v>0.153</v>
      </c>
      <c r="U16" s="22" t="s">
        <v>241</v>
      </c>
      <c r="V16" s="170">
        <v>3.6499999999999998E-2</v>
      </c>
      <c r="W16" s="170">
        <v>4.768E-2</v>
      </c>
      <c r="X16" s="20" t="s">
        <v>159</v>
      </c>
      <c r="Y16" s="20" t="s">
        <v>154</v>
      </c>
      <c r="Z16" s="156">
        <v>83333.33</v>
      </c>
      <c r="AA16" s="171">
        <v>1</v>
      </c>
      <c r="AB16" s="172">
        <v>101.1</v>
      </c>
      <c r="AC16" s="22"/>
      <c r="AD16" s="156">
        <v>84.25</v>
      </c>
      <c r="AE16" s="22"/>
      <c r="AG16" s="20" t="s">
        <v>36</v>
      </c>
      <c r="AH16" s="165">
        <v>1.56E-4</v>
      </c>
      <c r="AI16" s="165">
        <v>2.7184840786099898E-4</v>
      </c>
      <c r="AJ16" s="165">
        <v>3.2858934279899799E-5</v>
      </c>
    </row>
    <row r="17" spans="1:36">
      <c r="A17" s="22">
        <v>288</v>
      </c>
      <c r="B17" s="22">
        <v>288</v>
      </c>
      <c r="C17" s="22" t="s">
        <v>242</v>
      </c>
      <c r="D17" s="22" t="s">
        <v>243</v>
      </c>
      <c r="E17" s="20" t="s">
        <v>147</v>
      </c>
      <c r="F17" s="22" t="s">
        <v>244</v>
      </c>
      <c r="G17" s="22" t="s">
        <v>245</v>
      </c>
      <c r="H17" s="20" t="s">
        <v>150</v>
      </c>
      <c r="I17" s="23" t="s">
        <v>183</v>
      </c>
      <c r="J17" s="20" t="s">
        <v>30</v>
      </c>
      <c r="K17" s="20" t="s">
        <v>30</v>
      </c>
      <c r="L17" s="22" t="s">
        <v>152</v>
      </c>
      <c r="M17" s="20" t="s">
        <v>41</v>
      </c>
      <c r="N17" s="22" t="s">
        <v>184</v>
      </c>
      <c r="O17" s="22" t="s">
        <v>154</v>
      </c>
      <c r="P17" s="22" t="s">
        <v>246</v>
      </c>
      <c r="Q17" s="22" t="s">
        <v>169</v>
      </c>
      <c r="R17" s="22" t="s">
        <v>157</v>
      </c>
      <c r="S17" s="20" t="s">
        <v>44</v>
      </c>
      <c r="T17" s="156">
        <v>3.51</v>
      </c>
      <c r="U17" s="22" t="s">
        <v>247</v>
      </c>
      <c r="V17" s="170">
        <v>1.17E-2</v>
      </c>
      <c r="W17" s="170">
        <v>2.8479999999999998E-2</v>
      </c>
      <c r="X17" s="20" t="s">
        <v>159</v>
      </c>
      <c r="Y17" s="20" t="s">
        <v>154</v>
      </c>
      <c r="Z17" s="156">
        <v>839160</v>
      </c>
      <c r="AA17" s="171">
        <v>1</v>
      </c>
      <c r="AB17" s="172">
        <v>111.54</v>
      </c>
      <c r="AC17" s="22"/>
      <c r="AD17" s="156">
        <v>935.99900000000002</v>
      </c>
      <c r="AE17" s="22"/>
      <c r="AG17" s="20" t="s">
        <v>36</v>
      </c>
      <c r="AH17" s="165">
        <v>1.219E-3</v>
      </c>
      <c r="AI17" s="165">
        <v>3.02017644493507E-3</v>
      </c>
      <c r="AJ17" s="165">
        <v>3.6505558409805398E-4</v>
      </c>
    </row>
    <row r="18" spans="1:36">
      <c r="A18" s="22">
        <v>288</v>
      </c>
      <c r="B18" s="22">
        <v>288</v>
      </c>
      <c r="C18" s="22" t="s">
        <v>242</v>
      </c>
      <c r="D18" s="22" t="s">
        <v>243</v>
      </c>
      <c r="E18" s="20" t="s">
        <v>147</v>
      </c>
      <c r="F18" s="22" t="s">
        <v>248</v>
      </c>
      <c r="G18" s="22" t="s">
        <v>249</v>
      </c>
      <c r="H18" s="20" t="s">
        <v>150</v>
      </c>
      <c r="I18" s="23" t="s">
        <v>183</v>
      </c>
      <c r="J18" s="20" t="s">
        <v>30</v>
      </c>
      <c r="K18" s="20" t="s">
        <v>30</v>
      </c>
      <c r="L18" s="22" t="s">
        <v>152</v>
      </c>
      <c r="M18" s="20" t="s">
        <v>41</v>
      </c>
      <c r="N18" s="22" t="s">
        <v>184</v>
      </c>
      <c r="O18" s="22" t="s">
        <v>154</v>
      </c>
      <c r="P18" s="22" t="s">
        <v>199</v>
      </c>
      <c r="Q18" s="22" t="s">
        <v>156</v>
      </c>
      <c r="R18" s="22" t="s">
        <v>157</v>
      </c>
      <c r="S18" s="20" t="s">
        <v>44</v>
      </c>
      <c r="T18" s="156">
        <v>4.6689999999999996</v>
      </c>
      <c r="U18" s="22" t="s">
        <v>250</v>
      </c>
      <c r="V18" s="170">
        <v>1.8700000000000001E-2</v>
      </c>
      <c r="W18" s="170">
        <v>2.946E-2</v>
      </c>
      <c r="X18" s="20" t="s">
        <v>159</v>
      </c>
      <c r="Y18" s="20" t="s">
        <v>154</v>
      </c>
      <c r="Z18" s="156">
        <v>3202351.34</v>
      </c>
      <c r="AA18" s="171">
        <v>1</v>
      </c>
      <c r="AB18" s="172">
        <v>109.28</v>
      </c>
      <c r="AC18" s="22"/>
      <c r="AD18" s="156">
        <v>3499.53</v>
      </c>
      <c r="AE18" s="22"/>
      <c r="AG18" s="20" t="s">
        <v>36</v>
      </c>
      <c r="AH18" s="165">
        <v>3.2780000000000001E-3</v>
      </c>
      <c r="AI18" s="165">
        <v>1.1291888106211E-2</v>
      </c>
      <c r="AJ18" s="165">
        <v>1.36487615321143E-3</v>
      </c>
    </row>
    <row r="19" spans="1:36">
      <c r="A19" s="22">
        <v>288</v>
      </c>
      <c r="B19" s="22">
        <v>288</v>
      </c>
      <c r="C19" s="22" t="s">
        <v>251</v>
      </c>
      <c r="D19" s="22" t="s">
        <v>252</v>
      </c>
      <c r="E19" s="20" t="s">
        <v>147</v>
      </c>
      <c r="F19" s="22" t="s">
        <v>253</v>
      </c>
      <c r="G19" s="22" t="s">
        <v>254</v>
      </c>
      <c r="H19" s="20" t="s">
        <v>150</v>
      </c>
      <c r="I19" s="23" t="s">
        <v>165</v>
      </c>
      <c r="J19" s="20" t="s">
        <v>30</v>
      </c>
      <c r="K19" s="20" t="s">
        <v>30</v>
      </c>
      <c r="L19" s="22" t="s">
        <v>152</v>
      </c>
      <c r="M19" s="20" t="s">
        <v>41</v>
      </c>
      <c r="N19" s="22" t="s">
        <v>234</v>
      </c>
      <c r="O19" s="22" t="s">
        <v>154</v>
      </c>
      <c r="P19" s="22" t="s">
        <v>168</v>
      </c>
      <c r="Q19" s="22" t="s">
        <v>169</v>
      </c>
      <c r="R19" s="22" t="s">
        <v>157</v>
      </c>
      <c r="S19" s="20" t="s">
        <v>44</v>
      </c>
      <c r="T19" s="156">
        <v>2.5110000000000001</v>
      </c>
      <c r="U19" s="22" t="s">
        <v>188</v>
      </c>
      <c r="V19" s="170">
        <v>7.2499999999999995E-2</v>
      </c>
      <c r="W19" s="170">
        <v>5.4579999999999997E-2</v>
      </c>
      <c r="X19" s="20" t="s">
        <v>159</v>
      </c>
      <c r="Y19" s="20" t="s">
        <v>154</v>
      </c>
      <c r="Z19" s="156">
        <v>1194421.6000000001</v>
      </c>
      <c r="AA19" s="171">
        <v>1</v>
      </c>
      <c r="AB19" s="172">
        <v>107.9</v>
      </c>
      <c r="AC19" s="22"/>
      <c r="AD19" s="156">
        <v>1288.7809999999999</v>
      </c>
      <c r="AE19" s="22"/>
      <c r="AG19" s="20" t="s">
        <v>36</v>
      </c>
      <c r="AH19" s="165">
        <v>1.866E-3</v>
      </c>
      <c r="AI19" s="165">
        <v>4.1584931928856598E-3</v>
      </c>
      <c r="AJ19" s="165">
        <v>5.02646513928856E-4</v>
      </c>
    </row>
    <row r="20" spans="1:36">
      <c r="A20" s="3">
        <v>288</v>
      </c>
      <c r="B20" s="3">
        <v>288</v>
      </c>
      <c r="C20" s="3" t="s">
        <v>255</v>
      </c>
      <c r="D20" s="3" t="s">
        <v>256</v>
      </c>
      <c r="E20" s="20" t="s">
        <v>147</v>
      </c>
      <c r="F20" s="3" t="s">
        <v>257</v>
      </c>
      <c r="G20" s="3" t="s">
        <v>258</v>
      </c>
      <c r="H20" s="20" t="s">
        <v>150</v>
      </c>
      <c r="I20" s="23" t="s">
        <v>183</v>
      </c>
      <c r="J20" s="20" t="s">
        <v>30</v>
      </c>
      <c r="K20" s="20" t="s">
        <v>30</v>
      </c>
      <c r="L20" s="22" t="s">
        <v>152</v>
      </c>
      <c r="M20" s="20" t="s">
        <v>41</v>
      </c>
      <c r="N20" s="22" t="s">
        <v>184</v>
      </c>
      <c r="O20" s="22" t="s">
        <v>154</v>
      </c>
      <c r="P20" s="3" t="s">
        <v>185</v>
      </c>
      <c r="Q20" s="22" t="s">
        <v>156</v>
      </c>
      <c r="R20" s="22" t="s">
        <v>157</v>
      </c>
      <c r="S20" s="3" t="s">
        <v>44</v>
      </c>
      <c r="T20" s="154">
        <v>3.726</v>
      </c>
      <c r="U20" s="3" t="s">
        <v>259</v>
      </c>
      <c r="V20" s="165">
        <v>5.0000000000000001E-3</v>
      </c>
      <c r="W20" s="165">
        <v>2.9350000000000001E-2</v>
      </c>
      <c r="X20" s="20" t="s">
        <v>159</v>
      </c>
      <c r="Y20" s="20" t="s">
        <v>154</v>
      </c>
      <c r="Z20" s="154">
        <v>780733.53</v>
      </c>
      <c r="AA20" s="163">
        <v>1</v>
      </c>
      <c r="AB20" s="173">
        <v>108.26</v>
      </c>
      <c r="AD20" s="154">
        <v>845.22199999999998</v>
      </c>
      <c r="AG20" s="3" t="s">
        <v>36</v>
      </c>
      <c r="AH20" s="165">
        <v>5.8399999999999999E-4</v>
      </c>
      <c r="AI20" s="165">
        <v>2.7272676164637401E-3</v>
      </c>
      <c r="AJ20" s="165">
        <v>3.2965102896207799E-4</v>
      </c>
    </row>
    <row r="21" spans="1:36" s="41" customFormat="1">
      <c r="A21" s="41">
        <v>288</v>
      </c>
      <c r="B21" s="41">
        <v>288</v>
      </c>
      <c r="C21" s="41" t="s">
        <v>255</v>
      </c>
      <c r="D21" s="41" t="s">
        <v>256</v>
      </c>
      <c r="E21" s="44" t="s">
        <v>147</v>
      </c>
      <c r="F21" s="41" t="s">
        <v>260</v>
      </c>
      <c r="G21" s="41" t="s">
        <v>261</v>
      </c>
      <c r="H21" s="44" t="s">
        <v>150</v>
      </c>
      <c r="I21" s="41" t="s">
        <v>183</v>
      </c>
      <c r="J21" s="41" t="s">
        <v>30</v>
      </c>
      <c r="K21" s="41" t="s">
        <v>30</v>
      </c>
      <c r="L21" s="41" t="s">
        <v>152</v>
      </c>
      <c r="M21" s="44" t="s">
        <v>41</v>
      </c>
      <c r="N21" s="41" t="s">
        <v>184</v>
      </c>
      <c r="O21" s="41" t="s">
        <v>154</v>
      </c>
      <c r="P21" s="41" t="s">
        <v>185</v>
      </c>
      <c r="Q21" s="41" t="s">
        <v>156</v>
      </c>
      <c r="R21" s="41" t="s">
        <v>157</v>
      </c>
      <c r="S21" s="41" t="s">
        <v>44</v>
      </c>
      <c r="T21" s="154">
        <v>4.1829999999999998</v>
      </c>
      <c r="U21" s="41" t="s">
        <v>262</v>
      </c>
      <c r="V21" s="165">
        <v>5.8999999999999999E-3</v>
      </c>
      <c r="W21" s="165">
        <v>2.921E-2</v>
      </c>
      <c r="X21" s="44" t="s">
        <v>159</v>
      </c>
      <c r="Y21" s="44" t="s">
        <v>154</v>
      </c>
      <c r="Z21" s="154">
        <v>1456000</v>
      </c>
      <c r="AA21" s="163">
        <v>1</v>
      </c>
      <c r="AB21" s="173">
        <v>104.71</v>
      </c>
      <c r="AD21" s="154">
        <v>1524.578</v>
      </c>
      <c r="AG21" s="41" t="s">
        <v>36</v>
      </c>
      <c r="AH21" s="165">
        <v>1.0399999999999999E-3</v>
      </c>
      <c r="AI21" s="165">
        <v>4.9193354278777796E-3</v>
      </c>
      <c r="AJ21" s="165">
        <v>5.9461124233646599E-4</v>
      </c>
    </row>
    <row r="22" spans="1:36">
      <c r="A22" s="3">
        <v>288</v>
      </c>
      <c r="B22" s="3">
        <v>288</v>
      </c>
      <c r="C22" s="3" t="s">
        <v>263</v>
      </c>
      <c r="D22" s="3" t="s">
        <v>264</v>
      </c>
      <c r="E22" s="5" t="s">
        <v>147</v>
      </c>
      <c r="F22" s="3" t="s">
        <v>265</v>
      </c>
      <c r="G22" s="3" t="s">
        <v>266</v>
      </c>
      <c r="H22" s="5" t="s">
        <v>150</v>
      </c>
      <c r="I22" s="3" t="s">
        <v>183</v>
      </c>
      <c r="J22" s="3" t="s">
        <v>30</v>
      </c>
      <c r="K22" s="3" t="s">
        <v>267</v>
      </c>
      <c r="L22" s="3" t="s">
        <v>152</v>
      </c>
      <c r="M22" s="5" t="s">
        <v>41</v>
      </c>
      <c r="N22" s="3" t="s">
        <v>167</v>
      </c>
      <c r="O22" s="3" t="s">
        <v>154</v>
      </c>
      <c r="P22" s="3" t="s">
        <v>268</v>
      </c>
      <c r="Q22" s="3" t="s">
        <v>156</v>
      </c>
      <c r="R22" s="3" t="s">
        <v>157</v>
      </c>
      <c r="S22" s="3" t="s">
        <v>44</v>
      </c>
      <c r="T22" s="154">
        <v>1.196</v>
      </c>
      <c r="U22" s="3" t="s">
        <v>269</v>
      </c>
      <c r="V22" s="165">
        <v>0.04</v>
      </c>
      <c r="W22" s="165">
        <v>4.7600000000000003E-2</v>
      </c>
      <c r="X22" s="5" t="s">
        <v>159</v>
      </c>
      <c r="Y22" s="5" t="s">
        <v>154</v>
      </c>
      <c r="Z22" s="154">
        <v>2160000</v>
      </c>
      <c r="AA22" s="163">
        <v>1</v>
      </c>
      <c r="AB22" s="173">
        <v>118.67</v>
      </c>
      <c r="AD22" s="154">
        <v>2563.2719999999999</v>
      </c>
      <c r="AG22" s="3" t="s">
        <v>36</v>
      </c>
      <c r="AH22" s="165">
        <v>1.4790000000000001E-3</v>
      </c>
      <c r="AI22" s="165">
        <v>8.2708776259648193E-3</v>
      </c>
      <c r="AJ22" s="165">
        <v>9.9971975737166803E-4</v>
      </c>
    </row>
    <row r="23" spans="1:36">
      <c r="A23" s="3">
        <v>288</v>
      </c>
      <c r="B23" s="3">
        <v>288</v>
      </c>
      <c r="C23" s="3" t="s">
        <v>263</v>
      </c>
      <c r="D23" s="3" t="s">
        <v>264</v>
      </c>
      <c r="E23" s="5" t="s">
        <v>147</v>
      </c>
      <c r="F23" s="3" t="s">
        <v>270</v>
      </c>
      <c r="G23" s="3" t="s">
        <v>271</v>
      </c>
      <c r="H23" s="5" t="s">
        <v>150</v>
      </c>
      <c r="I23" s="3" t="s">
        <v>183</v>
      </c>
      <c r="J23" s="3" t="s">
        <v>30</v>
      </c>
      <c r="K23" s="3" t="s">
        <v>267</v>
      </c>
      <c r="L23" s="3" t="s">
        <v>152</v>
      </c>
      <c r="M23" s="3" t="s">
        <v>41</v>
      </c>
      <c r="N23" s="3" t="s">
        <v>167</v>
      </c>
      <c r="O23" s="3" t="s">
        <v>154</v>
      </c>
      <c r="P23" s="3" t="s">
        <v>268</v>
      </c>
      <c r="Q23" s="3" t="s">
        <v>156</v>
      </c>
      <c r="R23" s="3" t="s">
        <v>157</v>
      </c>
      <c r="S23" s="3" t="s">
        <v>44</v>
      </c>
      <c r="T23" s="154">
        <v>4.6870000000000003</v>
      </c>
      <c r="U23" s="3" t="s">
        <v>272</v>
      </c>
      <c r="V23" s="165">
        <v>1.7899999999999999E-2</v>
      </c>
      <c r="W23" s="165">
        <v>5.4170000000000003E-2</v>
      </c>
      <c r="X23" s="5" t="s">
        <v>159</v>
      </c>
      <c r="Y23" s="5" t="s">
        <v>154</v>
      </c>
      <c r="Z23" s="154">
        <v>1600000</v>
      </c>
      <c r="AA23" s="163">
        <v>1</v>
      </c>
      <c r="AB23" s="173">
        <v>100.05</v>
      </c>
      <c r="AD23" s="154">
        <v>1600.8</v>
      </c>
      <c r="AG23" s="3" t="s">
        <v>36</v>
      </c>
      <c r="AH23" s="165">
        <v>1.152E-3</v>
      </c>
      <c r="AI23" s="165">
        <v>5.1652812903369098E-3</v>
      </c>
      <c r="AJ23" s="165">
        <v>6.2433927714287301E-4</v>
      </c>
    </row>
    <row r="24" spans="1:36">
      <c r="A24" s="3">
        <v>288</v>
      </c>
      <c r="B24" s="3">
        <v>288</v>
      </c>
      <c r="C24" s="3" t="s">
        <v>273</v>
      </c>
      <c r="D24" s="3" t="s">
        <v>274</v>
      </c>
      <c r="E24" s="5" t="s">
        <v>147</v>
      </c>
      <c r="F24" s="3" t="s">
        <v>275</v>
      </c>
      <c r="G24" s="3" t="s">
        <v>276</v>
      </c>
      <c r="H24" s="3" t="s">
        <v>150</v>
      </c>
      <c r="I24" s="3" t="s">
        <v>165</v>
      </c>
      <c r="J24" s="3" t="s">
        <v>30</v>
      </c>
      <c r="K24" s="3" t="s">
        <v>30</v>
      </c>
      <c r="L24" s="3" t="s">
        <v>152</v>
      </c>
      <c r="M24" s="3" t="s">
        <v>41</v>
      </c>
      <c r="N24" s="3" t="s">
        <v>234</v>
      </c>
      <c r="O24" s="3" t="s">
        <v>154</v>
      </c>
      <c r="P24" s="3" t="s">
        <v>177</v>
      </c>
      <c r="Q24" s="3" t="s">
        <v>169</v>
      </c>
      <c r="R24" s="3" t="s">
        <v>157</v>
      </c>
      <c r="S24" s="3" t="s">
        <v>44</v>
      </c>
      <c r="T24" s="154">
        <v>1.4510000000000001</v>
      </c>
      <c r="U24" s="3" t="s">
        <v>277</v>
      </c>
      <c r="V24" s="165">
        <v>3.2899999999999999E-2</v>
      </c>
      <c r="W24" s="165">
        <v>4.9570000000000003E-2</v>
      </c>
      <c r="X24" s="5" t="s">
        <v>159</v>
      </c>
      <c r="Y24" s="5" t="s">
        <v>154</v>
      </c>
      <c r="Z24" s="154">
        <v>319333.33</v>
      </c>
      <c r="AA24" s="163">
        <v>1</v>
      </c>
      <c r="AB24" s="173">
        <v>97.79</v>
      </c>
      <c r="AD24" s="154">
        <v>312.27600000000001</v>
      </c>
      <c r="AG24" s="3" t="s">
        <v>36</v>
      </c>
      <c r="AH24" s="165">
        <v>4.46E-4</v>
      </c>
      <c r="AI24" s="165">
        <v>1.0076172587058E-3</v>
      </c>
      <c r="AJ24" s="165">
        <v>1.2179298581743399E-4</v>
      </c>
    </row>
    <row r="25" spans="1:36">
      <c r="A25" s="3">
        <v>288</v>
      </c>
      <c r="B25" s="3">
        <v>288</v>
      </c>
      <c r="C25" s="3" t="s">
        <v>278</v>
      </c>
      <c r="D25" s="3" t="s">
        <v>279</v>
      </c>
      <c r="E25" s="5" t="s">
        <v>147</v>
      </c>
      <c r="F25" s="3" t="s">
        <v>280</v>
      </c>
      <c r="G25" s="3" t="s">
        <v>281</v>
      </c>
      <c r="H25" s="3" t="s">
        <v>150</v>
      </c>
      <c r="I25" s="3" t="s">
        <v>183</v>
      </c>
      <c r="J25" s="3" t="s">
        <v>30</v>
      </c>
      <c r="K25" s="3" t="s">
        <v>30</v>
      </c>
      <c r="L25" s="3" t="s">
        <v>152</v>
      </c>
      <c r="M25" s="3" t="s">
        <v>41</v>
      </c>
      <c r="N25" s="3" t="s">
        <v>282</v>
      </c>
      <c r="O25" s="3" t="s">
        <v>154</v>
      </c>
      <c r="P25" s="3" t="s">
        <v>283</v>
      </c>
      <c r="Q25" s="3" t="s">
        <v>156</v>
      </c>
      <c r="R25" s="3" t="s">
        <v>157</v>
      </c>
      <c r="S25" s="3" t="s">
        <v>44</v>
      </c>
      <c r="T25" s="154">
        <v>3.5009999999999999</v>
      </c>
      <c r="U25" s="3" t="s">
        <v>284</v>
      </c>
      <c r="V25" s="165">
        <v>2E-3</v>
      </c>
      <c r="W25" s="165">
        <v>2.5520000000000001E-2</v>
      </c>
      <c r="X25" s="5" t="s">
        <v>159</v>
      </c>
      <c r="Y25" s="5" t="s">
        <v>154</v>
      </c>
      <c r="Z25" s="154">
        <v>3127263.75</v>
      </c>
      <c r="AA25" s="163">
        <v>1</v>
      </c>
      <c r="AB25" s="173">
        <v>106.62</v>
      </c>
      <c r="AD25" s="154">
        <v>3334.2890000000002</v>
      </c>
      <c r="AG25" s="3" t="s">
        <v>36</v>
      </c>
      <c r="AH25" s="165">
        <v>9.8299999999999993E-4</v>
      </c>
      <c r="AI25" s="165">
        <v>1.0758707255814501E-2</v>
      </c>
      <c r="AJ25" s="165">
        <v>1.3004293732566199E-3</v>
      </c>
    </row>
    <row r="26" spans="1:36">
      <c r="A26" s="3">
        <v>288</v>
      </c>
      <c r="B26" s="3">
        <v>288</v>
      </c>
      <c r="C26" s="3" t="s">
        <v>278</v>
      </c>
      <c r="D26" s="3" t="s">
        <v>279</v>
      </c>
      <c r="E26" s="5" t="s">
        <v>147</v>
      </c>
      <c r="F26" s="3" t="s">
        <v>285</v>
      </c>
      <c r="G26" s="3" t="s">
        <v>286</v>
      </c>
      <c r="H26" s="3" t="s">
        <v>150</v>
      </c>
      <c r="I26" s="3" t="s">
        <v>183</v>
      </c>
      <c r="J26" s="3" t="s">
        <v>30</v>
      </c>
      <c r="K26" s="3" t="s">
        <v>30</v>
      </c>
      <c r="L26" s="3" t="s">
        <v>152</v>
      </c>
      <c r="M26" s="3" t="s">
        <v>41</v>
      </c>
      <c r="N26" s="3" t="s">
        <v>282</v>
      </c>
      <c r="O26" s="3" t="s">
        <v>154</v>
      </c>
      <c r="P26" s="3" t="s">
        <v>283</v>
      </c>
      <c r="Q26" s="3" t="s">
        <v>156</v>
      </c>
      <c r="R26" s="3" t="s">
        <v>157</v>
      </c>
      <c r="S26" s="3" t="s">
        <v>44</v>
      </c>
      <c r="T26" s="154">
        <v>4.633</v>
      </c>
      <c r="U26" s="3" t="s">
        <v>287</v>
      </c>
      <c r="V26" s="165">
        <v>2.47E-2</v>
      </c>
      <c r="W26" s="165">
        <v>2.5909999999999999E-2</v>
      </c>
      <c r="X26" s="5" t="s">
        <v>159</v>
      </c>
      <c r="Y26" s="5" t="s">
        <v>154</v>
      </c>
      <c r="Z26" s="154">
        <v>3549000</v>
      </c>
      <c r="AA26" s="163">
        <v>1</v>
      </c>
      <c r="AB26" s="173">
        <v>105.47</v>
      </c>
      <c r="AD26" s="154">
        <v>3743.13</v>
      </c>
      <c r="AG26" s="3" t="s">
        <v>36</v>
      </c>
      <c r="AH26" s="165">
        <v>1.364E-3</v>
      </c>
      <c r="AI26" s="165">
        <v>1.20779116103718E-2</v>
      </c>
      <c r="AJ26" s="165">
        <v>1.4598845987965901E-3</v>
      </c>
    </row>
    <row r="27" spans="1:36">
      <c r="A27" s="3">
        <v>288</v>
      </c>
      <c r="B27" s="3">
        <v>288</v>
      </c>
      <c r="C27" s="3" t="s">
        <v>288</v>
      </c>
      <c r="D27" s="3" t="s">
        <v>289</v>
      </c>
      <c r="E27" s="5" t="s">
        <v>147</v>
      </c>
      <c r="F27" s="3" t="s">
        <v>290</v>
      </c>
      <c r="G27" s="3" t="s">
        <v>291</v>
      </c>
      <c r="H27" s="3" t="s">
        <v>150</v>
      </c>
      <c r="I27" s="3" t="s">
        <v>165</v>
      </c>
      <c r="J27" s="3" t="s">
        <v>30</v>
      </c>
      <c r="K27" s="3" t="s">
        <v>30</v>
      </c>
      <c r="L27" s="3" t="s">
        <v>152</v>
      </c>
      <c r="M27" s="3" t="s">
        <v>41</v>
      </c>
      <c r="N27" s="3" t="s">
        <v>292</v>
      </c>
      <c r="O27" s="3" t="s">
        <v>154</v>
      </c>
      <c r="P27" s="3" t="s">
        <v>199</v>
      </c>
      <c r="Q27" s="3" t="s">
        <v>156</v>
      </c>
      <c r="R27" s="3" t="s">
        <v>157</v>
      </c>
      <c r="S27" s="3" t="s">
        <v>44</v>
      </c>
      <c r="T27" s="154">
        <v>1.8160000000000001</v>
      </c>
      <c r="U27" s="3" t="s">
        <v>293</v>
      </c>
      <c r="V27" s="165">
        <v>0.05</v>
      </c>
      <c r="W27" s="165">
        <v>4.8529999999999997E-2</v>
      </c>
      <c r="X27" s="5" t="s">
        <v>159</v>
      </c>
      <c r="Y27" s="5" t="s">
        <v>154</v>
      </c>
      <c r="Z27" s="154">
        <v>1250002.92</v>
      </c>
      <c r="AA27" s="163">
        <v>1</v>
      </c>
      <c r="AB27" s="173">
        <v>100.85</v>
      </c>
      <c r="AD27" s="154">
        <v>1260.6279999999999</v>
      </c>
      <c r="AG27" s="3" t="s">
        <v>36</v>
      </c>
      <c r="AH27" s="165">
        <v>7.4679999999999998E-3</v>
      </c>
      <c r="AI27" s="165">
        <v>4.0676523847167799E-3</v>
      </c>
      <c r="AJ27" s="165">
        <v>4.9166637919479197E-4</v>
      </c>
    </row>
    <row r="28" spans="1:36">
      <c r="A28" s="3">
        <v>288</v>
      </c>
      <c r="B28" s="3">
        <v>288</v>
      </c>
      <c r="C28" s="3" t="s">
        <v>294</v>
      </c>
      <c r="D28" s="3" t="s">
        <v>295</v>
      </c>
      <c r="E28" s="5" t="s">
        <v>147</v>
      </c>
      <c r="F28" s="3" t="s">
        <v>296</v>
      </c>
      <c r="G28" s="3" t="s">
        <v>297</v>
      </c>
      <c r="H28" s="3" t="s">
        <v>150</v>
      </c>
      <c r="I28" s="3" t="s">
        <v>183</v>
      </c>
      <c r="J28" s="3" t="s">
        <v>30</v>
      </c>
      <c r="K28" s="3" t="s">
        <v>30</v>
      </c>
      <c r="L28" s="3" t="s">
        <v>152</v>
      </c>
      <c r="M28" s="3" t="s">
        <v>41</v>
      </c>
      <c r="N28" s="3" t="s">
        <v>184</v>
      </c>
      <c r="O28" s="3" t="s">
        <v>154</v>
      </c>
      <c r="P28" s="3" t="s">
        <v>228</v>
      </c>
      <c r="Q28" s="3" t="s">
        <v>156</v>
      </c>
      <c r="R28" s="3" t="s">
        <v>157</v>
      </c>
      <c r="S28" s="3" t="s">
        <v>44</v>
      </c>
      <c r="T28" s="154">
        <v>1.996</v>
      </c>
      <c r="U28" s="3" t="s">
        <v>298</v>
      </c>
      <c r="V28" s="165">
        <v>1.7999999999999999E-2</v>
      </c>
      <c r="W28" s="165">
        <v>3.0210000000000001E-2</v>
      </c>
      <c r="X28" s="5" t="s">
        <v>159</v>
      </c>
      <c r="Y28" s="5" t="s">
        <v>154</v>
      </c>
      <c r="Z28" s="154">
        <v>1659495.24</v>
      </c>
      <c r="AA28" s="163">
        <v>1</v>
      </c>
      <c r="AB28" s="173">
        <v>116.94</v>
      </c>
      <c r="AD28" s="154">
        <v>1940.614</v>
      </c>
      <c r="AG28" s="3" t="s">
        <v>36</v>
      </c>
      <c r="AH28" s="165">
        <v>2.2439999999999999E-3</v>
      </c>
      <c r="AI28" s="165">
        <v>6.2617540043879297E-3</v>
      </c>
      <c r="AJ28" s="165">
        <v>7.5687242359090304E-4</v>
      </c>
    </row>
    <row r="29" spans="1:36">
      <c r="A29" s="3">
        <v>288</v>
      </c>
      <c r="B29" s="3">
        <v>288</v>
      </c>
      <c r="C29" s="3" t="s">
        <v>294</v>
      </c>
      <c r="D29" s="3" t="s">
        <v>295</v>
      </c>
      <c r="E29" s="5" t="s">
        <v>147</v>
      </c>
      <c r="F29" s="3" t="s">
        <v>299</v>
      </c>
      <c r="G29" s="3" t="s">
        <v>300</v>
      </c>
      <c r="H29" s="3" t="s">
        <v>150</v>
      </c>
      <c r="I29" s="3" t="s">
        <v>183</v>
      </c>
      <c r="J29" s="3" t="s">
        <v>30</v>
      </c>
      <c r="K29" s="3" t="s">
        <v>30</v>
      </c>
      <c r="L29" s="3" t="s">
        <v>152</v>
      </c>
      <c r="M29" s="3" t="s">
        <v>41</v>
      </c>
      <c r="N29" s="3" t="s">
        <v>184</v>
      </c>
      <c r="O29" s="3" t="s">
        <v>154</v>
      </c>
      <c r="P29" s="3" t="s">
        <v>268</v>
      </c>
      <c r="Q29" s="3" t="s">
        <v>156</v>
      </c>
      <c r="R29" s="3" t="s">
        <v>157</v>
      </c>
      <c r="S29" s="3" t="s">
        <v>44</v>
      </c>
      <c r="T29" s="154">
        <v>1.212</v>
      </c>
      <c r="U29" s="3" t="s">
        <v>269</v>
      </c>
      <c r="V29" s="165">
        <v>2.2499999999999999E-2</v>
      </c>
      <c r="W29" s="165">
        <v>3.3989999999999999E-2</v>
      </c>
      <c r="X29" s="5" t="s">
        <v>159</v>
      </c>
      <c r="Y29" s="5" t="s">
        <v>154</v>
      </c>
      <c r="Z29" s="154">
        <v>560000.36</v>
      </c>
      <c r="AA29" s="163">
        <v>1</v>
      </c>
      <c r="AB29" s="173">
        <v>117.81</v>
      </c>
      <c r="AD29" s="154">
        <v>659.73599999999999</v>
      </c>
      <c r="AG29" s="3" t="s">
        <v>36</v>
      </c>
      <c r="AH29" s="165">
        <v>2.2430000000000002E-3</v>
      </c>
      <c r="AI29" s="165">
        <v>2.1287632484009002E-3</v>
      </c>
      <c r="AJ29" s="165">
        <v>2.5730844711232301E-4</v>
      </c>
    </row>
    <row r="30" spans="1:36">
      <c r="A30" s="3">
        <v>288</v>
      </c>
      <c r="B30" s="3">
        <v>288</v>
      </c>
      <c r="C30" s="3" t="s">
        <v>301</v>
      </c>
      <c r="D30" s="3" t="s">
        <v>302</v>
      </c>
      <c r="E30" s="5" t="s">
        <v>147</v>
      </c>
      <c r="F30" s="3" t="s">
        <v>303</v>
      </c>
      <c r="G30" s="3" t="s">
        <v>304</v>
      </c>
      <c r="H30" s="3" t="s">
        <v>150</v>
      </c>
      <c r="I30" s="3" t="s">
        <v>183</v>
      </c>
      <c r="J30" s="3" t="s">
        <v>30</v>
      </c>
      <c r="K30" s="3" t="s">
        <v>30</v>
      </c>
      <c r="L30" s="3" t="s">
        <v>152</v>
      </c>
      <c r="M30" s="3" t="s">
        <v>41</v>
      </c>
      <c r="N30" s="3" t="s">
        <v>176</v>
      </c>
      <c r="O30" s="3" t="s">
        <v>154</v>
      </c>
      <c r="P30" s="3" t="s">
        <v>185</v>
      </c>
      <c r="Q30" s="3" t="s">
        <v>156</v>
      </c>
      <c r="R30" s="3" t="s">
        <v>157</v>
      </c>
      <c r="S30" s="3" t="s">
        <v>44</v>
      </c>
      <c r="T30" s="154">
        <v>3.544</v>
      </c>
      <c r="U30" s="3" t="s">
        <v>305</v>
      </c>
      <c r="V30" s="165">
        <v>4.4000000000000003E-3</v>
      </c>
      <c r="W30" s="165">
        <v>2.6939999999999999E-2</v>
      </c>
      <c r="X30" s="5" t="s">
        <v>159</v>
      </c>
      <c r="Y30" s="5" t="s">
        <v>154</v>
      </c>
      <c r="Z30" s="154">
        <v>1235977.58</v>
      </c>
      <c r="AA30" s="163">
        <v>1</v>
      </c>
      <c r="AB30" s="173">
        <v>109.63</v>
      </c>
      <c r="AD30" s="154">
        <v>1355.002</v>
      </c>
      <c r="AG30" s="3" t="s">
        <v>36</v>
      </c>
      <c r="AH30" s="165">
        <v>1.0870000000000001E-3</v>
      </c>
      <c r="AI30" s="165">
        <v>4.3721686783224998E-3</v>
      </c>
      <c r="AJ30" s="165">
        <v>5.2847395499588197E-4</v>
      </c>
    </row>
    <row r="31" spans="1:36">
      <c r="A31" s="3">
        <v>288</v>
      </c>
      <c r="B31" s="3">
        <v>288</v>
      </c>
      <c r="C31" s="3" t="s">
        <v>306</v>
      </c>
      <c r="D31" s="3" t="s">
        <v>307</v>
      </c>
      <c r="E31" s="5" t="s">
        <v>147</v>
      </c>
      <c r="F31" s="3" t="s">
        <v>308</v>
      </c>
      <c r="G31" s="3" t="s">
        <v>309</v>
      </c>
      <c r="H31" s="3" t="s">
        <v>150</v>
      </c>
      <c r="I31" s="3" t="s">
        <v>165</v>
      </c>
      <c r="J31" s="3" t="s">
        <v>30</v>
      </c>
      <c r="K31" s="3" t="s">
        <v>30</v>
      </c>
      <c r="L31" s="3" t="s">
        <v>152</v>
      </c>
      <c r="M31" s="3" t="s">
        <v>41</v>
      </c>
      <c r="N31" s="3" t="s">
        <v>176</v>
      </c>
      <c r="O31" s="3" t="s">
        <v>154</v>
      </c>
      <c r="P31" s="3" t="s">
        <v>199</v>
      </c>
      <c r="Q31" s="3" t="s">
        <v>156</v>
      </c>
      <c r="R31" s="3" t="s">
        <v>157</v>
      </c>
      <c r="S31" s="3" t="s">
        <v>44</v>
      </c>
      <c r="T31" s="154">
        <v>0.72399999999999998</v>
      </c>
      <c r="U31" s="3" t="s">
        <v>310</v>
      </c>
      <c r="V31" s="165">
        <v>2.9100000000000001E-2</v>
      </c>
      <c r="W31" s="165">
        <v>4.82E-2</v>
      </c>
      <c r="X31" s="5" t="s">
        <v>159</v>
      </c>
      <c r="Y31" s="5" t="s">
        <v>154</v>
      </c>
      <c r="Z31" s="154">
        <v>50000</v>
      </c>
      <c r="AA31" s="163">
        <v>1</v>
      </c>
      <c r="AB31" s="173">
        <v>99.46</v>
      </c>
      <c r="AD31" s="154">
        <v>49.73</v>
      </c>
      <c r="AG31" s="3" t="s">
        <v>36</v>
      </c>
      <c r="AH31" s="165">
        <v>1.63E-4</v>
      </c>
      <c r="AI31" s="165">
        <v>1.6046316752152301E-4</v>
      </c>
      <c r="AJ31" s="165">
        <v>1.93955473840049E-5</v>
      </c>
    </row>
    <row r="32" spans="1:36">
      <c r="A32" s="3">
        <v>288</v>
      </c>
      <c r="B32" s="3">
        <v>288</v>
      </c>
      <c r="C32" s="3" t="s">
        <v>311</v>
      </c>
      <c r="D32" s="3" t="s">
        <v>312</v>
      </c>
      <c r="E32" s="5" t="s">
        <v>147</v>
      </c>
      <c r="F32" s="3" t="s">
        <v>313</v>
      </c>
      <c r="G32" s="3" t="s">
        <v>314</v>
      </c>
      <c r="H32" s="3" t="s">
        <v>150</v>
      </c>
      <c r="I32" s="3" t="s">
        <v>165</v>
      </c>
      <c r="J32" s="3" t="s">
        <v>30</v>
      </c>
      <c r="K32" s="3" t="s">
        <v>30</v>
      </c>
      <c r="L32" s="3" t="s">
        <v>152</v>
      </c>
      <c r="M32" s="3" t="s">
        <v>41</v>
      </c>
      <c r="N32" s="3" t="s">
        <v>208</v>
      </c>
      <c r="O32" s="3" t="s">
        <v>154</v>
      </c>
      <c r="P32" s="3" t="s">
        <v>155</v>
      </c>
      <c r="Q32" s="3" t="s">
        <v>156</v>
      </c>
      <c r="R32" s="3" t="s">
        <v>157</v>
      </c>
      <c r="S32" s="3" t="s">
        <v>44</v>
      </c>
      <c r="T32" s="154">
        <v>1.798</v>
      </c>
      <c r="U32" s="3" t="s">
        <v>315</v>
      </c>
      <c r="V32" s="165">
        <v>2.1999999999999999E-2</v>
      </c>
      <c r="W32" s="165">
        <v>4.87E-2</v>
      </c>
      <c r="X32" s="5" t="s">
        <v>159</v>
      </c>
      <c r="Y32" s="5" t="s">
        <v>154</v>
      </c>
      <c r="Z32" s="154">
        <v>2677654.5299999998</v>
      </c>
      <c r="AA32" s="163">
        <v>1</v>
      </c>
      <c r="AB32" s="173">
        <v>96.03</v>
      </c>
      <c r="AD32" s="154">
        <v>2571.3519999999999</v>
      </c>
      <c r="AG32" s="3" t="s">
        <v>36</v>
      </c>
      <c r="AH32" s="165">
        <v>3.088E-3</v>
      </c>
      <c r="AI32" s="165">
        <v>8.2969481157026594E-3</v>
      </c>
      <c r="AJ32" s="165">
        <v>1.0028709566583601E-3</v>
      </c>
    </row>
    <row r="33" spans="1:36">
      <c r="A33" s="3">
        <v>288</v>
      </c>
      <c r="B33" s="3">
        <v>288</v>
      </c>
      <c r="C33" s="3" t="s">
        <v>316</v>
      </c>
      <c r="D33" s="3" t="s">
        <v>317</v>
      </c>
      <c r="E33" s="5" t="s">
        <v>147</v>
      </c>
      <c r="F33" s="3" t="s">
        <v>318</v>
      </c>
      <c r="G33" s="3" t="s">
        <v>319</v>
      </c>
      <c r="H33" s="3" t="s">
        <v>150</v>
      </c>
      <c r="I33" s="3" t="s">
        <v>183</v>
      </c>
      <c r="J33" s="3" t="s">
        <v>30</v>
      </c>
      <c r="K33" s="3" t="s">
        <v>30</v>
      </c>
      <c r="L33" s="3" t="s">
        <v>152</v>
      </c>
      <c r="M33" s="3" t="s">
        <v>41</v>
      </c>
      <c r="N33" s="3" t="s">
        <v>234</v>
      </c>
      <c r="O33" s="3" t="s">
        <v>154</v>
      </c>
      <c r="P33" s="3" t="s">
        <v>283</v>
      </c>
      <c r="Q33" s="3" t="s">
        <v>156</v>
      </c>
      <c r="R33" s="3" t="s">
        <v>157</v>
      </c>
      <c r="S33" s="3" t="s">
        <v>44</v>
      </c>
      <c r="T33" s="154">
        <v>2.5529999999999999</v>
      </c>
      <c r="U33" s="3" t="s">
        <v>320</v>
      </c>
      <c r="V33" s="165">
        <v>3.85E-2</v>
      </c>
      <c r="W33" s="165">
        <v>2.5899999999999999E-2</v>
      </c>
      <c r="X33" s="5" t="s">
        <v>159</v>
      </c>
      <c r="Y33" s="5" t="s">
        <v>154</v>
      </c>
      <c r="Z33" s="154">
        <v>1258510.6599999999</v>
      </c>
      <c r="AA33" s="163">
        <v>1</v>
      </c>
      <c r="AB33" s="173">
        <v>123.26</v>
      </c>
      <c r="AC33" s="154">
        <v>28.939</v>
      </c>
      <c r="AD33" s="154">
        <v>1580.18</v>
      </c>
      <c r="AG33" s="3" t="s">
        <v>36</v>
      </c>
      <c r="AH33" s="165">
        <v>4.9799999999999996E-4</v>
      </c>
      <c r="AI33" s="165">
        <v>5.0987454767506104E-3</v>
      </c>
      <c r="AJ33" s="165">
        <v>6.1629694228759605E-4</v>
      </c>
    </row>
    <row r="34" spans="1:36">
      <c r="A34" s="3">
        <v>288</v>
      </c>
      <c r="B34" s="3">
        <v>288</v>
      </c>
      <c r="C34" s="3" t="s">
        <v>316</v>
      </c>
      <c r="D34" s="3" t="s">
        <v>317</v>
      </c>
      <c r="E34" s="5" t="s">
        <v>147</v>
      </c>
      <c r="F34" s="3" t="s">
        <v>321</v>
      </c>
      <c r="G34" s="3" t="s">
        <v>322</v>
      </c>
      <c r="H34" s="3" t="s">
        <v>150</v>
      </c>
      <c r="I34" s="3" t="s">
        <v>183</v>
      </c>
      <c r="J34" s="3" t="s">
        <v>30</v>
      </c>
      <c r="K34" s="3" t="s">
        <v>30</v>
      </c>
      <c r="L34" s="3" t="s">
        <v>152</v>
      </c>
      <c r="M34" s="3" t="s">
        <v>41</v>
      </c>
      <c r="N34" s="3" t="s">
        <v>234</v>
      </c>
      <c r="O34" s="3" t="s">
        <v>154</v>
      </c>
      <c r="P34" s="3" t="s">
        <v>283</v>
      </c>
      <c r="Q34" s="3" t="s">
        <v>156</v>
      </c>
      <c r="R34" s="3" t="s">
        <v>157</v>
      </c>
      <c r="S34" s="3" t="s">
        <v>44</v>
      </c>
      <c r="T34" s="154">
        <v>4.915</v>
      </c>
      <c r="U34" s="3" t="s">
        <v>323</v>
      </c>
      <c r="V34" s="165">
        <v>2.3900000000000001E-2</v>
      </c>
      <c r="W34" s="165">
        <v>2.6040000000000001E-2</v>
      </c>
      <c r="X34" s="5" t="s">
        <v>159</v>
      </c>
      <c r="Y34" s="5" t="s">
        <v>154</v>
      </c>
      <c r="Z34" s="154">
        <v>3200000</v>
      </c>
      <c r="AA34" s="163">
        <v>1</v>
      </c>
      <c r="AB34" s="173">
        <v>117.27</v>
      </c>
      <c r="AD34" s="154">
        <v>3752.64</v>
      </c>
      <c r="AG34" s="3" t="s">
        <v>36</v>
      </c>
      <c r="AH34" s="165">
        <v>8.2299999999999995E-4</v>
      </c>
      <c r="AI34" s="165">
        <v>1.21085964401361E-2</v>
      </c>
      <c r="AJ34" s="165">
        <v>1.46359354383897E-3</v>
      </c>
    </row>
    <row r="35" spans="1:36">
      <c r="A35" s="3">
        <v>288</v>
      </c>
      <c r="B35" s="3">
        <v>288</v>
      </c>
      <c r="C35" s="3" t="s">
        <v>316</v>
      </c>
      <c r="D35" s="3" t="s">
        <v>317</v>
      </c>
      <c r="E35" s="5" t="s">
        <v>147</v>
      </c>
      <c r="F35" s="3" t="s">
        <v>324</v>
      </c>
      <c r="G35" s="3" t="s">
        <v>325</v>
      </c>
      <c r="H35" s="3" t="s">
        <v>150</v>
      </c>
      <c r="I35" s="3" t="s">
        <v>183</v>
      </c>
      <c r="J35" s="3" t="s">
        <v>30</v>
      </c>
      <c r="K35" s="3" t="s">
        <v>30</v>
      </c>
      <c r="L35" s="3" t="s">
        <v>152</v>
      </c>
      <c r="M35" s="3" t="s">
        <v>41</v>
      </c>
      <c r="N35" s="3" t="s">
        <v>234</v>
      </c>
      <c r="O35" s="3" t="s">
        <v>154</v>
      </c>
      <c r="P35" s="3" t="s">
        <v>283</v>
      </c>
      <c r="Q35" s="3" t="s">
        <v>156</v>
      </c>
      <c r="R35" s="3" t="s">
        <v>157</v>
      </c>
      <c r="S35" s="3" t="s">
        <v>44</v>
      </c>
      <c r="T35" s="154">
        <v>9.9329999999999998</v>
      </c>
      <c r="U35" s="3" t="s">
        <v>326</v>
      </c>
      <c r="V35" s="165">
        <v>1.2500000000000001E-2</v>
      </c>
      <c r="W35" s="165">
        <v>2.7859999999999999E-2</v>
      </c>
      <c r="X35" s="5" t="s">
        <v>159</v>
      </c>
      <c r="Y35" s="5" t="s">
        <v>154</v>
      </c>
      <c r="Z35" s="154">
        <v>4750000</v>
      </c>
      <c r="AA35" s="163">
        <v>1</v>
      </c>
      <c r="AB35" s="173">
        <v>101.02</v>
      </c>
      <c r="AD35" s="154">
        <v>4798.45</v>
      </c>
      <c r="AG35" s="3" t="s">
        <v>36</v>
      </c>
      <c r="AH35" s="165">
        <v>1.1069999999999999E-3</v>
      </c>
      <c r="AI35" s="165">
        <v>1.5483098455532999E-2</v>
      </c>
      <c r="AJ35" s="165">
        <v>1.87147726412182E-3</v>
      </c>
    </row>
    <row r="36" spans="1:36">
      <c r="A36" s="3">
        <v>288</v>
      </c>
      <c r="B36" s="3">
        <v>288</v>
      </c>
      <c r="C36" s="3" t="s">
        <v>316</v>
      </c>
      <c r="D36" s="3" t="s">
        <v>317</v>
      </c>
      <c r="E36" s="5" t="s">
        <v>147</v>
      </c>
      <c r="F36" s="3" t="s">
        <v>327</v>
      </c>
      <c r="G36" s="3" t="s">
        <v>328</v>
      </c>
      <c r="H36" s="3" t="s">
        <v>150</v>
      </c>
      <c r="I36" s="3" t="s">
        <v>183</v>
      </c>
      <c r="J36" s="3" t="s">
        <v>30</v>
      </c>
      <c r="K36" s="3" t="s">
        <v>30</v>
      </c>
      <c r="L36" s="3" t="s">
        <v>152</v>
      </c>
      <c r="M36" s="3" t="s">
        <v>41</v>
      </c>
      <c r="N36" s="3" t="s">
        <v>234</v>
      </c>
      <c r="O36" s="3" t="s">
        <v>154</v>
      </c>
      <c r="P36" s="3" t="s">
        <v>283</v>
      </c>
      <c r="Q36" s="3" t="s">
        <v>156</v>
      </c>
      <c r="R36" s="3" t="s">
        <v>157</v>
      </c>
      <c r="S36" s="3" t="s">
        <v>44</v>
      </c>
      <c r="T36" s="154">
        <v>6.8730000000000002</v>
      </c>
      <c r="U36" s="3" t="s">
        <v>329</v>
      </c>
      <c r="V36" s="165">
        <v>0.03</v>
      </c>
      <c r="W36" s="165">
        <v>2.632E-2</v>
      </c>
      <c r="X36" s="5" t="s">
        <v>159</v>
      </c>
      <c r="Y36" s="5" t="s">
        <v>154</v>
      </c>
      <c r="Z36" s="154">
        <v>7551000</v>
      </c>
      <c r="AA36" s="163">
        <v>1</v>
      </c>
      <c r="AB36" s="173">
        <v>111.48</v>
      </c>
      <c r="AD36" s="154">
        <v>8417.8549999999996</v>
      </c>
      <c r="AG36" s="3" t="s">
        <v>36</v>
      </c>
      <c r="AH36" s="165">
        <v>1.851E-3</v>
      </c>
      <c r="AI36" s="165">
        <v>2.7161786546234901E-2</v>
      </c>
      <c r="AJ36" s="165">
        <v>3.2831068096737001E-3</v>
      </c>
    </row>
    <row r="37" spans="1:36">
      <c r="A37" s="3">
        <v>288</v>
      </c>
      <c r="B37" s="3">
        <v>288</v>
      </c>
      <c r="C37" s="3" t="s">
        <v>330</v>
      </c>
      <c r="D37" s="3" t="s">
        <v>331</v>
      </c>
      <c r="E37" s="5" t="s">
        <v>332</v>
      </c>
      <c r="F37" s="3" t="s">
        <v>333</v>
      </c>
      <c r="G37" s="3" t="s">
        <v>334</v>
      </c>
      <c r="H37" s="3" t="s">
        <v>150</v>
      </c>
      <c r="I37" s="3" t="s">
        <v>151</v>
      </c>
      <c r="J37" s="3" t="s">
        <v>30</v>
      </c>
      <c r="K37" s="3" t="s">
        <v>30</v>
      </c>
      <c r="L37" s="3" t="s">
        <v>152</v>
      </c>
      <c r="M37" s="3" t="s">
        <v>41</v>
      </c>
      <c r="N37" s="3" t="s">
        <v>335</v>
      </c>
      <c r="O37" s="3" t="s">
        <v>154</v>
      </c>
      <c r="P37" s="3" t="s">
        <v>185</v>
      </c>
      <c r="Q37" s="3" t="s">
        <v>156</v>
      </c>
      <c r="R37" s="3" t="s">
        <v>157</v>
      </c>
      <c r="S37" s="3" t="s">
        <v>44</v>
      </c>
      <c r="T37" s="154">
        <v>1.0999999999999999E-2</v>
      </c>
      <c r="U37" s="3" t="s">
        <v>336</v>
      </c>
      <c r="V37" s="165">
        <v>3.49E-2</v>
      </c>
      <c r="W37" s="165">
        <v>1E-4</v>
      </c>
      <c r="X37" s="5" t="s">
        <v>159</v>
      </c>
      <c r="Y37" s="5" t="s">
        <v>154</v>
      </c>
      <c r="Z37" s="154">
        <v>150000.03</v>
      </c>
      <c r="AA37" s="163">
        <v>1</v>
      </c>
      <c r="AB37" s="173">
        <v>93.05</v>
      </c>
      <c r="AD37" s="154">
        <v>139.57499999999999</v>
      </c>
      <c r="AG37" s="3" t="s">
        <v>36</v>
      </c>
      <c r="AH37" s="165">
        <v>4.4700000000000002E-4</v>
      </c>
      <c r="AI37" s="165">
        <v>4.5036499268341E-4</v>
      </c>
      <c r="AJ37" s="165">
        <v>5.4436639202678301E-5</v>
      </c>
    </row>
    <row r="38" spans="1:36">
      <c r="A38" s="3">
        <v>288</v>
      </c>
      <c r="B38" s="3">
        <v>288</v>
      </c>
      <c r="C38" s="3" t="s">
        <v>337</v>
      </c>
      <c r="D38" s="3" t="s">
        <v>338</v>
      </c>
      <c r="E38" s="5" t="s">
        <v>147</v>
      </c>
      <c r="F38" s="3" t="s">
        <v>339</v>
      </c>
      <c r="G38" s="3" t="s">
        <v>340</v>
      </c>
      <c r="H38" s="3" t="s">
        <v>150</v>
      </c>
      <c r="I38" s="3" t="s">
        <v>183</v>
      </c>
      <c r="J38" s="3" t="s">
        <v>30</v>
      </c>
      <c r="K38" s="3" t="s">
        <v>30</v>
      </c>
      <c r="L38" s="3" t="s">
        <v>152</v>
      </c>
      <c r="M38" s="3" t="s">
        <v>41</v>
      </c>
      <c r="N38" s="3" t="s">
        <v>184</v>
      </c>
      <c r="O38" s="3" t="s">
        <v>154</v>
      </c>
      <c r="P38" s="3" t="s">
        <v>185</v>
      </c>
      <c r="Q38" s="3" t="s">
        <v>156</v>
      </c>
      <c r="R38" s="3" t="s">
        <v>157</v>
      </c>
      <c r="S38" s="3" t="s">
        <v>44</v>
      </c>
      <c r="T38" s="154">
        <v>1.494</v>
      </c>
      <c r="U38" s="3" t="s">
        <v>341</v>
      </c>
      <c r="V38" s="165">
        <v>1.5800000000000002E-2</v>
      </c>
      <c r="W38" s="165">
        <v>3.048E-2</v>
      </c>
      <c r="X38" s="5" t="s">
        <v>159</v>
      </c>
      <c r="Y38" s="5" t="s">
        <v>154</v>
      </c>
      <c r="Z38" s="154">
        <v>554230.29</v>
      </c>
      <c r="AA38" s="163">
        <v>1</v>
      </c>
      <c r="AB38" s="173">
        <v>118.01</v>
      </c>
      <c r="AD38" s="154">
        <v>654.04700000000003</v>
      </c>
      <c r="AG38" s="3" t="s">
        <v>36</v>
      </c>
      <c r="AH38" s="165">
        <v>1.408E-3</v>
      </c>
      <c r="AI38" s="165">
        <v>2.1104057880779901E-3</v>
      </c>
      <c r="AJ38" s="165">
        <v>2.5508953920316E-4</v>
      </c>
    </row>
    <row r="39" spans="1:36">
      <c r="A39" s="3">
        <v>288</v>
      </c>
      <c r="B39" s="3">
        <v>288</v>
      </c>
      <c r="C39" s="3" t="s">
        <v>342</v>
      </c>
      <c r="D39" s="3" t="s">
        <v>343</v>
      </c>
      <c r="E39" s="5" t="s">
        <v>147</v>
      </c>
      <c r="F39" s="3" t="s">
        <v>344</v>
      </c>
      <c r="G39" s="3" t="s">
        <v>345</v>
      </c>
      <c r="H39" s="3" t="s">
        <v>150</v>
      </c>
      <c r="I39" s="3" t="s">
        <v>165</v>
      </c>
      <c r="J39" s="3" t="s">
        <v>30</v>
      </c>
      <c r="K39" s="3" t="s">
        <v>30</v>
      </c>
      <c r="L39" s="3" t="s">
        <v>152</v>
      </c>
      <c r="M39" s="3" t="s">
        <v>41</v>
      </c>
      <c r="N39" s="3" t="s">
        <v>176</v>
      </c>
      <c r="O39" s="3" t="s">
        <v>154</v>
      </c>
      <c r="P39" s="3" t="s">
        <v>199</v>
      </c>
      <c r="Q39" s="3" t="s">
        <v>156</v>
      </c>
      <c r="R39" s="3" t="s">
        <v>157</v>
      </c>
      <c r="S39" s="3" t="s">
        <v>44</v>
      </c>
      <c r="T39" s="154">
        <v>4.2460000000000004</v>
      </c>
      <c r="U39" s="3" t="s">
        <v>94</v>
      </c>
      <c r="V39" s="165">
        <v>2.64E-2</v>
      </c>
      <c r="W39" s="165">
        <v>4.6199999999999998E-2</v>
      </c>
      <c r="X39" s="5" t="s">
        <v>159</v>
      </c>
      <c r="Y39" s="5" t="s">
        <v>154</v>
      </c>
      <c r="Z39" s="154">
        <v>100000</v>
      </c>
      <c r="AA39" s="163">
        <v>1</v>
      </c>
      <c r="AB39" s="173">
        <v>92.3</v>
      </c>
      <c r="AD39" s="154">
        <v>92.3</v>
      </c>
      <c r="AG39" s="3" t="s">
        <v>36</v>
      </c>
      <c r="AH39" s="165">
        <v>6.0999999999999999E-5</v>
      </c>
      <c r="AI39" s="165">
        <v>2.97823252809906E-4</v>
      </c>
      <c r="AJ39" s="165">
        <v>3.5998572763797603E-5</v>
      </c>
    </row>
    <row r="40" spans="1:36">
      <c r="A40" s="3">
        <v>288</v>
      </c>
      <c r="B40" s="3">
        <v>288</v>
      </c>
      <c r="C40" s="3" t="s">
        <v>346</v>
      </c>
      <c r="D40" s="3" t="s">
        <v>347</v>
      </c>
      <c r="E40" s="5" t="s">
        <v>147</v>
      </c>
      <c r="F40" s="3" t="s">
        <v>348</v>
      </c>
      <c r="G40" s="3" t="s">
        <v>349</v>
      </c>
      <c r="H40" s="3" t="s">
        <v>150</v>
      </c>
      <c r="I40" s="3" t="s">
        <v>165</v>
      </c>
      <c r="J40" s="3" t="s">
        <v>30</v>
      </c>
      <c r="K40" s="3" t="s">
        <v>30</v>
      </c>
      <c r="L40" s="3" t="s">
        <v>152</v>
      </c>
      <c r="M40" s="3" t="s">
        <v>41</v>
      </c>
      <c r="N40" s="3" t="s">
        <v>176</v>
      </c>
      <c r="O40" s="3" t="s">
        <v>154</v>
      </c>
      <c r="P40" s="3" t="s">
        <v>199</v>
      </c>
      <c r="Q40" s="3" t="s">
        <v>156</v>
      </c>
      <c r="R40" s="3" t="s">
        <v>157</v>
      </c>
      <c r="S40" s="3" t="s">
        <v>44</v>
      </c>
      <c r="T40" s="154">
        <v>2.2650000000000001</v>
      </c>
      <c r="U40" s="3" t="s">
        <v>350</v>
      </c>
      <c r="V40" s="165">
        <v>4.7E-2</v>
      </c>
      <c r="W40" s="165">
        <v>4.6940000000000003E-2</v>
      </c>
      <c r="X40" s="5" t="s">
        <v>159</v>
      </c>
      <c r="Y40" s="5" t="s">
        <v>154</v>
      </c>
      <c r="Z40" s="154">
        <v>1038227.23</v>
      </c>
      <c r="AA40" s="163">
        <v>1</v>
      </c>
      <c r="AB40" s="173">
        <v>102.82</v>
      </c>
      <c r="AD40" s="154">
        <v>1067.5050000000001</v>
      </c>
      <c r="AG40" s="3" t="s">
        <v>36</v>
      </c>
      <c r="AH40" s="165">
        <v>1.8910000000000001E-3</v>
      </c>
      <c r="AI40" s="165">
        <v>3.44450576748452E-3</v>
      </c>
      <c r="AJ40" s="165">
        <v>4.1634523273861499E-4</v>
      </c>
    </row>
    <row r="41" spans="1:36">
      <c r="A41" s="3">
        <v>288</v>
      </c>
      <c r="B41" s="3">
        <v>288</v>
      </c>
      <c r="C41" s="3" t="s">
        <v>342</v>
      </c>
      <c r="D41" s="3" t="s">
        <v>343</v>
      </c>
      <c r="E41" s="5" t="s">
        <v>147</v>
      </c>
      <c r="F41" s="3" t="s">
        <v>351</v>
      </c>
      <c r="G41" s="3" t="s">
        <v>352</v>
      </c>
      <c r="H41" s="3" t="s">
        <v>150</v>
      </c>
      <c r="I41" s="3" t="s">
        <v>165</v>
      </c>
      <c r="J41" s="3" t="s">
        <v>30</v>
      </c>
      <c r="K41" s="3" t="s">
        <v>30</v>
      </c>
      <c r="L41" s="3" t="s">
        <v>152</v>
      </c>
      <c r="M41" s="3" t="s">
        <v>41</v>
      </c>
      <c r="N41" s="3" t="s">
        <v>353</v>
      </c>
      <c r="O41" s="3" t="s">
        <v>154</v>
      </c>
      <c r="P41" s="3" t="s">
        <v>199</v>
      </c>
      <c r="Q41" s="3" t="s">
        <v>156</v>
      </c>
      <c r="R41" s="3" t="s">
        <v>157</v>
      </c>
      <c r="S41" s="3" t="s">
        <v>44</v>
      </c>
      <c r="T41" s="154">
        <v>7.1269999999999998</v>
      </c>
      <c r="U41" s="3" t="s">
        <v>354</v>
      </c>
      <c r="V41" s="165">
        <v>5.3100000000000001E-2</v>
      </c>
      <c r="W41" s="165">
        <v>4.8730000000000002E-2</v>
      </c>
      <c r="X41" s="5" t="s">
        <v>159</v>
      </c>
      <c r="Y41" s="5" t="s">
        <v>154</v>
      </c>
      <c r="Z41" s="154">
        <v>3000000</v>
      </c>
      <c r="AA41" s="163">
        <v>1</v>
      </c>
      <c r="AB41" s="173">
        <v>104.46</v>
      </c>
      <c r="AD41" s="154">
        <v>3133.8</v>
      </c>
      <c r="AG41" s="3" t="s">
        <v>36</v>
      </c>
      <c r="AH41" s="165">
        <v>2.356E-3</v>
      </c>
      <c r="AI41" s="165">
        <v>1.01117931707008E-2</v>
      </c>
      <c r="AJ41" s="165">
        <v>1.22223539899446E-3</v>
      </c>
    </row>
    <row r="42" spans="1:36">
      <c r="A42" s="3">
        <v>288</v>
      </c>
      <c r="B42" s="3">
        <v>288</v>
      </c>
      <c r="C42" s="3" t="s">
        <v>355</v>
      </c>
      <c r="D42" s="3" t="s">
        <v>356</v>
      </c>
      <c r="E42" s="5" t="s">
        <v>147</v>
      </c>
      <c r="F42" s="3" t="s">
        <v>357</v>
      </c>
      <c r="G42" s="3" t="s">
        <v>358</v>
      </c>
      <c r="H42" s="3" t="s">
        <v>150</v>
      </c>
      <c r="I42" s="3" t="s">
        <v>183</v>
      </c>
      <c r="J42" s="3" t="s">
        <v>30</v>
      </c>
      <c r="K42" s="3" t="s">
        <v>30</v>
      </c>
      <c r="L42" s="3" t="s">
        <v>152</v>
      </c>
      <c r="M42" s="3" t="s">
        <v>41</v>
      </c>
      <c r="N42" s="3" t="s">
        <v>282</v>
      </c>
      <c r="O42" s="3" t="s">
        <v>154</v>
      </c>
      <c r="P42" s="3" t="s">
        <v>283</v>
      </c>
      <c r="Q42" s="3" t="s">
        <v>156</v>
      </c>
      <c r="R42" s="3" t="s">
        <v>157</v>
      </c>
      <c r="S42" s="3" t="s">
        <v>44</v>
      </c>
      <c r="T42" s="154">
        <v>4.13</v>
      </c>
      <c r="U42" s="3" t="s">
        <v>359</v>
      </c>
      <c r="V42" s="165">
        <v>2.0199999999999999E-2</v>
      </c>
      <c r="W42" s="165">
        <v>2.5430000000000001E-2</v>
      </c>
      <c r="X42" s="5" t="s">
        <v>159</v>
      </c>
      <c r="Y42" s="5" t="s">
        <v>154</v>
      </c>
      <c r="Z42" s="154">
        <v>4600000</v>
      </c>
      <c r="AA42" s="163">
        <v>1</v>
      </c>
      <c r="AB42" s="173">
        <v>105.02</v>
      </c>
      <c r="AD42" s="154">
        <v>4830.92</v>
      </c>
      <c r="AG42" s="3" t="s">
        <v>36</v>
      </c>
      <c r="AH42" s="165">
        <v>1.289E-3</v>
      </c>
      <c r="AI42" s="165">
        <v>1.5587868997447799E-2</v>
      </c>
      <c r="AJ42" s="165">
        <v>1.8841411174007E-3</v>
      </c>
    </row>
    <row r="43" spans="1:36">
      <c r="A43" s="3">
        <v>288</v>
      </c>
      <c r="B43" s="3">
        <v>288</v>
      </c>
      <c r="C43" s="3" t="s">
        <v>355</v>
      </c>
      <c r="D43" s="3" t="s">
        <v>356</v>
      </c>
      <c r="E43" s="5" t="s">
        <v>147</v>
      </c>
      <c r="F43" s="3" t="s">
        <v>360</v>
      </c>
      <c r="G43" s="3" t="s">
        <v>361</v>
      </c>
      <c r="H43" s="3" t="s">
        <v>150</v>
      </c>
      <c r="I43" s="3" t="s">
        <v>183</v>
      </c>
      <c r="J43" s="3" t="s">
        <v>30</v>
      </c>
      <c r="K43" s="3" t="s">
        <v>30</v>
      </c>
      <c r="L43" s="3" t="s">
        <v>152</v>
      </c>
      <c r="M43" s="3" t="s">
        <v>41</v>
      </c>
      <c r="N43" s="3" t="s">
        <v>282</v>
      </c>
      <c r="O43" s="3" t="s">
        <v>154</v>
      </c>
      <c r="P43" s="3" t="s">
        <v>283</v>
      </c>
      <c r="Q43" s="3" t="s">
        <v>156</v>
      </c>
      <c r="R43" s="3" t="s">
        <v>157</v>
      </c>
      <c r="S43" s="3" t="s">
        <v>44</v>
      </c>
      <c r="T43" s="154">
        <v>4.1289999999999996</v>
      </c>
      <c r="U43" s="3" t="s">
        <v>362</v>
      </c>
      <c r="V43" s="165">
        <v>1E-3</v>
      </c>
      <c r="W43" s="165">
        <v>2.5350000000000001E-2</v>
      </c>
      <c r="X43" s="5" t="s">
        <v>159</v>
      </c>
      <c r="Y43" s="5" t="s">
        <v>154</v>
      </c>
      <c r="Z43" s="154">
        <v>1295000</v>
      </c>
      <c r="AA43" s="163">
        <v>1</v>
      </c>
      <c r="AB43" s="173">
        <v>104.89</v>
      </c>
      <c r="AD43" s="154">
        <v>1358.325</v>
      </c>
      <c r="AG43" s="3" t="s">
        <v>36</v>
      </c>
      <c r="AH43" s="165">
        <v>3.0200000000000002E-4</v>
      </c>
      <c r="AI43" s="165">
        <v>4.3828918611553804E-3</v>
      </c>
      <c r="AJ43" s="165">
        <v>5.2977009045148099E-4</v>
      </c>
    </row>
    <row r="44" spans="1:36">
      <c r="A44" s="3">
        <v>288</v>
      </c>
      <c r="B44" s="3">
        <v>288</v>
      </c>
      <c r="C44" s="3" t="s">
        <v>355</v>
      </c>
      <c r="D44" s="3" t="s">
        <v>356</v>
      </c>
      <c r="E44" s="5" t="s">
        <v>147</v>
      </c>
      <c r="F44" s="3" t="s">
        <v>363</v>
      </c>
      <c r="G44" s="3" t="s">
        <v>364</v>
      </c>
      <c r="H44" s="3" t="s">
        <v>150</v>
      </c>
      <c r="I44" s="3" t="s">
        <v>165</v>
      </c>
      <c r="J44" s="3" t="s">
        <v>30</v>
      </c>
      <c r="K44" s="3" t="s">
        <v>30</v>
      </c>
      <c r="L44" s="3" t="s">
        <v>152</v>
      </c>
      <c r="M44" s="3" t="s">
        <v>41</v>
      </c>
      <c r="N44" s="3" t="s">
        <v>282</v>
      </c>
      <c r="O44" s="3" t="s">
        <v>154</v>
      </c>
      <c r="P44" s="3" t="s">
        <v>365</v>
      </c>
      <c r="Q44" s="3" t="s">
        <v>169</v>
      </c>
      <c r="R44" s="3" t="s">
        <v>157</v>
      </c>
      <c r="S44" s="3" t="s">
        <v>44</v>
      </c>
      <c r="T44" s="154">
        <v>5.7640000000000002</v>
      </c>
      <c r="U44" s="3" t="s">
        <v>366</v>
      </c>
      <c r="V44" s="165">
        <v>4.5900000000000003E-2</v>
      </c>
      <c r="W44" s="165">
        <v>4.548E-2</v>
      </c>
      <c r="X44" s="5" t="s">
        <v>159</v>
      </c>
      <c r="Y44" s="5" t="s">
        <v>154</v>
      </c>
      <c r="Z44" s="154">
        <v>5000000</v>
      </c>
      <c r="AA44" s="163">
        <v>1</v>
      </c>
      <c r="AB44" s="173">
        <v>100.58</v>
      </c>
      <c r="AD44" s="154">
        <v>5029</v>
      </c>
      <c r="AG44" s="3" t="s">
        <v>36</v>
      </c>
      <c r="AH44" s="165">
        <v>2.676E-3</v>
      </c>
      <c r="AI44" s="165">
        <v>1.6227011250065201E-2</v>
      </c>
      <c r="AJ44" s="165">
        <v>1.96139569262338E-3</v>
      </c>
    </row>
    <row r="45" spans="1:36">
      <c r="A45" s="3">
        <v>288</v>
      </c>
      <c r="B45" s="3">
        <v>288</v>
      </c>
      <c r="C45" s="3" t="s">
        <v>355</v>
      </c>
      <c r="D45" s="3" t="s">
        <v>356</v>
      </c>
      <c r="E45" s="5" t="s">
        <v>147</v>
      </c>
      <c r="F45" s="3" t="s">
        <v>367</v>
      </c>
      <c r="G45" s="3" t="s">
        <v>368</v>
      </c>
      <c r="H45" s="3" t="s">
        <v>150</v>
      </c>
      <c r="I45" s="3" t="s">
        <v>183</v>
      </c>
      <c r="J45" s="3" t="s">
        <v>30</v>
      </c>
      <c r="K45" s="3" t="s">
        <v>30</v>
      </c>
      <c r="L45" s="3" t="s">
        <v>152</v>
      </c>
      <c r="M45" s="3" t="s">
        <v>41</v>
      </c>
      <c r="N45" s="3" t="s">
        <v>282</v>
      </c>
      <c r="O45" s="3" t="s">
        <v>154</v>
      </c>
      <c r="P45" s="3" t="s">
        <v>365</v>
      </c>
      <c r="Q45" s="3" t="s">
        <v>169</v>
      </c>
      <c r="R45" s="3" t="s">
        <v>157</v>
      </c>
      <c r="S45" s="3" t="s">
        <v>44</v>
      </c>
      <c r="T45" s="154">
        <v>6.6959999999999997</v>
      </c>
      <c r="U45" s="3" t="s">
        <v>369</v>
      </c>
      <c r="V45" s="165">
        <v>2.5999999999999999E-2</v>
      </c>
      <c r="W45" s="165">
        <v>2.554E-2</v>
      </c>
      <c r="X45" s="5" t="s">
        <v>159</v>
      </c>
      <c r="Y45" s="5" t="s">
        <v>154</v>
      </c>
      <c r="Z45" s="154">
        <v>5000000</v>
      </c>
      <c r="AA45" s="163">
        <v>1</v>
      </c>
      <c r="AB45" s="173">
        <v>101.17</v>
      </c>
      <c r="AD45" s="154">
        <v>5058.5</v>
      </c>
      <c r="AG45" s="3" t="s">
        <v>36</v>
      </c>
      <c r="AH45" s="165">
        <v>2.7230000000000002E-3</v>
      </c>
      <c r="AI45" s="165">
        <v>1.6322198530215701E-2</v>
      </c>
      <c r="AJ45" s="165">
        <v>1.9729011952943701E-3</v>
      </c>
    </row>
    <row r="46" spans="1:36">
      <c r="A46" s="3">
        <v>288</v>
      </c>
      <c r="B46" s="3">
        <v>288</v>
      </c>
      <c r="C46" s="3" t="s">
        <v>370</v>
      </c>
      <c r="D46" s="3" t="s">
        <v>371</v>
      </c>
      <c r="E46" s="5" t="s">
        <v>147</v>
      </c>
      <c r="F46" s="3" t="s">
        <v>372</v>
      </c>
      <c r="G46" s="3" t="s">
        <v>373</v>
      </c>
      <c r="H46" s="3" t="s">
        <v>150</v>
      </c>
      <c r="I46" s="3" t="s">
        <v>183</v>
      </c>
      <c r="J46" s="3" t="s">
        <v>30</v>
      </c>
      <c r="K46" s="3" t="s">
        <v>30</v>
      </c>
      <c r="L46" s="3" t="s">
        <v>152</v>
      </c>
      <c r="M46" s="3" t="s">
        <v>41</v>
      </c>
      <c r="N46" s="3" t="s">
        <v>184</v>
      </c>
      <c r="O46" s="3" t="s">
        <v>154</v>
      </c>
      <c r="P46" s="3" t="s">
        <v>185</v>
      </c>
      <c r="Q46" s="3" t="s">
        <v>156</v>
      </c>
      <c r="R46" s="3" t="s">
        <v>157</v>
      </c>
      <c r="S46" s="3" t="s">
        <v>44</v>
      </c>
      <c r="T46" s="154">
        <v>0.97799999999999998</v>
      </c>
      <c r="U46" s="3" t="s">
        <v>374</v>
      </c>
      <c r="V46" s="165">
        <v>2.4E-2</v>
      </c>
      <c r="W46" s="165">
        <v>3.3180000000000001E-2</v>
      </c>
      <c r="X46" s="5" t="s">
        <v>159</v>
      </c>
      <c r="Y46" s="5" t="s">
        <v>154</v>
      </c>
      <c r="Z46" s="154">
        <v>2628818.2200000002</v>
      </c>
      <c r="AA46" s="163">
        <v>1</v>
      </c>
      <c r="AB46" s="173">
        <v>118.36</v>
      </c>
      <c r="AD46" s="154">
        <v>3111.4690000000001</v>
      </c>
      <c r="AG46" s="3" t="s">
        <v>36</v>
      </c>
      <c r="AH46" s="165">
        <v>4.8910000000000004E-3</v>
      </c>
      <c r="AI46" s="165">
        <v>1.0039738804128499E-2</v>
      </c>
      <c r="AJ46" s="165">
        <v>1.2135260241100999E-3</v>
      </c>
    </row>
    <row r="47" spans="1:36">
      <c r="A47" s="3">
        <v>288</v>
      </c>
      <c r="B47" s="3">
        <v>288</v>
      </c>
      <c r="C47" s="3" t="s">
        <v>370</v>
      </c>
      <c r="D47" s="3" t="s">
        <v>371</v>
      </c>
      <c r="E47" s="5" t="s">
        <v>147</v>
      </c>
      <c r="F47" s="3" t="s">
        <v>375</v>
      </c>
      <c r="G47" s="3" t="s">
        <v>376</v>
      </c>
      <c r="H47" s="3" t="s">
        <v>150</v>
      </c>
      <c r="I47" s="3" t="s">
        <v>165</v>
      </c>
      <c r="J47" s="3" t="s">
        <v>30</v>
      </c>
      <c r="K47" s="3" t="s">
        <v>30</v>
      </c>
      <c r="L47" s="3" t="s">
        <v>152</v>
      </c>
      <c r="M47" s="3" t="s">
        <v>41</v>
      </c>
      <c r="N47" s="3" t="s">
        <v>184</v>
      </c>
      <c r="O47" s="3" t="s">
        <v>154</v>
      </c>
      <c r="P47" s="3" t="s">
        <v>185</v>
      </c>
      <c r="Q47" s="3" t="s">
        <v>156</v>
      </c>
      <c r="R47" s="3" t="s">
        <v>157</v>
      </c>
      <c r="S47" s="3" t="s">
        <v>44</v>
      </c>
      <c r="T47" s="154">
        <v>1.64</v>
      </c>
      <c r="U47" s="3" t="s">
        <v>315</v>
      </c>
      <c r="V47" s="165">
        <v>5.6500000000000002E-2</v>
      </c>
      <c r="W47" s="165">
        <v>4.9180000000000001E-2</v>
      </c>
      <c r="X47" s="5" t="s">
        <v>159</v>
      </c>
      <c r="Y47" s="5" t="s">
        <v>154</v>
      </c>
      <c r="Z47" s="154">
        <v>140252.04999999999</v>
      </c>
      <c r="AA47" s="163">
        <v>1</v>
      </c>
      <c r="AB47" s="173">
        <v>102.79</v>
      </c>
      <c r="AD47" s="154">
        <v>144.16499999999999</v>
      </c>
      <c r="AG47" s="3" t="s">
        <v>36</v>
      </c>
      <c r="AH47" s="165">
        <v>1.1980000000000001E-3</v>
      </c>
      <c r="AI47" s="165">
        <v>4.65175663281932E-4</v>
      </c>
      <c r="AJ47" s="165">
        <v>5.6226838585000702E-5</v>
      </c>
    </row>
    <row r="48" spans="1:36">
      <c r="A48" s="3">
        <v>288</v>
      </c>
      <c r="B48" s="3">
        <v>288</v>
      </c>
      <c r="C48" s="3" t="s">
        <v>370</v>
      </c>
      <c r="D48" s="3" t="s">
        <v>371</v>
      </c>
      <c r="E48" s="5" t="s">
        <v>147</v>
      </c>
      <c r="F48" s="3" t="s">
        <v>377</v>
      </c>
      <c r="G48" s="3" t="s">
        <v>378</v>
      </c>
      <c r="H48" s="3" t="s">
        <v>150</v>
      </c>
      <c r="I48" s="3" t="s">
        <v>183</v>
      </c>
      <c r="J48" s="3" t="s">
        <v>30</v>
      </c>
      <c r="K48" s="3" t="s">
        <v>30</v>
      </c>
      <c r="L48" s="3" t="s">
        <v>152</v>
      </c>
      <c r="M48" s="3" t="s">
        <v>41</v>
      </c>
      <c r="N48" s="3" t="s">
        <v>184</v>
      </c>
      <c r="O48" s="3" t="s">
        <v>154</v>
      </c>
      <c r="P48" s="3" t="s">
        <v>185</v>
      </c>
      <c r="Q48" s="3" t="s">
        <v>156</v>
      </c>
      <c r="R48" s="3" t="s">
        <v>157</v>
      </c>
      <c r="S48" s="3" t="s">
        <v>44</v>
      </c>
      <c r="T48" s="154">
        <v>1.673</v>
      </c>
      <c r="U48" s="3" t="s">
        <v>315</v>
      </c>
      <c r="V48" s="165">
        <v>3.6999999999999998E-2</v>
      </c>
      <c r="W48" s="165">
        <v>2.9180000000000001E-2</v>
      </c>
      <c r="X48" s="5" t="s">
        <v>159</v>
      </c>
      <c r="Y48" s="5" t="s">
        <v>154</v>
      </c>
      <c r="Z48" s="154">
        <v>900000.16</v>
      </c>
      <c r="AA48" s="163">
        <v>1</v>
      </c>
      <c r="AB48" s="173">
        <v>121.5</v>
      </c>
      <c r="AD48" s="154">
        <v>1093.5</v>
      </c>
      <c r="AG48" s="3" t="s">
        <v>36</v>
      </c>
      <c r="AH48" s="165">
        <v>3.9899999999999996E-3</v>
      </c>
      <c r="AI48" s="165">
        <v>3.5283833677624298E-3</v>
      </c>
      <c r="AJ48" s="165">
        <v>4.2648370872519199E-4</v>
      </c>
    </row>
    <row r="49" spans="1:36">
      <c r="A49" s="3">
        <v>288</v>
      </c>
      <c r="B49" s="3">
        <v>288</v>
      </c>
      <c r="C49" s="3" t="s">
        <v>379</v>
      </c>
      <c r="D49" s="3" t="s">
        <v>380</v>
      </c>
      <c r="E49" s="5" t="s">
        <v>147</v>
      </c>
      <c r="F49" s="3" t="s">
        <v>381</v>
      </c>
      <c r="G49" s="3" t="s">
        <v>382</v>
      </c>
      <c r="H49" s="3" t="s">
        <v>150</v>
      </c>
      <c r="I49" s="3" t="s">
        <v>165</v>
      </c>
      <c r="J49" s="3" t="s">
        <v>30</v>
      </c>
      <c r="K49" s="3" t="s">
        <v>30</v>
      </c>
      <c r="L49" s="3" t="s">
        <v>152</v>
      </c>
      <c r="M49" s="3" t="s">
        <v>41</v>
      </c>
      <c r="N49" s="3" t="s">
        <v>176</v>
      </c>
      <c r="O49" s="3" t="s">
        <v>154</v>
      </c>
      <c r="P49" s="3" t="s">
        <v>383</v>
      </c>
      <c r="Q49" s="3" t="s">
        <v>169</v>
      </c>
      <c r="R49" s="3" t="s">
        <v>157</v>
      </c>
      <c r="S49" s="3" t="s">
        <v>44</v>
      </c>
      <c r="T49" s="154">
        <v>6.5819999999999999</v>
      </c>
      <c r="U49" s="3" t="s">
        <v>384</v>
      </c>
      <c r="V49" s="165">
        <v>6.0699999999999997E-2</v>
      </c>
      <c r="W49" s="165">
        <v>4.9540000000000001E-2</v>
      </c>
      <c r="X49" s="5" t="s">
        <v>159</v>
      </c>
      <c r="Y49" s="5" t="s">
        <v>154</v>
      </c>
      <c r="Z49" s="154">
        <v>1408500</v>
      </c>
      <c r="AA49" s="163">
        <v>1</v>
      </c>
      <c r="AB49" s="173">
        <v>109.46</v>
      </c>
      <c r="AD49" s="154">
        <v>1541.7439999999999</v>
      </c>
      <c r="AG49" s="3" t="s">
        <v>36</v>
      </c>
      <c r="AH49" s="165">
        <v>2.2399999999999998E-3</v>
      </c>
      <c r="AI49" s="165">
        <v>4.97472635820672E-3</v>
      </c>
      <c r="AJ49" s="165">
        <v>6.0130646984838103E-4</v>
      </c>
    </row>
    <row r="50" spans="1:36">
      <c r="A50" s="3">
        <v>288</v>
      </c>
      <c r="B50" s="3">
        <v>288</v>
      </c>
      <c r="C50" s="3" t="s">
        <v>379</v>
      </c>
      <c r="D50" s="3" t="s">
        <v>380</v>
      </c>
      <c r="E50" s="5" t="s">
        <v>147</v>
      </c>
      <c r="F50" s="3" t="s">
        <v>385</v>
      </c>
      <c r="G50" s="3" t="s">
        <v>386</v>
      </c>
      <c r="H50" s="3" t="s">
        <v>150</v>
      </c>
      <c r="I50" s="3" t="s">
        <v>165</v>
      </c>
      <c r="J50" s="3" t="s">
        <v>30</v>
      </c>
      <c r="K50" s="3" t="s">
        <v>30</v>
      </c>
      <c r="L50" s="3" t="s">
        <v>152</v>
      </c>
      <c r="M50" s="3" t="s">
        <v>41</v>
      </c>
      <c r="N50" s="3" t="s">
        <v>176</v>
      </c>
      <c r="O50" s="3" t="s">
        <v>154</v>
      </c>
      <c r="P50" s="3" t="s">
        <v>383</v>
      </c>
      <c r="Q50" s="3" t="s">
        <v>169</v>
      </c>
      <c r="R50" s="3" t="s">
        <v>157</v>
      </c>
      <c r="S50" s="3" t="s">
        <v>44</v>
      </c>
      <c r="T50" s="154">
        <v>2.3889999999999998</v>
      </c>
      <c r="U50" s="3" t="s">
        <v>387</v>
      </c>
      <c r="V50" s="165">
        <v>3.2599999999999997E-2</v>
      </c>
      <c r="W50" s="165">
        <v>4.632E-2</v>
      </c>
      <c r="X50" s="5" t="s">
        <v>159</v>
      </c>
      <c r="Y50" s="5" t="s">
        <v>154</v>
      </c>
      <c r="Z50" s="154">
        <v>1600000</v>
      </c>
      <c r="AA50" s="163">
        <v>1</v>
      </c>
      <c r="AB50" s="173">
        <v>98.51</v>
      </c>
      <c r="AD50" s="154">
        <v>1576.16</v>
      </c>
      <c r="AG50" s="3" t="s">
        <v>36</v>
      </c>
      <c r="AH50" s="165">
        <v>1.6230000000000001E-3</v>
      </c>
      <c r="AI50" s="165">
        <v>5.0857757112552698E-3</v>
      </c>
      <c r="AJ50" s="165">
        <v>6.1472925728480203E-4</v>
      </c>
    </row>
    <row r="51" spans="1:36">
      <c r="A51" s="3">
        <v>288</v>
      </c>
      <c r="B51" s="3">
        <v>288</v>
      </c>
      <c r="C51" s="3" t="s">
        <v>379</v>
      </c>
      <c r="D51" s="3" t="s">
        <v>380</v>
      </c>
      <c r="E51" s="5" t="s">
        <v>147</v>
      </c>
      <c r="F51" s="3" t="s">
        <v>388</v>
      </c>
      <c r="G51" s="3" t="s">
        <v>389</v>
      </c>
      <c r="H51" s="3" t="s">
        <v>150</v>
      </c>
      <c r="I51" s="3" t="s">
        <v>165</v>
      </c>
      <c r="J51" s="3" t="s">
        <v>30</v>
      </c>
      <c r="K51" s="3" t="s">
        <v>30</v>
      </c>
      <c r="L51" s="3" t="s">
        <v>152</v>
      </c>
      <c r="M51" s="3" t="s">
        <v>41</v>
      </c>
      <c r="N51" s="3" t="s">
        <v>176</v>
      </c>
      <c r="O51" s="3" t="s">
        <v>154</v>
      </c>
      <c r="P51" s="3" t="s">
        <v>155</v>
      </c>
      <c r="Q51" s="3" t="s">
        <v>156</v>
      </c>
      <c r="R51" s="3" t="s">
        <v>157</v>
      </c>
      <c r="S51" s="3" t="s">
        <v>44</v>
      </c>
      <c r="T51" s="154">
        <v>5.931</v>
      </c>
      <c r="U51" s="3" t="s">
        <v>390</v>
      </c>
      <c r="V51" s="165">
        <v>6.0699999999999997E-2</v>
      </c>
      <c r="W51" s="165">
        <v>4.929E-2</v>
      </c>
      <c r="X51" s="5" t="s">
        <v>159</v>
      </c>
      <c r="Y51" s="5" t="s">
        <v>154</v>
      </c>
      <c r="Z51" s="154">
        <v>1408500</v>
      </c>
      <c r="AA51" s="163">
        <v>1</v>
      </c>
      <c r="AB51" s="173">
        <v>108.82</v>
      </c>
      <c r="AD51" s="154">
        <v>1532.73</v>
      </c>
      <c r="AG51" s="3" t="s">
        <v>36</v>
      </c>
      <c r="AH51" s="165">
        <v>2.2399999999999998E-3</v>
      </c>
      <c r="AI51" s="165">
        <v>4.9456397067426999E-3</v>
      </c>
      <c r="AJ51" s="165">
        <v>5.9779070024575998E-4</v>
      </c>
    </row>
    <row r="52" spans="1:36">
      <c r="A52" s="3">
        <v>288</v>
      </c>
      <c r="B52" s="3">
        <v>288</v>
      </c>
      <c r="C52" s="3" t="s">
        <v>391</v>
      </c>
      <c r="D52" s="3" t="s">
        <v>392</v>
      </c>
      <c r="E52" s="5" t="s">
        <v>147</v>
      </c>
      <c r="F52" s="3" t="s">
        <v>393</v>
      </c>
      <c r="G52" s="3" t="s">
        <v>394</v>
      </c>
      <c r="H52" s="3" t="s">
        <v>150</v>
      </c>
      <c r="I52" s="3" t="s">
        <v>183</v>
      </c>
      <c r="J52" s="3" t="s">
        <v>30</v>
      </c>
      <c r="K52" s="3" t="s">
        <v>30</v>
      </c>
      <c r="L52" s="3" t="s">
        <v>152</v>
      </c>
      <c r="M52" s="3" t="s">
        <v>41</v>
      </c>
      <c r="N52" s="3" t="s">
        <v>184</v>
      </c>
      <c r="O52" s="3" t="s">
        <v>154</v>
      </c>
      <c r="P52" s="3" t="s">
        <v>155</v>
      </c>
      <c r="Q52" s="3" t="s">
        <v>156</v>
      </c>
      <c r="R52" s="3" t="s">
        <v>157</v>
      </c>
      <c r="S52" s="3" t="s">
        <v>44</v>
      </c>
      <c r="T52" s="154">
        <v>1.379</v>
      </c>
      <c r="U52" s="3" t="s">
        <v>395</v>
      </c>
      <c r="V52" s="165">
        <v>2.0500000000000001E-2</v>
      </c>
      <c r="W52" s="165">
        <v>3.0210000000000001E-2</v>
      </c>
      <c r="X52" s="5" t="s">
        <v>159</v>
      </c>
      <c r="Y52" s="5" t="s">
        <v>154</v>
      </c>
      <c r="Z52" s="154">
        <v>1322107.75</v>
      </c>
      <c r="AA52" s="163">
        <v>1</v>
      </c>
      <c r="AB52" s="173">
        <v>118.88</v>
      </c>
      <c r="AD52" s="154">
        <v>1571.722</v>
      </c>
      <c r="AG52" s="3" t="s">
        <v>36</v>
      </c>
      <c r="AH52" s="165">
        <v>2.6259999999999999E-3</v>
      </c>
      <c r="AI52" s="165">
        <v>5.0714546823479598E-3</v>
      </c>
      <c r="AJ52" s="165">
        <v>6.1299824200540998E-4</v>
      </c>
    </row>
    <row r="53" spans="1:36">
      <c r="A53" s="3">
        <v>288</v>
      </c>
      <c r="B53" s="3">
        <v>288</v>
      </c>
      <c r="C53" s="3" t="s">
        <v>396</v>
      </c>
      <c r="D53" s="3" t="s">
        <v>397</v>
      </c>
      <c r="E53" s="5" t="s">
        <v>147</v>
      </c>
      <c r="F53" s="3" t="s">
        <v>398</v>
      </c>
      <c r="G53" s="3" t="s">
        <v>399</v>
      </c>
      <c r="H53" s="3" t="s">
        <v>150</v>
      </c>
      <c r="I53" s="3" t="s">
        <v>183</v>
      </c>
      <c r="J53" s="3" t="s">
        <v>30</v>
      </c>
      <c r="K53" s="3" t="s">
        <v>30</v>
      </c>
      <c r="L53" s="3" t="s">
        <v>152</v>
      </c>
      <c r="M53" s="3" t="s">
        <v>41</v>
      </c>
      <c r="N53" s="3" t="s">
        <v>282</v>
      </c>
      <c r="O53" s="3" t="s">
        <v>154</v>
      </c>
      <c r="P53" s="3" t="s">
        <v>283</v>
      </c>
      <c r="Q53" s="3" t="s">
        <v>156</v>
      </c>
      <c r="R53" s="3" t="s">
        <v>157</v>
      </c>
      <c r="S53" s="3" t="s">
        <v>44</v>
      </c>
      <c r="T53" s="154">
        <v>3.04</v>
      </c>
      <c r="U53" s="3" t="s">
        <v>400</v>
      </c>
      <c r="V53" s="165">
        <v>1E-3</v>
      </c>
      <c r="W53" s="165">
        <v>2.5440000000000001E-2</v>
      </c>
      <c r="X53" s="5" t="s">
        <v>159</v>
      </c>
      <c r="Y53" s="5" t="s">
        <v>154</v>
      </c>
      <c r="Z53" s="154">
        <v>3308000</v>
      </c>
      <c r="AA53" s="163">
        <v>1</v>
      </c>
      <c r="AB53" s="173">
        <v>107.76</v>
      </c>
      <c r="AD53" s="154">
        <v>3564.701</v>
      </c>
      <c r="AG53" s="3" t="s">
        <v>36</v>
      </c>
      <c r="AH53" s="165">
        <v>9.7999999999999997E-4</v>
      </c>
      <c r="AI53" s="165">
        <v>1.1502175379740799E-2</v>
      </c>
      <c r="AJ53" s="165">
        <v>1.3902940534124299E-3</v>
      </c>
    </row>
    <row r="54" spans="1:36">
      <c r="A54" s="3">
        <v>288</v>
      </c>
      <c r="B54" s="3">
        <v>288</v>
      </c>
      <c r="C54" s="3" t="s">
        <v>396</v>
      </c>
      <c r="D54" s="3" t="s">
        <v>397</v>
      </c>
      <c r="E54" s="5" t="s">
        <v>147</v>
      </c>
      <c r="F54" s="3" t="s">
        <v>401</v>
      </c>
      <c r="G54" s="3" t="s">
        <v>402</v>
      </c>
      <c r="H54" s="3" t="s">
        <v>150</v>
      </c>
      <c r="I54" s="3" t="s">
        <v>165</v>
      </c>
      <c r="J54" s="3" t="s">
        <v>30</v>
      </c>
      <c r="K54" s="3" t="s">
        <v>30</v>
      </c>
      <c r="L54" s="3" t="s">
        <v>152</v>
      </c>
      <c r="M54" s="3" t="s">
        <v>41</v>
      </c>
      <c r="N54" s="3" t="s">
        <v>282</v>
      </c>
      <c r="O54" s="3" t="s">
        <v>154</v>
      </c>
      <c r="P54" s="3" t="s">
        <v>283</v>
      </c>
      <c r="Q54" s="3" t="s">
        <v>156</v>
      </c>
      <c r="R54" s="3" t="s">
        <v>157</v>
      </c>
      <c r="S54" s="3" t="s">
        <v>44</v>
      </c>
      <c r="T54" s="154">
        <v>2.8170000000000002</v>
      </c>
      <c r="U54" s="3" t="s">
        <v>403</v>
      </c>
      <c r="V54" s="165">
        <v>2.7400000000000001E-2</v>
      </c>
      <c r="W54" s="165">
        <v>4.4889999999999999E-2</v>
      </c>
      <c r="X54" s="5" t="s">
        <v>159</v>
      </c>
      <c r="Y54" s="5" t="s">
        <v>154</v>
      </c>
      <c r="Z54" s="154">
        <v>3500000</v>
      </c>
      <c r="AA54" s="163">
        <v>1</v>
      </c>
      <c r="AB54" s="173">
        <v>96.57</v>
      </c>
      <c r="AD54" s="154">
        <v>3379.95</v>
      </c>
      <c r="AG54" s="3" t="s">
        <v>36</v>
      </c>
      <c r="AH54" s="165">
        <v>1.1069999999999999E-3</v>
      </c>
      <c r="AI54" s="165">
        <v>1.0906042289651601E-2</v>
      </c>
      <c r="AJ54" s="165">
        <v>1.3182380933152501E-3</v>
      </c>
    </row>
    <row r="55" spans="1:36">
      <c r="A55" s="3">
        <v>288</v>
      </c>
      <c r="B55" s="3">
        <v>288</v>
      </c>
      <c r="C55" s="3" t="s">
        <v>396</v>
      </c>
      <c r="D55" s="3" t="s">
        <v>397</v>
      </c>
      <c r="E55" s="5" t="s">
        <v>147</v>
      </c>
      <c r="F55" s="3" t="s">
        <v>404</v>
      </c>
      <c r="G55" s="3" t="s">
        <v>405</v>
      </c>
      <c r="H55" s="3" t="s">
        <v>150</v>
      </c>
      <c r="I55" s="3" t="s">
        <v>183</v>
      </c>
      <c r="J55" s="3" t="s">
        <v>30</v>
      </c>
      <c r="K55" s="3" t="s">
        <v>30</v>
      </c>
      <c r="L55" s="3" t="s">
        <v>152</v>
      </c>
      <c r="M55" s="3" t="s">
        <v>41</v>
      </c>
      <c r="N55" s="3" t="s">
        <v>282</v>
      </c>
      <c r="O55" s="3" t="s">
        <v>154</v>
      </c>
      <c r="P55" s="3" t="s">
        <v>283</v>
      </c>
      <c r="Q55" s="3" t="s">
        <v>156</v>
      </c>
      <c r="R55" s="3" t="s">
        <v>157</v>
      </c>
      <c r="S55" s="3" t="s">
        <v>44</v>
      </c>
      <c r="T55" s="154">
        <v>3.956</v>
      </c>
      <c r="U55" s="3" t="s">
        <v>329</v>
      </c>
      <c r="V55" s="165">
        <v>2.06E-2</v>
      </c>
      <c r="W55" s="165">
        <v>2.5260000000000001E-2</v>
      </c>
      <c r="X55" s="5" t="s">
        <v>159</v>
      </c>
      <c r="Y55" s="5" t="s">
        <v>154</v>
      </c>
      <c r="Z55" s="154">
        <v>2800000</v>
      </c>
      <c r="AA55" s="163">
        <v>1</v>
      </c>
      <c r="AB55" s="173">
        <v>106.36</v>
      </c>
      <c r="AD55" s="154">
        <v>2978.08</v>
      </c>
      <c r="AG55" s="3" t="s">
        <v>36</v>
      </c>
      <c r="AH55" s="165">
        <v>1.75E-3</v>
      </c>
      <c r="AI55" s="165">
        <v>9.6093333990045996E-3</v>
      </c>
      <c r="AJ55" s="165">
        <v>1.16150194557324E-3</v>
      </c>
    </row>
    <row r="56" spans="1:36">
      <c r="A56" s="3">
        <v>288</v>
      </c>
      <c r="B56" s="3">
        <v>288</v>
      </c>
      <c r="C56" s="3" t="s">
        <v>396</v>
      </c>
      <c r="D56" s="3" t="s">
        <v>397</v>
      </c>
      <c r="E56" s="5" t="s">
        <v>147</v>
      </c>
      <c r="F56" s="3" t="s">
        <v>406</v>
      </c>
      <c r="G56" s="3" t="s">
        <v>407</v>
      </c>
      <c r="H56" s="3" t="s">
        <v>150</v>
      </c>
      <c r="I56" s="3" t="s">
        <v>183</v>
      </c>
      <c r="J56" s="3" t="s">
        <v>30</v>
      </c>
      <c r="K56" s="3" t="s">
        <v>30</v>
      </c>
      <c r="L56" s="3" t="s">
        <v>152</v>
      </c>
      <c r="M56" s="3" t="s">
        <v>41</v>
      </c>
      <c r="N56" s="3" t="s">
        <v>282</v>
      </c>
      <c r="O56" s="3" t="s">
        <v>154</v>
      </c>
      <c r="P56" s="3" t="s">
        <v>283</v>
      </c>
      <c r="Q56" s="3" t="s">
        <v>156</v>
      </c>
      <c r="R56" s="3" t="s">
        <v>157</v>
      </c>
      <c r="S56" s="3" t="s">
        <v>44</v>
      </c>
      <c r="T56" s="154">
        <v>3.9340000000000002</v>
      </c>
      <c r="U56" s="3" t="s">
        <v>408</v>
      </c>
      <c r="V56" s="165">
        <v>1.9900000000000001E-2</v>
      </c>
      <c r="W56" s="165">
        <v>2.545E-2</v>
      </c>
      <c r="X56" s="5" t="s">
        <v>159</v>
      </c>
      <c r="Y56" s="5" t="s">
        <v>154</v>
      </c>
      <c r="Z56" s="154">
        <v>2070000</v>
      </c>
      <c r="AA56" s="163">
        <v>1</v>
      </c>
      <c r="AB56" s="173">
        <v>105.83</v>
      </c>
      <c r="AD56" s="154">
        <v>2190.681</v>
      </c>
      <c r="AG56" s="3" t="s">
        <v>36</v>
      </c>
      <c r="AH56" s="165">
        <v>8.52E-4</v>
      </c>
      <c r="AI56" s="165">
        <v>7.0686429175390803E-3</v>
      </c>
      <c r="AJ56" s="165">
        <v>8.5440291853487401E-4</v>
      </c>
    </row>
    <row r="57" spans="1:36">
      <c r="A57" s="3">
        <v>288</v>
      </c>
      <c r="B57" s="3">
        <v>288</v>
      </c>
      <c r="C57" s="3" t="s">
        <v>396</v>
      </c>
      <c r="D57" s="3" t="s">
        <v>397</v>
      </c>
      <c r="E57" s="5" t="s">
        <v>147</v>
      </c>
      <c r="F57" s="3" t="s">
        <v>409</v>
      </c>
      <c r="G57" s="3" t="s">
        <v>410</v>
      </c>
      <c r="H57" s="3" t="s">
        <v>150</v>
      </c>
      <c r="I57" s="3" t="s">
        <v>183</v>
      </c>
      <c r="J57" s="3" t="s">
        <v>30</v>
      </c>
      <c r="K57" s="3" t="s">
        <v>30</v>
      </c>
      <c r="L57" s="3" t="s">
        <v>152</v>
      </c>
      <c r="M57" s="3" t="s">
        <v>41</v>
      </c>
      <c r="N57" s="3" t="s">
        <v>282</v>
      </c>
      <c r="O57" s="3" t="s">
        <v>154</v>
      </c>
      <c r="P57" s="3" t="s">
        <v>283</v>
      </c>
      <c r="Q57" s="3" t="s">
        <v>156</v>
      </c>
      <c r="R57" s="3" t="s">
        <v>157</v>
      </c>
      <c r="S57" s="3" t="s">
        <v>44</v>
      </c>
      <c r="T57" s="154">
        <v>5.0759999999999996</v>
      </c>
      <c r="U57" s="3" t="s">
        <v>411</v>
      </c>
      <c r="V57" s="165">
        <v>2.6800000000000001E-2</v>
      </c>
      <c r="W57" s="165">
        <v>2.598E-2</v>
      </c>
      <c r="X57" s="5" t="s">
        <v>159</v>
      </c>
      <c r="Y57" s="5" t="s">
        <v>154</v>
      </c>
      <c r="Z57" s="154">
        <v>2276000</v>
      </c>
      <c r="AA57" s="163">
        <v>1</v>
      </c>
      <c r="AB57" s="173">
        <v>105.34</v>
      </c>
      <c r="AD57" s="154">
        <v>2397.538</v>
      </c>
      <c r="AG57" s="3" t="s">
        <v>36</v>
      </c>
      <c r="AH57" s="165">
        <v>8.1300000000000003E-4</v>
      </c>
      <c r="AI57" s="165">
        <v>7.7361070966918402E-3</v>
      </c>
      <c r="AJ57" s="165">
        <v>9.3508082932176396E-4</v>
      </c>
    </row>
    <row r="58" spans="1:36">
      <c r="A58" s="3">
        <v>288</v>
      </c>
      <c r="B58" s="3">
        <v>288</v>
      </c>
      <c r="C58" s="3" t="s">
        <v>396</v>
      </c>
      <c r="D58" s="3" t="s">
        <v>397</v>
      </c>
      <c r="E58" s="5" t="s">
        <v>147</v>
      </c>
      <c r="F58" s="3" t="s">
        <v>412</v>
      </c>
      <c r="G58" s="3" t="s">
        <v>413</v>
      </c>
      <c r="H58" s="3" t="s">
        <v>150</v>
      </c>
      <c r="I58" s="3" t="s">
        <v>183</v>
      </c>
      <c r="J58" s="3" t="s">
        <v>30</v>
      </c>
      <c r="K58" s="3" t="s">
        <v>30</v>
      </c>
      <c r="L58" s="3" t="s">
        <v>152</v>
      </c>
      <c r="M58" s="3" t="s">
        <v>41</v>
      </c>
      <c r="N58" s="3" t="s">
        <v>282</v>
      </c>
      <c r="O58" s="3" t="s">
        <v>154</v>
      </c>
      <c r="P58" s="3" t="s">
        <v>365</v>
      </c>
      <c r="Q58" s="3" t="s">
        <v>169</v>
      </c>
      <c r="R58" s="3" t="s">
        <v>157</v>
      </c>
      <c r="S58" s="3" t="s">
        <v>44</v>
      </c>
      <c r="T58" s="154">
        <v>1.157</v>
      </c>
      <c r="U58" s="3" t="s">
        <v>414</v>
      </c>
      <c r="V58" s="165">
        <v>5.0000000000000001E-3</v>
      </c>
      <c r="W58" s="165">
        <v>2.9350000000000001E-2</v>
      </c>
      <c r="X58" s="5" t="s">
        <v>159</v>
      </c>
      <c r="Y58" s="5" t="s">
        <v>154</v>
      </c>
      <c r="Z58" s="154">
        <v>1429000</v>
      </c>
      <c r="AA58" s="163">
        <v>1</v>
      </c>
      <c r="AB58" s="173">
        <v>114.73</v>
      </c>
      <c r="AD58" s="154">
        <v>1639.492</v>
      </c>
      <c r="AG58" s="3" t="s">
        <v>36</v>
      </c>
      <c r="AH58" s="165">
        <v>1.872E-3</v>
      </c>
      <c r="AI58" s="165">
        <v>5.2901273136385903E-3</v>
      </c>
      <c r="AJ58" s="165">
        <v>6.3942969943761802E-4</v>
      </c>
    </row>
    <row r="59" spans="1:36">
      <c r="A59" s="3">
        <v>288</v>
      </c>
      <c r="B59" s="3">
        <v>288</v>
      </c>
      <c r="C59" s="3" t="s">
        <v>396</v>
      </c>
      <c r="D59" s="3" t="s">
        <v>397</v>
      </c>
      <c r="E59" s="5" t="s">
        <v>147</v>
      </c>
      <c r="F59" s="3" t="s">
        <v>415</v>
      </c>
      <c r="G59" s="3" t="s">
        <v>416</v>
      </c>
      <c r="H59" s="3" t="s">
        <v>150</v>
      </c>
      <c r="I59" s="3" t="s">
        <v>183</v>
      </c>
      <c r="J59" s="3" t="s">
        <v>30</v>
      </c>
      <c r="K59" s="3" t="s">
        <v>30</v>
      </c>
      <c r="L59" s="3" t="s">
        <v>152</v>
      </c>
      <c r="M59" s="3" t="s">
        <v>41</v>
      </c>
      <c r="N59" s="3" t="s">
        <v>282</v>
      </c>
      <c r="O59" s="3" t="s">
        <v>154</v>
      </c>
      <c r="P59" s="3" t="s">
        <v>283</v>
      </c>
      <c r="Q59" s="3" t="s">
        <v>156</v>
      </c>
      <c r="R59" s="3" t="s">
        <v>157</v>
      </c>
      <c r="S59" s="3" t="s">
        <v>44</v>
      </c>
      <c r="T59" s="154">
        <v>3.0110000000000001</v>
      </c>
      <c r="U59" s="3" t="s">
        <v>417</v>
      </c>
      <c r="V59" s="165">
        <v>1.6400000000000001E-2</v>
      </c>
      <c r="W59" s="165">
        <v>2.6020000000000001E-2</v>
      </c>
      <c r="X59" s="5" t="s">
        <v>159</v>
      </c>
      <c r="Y59" s="5" t="s">
        <v>154</v>
      </c>
      <c r="Z59" s="154">
        <v>2044058.4</v>
      </c>
      <c r="AA59" s="163">
        <v>1</v>
      </c>
      <c r="AB59" s="173">
        <v>108.49</v>
      </c>
      <c r="AD59" s="154">
        <v>2217.5990000000002</v>
      </c>
      <c r="AG59" s="3" t="s">
        <v>36</v>
      </c>
      <c r="AH59" s="165">
        <v>2.1719999999999999E-3</v>
      </c>
      <c r="AI59" s="165">
        <v>7.1554987556562196E-3</v>
      </c>
      <c r="AJ59" s="165">
        <v>8.6490138089105595E-4</v>
      </c>
    </row>
    <row r="60" spans="1:36">
      <c r="A60" s="3">
        <v>288</v>
      </c>
      <c r="B60" s="3">
        <v>288</v>
      </c>
      <c r="C60" s="3" t="s">
        <v>396</v>
      </c>
      <c r="D60" s="3" t="s">
        <v>397</v>
      </c>
      <c r="E60" s="5" t="s">
        <v>147</v>
      </c>
      <c r="F60" s="3" t="s">
        <v>418</v>
      </c>
      <c r="G60" s="3" t="s">
        <v>419</v>
      </c>
      <c r="H60" s="3" t="s">
        <v>150</v>
      </c>
      <c r="I60" s="3" t="s">
        <v>183</v>
      </c>
      <c r="J60" s="3" t="s">
        <v>30</v>
      </c>
      <c r="K60" s="3" t="s">
        <v>30</v>
      </c>
      <c r="L60" s="3" t="s">
        <v>152</v>
      </c>
      <c r="M60" s="3" t="s">
        <v>41</v>
      </c>
      <c r="N60" s="3" t="s">
        <v>282</v>
      </c>
      <c r="O60" s="3" t="s">
        <v>154</v>
      </c>
      <c r="P60" s="3" t="s">
        <v>283</v>
      </c>
      <c r="Q60" s="3" t="s">
        <v>156</v>
      </c>
      <c r="R60" s="3" t="s">
        <v>157</v>
      </c>
      <c r="S60" s="3" t="s">
        <v>44</v>
      </c>
      <c r="T60" s="154">
        <v>0.71199999999999997</v>
      </c>
      <c r="U60" s="3" t="s">
        <v>420</v>
      </c>
      <c r="V60" s="165">
        <v>3.8E-3</v>
      </c>
      <c r="W60" s="165">
        <v>3.2919999999999998E-2</v>
      </c>
      <c r="X60" s="5" t="s">
        <v>159</v>
      </c>
      <c r="Y60" s="5" t="s">
        <v>154</v>
      </c>
      <c r="Z60" s="154">
        <v>5311712</v>
      </c>
      <c r="AA60" s="163">
        <v>1</v>
      </c>
      <c r="AB60" s="173">
        <v>114.65</v>
      </c>
      <c r="AD60" s="154">
        <v>6089.8779999999997</v>
      </c>
      <c r="AG60" s="3" t="s">
        <v>36</v>
      </c>
      <c r="AH60" s="165">
        <v>1.771E-3</v>
      </c>
      <c r="AI60" s="165">
        <v>1.9650132372626399E-2</v>
      </c>
      <c r="AJ60" s="165">
        <v>2.37515611477708E-3</v>
      </c>
    </row>
    <row r="61" spans="1:36">
      <c r="A61" s="3">
        <v>288</v>
      </c>
      <c r="B61" s="3">
        <v>288</v>
      </c>
      <c r="C61" s="3" t="s">
        <v>421</v>
      </c>
      <c r="D61" s="3" t="s">
        <v>422</v>
      </c>
      <c r="E61" s="5" t="s">
        <v>147</v>
      </c>
      <c r="F61" s="3" t="s">
        <v>423</v>
      </c>
      <c r="G61" s="3" t="s">
        <v>424</v>
      </c>
      <c r="H61" s="3" t="s">
        <v>150</v>
      </c>
      <c r="I61" s="3" t="s">
        <v>183</v>
      </c>
      <c r="J61" s="3" t="s">
        <v>30</v>
      </c>
      <c r="K61" s="3" t="s">
        <v>30</v>
      </c>
      <c r="L61" s="3" t="s">
        <v>152</v>
      </c>
      <c r="M61" s="3" t="s">
        <v>41</v>
      </c>
      <c r="N61" s="3" t="s">
        <v>425</v>
      </c>
      <c r="O61" s="3" t="s">
        <v>154</v>
      </c>
      <c r="P61" s="3" t="s">
        <v>383</v>
      </c>
      <c r="Q61" s="3" t="s">
        <v>169</v>
      </c>
      <c r="R61" s="3" t="s">
        <v>157</v>
      </c>
      <c r="S61" s="3" t="s">
        <v>44</v>
      </c>
      <c r="T61" s="154">
        <v>0.23599999999999999</v>
      </c>
      <c r="U61" s="3" t="s">
        <v>158</v>
      </c>
      <c r="V61" s="165">
        <v>1.8499999999999999E-2</v>
      </c>
      <c r="W61" s="165">
        <v>6.1780000000000002E-2</v>
      </c>
      <c r="X61" s="5" t="s">
        <v>159</v>
      </c>
      <c r="Y61" s="5" t="s">
        <v>154</v>
      </c>
      <c r="Z61" s="154">
        <v>342080.65</v>
      </c>
      <c r="AA61" s="163">
        <v>1</v>
      </c>
      <c r="AB61" s="173">
        <v>118.05</v>
      </c>
      <c r="AD61" s="154">
        <v>403.82600000000002</v>
      </c>
      <c r="AG61" s="3" t="s">
        <v>36</v>
      </c>
      <c r="AH61" s="165">
        <v>2.3189999999999999E-3</v>
      </c>
      <c r="AI61" s="165">
        <v>1.30302096029706E-3</v>
      </c>
      <c r="AJ61" s="165">
        <v>1.5749910193193299E-4</v>
      </c>
    </row>
    <row r="62" spans="1:36">
      <c r="A62" s="3">
        <v>288</v>
      </c>
      <c r="B62" s="3">
        <v>288</v>
      </c>
      <c r="C62" s="3" t="s">
        <v>421</v>
      </c>
      <c r="D62" s="3" t="s">
        <v>422</v>
      </c>
      <c r="E62" s="5" t="s">
        <v>147</v>
      </c>
      <c r="F62" s="3" t="s">
        <v>426</v>
      </c>
      <c r="G62" s="3" t="s">
        <v>427</v>
      </c>
      <c r="H62" s="3" t="s">
        <v>150</v>
      </c>
      <c r="I62" s="3" t="s">
        <v>183</v>
      </c>
      <c r="J62" s="3" t="s">
        <v>30</v>
      </c>
      <c r="K62" s="3" t="s">
        <v>30</v>
      </c>
      <c r="L62" s="3" t="s">
        <v>152</v>
      </c>
      <c r="M62" s="3" t="s">
        <v>41</v>
      </c>
      <c r="N62" s="3" t="s">
        <v>425</v>
      </c>
      <c r="O62" s="3" t="s">
        <v>154</v>
      </c>
      <c r="P62" s="3" t="s">
        <v>383</v>
      </c>
      <c r="Q62" s="3" t="s">
        <v>169</v>
      </c>
      <c r="R62" s="3" t="s">
        <v>157</v>
      </c>
      <c r="S62" s="3" t="s">
        <v>44</v>
      </c>
      <c r="T62" s="154">
        <v>2.7869999999999999</v>
      </c>
      <c r="U62" s="3" t="s">
        <v>428</v>
      </c>
      <c r="V62" s="165">
        <v>0.01</v>
      </c>
      <c r="W62" s="165">
        <v>3.2149999999999998E-2</v>
      </c>
      <c r="X62" s="5" t="s">
        <v>159</v>
      </c>
      <c r="Y62" s="5" t="s">
        <v>154</v>
      </c>
      <c r="Z62" s="154">
        <v>2847674.42</v>
      </c>
      <c r="AA62" s="163">
        <v>1</v>
      </c>
      <c r="AB62" s="173">
        <v>109.08</v>
      </c>
      <c r="AD62" s="154">
        <v>3106.2429999999999</v>
      </c>
      <c r="AG62" s="3" t="s">
        <v>36</v>
      </c>
      <c r="AH62" s="165">
        <v>1.722E-3</v>
      </c>
      <c r="AI62" s="165">
        <v>1.00228761746332E-2</v>
      </c>
      <c r="AJ62" s="165">
        <v>1.2114877997970301E-3</v>
      </c>
    </row>
    <row r="63" spans="1:36">
      <c r="A63" s="3">
        <v>288</v>
      </c>
      <c r="B63" s="3">
        <v>288</v>
      </c>
      <c r="C63" s="3" t="s">
        <v>421</v>
      </c>
      <c r="D63" s="3" t="s">
        <v>422</v>
      </c>
      <c r="E63" s="5" t="s">
        <v>147</v>
      </c>
      <c r="F63" s="3" t="s">
        <v>429</v>
      </c>
      <c r="G63" s="3" t="s">
        <v>430</v>
      </c>
      <c r="H63" s="3" t="s">
        <v>150</v>
      </c>
      <c r="I63" s="3" t="s">
        <v>183</v>
      </c>
      <c r="J63" s="3" t="s">
        <v>30</v>
      </c>
      <c r="K63" s="3" t="s">
        <v>30</v>
      </c>
      <c r="L63" s="3" t="s">
        <v>152</v>
      </c>
      <c r="M63" s="3" t="s">
        <v>41</v>
      </c>
      <c r="N63" s="3" t="s">
        <v>425</v>
      </c>
      <c r="O63" s="3" t="s">
        <v>154</v>
      </c>
      <c r="P63" s="3" t="s">
        <v>383</v>
      </c>
      <c r="Q63" s="3" t="s">
        <v>169</v>
      </c>
      <c r="R63" s="3" t="s">
        <v>157</v>
      </c>
      <c r="S63" s="3" t="s">
        <v>44</v>
      </c>
      <c r="T63" s="154">
        <v>0.97</v>
      </c>
      <c r="U63" s="3" t="s">
        <v>109</v>
      </c>
      <c r="V63" s="165">
        <v>3.5400000000000001E-2</v>
      </c>
      <c r="W63" s="165">
        <v>4.1360000000000001E-2</v>
      </c>
      <c r="X63" s="5" t="s">
        <v>159</v>
      </c>
      <c r="Y63" s="5" t="s">
        <v>154</v>
      </c>
      <c r="Z63" s="154">
        <v>3169500</v>
      </c>
      <c r="AA63" s="163">
        <v>1</v>
      </c>
      <c r="AB63" s="173">
        <v>109.63</v>
      </c>
      <c r="AD63" s="154">
        <v>3474.723</v>
      </c>
      <c r="AG63" s="3" t="s">
        <v>36</v>
      </c>
      <c r="AH63" s="165">
        <v>3.153E-3</v>
      </c>
      <c r="AI63" s="165">
        <v>1.1211844656553701E-2</v>
      </c>
      <c r="AJ63" s="165">
        <v>1.35520111971566E-3</v>
      </c>
    </row>
    <row r="64" spans="1:36">
      <c r="A64" s="3">
        <v>288</v>
      </c>
      <c r="B64" s="3">
        <v>288</v>
      </c>
      <c r="C64" s="3" t="s">
        <v>431</v>
      </c>
      <c r="D64" s="3" t="s">
        <v>432</v>
      </c>
      <c r="E64" s="5" t="s">
        <v>147</v>
      </c>
      <c r="F64" s="3" t="s">
        <v>433</v>
      </c>
      <c r="G64" s="3" t="s">
        <v>434</v>
      </c>
      <c r="H64" s="3" t="s">
        <v>150</v>
      </c>
      <c r="I64" s="3" t="s">
        <v>183</v>
      </c>
      <c r="J64" s="3" t="s">
        <v>30</v>
      </c>
      <c r="K64" s="3" t="s">
        <v>30</v>
      </c>
      <c r="L64" s="3" t="s">
        <v>152</v>
      </c>
      <c r="M64" s="3" t="s">
        <v>41</v>
      </c>
      <c r="N64" s="3" t="s">
        <v>184</v>
      </c>
      <c r="O64" s="3" t="s">
        <v>154</v>
      </c>
      <c r="P64" s="3" t="s">
        <v>185</v>
      </c>
      <c r="Q64" s="3" t="s">
        <v>156</v>
      </c>
      <c r="R64" s="3" t="s">
        <v>157</v>
      </c>
      <c r="S64" s="3" t="s">
        <v>44</v>
      </c>
      <c r="T64" s="154">
        <v>2.6280000000000001</v>
      </c>
      <c r="U64" s="3" t="s">
        <v>214</v>
      </c>
      <c r="V64" s="165">
        <v>6.4999999999999997E-3</v>
      </c>
      <c r="W64" s="165">
        <v>2.7640000000000001E-2</v>
      </c>
      <c r="X64" s="5" t="s">
        <v>159</v>
      </c>
      <c r="Y64" s="5" t="s">
        <v>154</v>
      </c>
      <c r="Z64" s="154">
        <v>1136170.2</v>
      </c>
      <c r="AA64" s="163">
        <v>1</v>
      </c>
      <c r="AB64" s="173">
        <v>112.29</v>
      </c>
      <c r="AD64" s="154">
        <v>1275.806</v>
      </c>
      <c r="AG64" s="3" t="s">
        <v>36</v>
      </c>
      <c r="AH64" s="165">
        <v>2.1259999999999999E-3</v>
      </c>
      <c r="AI64" s="165">
        <v>4.1166256684561304E-3</v>
      </c>
      <c r="AJ64" s="165">
        <v>4.9758589119239499E-4</v>
      </c>
    </row>
    <row r="65" spans="1:36">
      <c r="A65" s="3">
        <v>288</v>
      </c>
      <c r="B65" s="3">
        <v>288</v>
      </c>
      <c r="C65" s="3" t="s">
        <v>431</v>
      </c>
      <c r="D65" s="3" t="s">
        <v>432</v>
      </c>
      <c r="E65" s="5" t="s">
        <v>147</v>
      </c>
      <c r="F65" s="3" t="s">
        <v>435</v>
      </c>
      <c r="G65" s="3" t="s">
        <v>436</v>
      </c>
      <c r="H65" s="3" t="s">
        <v>150</v>
      </c>
      <c r="I65" s="3" t="s">
        <v>183</v>
      </c>
      <c r="J65" s="3" t="s">
        <v>30</v>
      </c>
      <c r="K65" s="3" t="s">
        <v>30</v>
      </c>
      <c r="L65" s="3" t="s">
        <v>152</v>
      </c>
      <c r="M65" s="3" t="s">
        <v>41</v>
      </c>
      <c r="N65" s="3" t="s">
        <v>184</v>
      </c>
      <c r="O65" s="3" t="s">
        <v>154</v>
      </c>
      <c r="P65" s="3" t="s">
        <v>185</v>
      </c>
      <c r="Q65" s="3" t="s">
        <v>156</v>
      </c>
      <c r="R65" s="3" t="s">
        <v>157</v>
      </c>
      <c r="S65" s="3" t="s">
        <v>44</v>
      </c>
      <c r="T65" s="154">
        <v>5.3339999999999996</v>
      </c>
      <c r="U65" s="3" t="s">
        <v>437</v>
      </c>
      <c r="V65" s="165">
        <v>3.61E-2</v>
      </c>
      <c r="W65" s="165">
        <v>2.9340000000000001E-2</v>
      </c>
      <c r="X65" s="5" t="s">
        <v>159</v>
      </c>
      <c r="Y65" s="5" t="s">
        <v>154</v>
      </c>
      <c r="Z65" s="154">
        <v>5259525</v>
      </c>
      <c r="AA65" s="163">
        <v>1</v>
      </c>
      <c r="AB65" s="173">
        <v>113.95</v>
      </c>
      <c r="AD65" s="154">
        <v>5993.2290000000003</v>
      </c>
      <c r="AG65" s="3" t="s">
        <v>36</v>
      </c>
      <c r="AH65" s="165">
        <v>2.3939999999999999E-3</v>
      </c>
      <c r="AI65" s="165">
        <v>1.9338276028559601E-2</v>
      </c>
      <c r="AJ65" s="165">
        <v>2.3374613304114398E-3</v>
      </c>
    </row>
    <row r="66" spans="1:36">
      <c r="A66" s="3">
        <v>288</v>
      </c>
      <c r="B66" s="3">
        <v>288</v>
      </c>
      <c r="C66" s="3" t="s">
        <v>438</v>
      </c>
      <c r="D66" s="3" t="s">
        <v>439</v>
      </c>
      <c r="E66" s="5" t="s">
        <v>147</v>
      </c>
      <c r="F66" s="3" t="s">
        <v>440</v>
      </c>
      <c r="G66" s="3" t="s">
        <v>441</v>
      </c>
      <c r="H66" s="3" t="s">
        <v>150</v>
      </c>
      <c r="I66" s="3" t="s">
        <v>165</v>
      </c>
      <c r="J66" s="3" t="s">
        <v>30</v>
      </c>
      <c r="K66" s="3" t="s">
        <v>30</v>
      </c>
      <c r="L66" s="3" t="s">
        <v>152</v>
      </c>
      <c r="M66" s="3" t="s">
        <v>41</v>
      </c>
      <c r="N66" s="3" t="s">
        <v>176</v>
      </c>
      <c r="O66" s="3" t="s">
        <v>154</v>
      </c>
      <c r="P66" s="3" t="s">
        <v>442</v>
      </c>
      <c r="Q66" s="3" t="s">
        <v>169</v>
      </c>
      <c r="R66" s="3" t="s">
        <v>157</v>
      </c>
      <c r="S66" s="3" t="s">
        <v>44</v>
      </c>
      <c r="T66" s="154">
        <v>0.98399999999999999</v>
      </c>
      <c r="U66" s="3" t="s">
        <v>374</v>
      </c>
      <c r="V66" s="165">
        <v>2.9399999999999999E-2</v>
      </c>
      <c r="W66" s="165">
        <v>4.4979999999999999E-2</v>
      </c>
      <c r="X66" s="5" t="s">
        <v>159</v>
      </c>
      <c r="Y66" s="5" t="s">
        <v>154</v>
      </c>
      <c r="Z66" s="154">
        <v>72747.460000000006</v>
      </c>
      <c r="AA66" s="163">
        <v>1</v>
      </c>
      <c r="AB66" s="173">
        <v>98.58</v>
      </c>
      <c r="AD66" s="154">
        <v>71.713999999999999</v>
      </c>
      <c r="AG66" s="3" t="s">
        <v>36</v>
      </c>
      <c r="AH66" s="165">
        <v>6.78E-4</v>
      </c>
      <c r="AI66" s="165">
        <v>2.31400104024185E-4</v>
      </c>
      <c r="AJ66" s="165">
        <v>2.79698559587685E-5</v>
      </c>
    </row>
    <row r="67" spans="1:36">
      <c r="A67" s="3">
        <v>288</v>
      </c>
      <c r="B67" s="3">
        <v>288</v>
      </c>
      <c r="C67" s="3" t="s">
        <v>443</v>
      </c>
      <c r="D67" s="3" t="s">
        <v>444</v>
      </c>
      <c r="E67" s="5" t="s">
        <v>147</v>
      </c>
      <c r="F67" s="3" t="s">
        <v>445</v>
      </c>
      <c r="G67" s="3" t="s">
        <v>446</v>
      </c>
      <c r="H67" s="3" t="s">
        <v>150</v>
      </c>
      <c r="I67" s="3" t="s">
        <v>183</v>
      </c>
      <c r="J67" s="3" t="s">
        <v>30</v>
      </c>
      <c r="K67" s="3" t="s">
        <v>30</v>
      </c>
      <c r="L67" s="3" t="s">
        <v>152</v>
      </c>
      <c r="M67" s="3" t="s">
        <v>41</v>
      </c>
      <c r="N67" s="3" t="s">
        <v>184</v>
      </c>
      <c r="O67" s="3" t="s">
        <v>154</v>
      </c>
      <c r="P67" s="3" t="s">
        <v>228</v>
      </c>
      <c r="Q67" s="3" t="s">
        <v>156</v>
      </c>
      <c r="R67" s="3" t="s">
        <v>157</v>
      </c>
      <c r="S67" s="3" t="s">
        <v>44</v>
      </c>
      <c r="T67" s="154">
        <v>3.294</v>
      </c>
      <c r="U67" s="3" t="s">
        <v>447</v>
      </c>
      <c r="V67" s="165">
        <v>3.6200000000000003E-2</v>
      </c>
      <c r="W67" s="165">
        <v>2.9960000000000001E-2</v>
      </c>
      <c r="X67" s="5" t="s">
        <v>159</v>
      </c>
      <c r="Y67" s="5" t="s">
        <v>154</v>
      </c>
      <c r="Z67" s="154">
        <v>633625</v>
      </c>
      <c r="AA67" s="163">
        <v>1</v>
      </c>
      <c r="AB67" s="173">
        <v>112.77</v>
      </c>
      <c r="AD67" s="154">
        <v>714.53899999999999</v>
      </c>
      <c r="AG67" s="3" t="s">
        <v>36</v>
      </c>
      <c r="AH67" s="165">
        <v>3.4900000000000003E-4</v>
      </c>
      <c r="AI67" s="165">
        <v>2.30559375059591E-3</v>
      </c>
      <c r="AJ67" s="165">
        <v>2.7868235139974002E-4</v>
      </c>
    </row>
    <row r="68" spans="1:36">
      <c r="A68" s="3">
        <v>288</v>
      </c>
      <c r="B68" s="3">
        <v>288</v>
      </c>
      <c r="C68" s="3" t="s">
        <v>448</v>
      </c>
      <c r="D68" s="3" t="s">
        <v>449</v>
      </c>
      <c r="E68" s="5" t="s">
        <v>147</v>
      </c>
      <c r="F68" s="3" t="s">
        <v>450</v>
      </c>
      <c r="G68" s="3" t="s">
        <v>451</v>
      </c>
      <c r="H68" s="3" t="s">
        <v>150</v>
      </c>
      <c r="I68" s="3" t="s">
        <v>183</v>
      </c>
      <c r="J68" s="3" t="s">
        <v>30</v>
      </c>
      <c r="K68" s="3" t="s">
        <v>30</v>
      </c>
      <c r="L68" s="3" t="s">
        <v>152</v>
      </c>
      <c r="M68" s="3" t="s">
        <v>41</v>
      </c>
      <c r="N68" s="3" t="s">
        <v>240</v>
      </c>
      <c r="O68" s="3" t="s">
        <v>154</v>
      </c>
      <c r="P68" s="3" t="s">
        <v>199</v>
      </c>
      <c r="Q68" s="3" t="s">
        <v>156</v>
      </c>
      <c r="R68" s="3" t="s">
        <v>157</v>
      </c>
      <c r="S68" s="3" t="s">
        <v>44</v>
      </c>
      <c r="T68" s="154">
        <v>0.73899999999999999</v>
      </c>
      <c r="U68" s="3" t="s">
        <v>452</v>
      </c>
      <c r="V68" s="165">
        <v>2.4500000000000001E-2</v>
      </c>
      <c r="W68" s="165">
        <v>2.9270000000000001E-2</v>
      </c>
      <c r="X68" s="5" t="s">
        <v>159</v>
      </c>
      <c r="Y68" s="5" t="s">
        <v>154</v>
      </c>
      <c r="Z68" s="154">
        <v>254949.43</v>
      </c>
      <c r="AA68" s="163">
        <v>1</v>
      </c>
      <c r="AB68" s="173">
        <v>120.04</v>
      </c>
      <c r="AD68" s="154">
        <v>306.041</v>
      </c>
      <c r="AG68" s="3" t="s">
        <v>36</v>
      </c>
      <c r="AH68" s="165">
        <v>1.2344000000000001E-2</v>
      </c>
      <c r="AI68" s="165">
        <v>9.8749961214491307E-4</v>
      </c>
      <c r="AJ68" s="165">
        <v>1.19361320201248E-4</v>
      </c>
    </row>
    <row r="69" spans="1:36">
      <c r="A69" s="3">
        <v>288</v>
      </c>
      <c r="B69" s="3">
        <v>288</v>
      </c>
      <c r="C69" s="3" t="s">
        <v>453</v>
      </c>
      <c r="D69" s="3" t="s">
        <v>454</v>
      </c>
      <c r="E69" s="5" t="s">
        <v>147</v>
      </c>
      <c r="F69" s="3" t="s">
        <v>455</v>
      </c>
      <c r="G69" s="3" t="s">
        <v>456</v>
      </c>
      <c r="H69" s="3" t="s">
        <v>150</v>
      </c>
      <c r="I69" s="3" t="s">
        <v>183</v>
      </c>
      <c r="J69" s="3" t="s">
        <v>30</v>
      </c>
      <c r="K69" s="3" t="s">
        <v>30</v>
      </c>
      <c r="L69" s="3" t="s">
        <v>152</v>
      </c>
      <c r="M69" s="3" t="s">
        <v>41</v>
      </c>
      <c r="N69" s="3" t="s">
        <v>184</v>
      </c>
      <c r="O69" s="3" t="s">
        <v>154</v>
      </c>
      <c r="P69" s="3" t="s">
        <v>457</v>
      </c>
      <c r="Q69" s="3" t="s">
        <v>156</v>
      </c>
      <c r="R69" s="3" t="s">
        <v>157</v>
      </c>
      <c r="S69" s="3" t="s">
        <v>44</v>
      </c>
      <c r="T69" s="154">
        <v>2.4140000000000001</v>
      </c>
      <c r="U69" s="3" t="s">
        <v>458</v>
      </c>
      <c r="V69" s="165">
        <v>1.34E-2</v>
      </c>
      <c r="W69" s="165">
        <v>2.8539999999999999E-2</v>
      </c>
      <c r="X69" s="5" t="s">
        <v>159</v>
      </c>
      <c r="Y69" s="5" t="s">
        <v>154</v>
      </c>
      <c r="Z69" s="154">
        <v>1385445.07</v>
      </c>
      <c r="AA69" s="163">
        <v>1</v>
      </c>
      <c r="AB69" s="173">
        <v>116.33</v>
      </c>
      <c r="AD69" s="154">
        <v>1611.6880000000001</v>
      </c>
      <c r="AG69" s="3" t="s">
        <v>36</v>
      </c>
      <c r="AH69" s="165">
        <v>6.2699999999999995E-4</v>
      </c>
      <c r="AI69" s="165">
        <v>5.2004142698803303E-3</v>
      </c>
      <c r="AJ69" s="165">
        <v>6.2858588014841398E-4</v>
      </c>
    </row>
    <row r="70" spans="1:36">
      <c r="A70" s="3">
        <v>288</v>
      </c>
      <c r="B70" s="3">
        <v>288</v>
      </c>
      <c r="C70" s="3" t="s">
        <v>453</v>
      </c>
      <c r="D70" s="3" t="s">
        <v>454</v>
      </c>
      <c r="E70" s="5" t="s">
        <v>147</v>
      </c>
      <c r="F70" s="3" t="s">
        <v>459</v>
      </c>
      <c r="G70" s="3" t="s">
        <v>460</v>
      </c>
      <c r="H70" s="3" t="s">
        <v>150</v>
      </c>
      <c r="I70" s="3" t="s">
        <v>183</v>
      </c>
      <c r="J70" s="3" t="s">
        <v>30</v>
      </c>
      <c r="K70" s="3" t="s">
        <v>30</v>
      </c>
      <c r="L70" s="3" t="s">
        <v>152</v>
      </c>
      <c r="M70" s="3" t="s">
        <v>41</v>
      </c>
      <c r="N70" s="3" t="s">
        <v>184</v>
      </c>
      <c r="O70" s="3" t="s">
        <v>154</v>
      </c>
      <c r="P70" s="3" t="s">
        <v>123</v>
      </c>
      <c r="Q70" s="3" t="s">
        <v>169</v>
      </c>
      <c r="R70" s="3" t="s">
        <v>157</v>
      </c>
      <c r="S70" s="3" t="s">
        <v>44</v>
      </c>
      <c r="T70" s="154">
        <v>1.6930000000000001</v>
      </c>
      <c r="U70" s="3" t="s">
        <v>315</v>
      </c>
      <c r="V70" s="165">
        <v>1.77E-2</v>
      </c>
      <c r="W70" s="165">
        <v>2.93E-2</v>
      </c>
      <c r="X70" s="5" t="s">
        <v>159</v>
      </c>
      <c r="Y70" s="5" t="s">
        <v>154</v>
      </c>
      <c r="Z70" s="154">
        <v>0.68</v>
      </c>
      <c r="AA70" s="163">
        <v>1</v>
      </c>
      <c r="AB70" s="173">
        <v>116.94</v>
      </c>
      <c r="AD70" s="154">
        <v>1E-3</v>
      </c>
      <c r="AG70" s="3" t="s">
        <v>36</v>
      </c>
      <c r="AH70" s="165">
        <v>0</v>
      </c>
      <c r="AI70" s="165">
        <v>2.5658360568625603E-9</v>
      </c>
      <c r="AJ70" s="165">
        <v>3.1013842982870802E-10</v>
      </c>
    </row>
    <row r="71" spans="1:36">
      <c r="A71" s="3">
        <v>288</v>
      </c>
      <c r="B71" s="3">
        <v>288</v>
      </c>
      <c r="C71" s="3" t="s">
        <v>453</v>
      </c>
      <c r="D71" s="3" t="s">
        <v>454</v>
      </c>
      <c r="E71" s="5" t="s">
        <v>147</v>
      </c>
      <c r="F71" s="3" t="s">
        <v>461</v>
      </c>
      <c r="G71" s="3" t="s">
        <v>462</v>
      </c>
      <c r="H71" s="3" t="s">
        <v>150</v>
      </c>
      <c r="I71" s="3" t="s">
        <v>183</v>
      </c>
      <c r="J71" s="3" t="s">
        <v>30</v>
      </c>
      <c r="K71" s="3" t="s">
        <v>30</v>
      </c>
      <c r="L71" s="3" t="s">
        <v>152</v>
      </c>
      <c r="M71" s="3" t="s">
        <v>41</v>
      </c>
      <c r="N71" s="3" t="s">
        <v>184</v>
      </c>
      <c r="O71" s="3" t="s">
        <v>154</v>
      </c>
      <c r="P71" s="3" t="s">
        <v>457</v>
      </c>
      <c r="Q71" s="3" t="s">
        <v>156</v>
      </c>
      <c r="R71" s="3" t="s">
        <v>157</v>
      </c>
      <c r="S71" s="3" t="s">
        <v>44</v>
      </c>
      <c r="T71" s="154">
        <v>6.157</v>
      </c>
      <c r="U71" s="3" t="s">
        <v>463</v>
      </c>
      <c r="V71" s="165">
        <v>8.9999999999999993E-3</v>
      </c>
      <c r="W71" s="165">
        <v>2.7810000000000001E-2</v>
      </c>
      <c r="X71" s="5" t="s">
        <v>159</v>
      </c>
      <c r="Y71" s="5" t="s">
        <v>154</v>
      </c>
      <c r="Z71" s="154">
        <v>5772000</v>
      </c>
      <c r="AA71" s="163">
        <v>1</v>
      </c>
      <c r="AB71" s="173">
        <v>104.46</v>
      </c>
      <c r="AD71" s="154">
        <v>6029.4309999999996</v>
      </c>
      <c r="AG71" s="3" t="s">
        <v>36</v>
      </c>
      <c r="AH71" s="165">
        <v>2.1410000000000001E-3</v>
      </c>
      <c r="AI71" s="165">
        <v>1.9455090060428299E-2</v>
      </c>
      <c r="AJ71" s="165">
        <v>2.3515809076653398E-3</v>
      </c>
    </row>
    <row r="72" spans="1:36">
      <c r="A72" s="3">
        <v>288</v>
      </c>
      <c r="B72" s="3">
        <v>288</v>
      </c>
      <c r="C72" s="3" t="s">
        <v>464</v>
      </c>
      <c r="D72" s="3" t="s">
        <v>465</v>
      </c>
      <c r="E72" s="5" t="s">
        <v>147</v>
      </c>
      <c r="F72" s="3" t="s">
        <v>466</v>
      </c>
      <c r="G72" s="3" t="s">
        <v>467</v>
      </c>
      <c r="H72" s="3" t="s">
        <v>150</v>
      </c>
      <c r="I72" s="3" t="s">
        <v>165</v>
      </c>
      <c r="J72" s="3" t="s">
        <v>30</v>
      </c>
      <c r="K72" s="3" t="s">
        <v>30</v>
      </c>
      <c r="L72" s="3" t="s">
        <v>152</v>
      </c>
      <c r="M72" s="3" t="s">
        <v>41</v>
      </c>
      <c r="N72" s="3" t="s">
        <v>282</v>
      </c>
      <c r="O72" s="3" t="s">
        <v>154</v>
      </c>
      <c r="P72" s="3" t="s">
        <v>283</v>
      </c>
      <c r="Q72" s="3" t="s">
        <v>156</v>
      </c>
      <c r="R72" s="3" t="s">
        <v>157</v>
      </c>
      <c r="S72" s="3" t="s">
        <v>44</v>
      </c>
      <c r="T72" s="154">
        <v>2.9129999999999998</v>
      </c>
      <c r="U72" s="3" t="s">
        <v>468</v>
      </c>
      <c r="V72" s="165">
        <v>2.5000000000000001E-2</v>
      </c>
      <c r="W72" s="165">
        <v>4.462E-2</v>
      </c>
      <c r="X72" s="5" t="s">
        <v>159</v>
      </c>
      <c r="Y72" s="5" t="s">
        <v>154</v>
      </c>
      <c r="Z72" s="154">
        <v>2132022.2000000002</v>
      </c>
      <c r="AA72" s="163">
        <v>1</v>
      </c>
      <c r="AB72" s="173">
        <v>96.5</v>
      </c>
      <c r="AD72" s="154">
        <v>2057.4009999999998</v>
      </c>
      <c r="AG72" s="3" t="s">
        <v>36</v>
      </c>
      <c r="AH72" s="165">
        <v>1.0510000000000001E-3</v>
      </c>
      <c r="AI72" s="165">
        <v>6.6385913773953304E-3</v>
      </c>
      <c r="AJ72" s="165">
        <v>8.0242161246160497E-4</v>
      </c>
    </row>
    <row r="73" spans="1:36">
      <c r="A73" s="3">
        <v>288</v>
      </c>
      <c r="B73" s="3">
        <v>288</v>
      </c>
      <c r="C73" s="3" t="s">
        <v>464</v>
      </c>
      <c r="D73" s="3" t="s">
        <v>465</v>
      </c>
      <c r="E73" s="5" t="s">
        <v>147</v>
      </c>
      <c r="F73" s="3" t="s">
        <v>469</v>
      </c>
      <c r="G73" s="3" t="s">
        <v>470</v>
      </c>
      <c r="H73" s="3" t="s">
        <v>150</v>
      </c>
      <c r="I73" s="3" t="s">
        <v>183</v>
      </c>
      <c r="J73" s="3" t="s">
        <v>30</v>
      </c>
      <c r="K73" s="3" t="s">
        <v>30</v>
      </c>
      <c r="L73" s="3" t="s">
        <v>152</v>
      </c>
      <c r="M73" s="3" t="s">
        <v>41</v>
      </c>
      <c r="N73" s="3" t="s">
        <v>282</v>
      </c>
      <c r="O73" s="3" t="s">
        <v>154</v>
      </c>
      <c r="P73" s="3" t="s">
        <v>283</v>
      </c>
      <c r="Q73" s="3" t="s">
        <v>156</v>
      </c>
      <c r="R73" s="3" t="s">
        <v>157</v>
      </c>
      <c r="S73" s="3" t="s">
        <v>44</v>
      </c>
      <c r="T73" s="154">
        <v>3.073</v>
      </c>
      <c r="U73" s="3" t="s">
        <v>468</v>
      </c>
      <c r="V73" s="165">
        <v>1E-3</v>
      </c>
      <c r="W73" s="165">
        <v>2.538E-2</v>
      </c>
      <c r="X73" s="5" t="s">
        <v>159</v>
      </c>
      <c r="Y73" s="5" t="s">
        <v>154</v>
      </c>
      <c r="Z73" s="154">
        <v>3120216.64</v>
      </c>
      <c r="AA73" s="163">
        <v>1</v>
      </c>
      <c r="AB73" s="173">
        <v>107.45</v>
      </c>
      <c r="AD73" s="154">
        <v>3352.6729999999998</v>
      </c>
      <c r="AG73" s="3" t="s">
        <v>36</v>
      </c>
      <c r="AH73" s="165">
        <v>3.1700000000000001E-3</v>
      </c>
      <c r="AI73" s="165">
        <v>1.0818027224826899E-2</v>
      </c>
      <c r="AJ73" s="165">
        <v>1.30759951259495E-3</v>
      </c>
    </row>
    <row r="74" spans="1:36">
      <c r="A74" s="3">
        <v>288</v>
      </c>
      <c r="B74" s="3">
        <v>288</v>
      </c>
      <c r="C74" s="3" t="s">
        <v>464</v>
      </c>
      <c r="D74" s="3" t="s">
        <v>465</v>
      </c>
      <c r="E74" s="5" t="s">
        <v>147</v>
      </c>
      <c r="F74" s="3" t="s">
        <v>471</v>
      </c>
      <c r="G74" s="3" t="s">
        <v>472</v>
      </c>
      <c r="H74" s="3" t="s">
        <v>150</v>
      </c>
      <c r="I74" s="3" t="s">
        <v>183</v>
      </c>
      <c r="J74" s="3" t="s">
        <v>30</v>
      </c>
      <c r="K74" s="3" t="s">
        <v>30</v>
      </c>
      <c r="L74" s="3" t="s">
        <v>152</v>
      </c>
      <c r="M74" s="3" t="s">
        <v>41</v>
      </c>
      <c r="N74" s="3" t="s">
        <v>282</v>
      </c>
      <c r="O74" s="3" t="s">
        <v>154</v>
      </c>
      <c r="P74" s="3" t="s">
        <v>283</v>
      </c>
      <c r="Q74" s="3" t="s">
        <v>156</v>
      </c>
      <c r="R74" s="3" t="s">
        <v>157</v>
      </c>
      <c r="S74" s="3" t="s">
        <v>44</v>
      </c>
      <c r="T74" s="154">
        <v>3.4510000000000001</v>
      </c>
      <c r="U74" s="3" t="s">
        <v>473</v>
      </c>
      <c r="V74" s="165">
        <v>1.3899999999999999E-2</v>
      </c>
      <c r="W74" s="165">
        <v>2.521E-2</v>
      </c>
      <c r="X74" s="5" t="s">
        <v>159</v>
      </c>
      <c r="Y74" s="5" t="s">
        <v>154</v>
      </c>
      <c r="Z74" s="154">
        <v>3575200</v>
      </c>
      <c r="AA74" s="163">
        <v>1</v>
      </c>
      <c r="AB74" s="173">
        <v>107.22</v>
      </c>
      <c r="AD74" s="154">
        <v>3833.3290000000002</v>
      </c>
      <c r="AG74" s="3" t="s">
        <v>36</v>
      </c>
      <c r="AH74" s="165">
        <v>2.2339999999999999E-3</v>
      </c>
      <c r="AI74" s="165">
        <v>1.23689560445588E-2</v>
      </c>
      <c r="AJ74" s="165">
        <v>1.4950638003623799E-3</v>
      </c>
    </row>
    <row r="75" spans="1:36">
      <c r="A75" s="3">
        <v>288</v>
      </c>
      <c r="B75" s="3">
        <v>288</v>
      </c>
      <c r="C75" s="3" t="s">
        <v>464</v>
      </c>
      <c r="D75" s="3" t="s">
        <v>465</v>
      </c>
      <c r="E75" s="5" t="s">
        <v>147</v>
      </c>
      <c r="F75" s="3" t="s">
        <v>474</v>
      </c>
      <c r="G75" s="3" t="s">
        <v>475</v>
      </c>
      <c r="H75" s="3" t="s">
        <v>150</v>
      </c>
      <c r="I75" s="3" t="s">
        <v>183</v>
      </c>
      <c r="J75" s="3" t="s">
        <v>30</v>
      </c>
      <c r="K75" s="3" t="s">
        <v>30</v>
      </c>
      <c r="L75" s="3" t="s">
        <v>152</v>
      </c>
      <c r="M75" s="3" t="s">
        <v>41</v>
      </c>
      <c r="N75" s="3" t="s">
        <v>282</v>
      </c>
      <c r="O75" s="3" t="s">
        <v>154</v>
      </c>
      <c r="P75" s="3" t="s">
        <v>283</v>
      </c>
      <c r="Q75" s="3" t="s">
        <v>156</v>
      </c>
      <c r="R75" s="3" t="s">
        <v>157</v>
      </c>
      <c r="S75" s="3" t="s">
        <v>44</v>
      </c>
      <c r="T75" s="154">
        <v>2.5369999999999999</v>
      </c>
      <c r="U75" s="3" t="s">
        <v>476</v>
      </c>
      <c r="V75" s="165">
        <v>1.7500000000000002E-2</v>
      </c>
      <c r="W75" s="165">
        <v>2.5860000000000001E-2</v>
      </c>
      <c r="X75" s="5" t="s">
        <v>159</v>
      </c>
      <c r="Y75" s="5" t="s">
        <v>154</v>
      </c>
      <c r="Z75" s="154">
        <v>4305702.3600000003</v>
      </c>
      <c r="AA75" s="163">
        <v>1</v>
      </c>
      <c r="AB75" s="173">
        <v>117.2</v>
      </c>
      <c r="AD75" s="154">
        <v>5046.2830000000004</v>
      </c>
      <c r="AG75" s="3" t="s">
        <v>36</v>
      </c>
      <c r="AH75" s="165">
        <v>1.9319999999999999E-3</v>
      </c>
      <c r="AI75" s="165">
        <v>1.6282778624855498E-2</v>
      </c>
      <c r="AJ75" s="165">
        <v>1.9681364218320499E-3</v>
      </c>
    </row>
    <row r="76" spans="1:36">
      <c r="A76" s="3">
        <v>288</v>
      </c>
      <c r="B76" s="3">
        <v>288</v>
      </c>
      <c r="C76" s="3" t="s">
        <v>464</v>
      </c>
      <c r="D76" s="3" t="s">
        <v>465</v>
      </c>
      <c r="E76" s="5" t="s">
        <v>147</v>
      </c>
      <c r="F76" s="3" t="s">
        <v>477</v>
      </c>
      <c r="G76" s="3" t="s">
        <v>478</v>
      </c>
      <c r="H76" s="3" t="s">
        <v>150</v>
      </c>
      <c r="I76" s="3" t="s">
        <v>183</v>
      </c>
      <c r="J76" s="3" t="s">
        <v>30</v>
      </c>
      <c r="K76" s="3" t="s">
        <v>30</v>
      </c>
      <c r="L76" s="3" t="s">
        <v>152</v>
      </c>
      <c r="M76" s="3" t="s">
        <v>41</v>
      </c>
      <c r="N76" s="3" t="s">
        <v>282</v>
      </c>
      <c r="O76" s="3" t="s">
        <v>154</v>
      </c>
      <c r="P76" s="3" t="s">
        <v>283</v>
      </c>
      <c r="Q76" s="3" t="s">
        <v>156</v>
      </c>
      <c r="R76" s="3" t="s">
        <v>157</v>
      </c>
      <c r="S76" s="3" t="s">
        <v>44</v>
      </c>
      <c r="T76" s="154">
        <v>4.9800000000000004</v>
      </c>
      <c r="U76" s="3" t="s">
        <v>479</v>
      </c>
      <c r="V76" s="165">
        <v>2.6100000000000002E-2</v>
      </c>
      <c r="W76" s="165">
        <v>2.5860000000000001E-2</v>
      </c>
      <c r="X76" s="5" t="s">
        <v>159</v>
      </c>
      <c r="Y76" s="5" t="s">
        <v>154</v>
      </c>
      <c r="Z76" s="154">
        <v>5100000</v>
      </c>
      <c r="AA76" s="163">
        <v>1</v>
      </c>
      <c r="AB76" s="173">
        <v>101.11</v>
      </c>
      <c r="AD76" s="154">
        <v>5156.6099999999997</v>
      </c>
      <c r="AG76" s="3" t="s">
        <v>36</v>
      </c>
      <c r="AH76" s="165">
        <v>1.4920000000000001E-3</v>
      </c>
      <c r="AI76" s="165">
        <v>1.6638768837184102E-2</v>
      </c>
      <c r="AJ76" s="165">
        <v>2.0111657670587898E-3</v>
      </c>
    </row>
    <row r="77" spans="1:36">
      <c r="A77" s="3">
        <v>288</v>
      </c>
      <c r="B77" s="3">
        <v>288</v>
      </c>
      <c r="C77" s="3" t="s">
        <v>480</v>
      </c>
      <c r="D77" s="3" t="s">
        <v>481</v>
      </c>
      <c r="E77" s="5" t="s">
        <v>147</v>
      </c>
      <c r="F77" s="3" t="s">
        <v>482</v>
      </c>
      <c r="G77" s="3" t="s">
        <v>483</v>
      </c>
      <c r="H77" s="3" t="s">
        <v>150</v>
      </c>
      <c r="I77" s="3" t="s">
        <v>165</v>
      </c>
      <c r="J77" s="3" t="s">
        <v>30</v>
      </c>
      <c r="K77" s="3" t="s">
        <v>30</v>
      </c>
      <c r="L77" s="3" t="s">
        <v>152</v>
      </c>
      <c r="M77" s="3" t="s">
        <v>41</v>
      </c>
      <c r="N77" s="3" t="s">
        <v>484</v>
      </c>
      <c r="O77" s="3" t="s">
        <v>154</v>
      </c>
      <c r="P77" s="3" t="s">
        <v>199</v>
      </c>
      <c r="Q77" s="3" t="s">
        <v>156</v>
      </c>
      <c r="R77" s="3" t="s">
        <v>157</v>
      </c>
      <c r="S77" s="3" t="s">
        <v>44</v>
      </c>
      <c r="T77" s="154">
        <v>0.64</v>
      </c>
      <c r="U77" s="3" t="s">
        <v>485</v>
      </c>
      <c r="V77" s="165">
        <v>2.29E-2</v>
      </c>
      <c r="W77" s="165">
        <v>4.5589999999999999E-2</v>
      </c>
      <c r="X77" s="5" t="s">
        <v>159</v>
      </c>
      <c r="Y77" s="5" t="s">
        <v>154</v>
      </c>
      <c r="Z77" s="154">
        <v>728653.85</v>
      </c>
      <c r="AA77" s="163">
        <v>1</v>
      </c>
      <c r="AB77" s="173">
        <v>99.39</v>
      </c>
      <c r="AD77" s="154">
        <v>724.20899999999995</v>
      </c>
      <c r="AG77" s="3" t="s">
        <v>36</v>
      </c>
      <c r="AH77" s="165">
        <v>2.199E-3</v>
      </c>
      <c r="AI77" s="165">
        <v>2.3367962991853401E-3</v>
      </c>
      <c r="AJ77" s="165">
        <v>2.8245387429197503E-4</v>
      </c>
    </row>
    <row r="78" spans="1:36">
      <c r="A78" s="3">
        <v>288</v>
      </c>
      <c r="B78" s="3">
        <v>288</v>
      </c>
      <c r="C78" s="3" t="s">
        <v>486</v>
      </c>
      <c r="D78" s="3" t="s">
        <v>487</v>
      </c>
      <c r="E78" s="5" t="s">
        <v>147</v>
      </c>
      <c r="F78" s="3" t="s">
        <v>488</v>
      </c>
      <c r="G78" s="3" t="s">
        <v>489</v>
      </c>
      <c r="H78" s="3" t="s">
        <v>150</v>
      </c>
      <c r="I78" s="3" t="s">
        <v>183</v>
      </c>
      <c r="J78" s="3" t="s">
        <v>30</v>
      </c>
      <c r="K78" s="3" t="s">
        <v>30</v>
      </c>
      <c r="L78" s="3" t="s">
        <v>152</v>
      </c>
      <c r="M78" s="3" t="s">
        <v>41</v>
      </c>
      <c r="N78" s="3" t="s">
        <v>234</v>
      </c>
      <c r="O78" s="3" t="s">
        <v>154</v>
      </c>
      <c r="P78" s="3" t="s">
        <v>199</v>
      </c>
      <c r="Q78" s="3" t="s">
        <v>156</v>
      </c>
      <c r="R78" s="3" t="s">
        <v>157</v>
      </c>
      <c r="S78" s="3" t="s">
        <v>44</v>
      </c>
      <c r="T78" s="154">
        <v>1.6040000000000001</v>
      </c>
      <c r="U78" s="3" t="s">
        <v>490</v>
      </c>
      <c r="V78" s="165">
        <v>1.9400000000000001E-2</v>
      </c>
      <c r="W78" s="165">
        <v>2.6460000000000001E-2</v>
      </c>
      <c r="X78" s="5" t="s">
        <v>159</v>
      </c>
      <c r="Y78" s="5" t="s">
        <v>154</v>
      </c>
      <c r="Z78" s="154">
        <v>2001247.55</v>
      </c>
      <c r="AA78" s="163">
        <v>1</v>
      </c>
      <c r="AB78" s="173">
        <v>119.07</v>
      </c>
      <c r="AD78" s="154">
        <v>2382.8850000000002</v>
      </c>
      <c r="AG78" s="3" t="s">
        <v>36</v>
      </c>
      <c r="AH78" s="165">
        <v>8.3020000000000004E-3</v>
      </c>
      <c r="AI78" s="165">
        <v>7.6888266317546097E-3</v>
      </c>
      <c r="AJ78" s="165">
        <v>9.2936593217625603E-4</v>
      </c>
    </row>
    <row r="79" spans="1:36">
      <c r="A79" s="3">
        <v>288</v>
      </c>
      <c r="B79" s="3">
        <v>288</v>
      </c>
      <c r="C79" s="3" t="s">
        <v>491</v>
      </c>
      <c r="D79" s="3" t="s">
        <v>492</v>
      </c>
      <c r="E79" s="5" t="s">
        <v>147</v>
      </c>
      <c r="F79" s="3" t="s">
        <v>493</v>
      </c>
      <c r="G79" s="3" t="s">
        <v>494</v>
      </c>
      <c r="H79" s="3" t="s">
        <v>150</v>
      </c>
      <c r="I79" s="3" t="s">
        <v>165</v>
      </c>
      <c r="J79" s="3" t="s">
        <v>30</v>
      </c>
      <c r="K79" s="3" t="s">
        <v>30</v>
      </c>
      <c r="L79" s="3" t="s">
        <v>152</v>
      </c>
      <c r="M79" s="3" t="s">
        <v>41</v>
      </c>
      <c r="N79" s="3" t="s">
        <v>176</v>
      </c>
      <c r="O79" s="3" t="s">
        <v>154</v>
      </c>
      <c r="P79" s="3" t="s">
        <v>185</v>
      </c>
      <c r="Q79" s="3" t="s">
        <v>156</v>
      </c>
      <c r="R79" s="3" t="s">
        <v>157</v>
      </c>
      <c r="S79" s="3" t="s">
        <v>44</v>
      </c>
      <c r="T79" s="154">
        <v>4.2709999999999999</v>
      </c>
      <c r="U79" s="3" t="s">
        <v>495</v>
      </c>
      <c r="V79" s="165">
        <v>4.6899999999999997E-2</v>
      </c>
      <c r="W79" s="165">
        <v>4.6489999999999997E-2</v>
      </c>
      <c r="X79" s="5" t="s">
        <v>159</v>
      </c>
      <c r="Y79" s="5" t="s">
        <v>154</v>
      </c>
      <c r="Z79" s="154">
        <v>3099000</v>
      </c>
      <c r="AA79" s="163">
        <v>1</v>
      </c>
      <c r="AB79" s="173">
        <v>100.58</v>
      </c>
      <c r="AD79" s="154">
        <v>3116.9740000000002</v>
      </c>
      <c r="AG79" s="3" t="s">
        <v>36</v>
      </c>
      <c r="AH79" s="165">
        <v>6.1980000000000004E-3</v>
      </c>
      <c r="AI79" s="165">
        <v>1.00575015727904E-2</v>
      </c>
      <c r="AJ79" s="165">
        <v>1.21567305028797E-3</v>
      </c>
    </row>
    <row r="80" spans="1:36">
      <c r="A80" s="3">
        <v>288</v>
      </c>
      <c r="B80" s="3">
        <v>288</v>
      </c>
      <c r="C80" s="3" t="s">
        <v>491</v>
      </c>
      <c r="D80" s="3" t="s">
        <v>492</v>
      </c>
      <c r="E80" s="5" t="s">
        <v>147</v>
      </c>
      <c r="F80" s="3" t="s">
        <v>496</v>
      </c>
      <c r="G80" s="3" t="s">
        <v>497</v>
      </c>
      <c r="H80" s="3" t="s">
        <v>150</v>
      </c>
      <c r="I80" s="3" t="s">
        <v>165</v>
      </c>
      <c r="J80" s="3" t="s">
        <v>30</v>
      </c>
      <c r="K80" s="3" t="s">
        <v>30</v>
      </c>
      <c r="L80" s="3" t="s">
        <v>152</v>
      </c>
      <c r="M80" s="3" t="s">
        <v>41</v>
      </c>
      <c r="N80" s="3" t="s">
        <v>176</v>
      </c>
      <c r="O80" s="3" t="s">
        <v>154</v>
      </c>
      <c r="P80" s="3" t="s">
        <v>185</v>
      </c>
      <c r="Q80" s="3" t="s">
        <v>156</v>
      </c>
      <c r="R80" s="3" t="s">
        <v>157</v>
      </c>
      <c r="S80" s="3" t="s">
        <v>44</v>
      </c>
      <c r="T80" s="154">
        <v>3.383</v>
      </c>
      <c r="U80" s="3" t="s">
        <v>188</v>
      </c>
      <c r="V80" s="165">
        <v>2.6200000000000001E-2</v>
      </c>
      <c r="W80" s="165">
        <v>4.5310000000000003E-2</v>
      </c>
      <c r="X80" s="5" t="s">
        <v>159</v>
      </c>
      <c r="Y80" s="5" t="s">
        <v>154</v>
      </c>
      <c r="Z80" s="154">
        <v>110000</v>
      </c>
      <c r="AA80" s="163">
        <v>1</v>
      </c>
      <c r="AB80" s="173">
        <v>95.06</v>
      </c>
      <c r="AD80" s="154">
        <v>104.566</v>
      </c>
      <c r="AG80" s="3" t="s">
        <v>36</v>
      </c>
      <c r="AH80" s="165">
        <v>8.5000000000000006E-5</v>
      </c>
      <c r="AI80" s="165">
        <v>3.3740180122774201E-4</v>
      </c>
      <c r="AJ80" s="165">
        <v>4.0782521772689701E-5</v>
      </c>
    </row>
    <row r="81" spans="1:36">
      <c r="A81" s="3">
        <v>288</v>
      </c>
      <c r="B81" s="3">
        <v>288</v>
      </c>
      <c r="C81" s="3" t="s">
        <v>498</v>
      </c>
      <c r="D81" s="3" t="s">
        <v>499</v>
      </c>
      <c r="E81" s="5" t="s">
        <v>147</v>
      </c>
      <c r="F81" s="3" t="s">
        <v>500</v>
      </c>
      <c r="G81" s="3" t="s">
        <v>501</v>
      </c>
      <c r="H81" s="3" t="s">
        <v>150</v>
      </c>
      <c r="I81" s="3" t="s">
        <v>165</v>
      </c>
      <c r="J81" s="3" t="s">
        <v>30</v>
      </c>
      <c r="K81" s="3" t="s">
        <v>30</v>
      </c>
      <c r="L81" s="3" t="s">
        <v>152</v>
      </c>
      <c r="M81" s="3" t="s">
        <v>41</v>
      </c>
      <c r="N81" s="3" t="s">
        <v>502</v>
      </c>
      <c r="O81" s="3" t="s">
        <v>154</v>
      </c>
      <c r="P81" s="3" t="s">
        <v>199</v>
      </c>
      <c r="Q81" s="3" t="s">
        <v>156</v>
      </c>
      <c r="R81" s="3" t="s">
        <v>157</v>
      </c>
      <c r="S81" s="3" t="s">
        <v>44</v>
      </c>
      <c r="T81" s="154">
        <v>1.3779999999999999</v>
      </c>
      <c r="U81" s="3" t="s">
        <v>503</v>
      </c>
      <c r="V81" s="165">
        <v>2.3E-2</v>
      </c>
      <c r="W81" s="165">
        <v>4.8079999999999998E-2</v>
      </c>
      <c r="X81" s="5" t="s">
        <v>159</v>
      </c>
      <c r="Y81" s="5" t="s">
        <v>154</v>
      </c>
      <c r="Z81" s="154">
        <v>877419.35</v>
      </c>
      <c r="AA81" s="163">
        <v>1</v>
      </c>
      <c r="AB81" s="173">
        <v>96.94</v>
      </c>
      <c r="AD81" s="154">
        <v>850.57</v>
      </c>
      <c r="AG81" s="3" t="s">
        <v>36</v>
      </c>
      <c r="AH81" s="165">
        <v>1.0640000000000001E-3</v>
      </c>
      <c r="AI81" s="165">
        <v>2.74452458090526E-3</v>
      </c>
      <c r="AJ81" s="165">
        <v>3.3173691743542397E-4</v>
      </c>
    </row>
    <row r="82" spans="1:36">
      <c r="A82" s="3">
        <v>288</v>
      </c>
      <c r="B82" s="3">
        <v>288</v>
      </c>
      <c r="C82" s="3" t="s">
        <v>504</v>
      </c>
      <c r="D82" s="3" t="s">
        <v>505</v>
      </c>
      <c r="E82" s="5" t="s">
        <v>147</v>
      </c>
      <c r="F82" s="3" t="s">
        <v>506</v>
      </c>
      <c r="G82" s="3" t="s">
        <v>507</v>
      </c>
      <c r="H82" s="3" t="s">
        <v>150</v>
      </c>
      <c r="I82" s="3" t="s">
        <v>183</v>
      </c>
      <c r="J82" s="3" t="s">
        <v>30</v>
      </c>
      <c r="K82" s="3" t="s">
        <v>30</v>
      </c>
      <c r="L82" s="3" t="s">
        <v>152</v>
      </c>
      <c r="M82" s="3" t="s">
        <v>41</v>
      </c>
      <c r="N82" s="3" t="s">
        <v>184</v>
      </c>
      <c r="O82" s="3" t="s">
        <v>154</v>
      </c>
      <c r="P82" s="3" t="s">
        <v>199</v>
      </c>
      <c r="Q82" s="3" t="s">
        <v>156</v>
      </c>
      <c r="R82" s="3" t="s">
        <v>157</v>
      </c>
      <c r="S82" s="3" t="s">
        <v>44</v>
      </c>
      <c r="T82" s="154">
        <v>0.63900000000000001</v>
      </c>
      <c r="U82" s="3" t="s">
        <v>508</v>
      </c>
      <c r="V82" s="165">
        <v>2.1499999999999998E-2</v>
      </c>
      <c r="W82" s="165">
        <v>3.5860000000000003E-2</v>
      </c>
      <c r="X82" s="5" t="s">
        <v>159</v>
      </c>
      <c r="Y82" s="5" t="s">
        <v>154</v>
      </c>
      <c r="Z82" s="154">
        <v>2500000</v>
      </c>
      <c r="AA82" s="163">
        <v>1</v>
      </c>
      <c r="AB82" s="173">
        <v>120.13</v>
      </c>
      <c r="AD82" s="154">
        <v>3003.25</v>
      </c>
      <c r="AG82" s="3" t="s">
        <v>36</v>
      </c>
      <c r="AH82" s="165">
        <v>1.7849999999999999E-3</v>
      </c>
      <c r="AI82" s="165">
        <v>9.6905491224414907E-3</v>
      </c>
      <c r="AJ82" s="165">
        <v>1.1713186744623501E-3</v>
      </c>
    </row>
    <row r="83" spans="1:36">
      <c r="A83" s="3">
        <v>288</v>
      </c>
      <c r="B83" s="3">
        <v>288</v>
      </c>
      <c r="C83" s="3" t="s">
        <v>504</v>
      </c>
      <c r="D83" s="3" t="s">
        <v>505</v>
      </c>
      <c r="E83" s="5" t="s">
        <v>147</v>
      </c>
      <c r="F83" s="3" t="s">
        <v>509</v>
      </c>
      <c r="G83" s="3" t="s">
        <v>510</v>
      </c>
      <c r="H83" s="3" t="s">
        <v>150</v>
      </c>
      <c r="I83" s="3" t="s">
        <v>183</v>
      </c>
      <c r="J83" s="3" t="s">
        <v>30</v>
      </c>
      <c r="K83" s="3" t="s">
        <v>30</v>
      </c>
      <c r="L83" s="3" t="s">
        <v>152</v>
      </c>
      <c r="M83" s="3" t="s">
        <v>41</v>
      </c>
      <c r="N83" s="3" t="s">
        <v>184</v>
      </c>
      <c r="O83" s="3" t="s">
        <v>154</v>
      </c>
      <c r="P83" s="3" t="s">
        <v>185</v>
      </c>
      <c r="Q83" s="3" t="s">
        <v>156</v>
      </c>
      <c r="R83" s="3" t="s">
        <v>157</v>
      </c>
      <c r="S83" s="3" t="s">
        <v>44</v>
      </c>
      <c r="T83" s="154">
        <v>0.65100000000000002</v>
      </c>
      <c r="U83" s="3" t="s">
        <v>508</v>
      </c>
      <c r="V83" s="165">
        <v>1.6E-2</v>
      </c>
      <c r="W83" s="165">
        <v>3.7109999999999997E-2</v>
      </c>
      <c r="X83" s="5" t="s">
        <v>159</v>
      </c>
      <c r="Y83" s="5" t="s">
        <v>154</v>
      </c>
      <c r="Z83" s="154">
        <v>246034.23</v>
      </c>
      <c r="AA83" s="163">
        <v>1</v>
      </c>
      <c r="AB83" s="173">
        <v>119.36</v>
      </c>
      <c r="AD83" s="154">
        <v>293.666</v>
      </c>
      <c r="AG83" s="3" t="s">
        <v>36</v>
      </c>
      <c r="AH83" s="165">
        <v>8.6700000000000004E-4</v>
      </c>
      <c r="AI83" s="165">
        <v>9.4756987479368399E-4</v>
      </c>
      <c r="AJ83" s="165">
        <v>1.14534922188616E-4</v>
      </c>
    </row>
    <row r="84" spans="1:36">
      <c r="A84" s="3">
        <v>288</v>
      </c>
      <c r="B84" s="3">
        <v>288</v>
      </c>
      <c r="C84" s="3" t="s">
        <v>511</v>
      </c>
      <c r="D84" s="3" t="s">
        <v>512</v>
      </c>
      <c r="E84" s="5" t="s">
        <v>147</v>
      </c>
      <c r="F84" s="3" t="s">
        <v>513</v>
      </c>
      <c r="G84" s="3" t="s">
        <v>514</v>
      </c>
      <c r="H84" s="3" t="s">
        <v>150</v>
      </c>
      <c r="I84" s="3" t="s">
        <v>183</v>
      </c>
      <c r="J84" s="3" t="s">
        <v>30</v>
      </c>
      <c r="K84" s="3" t="s">
        <v>30</v>
      </c>
      <c r="L84" s="3" t="s">
        <v>152</v>
      </c>
      <c r="M84" s="3" t="s">
        <v>41</v>
      </c>
      <c r="N84" s="3" t="s">
        <v>184</v>
      </c>
      <c r="O84" s="3" t="s">
        <v>154</v>
      </c>
      <c r="P84" s="3" t="s">
        <v>185</v>
      </c>
      <c r="Q84" s="3" t="s">
        <v>156</v>
      </c>
      <c r="R84" s="3" t="s">
        <v>157</v>
      </c>
      <c r="S84" s="3" t="s">
        <v>44</v>
      </c>
      <c r="T84" s="154">
        <v>1.6579999999999999</v>
      </c>
      <c r="U84" s="3" t="s">
        <v>515</v>
      </c>
      <c r="V84" s="165">
        <v>0.04</v>
      </c>
      <c r="W84" s="165">
        <v>2.9000000000000001E-2</v>
      </c>
      <c r="X84" s="5" t="s">
        <v>159</v>
      </c>
      <c r="Y84" s="5" t="s">
        <v>154</v>
      </c>
      <c r="Z84" s="154">
        <v>2772322.09</v>
      </c>
      <c r="AA84" s="163">
        <v>1</v>
      </c>
      <c r="AB84" s="173">
        <v>121.74</v>
      </c>
      <c r="AD84" s="154">
        <v>3375.0250000000001</v>
      </c>
      <c r="AG84" s="3" t="s">
        <v>36</v>
      </c>
      <c r="AH84" s="165">
        <v>3.8400000000000001E-3</v>
      </c>
      <c r="AI84" s="165">
        <v>1.0890150571130099E-2</v>
      </c>
      <c r="AJ84" s="165">
        <v>1.3163172252159999E-3</v>
      </c>
    </row>
    <row r="85" spans="1:36">
      <c r="A85" s="3">
        <v>288</v>
      </c>
      <c r="B85" s="3">
        <v>288</v>
      </c>
      <c r="C85" s="3" t="s">
        <v>516</v>
      </c>
      <c r="D85" s="3" t="s">
        <v>517</v>
      </c>
      <c r="E85" s="5" t="s">
        <v>147</v>
      </c>
      <c r="F85" s="3" t="s">
        <v>518</v>
      </c>
      <c r="G85" s="3" t="s">
        <v>519</v>
      </c>
      <c r="H85" s="3" t="s">
        <v>150</v>
      </c>
      <c r="I85" s="3" t="s">
        <v>183</v>
      </c>
      <c r="J85" s="3" t="s">
        <v>30</v>
      </c>
      <c r="K85" s="3" t="s">
        <v>30</v>
      </c>
      <c r="L85" s="3" t="s">
        <v>152</v>
      </c>
      <c r="M85" s="3" t="s">
        <v>41</v>
      </c>
      <c r="N85" s="3" t="s">
        <v>520</v>
      </c>
      <c r="O85" s="3" t="s">
        <v>154</v>
      </c>
      <c r="P85" s="3" t="s">
        <v>185</v>
      </c>
      <c r="Q85" s="3" t="s">
        <v>156</v>
      </c>
      <c r="R85" s="3" t="s">
        <v>157</v>
      </c>
      <c r="S85" s="3" t="s">
        <v>44</v>
      </c>
      <c r="T85" s="154">
        <v>2.4409999999999998</v>
      </c>
      <c r="U85" s="3" t="s">
        <v>521</v>
      </c>
      <c r="V85" s="165">
        <v>2.9899999999999999E-2</v>
      </c>
      <c r="W85" s="165">
        <v>2.5139999999999999E-2</v>
      </c>
      <c r="X85" s="5" t="s">
        <v>159</v>
      </c>
      <c r="Y85" s="5" t="s">
        <v>154</v>
      </c>
      <c r="Z85" s="154">
        <v>676667.1</v>
      </c>
      <c r="AA85" s="163">
        <v>1</v>
      </c>
      <c r="AB85" s="173">
        <v>119.71</v>
      </c>
      <c r="AC85" s="154">
        <v>230.21600000000001</v>
      </c>
      <c r="AD85" s="154">
        <v>1040.2539999999999</v>
      </c>
      <c r="AG85" s="3" t="s">
        <v>36</v>
      </c>
      <c r="AH85" s="165">
        <v>4.5840000000000004E-3</v>
      </c>
      <c r="AI85" s="165">
        <v>3.35657452504341E-3</v>
      </c>
      <c r="AJ85" s="165">
        <v>4.0571678382012998E-4</v>
      </c>
    </row>
    <row r="86" spans="1:36">
      <c r="A86" s="3">
        <v>288</v>
      </c>
      <c r="B86" s="3">
        <v>288</v>
      </c>
      <c r="C86" s="3" t="s">
        <v>522</v>
      </c>
      <c r="D86" s="3" t="s">
        <v>523</v>
      </c>
      <c r="E86" s="5" t="s">
        <v>147</v>
      </c>
      <c r="F86" s="3" t="s">
        <v>524</v>
      </c>
      <c r="G86" s="3" t="s">
        <v>525</v>
      </c>
      <c r="H86" s="3" t="s">
        <v>150</v>
      </c>
      <c r="I86" s="3" t="s">
        <v>165</v>
      </c>
      <c r="J86" s="3" t="s">
        <v>30</v>
      </c>
      <c r="K86" s="3" t="s">
        <v>30</v>
      </c>
      <c r="L86" s="3" t="s">
        <v>152</v>
      </c>
      <c r="M86" s="3" t="s">
        <v>41</v>
      </c>
      <c r="N86" s="3" t="s">
        <v>234</v>
      </c>
      <c r="O86" s="3" t="s">
        <v>154</v>
      </c>
      <c r="P86" s="3" t="s">
        <v>168</v>
      </c>
      <c r="Q86" s="3" t="s">
        <v>169</v>
      </c>
      <c r="R86" s="3" t="s">
        <v>157</v>
      </c>
      <c r="S86" s="3" t="s">
        <v>44</v>
      </c>
      <c r="T86" s="154">
        <v>3.9990000000000001</v>
      </c>
      <c r="U86" s="3" t="s">
        <v>526</v>
      </c>
      <c r="V86" s="165">
        <v>6.7699999999999996E-2</v>
      </c>
      <c r="W86" s="165">
        <v>5.2019999999999997E-2</v>
      </c>
      <c r="X86" s="5" t="s">
        <v>159</v>
      </c>
      <c r="Y86" s="5" t="s">
        <v>154</v>
      </c>
      <c r="Z86" s="154">
        <v>2610000</v>
      </c>
      <c r="AA86" s="163">
        <v>1</v>
      </c>
      <c r="AB86" s="173">
        <v>108.36</v>
      </c>
      <c r="AD86" s="154">
        <v>2828.1959999999999</v>
      </c>
      <c r="AG86" s="3" t="s">
        <v>36</v>
      </c>
      <c r="AH86" s="165">
        <v>3.8670000000000002E-3</v>
      </c>
      <c r="AI86" s="165">
        <v>9.1257045753408896E-3</v>
      </c>
      <c r="AJ86" s="165">
        <v>1.1030446315956799E-3</v>
      </c>
    </row>
    <row r="87" spans="1:36">
      <c r="A87" s="3">
        <v>288</v>
      </c>
      <c r="B87" s="3">
        <v>288</v>
      </c>
      <c r="C87" s="3" t="s">
        <v>527</v>
      </c>
      <c r="D87" s="3" t="s">
        <v>528</v>
      </c>
      <c r="E87" s="5" t="s">
        <v>147</v>
      </c>
      <c r="F87" s="3" t="s">
        <v>529</v>
      </c>
      <c r="G87" s="3" t="s">
        <v>530</v>
      </c>
      <c r="H87" s="3" t="s">
        <v>150</v>
      </c>
      <c r="I87" s="3" t="s">
        <v>165</v>
      </c>
      <c r="J87" s="3" t="s">
        <v>30</v>
      </c>
      <c r="K87" s="3" t="s">
        <v>30</v>
      </c>
      <c r="L87" s="3" t="s">
        <v>152</v>
      </c>
      <c r="M87" s="3" t="s">
        <v>41</v>
      </c>
      <c r="N87" s="3" t="s">
        <v>193</v>
      </c>
      <c r="O87" s="3" t="s">
        <v>154</v>
      </c>
      <c r="P87" s="3" t="s">
        <v>185</v>
      </c>
      <c r="Q87" s="3" t="s">
        <v>156</v>
      </c>
      <c r="R87" s="3" t="s">
        <v>157</v>
      </c>
      <c r="S87" s="3" t="s">
        <v>44</v>
      </c>
      <c r="T87" s="154">
        <v>0.45200000000000001</v>
      </c>
      <c r="U87" s="3" t="s">
        <v>531</v>
      </c>
      <c r="V87" s="165">
        <v>2.7E-2</v>
      </c>
      <c r="W87" s="165">
        <v>4.632E-2</v>
      </c>
      <c r="X87" s="5" t="s">
        <v>159</v>
      </c>
      <c r="Y87" s="5" t="s">
        <v>154</v>
      </c>
      <c r="Z87" s="154">
        <v>450609.58</v>
      </c>
      <c r="AA87" s="163">
        <v>1</v>
      </c>
      <c r="AB87" s="173">
        <v>99.29</v>
      </c>
      <c r="AD87" s="154">
        <v>447.41</v>
      </c>
      <c r="AG87" s="3" t="s">
        <v>36</v>
      </c>
      <c r="AH87" s="165">
        <v>9.6109999999999998E-3</v>
      </c>
      <c r="AI87" s="165">
        <v>1.44365305076683E-3</v>
      </c>
      <c r="AJ87" s="165">
        <v>1.74497622006967E-4</v>
      </c>
    </row>
    <row r="88" spans="1:36">
      <c r="A88" s="3">
        <v>288</v>
      </c>
      <c r="B88" s="3">
        <v>288</v>
      </c>
      <c r="C88" s="3" t="s">
        <v>527</v>
      </c>
      <c r="D88" s="3" t="s">
        <v>528</v>
      </c>
      <c r="E88" s="5" t="s">
        <v>147</v>
      </c>
      <c r="F88" s="3" t="s">
        <v>532</v>
      </c>
      <c r="G88" s="3" t="s">
        <v>533</v>
      </c>
      <c r="H88" s="3" t="s">
        <v>150</v>
      </c>
      <c r="I88" s="3" t="s">
        <v>183</v>
      </c>
      <c r="J88" s="3" t="s">
        <v>30</v>
      </c>
      <c r="K88" s="3" t="s">
        <v>30</v>
      </c>
      <c r="L88" s="3" t="s">
        <v>152</v>
      </c>
      <c r="M88" s="3" t="s">
        <v>41</v>
      </c>
      <c r="N88" s="3" t="s">
        <v>193</v>
      </c>
      <c r="O88" s="3" t="s">
        <v>154</v>
      </c>
      <c r="P88" s="3" t="s">
        <v>185</v>
      </c>
      <c r="Q88" s="3" t="s">
        <v>156</v>
      </c>
      <c r="R88" s="3" t="s">
        <v>157</v>
      </c>
      <c r="S88" s="3" t="s">
        <v>44</v>
      </c>
      <c r="T88" s="154">
        <v>0.45300000000000001</v>
      </c>
      <c r="U88" s="3" t="s">
        <v>531</v>
      </c>
      <c r="V88" s="165">
        <v>1.7999999999999999E-2</v>
      </c>
      <c r="W88" s="165">
        <v>4.768E-2</v>
      </c>
      <c r="X88" s="5" t="s">
        <v>159</v>
      </c>
      <c r="Y88" s="5" t="s">
        <v>154</v>
      </c>
      <c r="Z88" s="154">
        <v>193380.66</v>
      </c>
      <c r="AA88" s="163">
        <v>1</v>
      </c>
      <c r="AB88" s="173">
        <v>117.78</v>
      </c>
      <c r="AD88" s="154">
        <v>227.76400000000001</v>
      </c>
      <c r="AG88" s="3" t="s">
        <v>36</v>
      </c>
      <c r="AH88" s="165">
        <v>7.94E-4</v>
      </c>
      <c r="AI88" s="165">
        <v>7.3492240867189E-4</v>
      </c>
      <c r="AJ88" s="165">
        <v>8.8831740150279001E-5</v>
      </c>
    </row>
    <row r="89" spans="1:36">
      <c r="A89" s="3">
        <v>288</v>
      </c>
      <c r="B89" s="3">
        <v>288</v>
      </c>
      <c r="C89" s="3" t="s">
        <v>527</v>
      </c>
      <c r="D89" s="3" t="s">
        <v>528</v>
      </c>
      <c r="E89" s="5" t="s">
        <v>147</v>
      </c>
      <c r="F89" s="3" t="s">
        <v>534</v>
      </c>
      <c r="G89" s="3" t="s">
        <v>535</v>
      </c>
      <c r="H89" s="3" t="s">
        <v>150</v>
      </c>
      <c r="I89" s="3" t="s">
        <v>165</v>
      </c>
      <c r="J89" s="3" t="s">
        <v>30</v>
      </c>
      <c r="K89" s="3" t="s">
        <v>30</v>
      </c>
      <c r="L89" s="3" t="s">
        <v>152</v>
      </c>
      <c r="M89" s="3" t="s">
        <v>41</v>
      </c>
      <c r="N89" s="3" t="s">
        <v>193</v>
      </c>
      <c r="O89" s="3" t="s">
        <v>154</v>
      </c>
      <c r="P89" s="3" t="s">
        <v>185</v>
      </c>
      <c r="Q89" s="3" t="s">
        <v>156</v>
      </c>
      <c r="R89" s="3" t="s">
        <v>157</v>
      </c>
      <c r="S89" s="3" t="s">
        <v>44</v>
      </c>
      <c r="T89" s="154">
        <v>2.9289999999999998</v>
      </c>
      <c r="U89" s="3" t="s">
        <v>536</v>
      </c>
      <c r="V89" s="165">
        <v>4.5600000000000002E-2</v>
      </c>
      <c r="W89" s="165">
        <v>4.7230000000000001E-2</v>
      </c>
      <c r="X89" s="5" t="s">
        <v>159</v>
      </c>
      <c r="Y89" s="5" t="s">
        <v>154</v>
      </c>
      <c r="Z89" s="154">
        <v>2552871.87</v>
      </c>
      <c r="AA89" s="163">
        <v>1</v>
      </c>
      <c r="AB89" s="173">
        <v>99.96</v>
      </c>
      <c r="AD89" s="154">
        <v>2551.8510000000001</v>
      </c>
      <c r="AG89" s="3" t="s">
        <v>36</v>
      </c>
      <c r="AH89" s="165">
        <v>3.2429999999999998E-3</v>
      </c>
      <c r="AI89" s="165">
        <v>8.2340247290203106E-3</v>
      </c>
      <c r="AJ89" s="165">
        <v>9.95265264044848E-4</v>
      </c>
    </row>
    <row r="90" spans="1:36">
      <c r="A90" s="3">
        <v>288</v>
      </c>
      <c r="B90" s="3">
        <v>288</v>
      </c>
      <c r="C90" s="3" t="s">
        <v>527</v>
      </c>
      <c r="D90" s="3" t="s">
        <v>528</v>
      </c>
      <c r="E90" s="5" t="s">
        <v>147</v>
      </c>
      <c r="F90" s="3" t="s">
        <v>537</v>
      </c>
      <c r="G90" s="3" t="s">
        <v>538</v>
      </c>
      <c r="H90" s="3" t="s">
        <v>150</v>
      </c>
      <c r="I90" s="3" t="s">
        <v>183</v>
      </c>
      <c r="J90" s="3" t="s">
        <v>30</v>
      </c>
      <c r="K90" s="3" t="s">
        <v>30</v>
      </c>
      <c r="L90" s="3" t="s">
        <v>152</v>
      </c>
      <c r="M90" s="3" t="s">
        <v>41</v>
      </c>
      <c r="N90" s="3" t="s">
        <v>193</v>
      </c>
      <c r="O90" s="3" t="s">
        <v>154</v>
      </c>
      <c r="P90" s="3" t="s">
        <v>185</v>
      </c>
      <c r="Q90" s="3" t="s">
        <v>156</v>
      </c>
      <c r="R90" s="3" t="s">
        <v>157</v>
      </c>
      <c r="S90" s="3" t="s">
        <v>44</v>
      </c>
      <c r="T90" s="154">
        <v>3.0470000000000002</v>
      </c>
      <c r="U90" s="3" t="s">
        <v>536</v>
      </c>
      <c r="V90" s="165">
        <v>2.1999999999999999E-2</v>
      </c>
      <c r="W90" s="165">
        <v>2.912E-2</v>
      </c>
      <c r="X90" s="5" t="s">
        <v>159</v>
      </c>
      <c r="Y90" s="5" t="s">
        <v>154</v>
      </c>
      <c r="Z90" s="154">
        <v>1538461.78</v>
      </c>
      <c r="AA90" s="163">
        <v>1</v>
      </c>
      <c r="AB90" s="173">
        <v>107.59</v>
      </c>
      <c r="AD90" s="154">
        <v>1655.231</v>
      </c>
      <c r="AG90" s="3" t="s">
        <v>36</v>
      </c>
      <c r="AH90" s="165">
        <v>2.062E-3</v>
      </c>
      <c r="AI90" s="165">
        <v>5.3409132095237899E-3</v>
      </c>
      <c r="AJ90" s="165">
        <v>6.4556830598075702E-4</v>
      </c>
    </row>
    <row r="91" spans="1:36">
      <c r="A91" s="3">
        <v>288</v>
      </c>
      <c r="B91" s="3">
        <v>288</v>
      </c>
      <c r="C91" s="3" t="s">
        <v>539</v>
      </c>
      <c r="D91" s="3" t="s">
        <v>540</v>
      </c>
      <c r="E91" s="5" t="s">
        <v>147</v>
      </c>
      <c r="F91" s="3" t="s">
        <v>541</v>
      </c>
      <c r="G91" s="3" t="s">
        <v>542</v>
      </c>
      <c r="H91" s="3" t="s">
        <v>150</v>
      </c>
      <c r="I91" s="3" t="s">
        <v>151</v>
      </c>
      <c r="J91" s="3" t="s">
        <v>30</v>
      </c>
      <c r="K91" s="3" t="s">
        <v>30</v>
      </c>
      <c r="L91" s="3" t="s">
        <v>152</v>
      </c>
      <c r="M91" s="3" t="s">
        <v>41</v>
      </c>
      <c r="N91" s="3" t="s">
        <v>335</v>
      </c>
      <c r="O91" s="3" t="s">
        <v>154</v>
      </c>
      <c r="P91" s="3" t="s">
        <v>383</v>
      </c>
      <c r="Q91" s="3" t="s">
        <v>169</v>
      </c>
      <c r="R91" s="3" t="s">
        <v>157</v>
      </c>
      <c r="S91" s="3" t="s">
        <v>44</v>
      </c>
      <c r="T91" s="154">
        <v>2.343</v>
      </c>
      <c r="U91" s="3" t="s">
        <v>543</v>
      </c>
      <c r="V91" s="165">
        <v>4.6899999999999997E-2</v>
      </c>
      <c r="W91" s="165">
        <v>5.8500000000000003E-2</v>
      </c>
      <c r="X91" s="5" t="s">
        <v>159</v>
      </c>
      <c r="Y91" s="5" t="s">
        <v>154</v>
      </c>
      <c r="Z91" s="154">
        <v>4346456.58</v>
      </c>
      <c r="AA91" s="163">
        <v>1</v>
      </c>
      <c r="AB91" s="173">
        <v>91.73</v>
      </c>
      <c r="AD91" s="154">
        <v>3987.0050000000001</v>
      </c>
      <c r="AG91" s="3" t="s">
        <v>36</v>
      </c>
      <c r="AH91" s="165">
        <v>3.2169999999999998E-3</v>
      </c>
      <c r="AI91" s="165">
        <v>1.28648178238885E-2</v>
      </c>
      <c r="AJ91" s="165">
        <v>1.5549997394657599E-3</v>
      </c>
    </row>
    <row r="92" spans="1:36">
      <c r="A92" s="3">
        <v>288</v>
      </c>
      <c r="B92" s="3">
        <v>288</v>
      </c>
      <c r="C92" s="3" t="s">
        <v>544</v>
      </c>
      <c r="D92" s="3" t="s">
        <v>545</v>
      </c>
      <c r="E92" s="5" t="s">
        <v>147</v>
      </c>
      <c r="F92" s="3" t="s">
        <v>546</v>
      </c>
      <c r="G92" s="3" t="s">
        <v>547</v>
      </c>
      <c r="H92" s="3" t="s">
        <v>150</v>
      </c>
      <c r="I92" s="3" t="s">
        <v>183</v>
      </c>
      <c r="J92" s="3" t="s">
        <v>30</v>
      </c>
      <c r="K92" s="3" t="s">
        <v>30</v>
      </c>
      <c r="L92" s="3" t="s">
        <v>152</v>
      </c>
      <c r="M92" s="3" t="s">
        <v>41</v>
      </c>
      <c r="N92" s="3" t="s">
        <v>548</v>
      </c>
      <c r="O92" s="3" t="s">
        <v>154</v>
      </c>
      <c r="P92" s="3" t="s">
        <v>199</v>
      </c>
      <c r="Q92" s="3" t="s">
        <v>156</v>
      </c>
      <c r="R92" s="3" t="s">
        <v>157</v>
      </c>
      <c r="S92" s="3" t="s">
        <v>44</v>
      </c>
      <c r="T92" s="154">
        <v>4.7809999999999997</v>
      </c>
      <c r="U92" s="3" t="s">
        <v>549</v>
      </c>
      <c r="V92" s="165">
        <v>5.1499999999999997E-2</v>
      </c>
      <c r="W92" s="165">
        <v>4.1050000000000003E-2</v>
      </c>
      <c r="X92" s="5" t="s">
        <v>159</v>
      </c>
      <c r="Y92" s="5" t="s">
        <v>154</v>
      </c>
      <c r="Z92" s="154">
        <v>1697717.12</v>
      </c>
      <c r="AA92" s="163">
        <v>1</v>
      </c>
      <c r="AB92" s="173">
        <v>153.07</v>
      </c>
      <c r="AD92" s="154">
        <v>2598.6959999999999</v>
      </c>
      <c r="AG92" s="3" t="s">
        <v>36</v>
      </c>
      <c r="AH92" s="165">
        <v>8.8500000000000004E-4</v>
      </c>
      <c r="AI92" s="165">
        <v>8.3851784977205003E-3</v>
      </c>
      <c r="AJ92" s="165">
        <v>1.0135355632566699E-3</v>
      </c>
    </row>
    <row r="93" spans="1:36">
      <c r="A93" s="3">
        <v>288</v>
      </c>
      <c r="B93" s="3">
        <v>288</v>
      </c>
      <c r="C93" s="3" t="s">
        <v>550</v>
      </c>
      <c r="D93" s="3" t="s">
        <v>551</v>
      </c>
      <c r="E93" s="5" t="s">
        <v>147</v>
      </c>
      <c r="F93" s="3" t="s">
        <v>552</v>
      </c>
      <c r="G93" s="3" t="s">
        <v>553</v>
      </c>
      <c r="H93" s="3" t="s">
        <v>150</v>
      </c>
      <c r="I93" s="3" t="s">
        <v>165</v>
      </c>
      <c r="J93" s="3" t="s">
        <v>30</v>
      </c>
      <c r="K93" s="3" t="s">
        <v>30</v>
      </c>
      <c r="L93" s="3" t="s">
        <v>152</v>
      </c>
      <c r="M93" s="3" t="s">
        <v>41</v>
      </c>
      <c r="N93" s="3" t="s">
        <v>554</v>
      </c>
      <c r="O93" s="3" t="s">
        <v>154</v>
      </c>
      <c r="P93" s="3" t="s">
        <v>457</v>
      </c>
      <c r="Q93" s="3" t="s">
        <v>156</v>
      </c>
      <c r="R93" s="3" t="s">
        <v>157</v>
      </c>
      <c r="S93" s="3" t="s">
        <v>44</v>
      </c>
      <c r="T93" s="154">
        <v>2.1579999999999999</v>
      </c>
      <c r="U93" s="3" t="s">
        <v>447</v>
      </c>
      <c r="V93" s="165">
        <v>1.0800000000000001E-2</v>
      </c>
      <c r="W93" s="165">
        <v>4.5100000000000001E-2</v>
      </c>
      <c r="X93" s="5" t="s">
        <v>159</v>
      </c>
      <c r="Y93" s="5" t="s">
        <v>154</v>
      </c>
      <c r="Z93" s="154">
        <v>840475.42</v>
      </c>
      <c r="AA93" s="163">
        <v>1</v>
      </c>
      <c r="AB93" s="173">
        <v>93.26</v>
      </c>
      <c r="AD93" s="154">
        <v>783.827</v>
      </c>
      <c r="AG93" s="3" t="s">
        <v>36</v>
      </c>
      <c r="AH93" s="165">
        <v>1.121E-3</v>
      </c>
      <c r="AI93" s="165">
        <v>2.5291659693160002E-3</v>
      </c>
      <c r="AJ93" s="165">
        <v>3.0570603308887901E-4</v>
      </c>
    </row>
    <row r="94" spans="1:36">
      <c r="A94" s="3">
        <v>288</v>
      </c>
      <c r="B94" s="3">
        <v>288</v>
      </c>
      <c r="C94" s="3" t="s">
        <v>555</v>
      </c>
      <c r="D94" s="3" t="s">
        <v>556</v>
      </c>
      <c r="E94" s="5" t="s">
        <v>147</v>
      </c>
      <c r="F94" s="3" t="s">
        <v>557</v>
      </c>
      <c r="G94" s="3" t="s">
        <v>558</v>
      </c>
      <c r="H94" s="3" t="s">
        <v>150</v>
      </c>
      <c r="I94" s="3" t="s">
        <v>165</v>
      </c>
      <c r="J94" s="3" t="s">
        <v>30</v>
      </c>
      <c r="K94" s="3" t="s">
        <v>30</v>
      </c>
      <c r="L94" s="3" t="s">
        <v>152</v>
      </c>
      <c r="M94" s="3" t="s">
        <v>41</v>
      </c>
      <c r="N94" s="3" t="s">
        <v>193</v>
      </c>
      <c r="O94" s="3" t="s">
        <v>154</v>
      </c>
      <c r="P94" s="3" t="s">
        <v>155</v>
      </c>
      <c r="Q94" s="3" t="s">
        <v>156</v>
      </c>
      <c r="R94" s="3" t="s">
        <v>157</v>
      </c>
      <c r="S94" s="3" t="s">
        <v>44</v>
      </c>
      <c r="T94" s="154">
        <v>3.1190000000000002</v>
      </c>
      <c r="U94" s="3" t="s">
        <v>559</v>
      </c>
      <c r="V94" s="165">
        <v>5.45E-2</v>
      </c>
      <c r="W94" s="165">
        <v>5.3159999999999999E-2</v>
      </c>
      <c r="X94" s="5" t="s">
        <v>159</v>
      </c>
      <c r="Y94" s="5" t="s">
        <v>154</v>
      </c>
      <c r="Z94" s="154">
        <v>1590322.8</v>
      </c>
      <c r="AA94" s="163">
        <v>1</v>
      </c>
      <c r="AB94" s="173">
        <v>101.88</v>
      </c>
      <c r="AD94" s="154">
        <v>1620.221</v>
      </c>
      <c r="AG94" s="3" t="s">
        <v>36</v>
      </c>
      <c r="AH94" s="165">
        <v>2.5170000000000001E-3</v>
      </c>
      <c r="AI94" s="165">
        <v>5.2279463636929098E-3</v>
      </c>
      <c r="AJ94" s="165">
        <v>6.3191374683813995E-4</v>
      </c>
    </row>
    <row r="95" spans="1:36">
      <c r="A95" s="3">
        <v>288</v>
      </c>
      <c r="B95" s="3">
        <v>288</v>
      </c>
      <c r="C95" s="3" t="s">
        <v>560</v>
      </c>
      <c r="D95" s="3" t="s">
        <v>561</v>
      </c>
      <c r="E95" s="5" t="s">
        <v>147</v>
      </c>
      <c r="F95" s="3" t="s">
        <v>562</v>
      </c>
      <c r="G95" s="3" t="s">
        <v>563</v>
      </c>
      <c r="H95" s="3" t="s">
        <v>150</v>
      </c>
      <c r="I95" s="3" t="s">
        <v>165</v>
      </c>
      <c r="J95" s="3" t="s">
        <v>30</v>
      </c>
      <c r="K95" s="3" t="s">
        <v>30</v>
      </c>
      <c r="L95" s="3" t="s">
        <v>152</v>
      </c>
      <c r="M95" s="3" t="s">
        <v>41</v>
      </c>
      <c r="N95" s="3" t="s">
        <v>208</v>
      </c>
      <c r="O95" s="3" t="s">
        <v>154</v>
      </c>
      <c r="P95" s="3" t="s">
        <v>199</v>
      </c>
      <c r="Q95" s="3" t="s">
        <v>156</v>
      </c>
      <c r="R95" s="3" t="s">
        <v>157</v>
      </c>
      <c r="S95" s="3" t="s">
        <v>44</v>
      </c>
      <c r="T95" s="154">
        <v>3.012</v>
      </c>
      <c r="U95" s="3" t="s">
        <v>495</v>
      </c>
      <c r="V95" s="165">
        <v>5.5E-2</v>
      </c>
      <c r="W95" s="165">
        <v>4.956E-2</v>
      </c>
      <c r="X95" s="5" t="s">
        <v>159</v>
      </c>
      <c r="Y95" s="5" t="s">
        <v>154</v>
      </c>
      <c r="Z95" s="154">
        <v>2000000</v>
      </c>
      <c r="AA95" s="163">
        <v>1</v>
      </c>
      <c r="AB95" s="173">
        <v>103.26</v>
      </c>
      <c r="AD95" s="154">
        <v>2065.1999999999998</v>
      </c>
      <c r="AG95" s="3" t="s">
        <v>36</v>
      </c>
      <c r="AH95" s="165">
        <v>2.4859999999999999E-3</v>
      </c>
      <c r="AI95" s="165">
        <v>6.6637549480283598E-3</v>
      </c>
      <c r="AJ95" s="165">
        <v>8.0546319037697403E-4</v>
      </c>
    </row>
    <row r="96" spans="1:36">
      <c r="A96" s="3">
        <v>288</v>
      </c>
      <c r="B96" s="3">
        <v>288</v>
      </c>
      <c r="C96" s="3" t="s">
        <v>195</v>
      </c>
      <c r="D96" s="3" t="s">
        <v>196</v>
      </c>
      <c r="E96" s="5" t="s">
        <v>147</v>
      </c>
      <c r="F96" s="3" t="s">
        <v>201</v>
      </c>
      <c r="G96" s="3" t="s">
        <v>202</v>
      </c>
      <c r="H96" s="3" t="s">
        <v>150</v>
      </c>
      <c r="I96" s="3" t="s">
        <v>165</v>
      </c>
      <c r="J96" s="3" t="s">
        <v>30</v>
      </c>
      <c r="K96" s="3" t="s">
        <v>30</v>
      </c>
      <c r="L96" s="3" t="s">
        <v>152</v>
      </c>
      <c r="M96" s="3" t="s">
        <v>41</v>
      </c>
      <c r="N96" s="3" t="s">
        <v>184</v>
      </c>
      <c r="O96" s="3" t="s">
        <v>154</v>
      </c>
      <c r="P96" s="3" t="s">
        <v>199</v>
      </c>
      <c r="Q96" s="3" t="s">
        <v>156</v>
      </c>
      <c r="R96" s="3" t="s">
        <v>157</v>
      </c>
      <c r="S96" s="3" t="s">
        <v>44</v>
      </c>
      <c r="T96" s="154">
        <v>3.4430000000000001</v>
      </c>
      <c r="U96" s="3" t="s">
        <v>203</v>
      </c>
      <c r="V96" s="165">
        <v>2.41E-2</v>
      </c>
      <c r="W96" s="165">
        <v>4.8230000000000002E-2</v>
      </c>
      <c r="X96" s="5" t="s">
        <v>159</v>
      </c>
      <c r="Y96" s="5" t="s">
        <v>154</v>
      </c>
      <c r="Z96" s="154">
        <v>2400000</v>
      </c>
      <c r="AA96" s="163">
        <v>1</v>
      </c>
      <c r="AB96" s="173">
        <v>93.59</v>
      </c>
      <c r="AD96" s="154">
        <v>2246.16</v>
      </c>
      <c r="AG96" s="3" t="s">
        <v>36</v>
      </c>
      <c r="AH96" s="165">
        <v>1.168E-3</v>
      </c>
      <c r="AI96" s="165">
        <v>7.2476563112838397E-3</v>
      </c>
      <c r="AJ96" s="165">
        <v>8.7604067388008197E-4</v>
      </c>
    </row>
    <row r="97" spans="1:36">
      <c r="A97" s="3">
        <v>288</v>
      </c>
      <c r="B97" s="3">
        <v>288</v>
      </c>
      <c r="C97" s="3" t="s">
        <v>195</v>
      </c>
      <c r="D97" s="3" t="s">
        <v>196</v>
      </c>
      <c r="E97" s="5" t="s">
        <v>147</v>
      </c>
      <c r="F97" s="3" t="s">
        <v>564</v>
      </c>
      <c r="G97" s="3" t="s">
        <v>565</v>
      </c>
      <c r="H97" s="3" t="s">
        <v>150</v>
      </c>
      <c r="I97" s="3" t="s">
        <v>165</v>
      </c>
      <c r="J97" s="3" t="s">
        <v>30</v>
      </c>
      <c r="K97" s="3" t="s">
        <v>30</v>
      </c>
      <c r="L97" s="3" t="s">
        <v>152</v>
      </c>
      <c r="M97" s="3" t="s">
        <v>41</v>
      </c>
      <c r="N97" s="3" t="s">
        <v>184</v>
      </c>
      <c r="O97" s="3" t="s">
        <v>154</v>
      </c>
      <c r="P97" s="3" t="s">
        <v>199</v>
      </c>
      <c r="Q97" s="3" t="s">
        <v>156</v>
      </c>
      <c r="R97" s="3" t="s">
        <v>157</v>
      </c>
      <c r="S97" s="3" t="s">
        <v>44</v>
      </c>
      <c r="T97" s="154">
        <v>5.6870000000000003</v>
      </c>
      <c r="U97" s="3" t="s">
        <v>200</v>
      </c>
      <c r="V97" s="165">
        <v>4.9399999999999999E-2</v>
      </c>
      <c r="W97" s="165">
        <v>5.142E-2</v>
      </c>
      <c r="X97" s="5" t="s">
        <v>159</v>
      </c>
      <c r="Y97" s="5" t="s">
        <v>154</v>
      </c>
      <c r="Z97" s="154">
        <v>1500000</v>
      </c>
      <c r="AA97" s="163">
        <v>1</v>
      </c>
      <c r="AB97" s="173">
        <v>101.81</v>
      </c>
      <c r="AD97" s="154">
        <v>1527.15</v>
      </c>
      <c r="AG97" s="3" t="s">
        <v>36</v>
      </c>
      <c r="AH97" s="165">
        <v>8.0599999999999997E-4</v>
      </c>
      <c r="AI97" s="165">
        <v>4.9276357587069103E-3</v>
      </c>
      <c r="AJ97" s="165">
        <v>5.9561452216937703E-4</v>
      </c>
    </row>
    <row r="98" spans="1:36">
      <c r="A98" s="3">
        <v>288</v>
      </c>
      <c r="B98" s="3">
        <v>288</v>
      </c>
      <c r="C98" s="3" t="s">
        <v>210</v>
      </c>
      <c r="D98" s="3" t="s">
        <v>211</v>
      </c>
      <c r="E98" s="5" t="s">
        <v>147</v>
      </c>
      <c r="F98" s="3" t="s">
        <v>566</v>
      </c>
      <c r="G98" s="3" t="s">
        <v>567</v>
      </c>
      <c r="H98" s="3" t="s">
        <v>150</v>
      </c>
      <c r="I98" s="3" t="s">
        <v>183</v>
      </c>
      <c r="J98" s="3" t="s">
        <v>30</v>
      </c>
      <c r="K98" s="3" t="s">
        <v>30</v>
      </c>
      <c r="L98" s="3" t="s">
        <v>152</v>
      </c>
      <c r="M98" s="3" t="s">
        <v>41</v>
      </c>
      <c r="N98" s="3" t="s">
        <v>184</v>
      </c>
      <c r="O98" s="3" t="s">
        <v>154</v>
      </c>
      <c r="P98" s="3" t="s">
        <v>185</v>
      </c>
      <c r="Q98" s="3" t="s">
        <v>156</v>
      </c>
      <c r="R98" s="3" t="s">
        <v>157</v>
      </c>
      <c r="S98" s="3" t="s">
        <v>44</v>
      </c>
      <c r="T98" s="154">
        <v>2.6160000000000001</v>
      </c>
      <c r="U98" s="3" t="s">
        <v>568</v>
      </c>
      <c r="V98" s="165">
        <v>1.14E-2</v>
      </c>
      <c r="W98" s="165">
        <v>2.895E-2</v>
      </c>
      <c r="X98" s="5" t="s">
        <v>159</v>
      </c>
      <c r="Y98" s="5" t="s">
        <v>154</v>
      </c>
      <c r="Z98" s="154">
        <v>2250000</v>
      </c>
      <c r="AA98" s="163">
        <v>1</v>
      </c>
      <c r="AB98" s="173">
        <v>111.73</v>
      </c>
      <c r="AC98" s="154">
        <v>325.517</v>
      </c>
      <c r="AD98" s="154">
        <v>2839.442</v>
      </c>
      <c r="AG98" s="3" t="s">
        <v>36</v>
      </c>
      <c r="AH98" s="165">
        <v>9.5200000000000005E-4</v>
      </c>
      <c r="AI98" s="165">
        <v>9.1619905796048902E-3</v>
      </c>
      <c r="AJ98" s="165">
        <v>1.1074306033171E-3</v>
      </c>
    </row>
    <row r="99" spans="1:36">
      <c r="A99" s="3">
        <v>288</v>
      </c>
      <c r="B99" s="3">
        <v>288</v>
      </c>
      <c r="C99" s="3" t="s">
        <v>210</v>
      </c>
      <c r="D99" s="3" t="s">
        <v>211</v>
      </c>
      <c r="E99" s="5" t="s">
        <v>147</v>
      </c>
      <c r="F99" s="3" t="s">
        <v>569</v>
      </c>
      <c r="G99" s="3" t="s">
        <v>570</v>
      </c>
      <c r="H99" s="3" t="s">
        <v>150</v>
      </c>
      <c r="I99" s="3" t="s">
        <v>165</v>
      </c>
      <c r="J99" s="3" t="s">
        <v>30</v>
      </c>
      <c r="K99" s="3" t="s">
        <v>30</v>
      </c>
      <c r="L99" s="3" t="s">
        <v>152</v>
      </c>
      <c r="M99" s="3" t="s">
        <v>41</v>
      </c>
      <c r="N99" s="3" t="s">
        <v>184</v>
      </c>
      <c r="O99" s="3" t="s">
        <v>154</v>
      </c>
      <c r="P99" s="3" t="s">
        <v>185</v>
      </c>
      <c r="Q99" s="3" t="s">
        <v>156</v>
      </c>
      <c r="R99" s="3" t="s">
        <v>157</v>
      </c>
      <c r="S99" s="3" t="s">
        <v>44</v>
      </c>
      <c r="T99" s="154">
        <v>4.4089999999999998</v>
      </c>
      <c r="U99" s="3" t="s">
        <v>217</v>
      </c>
      <c r="V99" s="165">
        <v>2.4400000000000002E-2</v>
      </c>
      <c r="W99" s="165">
        <v>4.6960000000000002E-2</v>
      </c>
      <c r="X99" s="5" t="s">
        <v>159</v>
      </c>
      <c r="Y99" s="5" t="s">
        <v>154</v>
      </c>
      <c r="Z99" s="154">
        <v>2356000</v>
      </c>
      <c r="AA99" s="163">
        <v>1</v>
      </c>
      <c r="AB99" s="173">
        <v>92.45</v>
      </c>
      <c r="AD99" s="154">
        <v>2178.1219999999998</v>
      </c>
      <c r="AG99" s="3" t="s">
        <v>36</v>
      </c>
      <c r="AH99" s="165">
        <v>1.939E-3</v>
      </c>
      <c r="AI99" s="165">
        <v>7.0281189496946596E-3</v>
      </c>
      <c r="AJ99" s="165">
        <v>8.4950469453335103E-4</v>
      </c>
    </row>
    <row r="100" spans="1:36">
      <c r="A100" s="3">
        <v>288</v>
      </c>
      <c r="B100" s="3">
        <v>288</v>
      </c>
      <c r="C100" s="3" t="s">
        <v>210</v>
      </c>
      <c r="D100" s="3" t="s">
        <v>211</v>
      </c>
      <c r="E100" s="5" t="s">
        <v>147</v>
      </c>
      <c r="F100" s="3" t="s">
        <v>215</v>
      </c>
      <c r="G100" s="3" t="s">
        <v>216</v>
      </c>
      <c r="H100" s="3" t="s">
        <v>150</v>
      </c>
      <c r="I100" s="3" t="s">
        <v>183</v>
      </c>
      <c r="J100" s="3" t="s">
        <v>30</v>
      </c>
      <c r="K100" s="3" t="s">
        <v>30</v>
      </c>
      <c r="L100" s="3" t="s">
        <v>152</v>
      </c>
      <c r="M100" s="3" t="s">
        <v>41</v>
      </c>
      <c r="N100" s="3" t="s">
        <v>184</v>
      </c>
      <c r="O100" s="3" t="s">
        <v>154</v>
      </c>
      <c r="P100" s="3" t="s">
        <v>185</v>
      </c>
      <c r="Q100" s="3" t="s">
        <v>156</v>
      </c>
      <c r="R100" s="3" t="s">
        <v>157</v>
      </c>
      <c r="S100" s="3" t="s">
        <v>44</v>
      </c>
      <c r="T100" s="154">
        <v>4.6059999999999999</v>
      </c>
      <c r="U100" s="3" t="s">
        <v>217</v>
      </c>
      <c r="V100" s="165">
        <v>9.1999999999999998E-3</v>
      </c>
      <c r="W100" s="165">
        <v>2.8729999999999999E-2</v>
      </c>
      <c r="X100" s="5" t="s">
        <v>159</v>
      </c>
      <c r="Y100" s="5" t="s">
        <v>154</v>
      </c>
      <c r="Z100" s="154">
        <v>1100000</v>
      </c>
      <c r="AA100" s="163">
        <v>1</v>
      </c>
      <c r="AB100" s="173">
        <v>109.54</v>
      </c>
      <c r="AD100" s="154">
        <v>1204.94</v>
      </c>
      <c r="AG100" s="3" t="s">
        <v>36</v>
      </c>
      <c r="AH100" s="165">
        <v>4.2499999999999998E-4</v>
      </c>
      <c r="AI100" s="165">
        <v>3.8879647913409301E-3</v>
      </c>
      <c r="AJ100" s="165">
        <v>4.6994713180942797E-4</v>
      </c>
    </row>
    <row r="101" spans="1:36">
      <c r="A101" s="3">
        <v>288</v>
      </c>
      <c r="B101" s="3">
        <v>288</v>
      </c>
      <c r="C101" s="3" t="s">
        <v>571</v>
      </c>
      <c r="D101" s="3" t="s">
        <v>572</v>
      </c>
      <c r="E101" s="5" t="s">
        <v>147</v>
      </c>
      <c r="F101" s="3" t="s">
        <v>573</v>
      </c>
      <c r="G101" s="3" t="s">
        <v>574</v>
      </c>
      <c r="H101" s="3" t="s">
        <v>150</v>
      </c>
      <c r="I101" s="3" t="s">
        <v>183</v>
      </c>
      <c r="J101" s="3" t="s">
        <v>30</v>
      </c>
      <c r="K101" s="3" t="s">
        <v>30</v>
      </c>
      <c r="L101" s="3" t="s">
        <v>152</v>
      </c>
      <c r="M101" s="3" t="s">
        <v>41</v>
      </c>
      <c r="N101" s="3" t="s">
        <v>167</v>
      </c>
      <c r="O101" s="3" t="s">
        <v>154</v>
      </c>
      <c r="P101" s="3" t="s">
        <v>155</v>
      </c>
      <c r="Q101" s="3" t="s">
        <v>156</v>
      </c>
      <c r="R101" s="3" t="s">
        <v>157</v>
      </c>
      <c r="S101" s="3" t="s">
        <v>44</v>
      </c>
      <c r="T101" s="154">
        <v>3.1709999999999998</v>
      </c>
      <c r="U101" s="3" t="s">
        <v>447</v>
      </c>
      <c r="V101" s="165">
        <v>1.09E-2</v>
      </c>
      <c r="W101" s="165">
        <v>3.092E-2</v>
      </c>
      <c r="X101" s="5" t="s">
        <v>159</v>
      </c>
      <c r="Y101" s="5" t="s">
        <v>154</v>
      </c>
      <c r="Z101" s="154">
        <v>1500000</v>
      </c>
      <c r="AA101" s="163">
        <v>1</v>
      </c>
      <c r="AB101" s="173">
        <v>110.26</v>
      </c>
      <c r="AD101" s="154">
        <v>1653.9</v>
      </c>
      <c r="AG101" s="3" t="s">
        <v>36</v>
      </c>
      <c r="AH101" s="165">
        <v>2.1080000000000001E-3</v>
      </c>
      <c r="AI101" s="165">
        <v>5.3366183946078399E-3</v>
      </c>
      <c r="AJ101" s="165">
        <v>6.4504918195064799E-4</v>
      </c>
    </row>
    <row r="102" spans="1:36">
      <c r="A102" s="3">
        <v>288</v>
      </c>
      <c r="B102" s="3">
        <v>288</v>
      </c>
      <c r="C102" s="3" t="s">
        <v>179</v>
      </c>
      <c r="D102" s="3" t="s">
        <v>180</v>
      </c>
      <c r="E102" s="5" t="s">
        <v>147</v>
      </c>
      <c r="F102" s="3" t="s">
        <v>575</v>
      </c>
      <c r="G102" s="3" t="s">
        <v>576</v>
      </c>
      <c r="H102" s="3" t="s">
        <v>150</v>
      </c>
      <c r="I102" s="3" t="s">
        <v>183</v>
      </c>
      <c r="J102" s="3" t="s">
        <v>30</v>
      </c>
      <c r="K102" s="3" t="s">
        <v>30</v>
      </c>
      <c r="L102" s="3" t="s">
        <v>152</v>
      </c>
      <c r="M102" s="3" t="s">
        <v>41</v>
      </c>
      <c r="N102" s="3" t="s">
        <v>184</v>
      </c>
      <c r="O102" s="3" t="s">
        <v>154</v>
      </c>
      <c r="P102" s="3" t="s">
        <v>185</v>
      </c>
      <c r="Q102" s="3" t="s">
        <v>156</v>
      </c>
      <c r="R102" s="3" t="s">
        <v>157</v>
      </c>
      <c r="S102" s="3" t="s">
        <v>44</v>
      </c>
      <c r="T102" s="154">
        <v>6.952</v>
      </c>
      <c r="U102" s="3" t="s">
        <v>577</v>
      </c>
      <c r="V102" s="165">
        <v>3.5999999999999997E-2</v>
      </c>
      <c r="W102" s="165">
        <v>2.989E-2</v>
      </c>
      <c r="X102" s="5" t="s">
        <v>159</v>
      </c>
      <c r="Y102" s="5" t="s">
        <v>154</v>
      </c>
      <c r="Z102" s="154">
        <v>3700000</v>
      </c>
      <c r="AA102" s="163">
        <v>1</v>
      </c>
      <c r="AB102" s="173">
        <v>109.05</v>
      </c>
      <c r="AD102" s="154">
        <v>4034.85</v>
      </c>
      <c r="AG102" s="3" t="s">
        <v>36</v>
      </c>
      <c r="AH102" s="165">
        <v>4.228E-3</v>
      </c>
      <c r="AI102" s="165">
        <v>1.30191999089929E-2</v>
      </c>
      <c r="AJ102" s="165">
        <v>1.5736602526111401E-3</v>
      </c>
    </row>
    <row r="103" spans="1:36">
      <c r="A103" s="3">
        <v>288</v>
      </c>
      <c r="B103" s="3">
        <v>288</v>
      </c>
      <c r="C103" s="3" t="s">
        <v>242</v>
      </c>
      <c r="D103" s="3" t="s">
        <v>243</v>
      </c>
      <c r="E103" s="5" t="s">
        <v>147</v>
      </c>
      <c r="F103" s="3" t="s">
        <v>578</v>
      </c>
      <c r="G103" s="3" t="s">
        <v>579</v>
      </c>
      <c r="H103" s="3" t="s">
        <v>150</v>
      </c>
      <c r="I103" s="3" t="s">
        <v>183</v>
      </c>
      <c r="J103" s="3" t="s">
        <v>30</v>
      </c>
      <c r="K103" s="3" t="s">
        <v>30</v>
      </c>
      <c r="L103" s="3" t="s">
        <v>152</v>
      </c>
      <c r="M103" s="3" t="s">
        <v>41</v>
      </c>
      <c r="N103" s="3" t="s">
        <v>184</v>
      </c>
      <c r="O103" s="3" t="s">
        <v>154</v>
      </c>
      <c r="P103" s="3" t="s">
        <v>185</v>
      </c>
      <c r="Q103" s="3" t="s">
        <v>156</v>
      </c>
      <c r="R103" s="3" t="s">
        <v>157</v>
      </c>
      <c r="S103" s="3" t="s">
        <v>44</v>
      </c>
      <c r="T103" s="154">
        <v>4.4619999999999997</v>
      </c>
      <c r="U103" s="3" t="s">
        <v>580</v>
      </c>
      <c r="V103" s="165">
        <v>2.5999999999999999E-2</v>
      </c>
      <c r="W103" s="165">
        <v>2.7699999999999999E-2</v>
      </c>
      <c r="X103" s="5" t="s">
        <v>159</v>
      </c>
      <c r="Y103" s="5" t="s">
        <v>154</v>
      </c>
      <c r="Z103" s="154">
        <v>2804000</v>
      </c>
      <c r="AA103" s="163">
        <v>1</v>
      </c>
      <c r="AB103" s="173">
        <v>106.48</v>
      </c>
      <c r="AD103" s="154">
        <v>2985.6990000000001</v>
      </c>
      <c r="AG103" s="3" t="s">
        <v>36</v>
      </c>
      <c r="AH103" s="165">
        <v>5.2310000000000004E-3</v>
      </c>
      <c r="AI103" s="165">
        <v>9.6339181761206198E-3</v>
      </c>
      <c r="AJ103" s="165">
        <v>1.1644735634020801E-3</v>
      </c>
    </row>
    <row r="104" spans="1:36">
      <c r="A104" s="3">
        <v>288</v>
      </c>
      <c r="B104" s="3">
        <v>288</v>
      </c>
      <c r="C104" s="3" t="s">
        <v>242</v>
      </c>
      <c r="D104" s="3" t="s">
        <v>243</v>
      </c>
      <c r="E104" s="5" t="s">
        <v>147</v>
      </c>
      <c r="F104" s="3" t="s">
        <v>581</v>
      </c>
      <c r="G104" s="3" t="s">
        <v>582</v>
      </c>
      <c r="H104" s="3" t="s">
        <v>150</v>
      </c>
      <c r="I104" s="3" t="s">
        <v>183</v>
      </c>
      <c r="J104" s="3" t="s">
        <v>30</v>
      </c>
      <c r="K104" s="3" t="s">
        <v>30</v>
      </c>
      <c r="L104" s="3" t="s">
        <v>152</v>
      </c>
      <c r="M104" s="3" t="s">
        <v>41</v>
      </c>
      <c r="N104" s="3" t="s">
        <v>184</v>
      </c>
      <c r="O104" s="3" t="s">
        <v>154</v>
      </c>
      <c r="P104" s="3" t="s">
        <v>442</v>
      </c>
      <c r="Q104" s="3" t="s">
        <v>169</v>
      </c>
      <c r="R104" s="3" t="s">
        <v>157</v>
      </c>
      <c r="S104" s="3" t="s">
        <v>44</v>
      </c>
      <c r="T104" s="154">
        <v>4.9029999999999996</v>
      </c>
      <c r="U104" s="3" t="s">
        <v>209</v>
      </c>
      <c r="V104" s="165">
        <v>2.7799999999999998E-2</v>
      </c>
      <c r="W104" s="165">
        <v>2.7519999999999999E-2</v>
      </c>
      <c r="X104" s="5" t="s">
        <v>159</v>
      </c>
      <c r="Y104" s="5" t="s">
        <v>154</v>
      </c>
      <c r="Z104" s="154">
        <v>3977000</v>
      </c>
      <c r="AA104" s="163">
        <v>1</v>
      </c>
      <c r="AB104" s="173">
        <v>102.27</v>
      </c>
      <c r="AD104" s="154">
        <v>4067.2779999999998</v>
      </c>
      <c r="AG104" s="3" t="s">
        <v>36</v>
      </c>
      <c r="AH104" s="165">
        <v>1.1594999999999999E-2</v>
      </c>
      <c r="AI104" s="165">
        <v>1.31238346073656E-2</v>
      </c>
      <c r="AJ104" s="165">
        <v>1.5863076861726501E-3</v>
      </c>
    </row>
    <row r="105" spans="1:36">
      <c r="A105" s="3">
        <v>288</v>
      </c>
      <c r="B105" s="3">
        <v>288</v>
      </c>
      <c r="C105" s="3" t="s">
        <v>255</v>
      </c>
      <c r="D105" s="3" t="s">
        <v>256</v>
      </c>
      <c r="E105" s="5" t="s">
        <v>147</v>
      </c>
      <c r="F105" s="3" t="s">
        <v>583</v>
      </c>
      <c r="G105" s="3" t="s">
        <v>584</v>
      </c>
      <c r="H105" s="3" t="s">
        <v>150</v>
      </c>
      <c r="I105" s="3" t="s">
        <v>165</v>
      </c>
      <c r="J105" s="3" t="s">
        <v>30</v>
      </c>
      <c r="K105" s="3" t="s">
        <v>30</v>
      </c>
      <c r="L105" s="3" t="s">
        <v>152</v>
      </c>
      <c r="M105" s="3" t="s">
        <v>41</v>
      </c>
      <c r="N105" s="3" t="s">
        <v>184</v>
      </c>
      <c r="O105" s="3" t="s">
        <v>154</v>
      </c>
      <c r="P105" s="3" t="s">
        <v>185</v>
      </c>
      <c r="Q105" s="3" t="s">
        <v>156</v>
      </c>
      <c r="R105" s="3" t="s">
        <v>157</v>
      </c>
      <c r="S105" s="3" t="s">
        <v>44</v>
      </c>
      <c r="T105" s="154">
        <v>4.5410000000000004</v>
      </c>
      <c r="U105" s="3" t="s">
        <v>526</v>
      </c>
      <c r="V105" s="165">
        <v>2.5499999999999998E-2</v>
      </c>
      <c r="W105" s="165">
        <v>4.9320000000000003E-2</v>
      </c>
      <c r="X105" s="5" t="s">
        <v>159</v>
      </c>
      <c r="Y105" s="5" t="s">
        <v>154</v>
      </c>
      <c r="Z105" s="154">
        <v>2443529.46</v>
      </c>
      <c r="AA105" s="163">
        <v>1</v>
      </c>
      <c r="AB105" s="173">
        <v>90.63</v>
      </c>
      <c r="AD105" s="154">
        <v>2214.5709999999999</v>
      </c>
      <c r="AG105" s="3" t="s">
        <v>36</v>
      </c>
      <c r="AH105" s="165">
        <v>8.7600000000000004E-4</v>
      </c>
      <c r="AI105" s="165">
        <v>7.1457276730546903E-3</v>
      </c>
      <c r="AJ105" s="165">
        <v>8.6372032795212705E-4</v>
      </c>
    </row>
    <row r="106" spans="1:36">
      <c r="A106" s="3">
        <v>288</v>
      </c>
      <c r="B106" s="3">
        <v>288</v>
      </c>
      <c r="C106" s="3" t="s">
        <v>255</v>
      </c>
      <c r="D106" s="3" t="s">
        <v>256</v>
      </c>
      <c r="E106" s="5" t="s">
        <v>147</v>
      </c>
      <c r="F106" s="3" t="s">
        <v>257</v>
      </c>
      <c r="G106" s="3" t="s">
        <v>258</v>
      </c>
      <c r="H106" s="3" t="s">
        <v>150</v>
      </c>
      <c r="I106" s="3" t="s">
        <v>183</v>
      </c>
      <c r="J106" s="3" t="s">
        <v>30</v>
      </c>
      <c r="K106" s="3" t="s">
        <v>30</v>
      </c>
      <c r="L106" s="3" t="s">
        <v>152</v>
      </c>
      <c r="M106" s="3" t="s">
        <v>41</v>
      </c>
      <c r="N106" s="3" t="s">
        <v>184</v>
      </c>
      <c r="O106" s="3" t="s">
        <v>154</v>
      </c>
      <c r="P106" s="3" t="s">
        <v>185</v>
      </c>
      <c r="Q106" s="3" t="s">
        <v>156</v>
      </c>
      <c r="R106" s="3" t="s">
        <v>157</v>
      </c>
      <c r="S106" s="3" t="s">
        <v>44</v>
      </c>
      <c r="T106" s="154">
        <v>3.726</v>
      </c>
      <c r="U106" s="3" t="s">
        <v>259</v>
      </c>
      <c r="V106" s="165">
        <v>5.0000000000000001E-3</v>
      </c>
      <c r="W106" s="165">
        <v>2.9350000000000001E-2</v>
      </c>
      <c r="X106" s="5" t="s">
        <v>159</v>
      </c>
      <c r="Y106" s="5" t="s">
        <v>154</v>
      </c>
      <c r="Z106" s="154">
        <v>898591.54</v>
      </c>
      <c r="AA106" s="163">
        <v>1</v>
      </c>
      <c r="AB106" s="173">
        <v>108.26</v>
      </c>
      <c r="AD106" s="154">
        <v>972.81500000000005</v>
      </c>
      <c r="AG106" s="3" t="s">
        <v>36</v>
      </c>
      <c r="AH106" s="165">
        <v>6.7299999999999999E-4</v>
      </c>
      <c r="AI106" s="165">
        <v>3.13897061327734E-3</v>
      </c>
      <c r="AJ106" s="165">
        <v>3.7941450494334301E-4</v>
      </c>
    </row>
    <row r="107" spans="1:36">
      <c r="A107" s="3">
        <v>288</v>
      </c>
      <c r="B107" s="3">
        <v>288</v>
      </c>
      <c r="C107" s="3" t="s">
        <v>263</v>
      </c>
      <c r="D107" s="3" t="s">
        <v>264</v>
      </c>
      <c r="E107" s="5" t="s">
        <v>147</v>
      </c>
      <c r="F107" s="3" t="s">
        <v>265</v>
      </c>
      <c r="G107" s="3" t="s">
        <v>266</v>
      </c>
      <c r="H107" s="3" t="s">
        <v>150</v>
      </c>
      <c r="I107" s="3" t="s">
        <v>183</v>
      </c>
      <c r="J107" s="3" t="s">
        <v>30</v>
      </c>
      <c r="K107" s="3" t="s">
        <v>267</v>
      </c>
      <c r="L107" s="3" t="s">
        <v>152</v>
      </c>
      <c r="M107" s="3" t="s">
        <v>41</v>
      </c>
      <c r="N107" s="3" t="s">
        <v>167</v>
      </c>
      <c r="O107" s="3" t="s">
        <v>154</v>
      </c>
      <c r="P107" s="3" t="s">
        <v>268</v>
      </c>
      <c r="Q107" s="3" t="s">
        <v>156</v>
      </c>
      <c r="R107" s="3" t="s">
        <v>157</v>
      </c>
      <c r="S107" s="3" t="s">
        <v>44</v>
      </c>
      <c r="T107" s="154">
        <v>1.196</v>
      </c>
      <c r="U107" s="3" t="s">
        <v>269</v>
      </c>
      <c r="V107" s="165">
        <v>0.04</v>
      </c>
      <c r="W107" s="165">
        <v>4.7600000000000003E-2</v>
      </c>
      <c r="X107" s="5" t="s">
        <v>159</v>
      </c>
      <c r="Y107" s="5" t="s">
        <v>154</v>
      </c>
      <c r="Z107" s="154">
        <v>800000.2</v>
      </c>
      <c r="AA107" s="163">
        <v>1</v>
      </c>
      <c r="AB107" s="173">
        <v>118.67</v>
      </c>
      <c r="AD107" s="154">
        <v>949.36</v>
      </c>
      <c r="AG107" s="3" t="s">
        <v>36</v>
      </c>
      <c r="AH107" s="165">
        <v>5.4799999999999998E-4</v>
      </c>
      <c r="AI107" s="165">
        <v>3.0632887754386E-3</v>
      </c>
      <c r="AJ107" s="165">
        <v>3.70266669370966E-4</v>
      </c>
    </row>
    <row r="108" spans="1:36">
      <c r="A108" s="3">
        <v>288</v>
      </c>
      <c r="B108" s="3">
        <v>288</v>
      </c>
      <c r="C108" s="3" t="s">
        <v>278</v>
      </c>
      <c r="D108" s="3" t="s">
        <v>279</v>
      </c>
      <c r="E108" s="5" t="s">
        <v>147</v>
      </c>
      <c r="F108" s="3" t="s">
        <v>280</v>
      </c>
      <c r="G108" s="3" t="s">
        <v>281</v>
      </c>
      <c r="H108" s="3" t="s">
        <v>150</v>
      </c>
      <c r="I108" s="3" t="s">
        <v>183</v>
      </c>
      <c r="J108" s="3" t="s">
        <v>30</v>
      </c>
      <c r="K108" s="3" t="s">
        <v>30</v>
      </c>
      <c r="L108" s="3" t="s">
        <v>152</v>
      </c>
      <c r="M108" s="3" t="s">
        <v>41</v>
      </c>
      <c r="N108" s="3" t="s">
        <v>282</v>
      </c>
      <c r="O108" s="3" t="s">
        <v>154</v>
      </c>
      <c r="P108" s="3" t="s">
        <v>283</v>
      </c>
      <c r="Q108" s="3" t="s">
        <v>156</v>
      </c>
      <c r="R108" s="3" t="s">
        <v>157</v>
      </c>
      <c r="S108" s="3" t="s">
        <v>44</v>
      </c>
      <c r="T108" s="154">
        <v>3.5009999999999999</v>
      </c>
      <c r="U108" s="3" t="s">
        <v>284</v>
      </c>
      <c r="V108" s="165">
        <v>2E-3</v>
      </c>
      <c r="W108" s="165">
        <v>2.5520000000000001E-2</v>
      </c>
      <c r="X108" s="5" t="s">
        <v>159</v>
      </c>
      <c r="Y108" s="5" t="s">
        <v>154</v>
      </c>
      <c r="Z108" s="154">
        <v>1750000</v>
      </c>
      <c r="AA108" s="163">
        <v>1</v>
      </c>
      <c r="AB108" s="173">
        <v>106.62</v>
      </c>
      <c r="AD108" s="154">
        <v>1865.85</v>
      </c>
      <c r="AG108" s="3" t="s">
        <v>36</v>
      </c>
      <c r="AH108" s="165">
        <v>5.5000000000000003E-4</v>
      </c>
      <c r="AI108" s="165">
        <v>6.0205148023332903E-3</v>
      </c>
      <c r="AJ108" s="165">
        <v>7.27713293513886E-4</v>
      </c>
    </row>
    <row r="109" spans="1:36">
      <c r="A109" s="3">
        <v>288</v>
      </c>
      <c r="B109" s="3">
        <v>288</v>
      </c>
      <c r="C109" s="3" t="s">
        <v>278</v>
      </c>
      <c r="D109" s="3" t="s">
        <v>279</v>
      </c>
      <c r="E109" s="5" t="s">
        <v>147</v>
      </c>
      <c r="F109" s="3" t="s">
        <v>285</v>
      </c>
      <c r="G109" s="3" t="s">
        <v>286</v>
      </c>
      <c r="H109" s="3" t="s">
        <v>150</v>
      </c>
      <c r="I109" s="3" t="s">
        <v>183</v>
      </c>
      <c r="J109" s="3" t="s">
        <v>30</v>
      </c>
      <c r="K109" s="3" t="s">
        <v>30</v>
      </c>
      <c r="L109" s="3" t="s">
        <v>152</v>
      </c>
      <c r="M109" s="3" t="s">
        <v>41</v>
      </c>
      <c r="N109" s="3" t="s">
        <v>282</v>
      </c>
      <c r="O109" s="3" t="s">
        <v>154</v>
      </c>
      <c r="P109" s="3" t="s">
        <v>283</v>
      </c>
      <c r="Q109" s="3" t="s">
        <v>156</v>
      </c>
      <c r="R109" s="3" t="s">
        <v>157</v>
      </c>
      <c r="S109" s="3" t="s">
        <v>44</v>
      </c>
      <c r="T109" s="154">
        <v>4.633</v>
      </c>
      <c r="U109" s="3" t="s">
        <v>287</v>
      </c>
      <c r="V109" s="165">
        <v>2.47E-2</v>
      </c>
      <c r="W109" s="165">
        <v>2.5909999999999999E-2</v>
      </c>
      <c r="X109" s="5" t="s">
        <v>159</v>
      </c>
      <c r="Y109" s="5" t="s">
        <v>154</v>
      </c>
      <c r="Z109" s="154">
        <v>3276000</v>
      </c>
      <c r="AA109" s="163">
        <v>1</v>
      </c>
      <c r="AB109" s="173">
        <v>105.47</v>
      </c>
      <c r="AD109" s="154">
        <v>3455.1970000000001</v>
      </c>
      <c r="AG109" s="3" t="s">
        <v>36</v>
      </c>
      <c r="AH109" s="165">
        <v>1.2589999999999999E-3</v>
      </c>
      <c r="AI109" s="165">
        <v>1.1148841486497099E-2</v>
      </c>
      <c r="AJ109" s="165">
        <v>1.34758578350455E-3</v>
      </c>
    </row>
    <row r="110" spans="1:36">
      <c r="A110" s="3">
        <v>288</v>
      </c>
      <c r="B110" s="3">
        <v>288</v>
      </c>
      <c r="C110" s="3" t="s">
        <v>278</v>
      </c>
      <c r="D110" s="3" t="s">
        <v>279</v>
      </c>
      <c r="E110" s="5" t="s">
        <v>147</v>
      </c>
      <c r="F110" s="3" t="s">
        <v>585</v>
      </c>
      <c r="G110" s="3" t="s">
        <v>586</v>
      </c>
      <c r="H110" s="3" t="s">
        <v>150</v>
      </c>
      <c r="I110" s="3" t="s">
        <v>165</v>
      </c>
      <c r="J110" s="3" t="s">
        <v>30</v>
      </c>
      <c r="K110" s="3" t="s">
        <v>30</v>
      </c>
      <c r="L110" s="3" t="s">
        <v>152</v>
      </c>
      <c r="M110" s="3" t="s">
        <v>41</v>
      </c>
      <c r="N110" s="3" t="s">
        <v>282</v>
      </c>
      <c r="O110" s="3" t="s">
        <v>154</v>
      </c>
      <c r="P110" s="3" t="s">
        <v>283</v>
      </c>
      <c r="Q110" s="3" t="s">
        <v>156</v>
      </c>
      <c r="R110" s="3" t="s">
        <v>157</v>
      </c>
      <c r="S110" s="3" t="s">
        <v>44</v>
      </c>
      <c r="T110" s="154">
        <v>2.4689999999999999</v>
      </c>
      <c r="U110" s="3" t="s">
        <v>587</v>
      </c>
      <c r="V110" s="165">
        <v>2.6800000000000001E-2</v>
      </c>
      <c r="W110" s="165">
        <v>4.4679999999999997E-2</v>
      </c>
      <c r="X110" s="5" t="s">
        <v>159</v>
      </c>
      <c r="Y110" s="5" t="s">
        <v>154</v>
      </c>
      <c r="Z110" s="154">
        <v>1290616.3700000001</v>
      </c>
      <c r="AA110" s="163">
        <v>1</v>
      </c>
      <c r="AB110" s="173">
        <v>97.92</v>
      </c>
      <c r="AD110" s="154">
        <v>1263.7719999999999</v>
      </c>
      <c r="AG110" s="3" t="s">
        <v>36</v>
      </c>
      <c r="AH110" s="165">
        <v>6.5899999999999997E-4</v>
      </c>
      <c r="AI110" s="165">
        <v>4.0777958145384197E-3</v>
      </c>
      <c r="AJ110" s="165">
        <v>4.9289243858761597E-4</v>
      </c>
    </row>
    <row r="111" spans="1:36">
      <c r="A111" s="3">
        <v>288</v>
      </c>
      <c r="B111" s="3">
        <v>288</v>
      </c>
      <c r="C111" s="3" t="s">
        <v>588</v>
      </c>
      <c r="D111" s="3" t="s">
        <v>589</v>
      </c>
      <c r="E111" s="5" t="s">
        <v>147</v>
      </c>
      <c r="F111" s="3" t="s">
        <v>590</v>
      </c>
      <c r="G111" s="3" t="s">
        <v>591</v>
      </c>
      <c r="H111" s="3" t="s">
        <v>150</v>
      </c>
      <c r="I111" s="3" t="s">
        <v>165</v>
      </c>
      <c r="J111" s="3" t="s">
        <v>30</v>
      </c>
      <c r="K111" s="3" t="s">
        <v>30</v>
      </c>
      <c r="L111" s="3" t="s">
        <v>152</v>
      </c>
      <c r="M111" s="3" t="s">
        <v>41</v>
      </c>
      <c r="N111" s="3" t="s">
        <v>335</v>
      </c>
      <c r="O111" s="3" t="s">
        <v>154</v>
      </c>
      <c r="P111" s="3" t="s">
        <v>177</v>
      </c>
      <c r="Q111" s="3" t="s">
        <v>169</v>
      </c>
      <c r="R111" s="3" t="s">
        <v>157</v>
      </c>
      <c r="S111" s="3" t="s">
        <v>44</v>
      </c>
      <c r="T111" s="154">
        <v>6.27</v>
      </c>
      <c r="U111" s="3" t="s">
        <v>592</v>
      </c>
      <c r="V111" s="165">
        <v>5.6800000000000003E-2</v>
      </c>
      <c r="W111" s="165">
        <v>5.7020000000000001E-2</v>
      </c>
      <c r="X111" s="5" t="s">
        <v>159</v>
      </c>
      <c r="Y111" s="5" t="s">
        <v>154</v>
      </c>
      <c r="Z111" s="154">
        <v>2000000</v>
      </c>
      <c r="AA111" s="163">
        <v>1</v>
      </c>
      <c r="AB111" s="173">
        <v>100.76</v>
      </c>
      <c r="AD111" s="154">
        <v>2015.2</v>
      </c>
      <c r="AG111" s="3" t="s">
        <v>36</v>
      </c>
      <c r="AH111" s="165">
        <v>1.9689999999999998E-3</v>
      </c>
      <c r="AI111" s="165">
        <v>6.5024205748918998E-3</v>
      </c>
      <c r="AJ111" s="165">
        <v>7.8596233839225201E-4</v>
      </c>
    </row>
    <row r="112" spans="1:36">
      <c r="A112" s="3">
        <v>288</v>
      </c>
      <c r="B112" s="3">
        <v>288</v>
      </c>
      <c r="C112" s="3" t="s">
        <v>306</v>
      </c>
      <c r="D112" s="3" t="s">
        <v>307</v>
      </c>
      <c r="E112" s="5" t="s">
        <v>147</v>
      </c>
      <c r="F112" s="3" t="s">
        <v>593</v>
      </c>
      <c r="G112" s="3" t="s">
        <v>594</v>
      </c>
      <c r="H112" s="3" t="s">
        <v>150</v>
      </c>
      <c r="I112" s="3" t="s">
        <v>165</v>
      </c>
      <c r="J112" s="3" t="s">
        <v>30</v>
      </c>
      <c r="K112" s="3" t="s">
        <v>30</v>
      </c>
      <c r="L112" s="3" t="s">
        <v>152</v>
      </c>
      <c r="M112" s="3" t="s">
        <v>41</v>
      </c>
      <c r="N112" s="3" t="s">
        <v>176</v>
      </c>
      <c r="O112" s="3" t="s">
        <v>154</v>
      </c>
      <c r="P112" s="3" t="s">
        <v>199</v>
      </c>
      <c r="Q112" s="3" t="s">
        <v>156</v>
      </c>
      <c r="R112" s="3" t="s">
        <v>157</v>
      </c>
      <c r="S112" s="3" t="s">
        <v>44</v>
      </c>
      <c r="T112" s="154">
        <v>6.6020000000000003</v>
      </c>
      <c r="U112" s="3" t="s">
        <v>384</v>
      </c>
      <c r="V112" s="165">
        <v>6.0199999999999997E-2</v>
      </c>
      <c r="W112" s="165">
        <v>4.7719999999999999E-2</v>
      </c>
      <c r="X112" s="5" t="s">
        <v>159</v>
      </c>
      <c r="Y112" s="5" t="s">
        <v>154</v>
      </c>
      <c r="Z112" s="154">
        <v>2499000</v>
      </c>
      <c r="AA112" s="163">
        <v>1</v>
      </c>
      <c r="AB112" s="173">
        <v>110.37</v>
      </c>
      <c r="AD112" s="154">
        <v>2758.1460000000002</v>
      </c>
      <c r="AG112" s="3" t="s">
        <v>36</v>
      </c>
      <c r="AH112" s="165">
        <v>4.9979999999999998E-3</v>
      </c>
      <c r="AI112" s="165">
        <v>8.8996760865829496E-3</v>
      </c>
      <c r="AJ112" s="165">
        <v>1.0757240549702E-3</v>
      </c>
    </row>
    <row r="113" spans="1:36">
      <c r="A113" s="3">
        <v>288</v>
      </c>
      <c r="B113" s="3">
        <v>288</v>
      </c>
      <c r="C113" s="3" t="s">
        <v>316</v>
      </c>
      <c r="D113" s="3" t="s">
        <v>317</v>
      </c>
      <c r="E113" s="5" t="s">
        <v>147</v>
      </c>
      <c r="F113" s="3" t="s">
        <v>321</v>
      </c>
      <c r="G113" s="3" t="s">
        <v>322</v>
      </c>
      <c r="H113" s="3" t="s">
        <v>150</v>
      </c>
      <c r="I113" s="3" t="s">
        <v>183</v>
      </c>
      <c r="J113" s="3" t="s">
        <v>30</v>
      </c>
      <c r="K113" s="3" t="s">
        <v>30</v>
      </c>
      <c r="L113" s="3" t="s">
        <v>152</v>
      </c>
      <c r="M113" s="3" t="s">
        <v>41</v>
      </c>
      <c r="N113" s="3" t="s">
        <v>234</v>
      </c>
      <c r="O113" s="3" t="s">
        <v>154</v>
      </c>
      <c r="P113" s="3" t="s">
        <v>283</v>
      </c>
      <c r="Q113" s="3" t="s">
        <v>156</v>
      </c>
      <c r="R113" s="3" t="s">
        <v>157</v>
      </c>
      <c r="S113" s="3" t="s">
        <v>44</v>
      </c>
      <c r="T113" s="154">
        <v>4.915</v>
      </c>
      <c r="U113" s="3" t="s">
        <v>323</v>
      </c>
      <c r="V113" s="165">
        <v>2.3900000000000001E-2</v>
      </c>
      <c r="W113" s="165">
        <v>2.6040000000000001E-2</v>
      </c>
      <c r="X113" s="5" t="s">
        <v>159</v>
      </c>
      <c r="Y113" s="5" t="s">
        <v>154</v>
      </c>
      <c r="Z113" s="154">
        <v>3700000</v>
      </c>
      <c r="AA113" s="163">
        <v>1</v>
      </c>
      <c r="AB113" s="173">
        <v>117.27</v>
      </c>
      <c r="AD113" s="154">
        <v>4338.99</v>
      </c>
      <c r="AG113" s="3" t="s">
        <v>36</v>
      </c>
      <c r="AH113" s="165">
        <v>9.5100000000000002E-4</v>
      </c>
      <c r="AI113" s="165">
        <v>1.4000564633907401E-2</v>
      </c>
      <c r="AJ113" s="165">
        <v>1.6922800350638099E-3</v>
      </c>
    </row>
    <row r="114" spans="1:36">
      <c r="A114" s="3">
        <v>288</v>
      </c>
      <c r="B114" s="3">
        <v>288</v>
      </c>
      <c r="C114" s="3" t="s">
        <v>316</v>
      </c>
      <c r="D114" s="3" t="s">
        <v>317</v>
      </c>
      <c r="E114" s="5" t="s">
        <v>147</v>
      </c>
      <c r="F114" s="3" t="s">
        <v>327</v>
      </c>
      <c r="G114" s="3" t="s">
        <v>328</v>
      </c>
      <c r="H114" s="3" t="s">
        <v>150</v>
      </c>
      <c r="I114" s="3" t="s">
        <v>183</v>
      </c>
      <c r="J114" s="3" t="s">
        <v>30</v>
      </c>
      <c r="K114" s="3" t="s">
        <v>30</v>
      </c>
      <c r="L114" s="3" t="s">
        <v>152</v>
      </c>
      <c r="M114" s="3" t="s">
        <v>41</v>
      </c>
      <c r="N114" s="3" t="s">
        <v>234</v>
      </c>
      <c r="O114" s="3" t="s">
        <v>154</v>
      </c>
      <c r="P114" s="3" t="s">
        <v>283</v>
      </c>
      <c r="Q114" s="3" t="s">
        <v>156</v>
      </c>
      <c r="R114" s="3" t="s">
        <v>157</v>
      </c>
      <c r="S114" s="3" t="s">
        <v>44</v>
      </c>
      <c r="T114" s="154">
        <v>6.8730000000000002</v>
      </c>
      <c r="U114" s="3" t="s">
        <v>329</v>
      </c>
      <c r="V114" s="165">
        <v>0.03</v>
      </c>
      <c r="W114" s="165">
        <v>2.632E-2</v>
      </c>
      <c r="X114" s="5" t="s">
        <v>159</v>
      </c>
      <c r="Y114" s="5" t="s">
        <v>154</v>
      </c>
      <c r="Z114" s="154">
        <v>3060979</v>
      </c>
      <c r="AA114" s="163">
        <v>1</v>
      </c>
      <c r="AB114" s="173">
        <v>111.48</v>
      </c>
      <c r="AD114" s="154">
        <v>3412.3789999999999</v>
      </c>
      <c r="AG114" s="3" t="s">
        <v>36</v>
      </c>
      <c r="AH114" s="165">
        <v>7.5000000000000002E-4</v>
      </c>
      <c r="AI114" s="165">
        <v>1.1010681793207199E-2</v>
      </c>
      <c r="AJ114" s="165">
        <v>1.3308861076901299E-3</v>
      </c>
    </row>
    <row r="115" spans="1:36">
      <c r="A115" s="3">
        <v>288</v>
      </c>
      <c r="B115" s="3">
        <v>288</v>
      </c>
      <c r="C115" s="3" t="s">
        <v>316</v>
      </c>
      <c r="D115" s="3" t="s">
        <v>317</v>
      </c>
      <c r="E115" s="5" t="s">
        <v>147</v>
      </c>
      <c r="F115" s="3" t="s">
        <v>595</v>
      </c>
      <c r="G115" s="3" t="s">
        <v>596</v>
      </c>
      <c r="H115" s="3" t="s">
        <v>150</v>
      </c>
      <c r="I115" s="3" t="s">
        <v>183</v>
      </c>
      <c r="J115" s="3" t="s">
        <v>30</v>
      </c>
      <c r="K115" s="3" t="s">
        <v>30</v>
      </c>
      <c r="L115" s="3" t="s">
        <v>152</v>
      </c>
      <c r="M115" s="3" t="s">
        <v>41</v>
      </c>
      <c r="N115" s="3" t="s">
        <v>234</v>
      </c>
      <c r="O115" s="3" t="s">
        <v>154</v>
      </c>
      <c r="P115" s="3" t="s">
        <v>283</v>
      </c>
      <c r="Q115" s="3" t="s">
        <v>156</v>
      </c>
      <c r="R115" s="3" t="s">
        <v>157</v>
      </c>
      <c r="S115" s="3" t="s">
        <v>44</v>
      </c>
      <c r="T115" s="154">
        <v>9.7940000000000005</v>
      </c>
      <c r="U115" s="3" t="s">
        <v>597</v>
      </c>
      <c r="V115" s="165">
        <v>3.2000000000000001E-2</v>
      </c>
      <c r="W115" s="165">
        <v>2.8170000000000001E-2</v>
      </c>
      <c r="X115" s="5" t="s">
        <v>159</v>
      </c>
      <c r="Y115" s="5" t="s">
        <v>154</v>
      </c>
      <c r="Z115" s="154">
        <v>2000000</v>
      </c>
      <c r="AA115" s="163">
        <v>1</v>
      </c>
      <c r="AB115" s="173">
        <v>112.97</v>
      </c>
      <c r="AD115" s="154">
        <v>2259.4</v>
      </c>
      <c r="AG115" s="3" t="s">
        <v>36</v>
      </c>
      <c r="AH115" s="165">
        <v>4.06E-4</v>
      </c>
      <c r="AI115" s="165">
        <v>7.2903776532903704E-3</v>
      </c>
      <c r="AJ115" s="165">
        <v>8.8120449948563603E-4</v>
      </c>
    </row>
    <row r="116" spans="1:36">
      <c r="A116" s="3">
        <v>288</v>
      </c>
      <c r="B116" s="3">
        <v>288</v>
      </c>
      <c r="C116" s="3" t="s">
        <v>342</v>
      </c>
      <c r="D116" s="3" t="s">
        <v>343</v>
      </c>
      <c r="E116" s="5" t="s">
        <v>147</v>
      </c>
      <c r="F116" s="3" t="s">
        <v>344</v>
      </c>
      <c r="G116" s="3" t="s">
        <v>345</v>
      </c>
      <c r="H116" s="3" t="s">
        <v>150</v>
      </c>
      <c r="I116" s="3" t="s">
        <v>165</v>
      </c>
      <c r="J116" s="3" t="s">
        <v>30</v>
      </c>
      <c r="K116" s="3" t="s">
        <v>30</v>
      </c>
      <c r="L116" s="3" t="s">
        <v>152</v>
      </c>
      <c r="M116" s="3" t="s">
        <v>41</v>
      </c>
      <c r="N116" s="3" t="s">
        <v>176</v>
      </c>
      <c r="O116" s="3" t="s">
        <v>154</v>
      </c>
      <c r="P116" s="3" t="s">
        <v>199</v>
      </c>
      <c r="Q116" s="3" t="s">
        <v>156</v>
      </c>
      <c r="R116" s="3" t="s">
        <v>157</v>
      </c>
      <c r="S116" s="3" t="s">
        <v>44</v>
      </c>
      <c r="T116" s="154">
        <v>4.2460000000000004</v>
      </c>
      <c r="U116" s="3" t="s">
        <v>94</v>
      </c>
      <c r="V116" s="165">
        <v>2.64E-2</v>
      </c>
      <c r="W116" s="165">
        <v>4.6199999999999998E-2</v>
      </c>
      <c r="X116" s="5" t="s">
        <v>159</v>
      </c>
      <c r="Y116" s="5" t="s">
        <v>154</v>
      </c>
      <c r="Z116" s="154">
        <v>2000000</v>
      </c>
      <c r="AA116" s="163">
        <v>1</v>
      </c>
      <c r="AB116" s="173">
        <v>92.3</v>
      </c>
      <c r="AD116" s="154">
        <v>1846</v>
      </c>
      <c r="AG116" s="3" t="s">
        <v>36</v>
      </c>
      <c r="AH116" s="165">
        <v>1.222E-3</v>
      </c>
      <c r="AI116" s="165">
        <v>5.9564650561981201E-3</v>
      </c>
      <c r="AJ116" s="165">
        <v>7.1997145527595097E-4</v>
      </c>
    </row>
    <row r="117" spans="1:36">
      <c r="A117" s="3">
        <v>288</v>
      </c>
      <c r="B117" s="3">
        <v>288</v>
      </c>
      <c r="C117" s="3" t="s">
        <v>342</v>
      </c>
      <c r="D117" s="3" t="s">
        <v>343</v>
      </c>
      <c r="E117" s="5" t="s">
        <v>147</v>
      </c>
      <c r="F117" s="3" t="s">
        <v>598</v>
      </c>
      <c r="G117" s="3" t="s">
        <v>599</v>
      </c>
      <c r="H117" s="3" t="s">
        <v>150</v>
      </c>
      <c r="I117" s="3" t="s">
        <v>165</v>
      </c>
      <c r="J117" s="3" t="s">
        <v>30</v>
      </c>
      <c r="K117" s="3" t="s">
        <v>30</v>
      </c>
      <c r="L117" s="3" t="s">
        <v>152</v>
      </c>
      <c r="M117" s="3" t="s">
        <v>41</v>
      </c>
      <c r="N117" s="3" t="s">
        <v>176</v>
      </c>
      <c r="O117" s="3" t="s">
        <v>154</v>
      </c>
      <c r="P117" s="3" t="s">
        <v>199</v>
      </c>
      <c r="Q117" s="3" t="s">
        <v>156</v>
      </c>
      <c r="R117" s="3" t="s">
        <v>157</v>
      </c>
      <c r="S117" s="3" t="s">
        <v>44</v>
      </c>
      <c r="T117" s="154">
        <v>5.9889999999999999</v>
      </c>
      <c r="U117" s="3" t="s">
        <v>600</v>
      </c>
      <c r="V117" s="165">
        <v>2.5000000000000001E-2</v>
      </c>
      <c r="W117" s="165">
        <v>4.7199999999999999E-2</v>
      </c>
      <c r="X117" s="5" t="s">
        <v>159</v>
      </c>
      <c r="Y117" s="5" t="s">
        <v>154</v>
      </c>
      <c r="Z117" s="154">
        <v>1500000</v>
      </c>
      <c r="AA117" s="163">
        <v>1</v>
      </c>
      <c r="AB117" s="173">
        <v>88.03</v>
      </c>
      <c r="AD117" s="154">
        <v>1320.45</v>
      </c>
      <c r="AG117" s="3" t="s">
        <v>36</v>
      </c>
      <c r="AH117" s="165">
        <v>1.1249999999999999E-3</v>
      </c>
      <c r="AI117" s="165">
        <v>4.26067946016078E-3</v>
      </c>
      <c r="AJ117" s="165">
        <v>5.1499800006453401E-4</v>
      </c>
    </row>
    <row r="118" spans="1:36">
      <c r="A118" s="3">
        <v>288</v>
      </c>
      <c r="B118" s="3">
        <v>288</v>
      </c>
      <c r="C118" s="3" t="s">
        <v>355</v>
      </c>
      <c r="D118" s="3" t="s">
        <v>356</v>
      </c>
      <c r="E118" s="5" t="s">
        <v>147</v>
      </c>
      <c r="F118" s="3" t="s">
        <v>360</v>
      </c>
      <c r="G118" s="3" t="s">
        <v>361</v>
      </c>
      <c r="H118" s="3" t="s">
        <v>150</v>
      </c>
      <c r="I118" s="3" t="s">
        <v>183</v>
      </c>
      <c r="J118" s="3" t="s">
        <v>30</v>
      </c>
      <c r="K118" s="3" t="s">
        <v>30</v>
      </c>
      <c r="L118" s="3" t="s">
        <v>152</v>
      </c>
      <c r="M118" s="3" t="s">
        <v>41</v>
      </c>
      <c r="N118" s="3" t="s">
        <v>282</v>
      </c>
      <c r="O118" s="3" t="s">
        <v>154</v>
      </c>
      <c r="P118" s="3" t="s">
        <v>283</v>
      </c>
      <c r="Q118" s="3" t="s">
        <v>156</v>
      </c>
      <c r="R118" s="3" t="s">
        <v>157</v>
      </c>
      <c r="S118" s="3" t="s">
        <v>44</v>
      </c>
      <c r="T118" s="154">
        <v>4.1289999999999996</v>
      </c>
      <c r="U118" s="3" t="s">
        <v>362</v>
      </c>
      <c r="V118" s="165">
        <v>1E-3</v>
      </c>
      <c r="W118" s="165">
        <v>2.5350000000000001E-2</v>
      </c>
      <c r="X118" s="5" t="s">
        <v>159</v>
      </c>
      <c r="Y118" s="5" t="s">
        <v>154</v>
      </c>
      <c r="Z118" s="154">
        <v>2800000</v>
      </c>
      <c r="AA118" s="163">
        <v>1</v>
      </c>
      <c r="AB118" s="173">
        <v>104.89</v>
      </c>
      <c r="AD118" s="154">
        <v>2936.92</v>
      </c>
      <c r="AG118" s="3" t="s">
        <v>36</v>
      </c>
      <c r="AH118" s="165">
        <v>6.5300000000000004E-4</v>
      </c>
      <c r="AI118" s="165">
        <v>9.4765229430386604E-3</v>
      </c>
      <c r="AJ118" s="165">
        <v>1.1454488442194199E-3</v>
      </c>
    </row>
    <row r="119" spans="1:36">
      <c r="A119" s="3">
        <v>288</v>
      </c>
      <c r="B119" s="3">
        <v>288</v>
      </c>
      <c r="C119" s="3" t="s">
        <v>370</v>
      </c>
      <c r="D119" s="3" t="s">
        <v>371</v>
      </c>
      <c r="E119" s="5" t="s">
        <v>147</v>
      </c>
      <c r="F119" s="3" t="s">
        <v>601</v>
      </c>
      <c r="G119" s="3" t="s">
        <v>602</v>
      </c>
      <c r="H119" s="3" t="s">
        <v>150</v>
      </c>
      <c r="I119" s="3" t="s">
        <v>183</v>
      </c>
      <c r="J119" s="3" t="s">
        <v>30</v>
      </c>
      <c r="K119" s="3" t="s">
        <v>30</v>
      </c>
      <c r="L119" s="3" t="s">
        <v>152</v>
      </c>
      <c r="M119" s="3" t="s">
        <v>41</v>
      </c>
      <c r="N119" s="3" t="s">
        <v>184</v>
      </c>
      <c r="O119" s="3" t="s">
        <v>154</v>
      </c>
      <c r="P119" s="3" t="s">
        <v>185</v>
      </c>
      <c r="Q119" s="3" t="s">
        <v>156</v>
      </c>
      <c r="R119" s="3" t="s">
        <v>157</v>
      </c>
      <c r="S119" s="3" t="s">
        <v>44</v>
      </c>
      <c r="T119" s="154">
        <v>5.1689999999999996</v>
      </c>
      <c r="U119" s="3" t="s">
        <v>603</v>
      </c>
      <c r="V119" s="165">
        <v>3.5000000000000001E-3</v>
      </c>
      <c r="W119" s="165">
        <v>2.9669999999999998E-2</v>
      </c>
      <c r="X119" s="5" t="s">
        <v>159</v>
      </c>
      <c r="Y119" s="5" t="s">
        <v>154</v>
      </c>
      <c r="Z119" s="154">
        <v>206153.05</v>
      </c>
      <c r="AA119" s="163">
        <v>1</v>
      </c>
      <c r="AB119" s="173">
        <v>101.29</v>
      </c>
      <c r="AD119" s="154">
        <v>208.81200000000001</v>
      </c>
      <c r="AG119" s="3" t="s">
        <v>36</v>
      </c>
      <c r="AH119" s="165">
        <v>5.8999999999999998E-5</v>
      </c>
      <c r="AI119" s="165">
        <v>6.7377243169610302E-4</v>
      </c>
      <c r="AJ119" s="165">
        <v>8.1440403594457801E-5</v>
      </c>
    </row>
    <row r="120" spans="1:36">
      <c r="A120" s="3">
        <v>288</v>
      </c>
      <c r="B120" s="3">
        <v>288</v>
      </c>
      <c r="C120" s="3" t="s">
        <v>370</v>
      </c>
      <c r="D120" s="3" t="s">
        <v>371</v>
      </c>
      <c r="E120" s="5" t="s">
        <v>147</v>
      </c>
      <c r="F120" s="3" t="s">
        <v>604</v>
      </c>
      <c r="G120" s="3" t="s">
        <v>605</v>
      </c>
      <c r="H120" s="3" t="s">
        <v>150</v>
      </c>
      <c r="I120" s="3" t="s">
        <v>183</v>
      </c>
      <c r="J120" s="3" t="s">
        <v>30</v>
      </c>
      <c r="K120" s="3" t="s">
        <v>30</v>
      </c>
      <c r="L120" s="3" t="s">
        <v>152</v>
      </c>
      <c r="M120" s="3" t="s">
        <v>41</v>
      </c>
      <c r="N120" s="3" t="s">
        <v>184</v>
      </c>
      <c r="O120" s="3" t="s">
        <v>154</v>
      </c>
      <c r="P120" s="3" t="s">
        <v>185</v>
      </c>
      <c r="Q120" s="3" t="s">
        <v>156</v>
      </c>
      <c r="R120" s="3" t="s">
        <v>157</v>
      </c>
      <c r="S120" s="3" t="s">
        <v>44</v>
      </c>
      <c r="T120" s="154">
        <v>2.5139999999999998</v>
      </c>
      <c r="U120" s="3" t="s">
        <v>606</v>
      </c>
      <c r="V120" s="165">
        <v>2.81E-2</v>
      </c>
      <c r="W120" s="165">
        <v>2.8070000000000001E-2</v>
      </c>
      <c r="X120" s="5" t="s">
        <v>159</v>
      </c>
      <c r="Y120" s="5" t="s">
        <v>154</v>
      </c>
      <c r="Z120" s="154">
        <v>2981250</v>
      </c>
      <c r="AA120" s="163">
        <v>1</v>
      </c>
      <c r="AB120" s="173">
        <v>121.01</v>
      </c>
      <c r="AD120" s="154">
        <v>3607.6109999999999</v>
      </c>
      <c r="AG120" s="3" t="s">
        <v>36</v>
      </c>
      <c r="AH120" s="165">
        <v>2.1649999999999998E-3</v>
      </c>
      <c r="AI120" s="165">
        <v>1.16406319740962E-2</v>
      </c>
      <c r="AJ120" s="165">
        <v>1.40702961633274E-3</v>
      </c>
    </row>
    <row r="121" spans="1:36">
      <c r="A121" s="3">
        <v>288</v>
      </c>
      <c r="B121" s="3">
        <v>288</v>
      </c>
      <c r="C121" s="3" t="s">
        <v>379</v>
      </c>
      <c r="D121" s="3" t="s">
        <v>380</v>
      </c>
      <c r="E121" s="5" t="s">
        <v>147</v>
      </c>
      <c r="F121" s="3" t="s">
        <v>388</v>
      </c>
      <c r="G121" s="3" t="s">
        <v>389</v>
      </c>
      <c r="H121" s="3" t="s">
        <v>150</v>
      </c>
      <c r="I121" s="3" t="s">
        <v>165</v>
      </c>
      <c r="J121" s="3" t="s">
        <v>30</v>
      </c>
      <c r="K121" s="3" t="s">
        <v>30</v>
      </c>
      <c r="L121" s="3" t="s">
        <v>152</v>
      </c>
      <c r="M121" s="3" t="s">
        <v>41</v>
      </c>
      <c r="N121" s="3" t="s">
        <v>176</v>
      </c>
      <c r="O121" s="3" t="s">
        <v>154</v>
      </c>
      <c r="P121" s="3" t="s">
        <v>155</v>
      </c>
      <c r="Q121" s="3" t="s">
        <v>156</v>
      </c>
      <c r="R121" s="3" t="s">
        <v>157</v>
      </c>
      <c r="S121" s="3" t="s">
        <v>44</v>
      </c>
      <c r="T121" s="154">
        <v>5.931</v>
      </c>
      <c r="U121" s="3" t="s">
        <v>390</v>
      </c>
      <c r="V121" s="165">
        <v>6.0699999999999997E-2</v>
      </c>
      <c r="W121" s="165">
        <v>4.929E-2</v>
      </c>
      <c r="X121" s="5" t="s">
        <v>159</v>
      </c>
      <c r="Y121" s="5" t="s">
        <v>154</v>
      </c>
      <c r="Z121" s="154">
        <v>2000000</v>
      </c>
      <c r="AA121" s="163">
        <v>1</v>
      </c>
      <c r="AB121" s="173">
        <v>108.82</v>
      </c>
      <c r="AD121" s="154">
        <v>2176.4</v>
      </c>
      <c r="AG121" s="3" t="s">
        <v>36</v>
      </c>
      <c r="AH121" s="165">
        <v>3.1800000000000001E-3</v>
      </c>
      <c r="AI121" s="165">
        <v>7.0225625938838496E-3</v>
      </c>
      <c r="AJ121" s="165">
        <v>8.4883308519099695E-4</v>
      </c>
    </row>
    <row r="122" spans="1:36">
      <c r="A122" s="3">
        <v>288</v>
      </c>
      <c r="B122" s="3">
        <v>288</v>
      </c>
      <c r="C122" s="3" t="s">
        <v>396</v>
      </c>
      <c r="D122" s="3" t="s">
        <v>397</v>
      </c>
      <c r="E122" s="5" t="s">
        <v>147</v>
      </c>
      <c r="F122" s="3" t="s">
        <v>409</v>
      </c>
      <c r="G122" s="3" t="s">
        <v>410</v>
      </c>
      <c r="H122" s="3" t="s">
        <v>150</v>
      </c>
      <c r="I122" s="3" t="s">
        <v>183</v>
      </c>
      <c r="J122" s="3" t="s">
        <v>30</v>
      </c>
      <c r="K122" s="3" t="s">
        <v>30</v>
      </c>
      <c r="L122" s="3" t="s">
        <v>152</v>
      </c>
      <c r="M122" s="3" t="s">
        <v>41</v>
      </c>
      <c r="N122" s="3" t="s">
        <v>282</v>
      </c>
      <c r="O122" s="3" t="s">
        <v>154</v>
      </c>
      <c r="P122" s="3" t="s">
        <v>283</v>
      </c>
      <c r="Q122" s="3" t="s">
        <v>156</v>
      </c>
      <c r="R122" s="3" t="s">
        <v>157</v>
      </c>
      <c r="S122" s="3" t="s">
        <v>44</v>
      </c>
      <c r="T122" s="154">
        <v>5.0759999999999996</v>
      </c>
      <c r="U122" s="3" t="s">
        <v>411</v>
      </c>
      <c r="V122" s="165">
        <v>2.6800000000000001E-2</v>
      </c>
      <c r="W122" s="165">
        <v>2.598E-2</v>
      </c>
      <c r="X122" s="5" t="s">
        <v>159</v>
      </c>
      <c r="Y122" s="5" t="s">
        <v>154</v>
      </c>
      <c r="Z122" s="154">
        <v>2000000</v>
      </c>
      <c r="AA122" s="163">
        <v>1</v>
      </c>
      <c r="AB122" s="173">
        <v>105.34</v>
      </c>
      <c r="AD122" s="154">
        <v>2106.8000000000002</v>
      </c>
      <c r="AG122" s="3" t="s">
        <v>36</v>
      </c>
      <c r="AH122" s="165">
        <v>7.1400000000000001E-4</v>
      </c>
      <c r="AI122" s="165">
        <v>6.79798514647789E-3</v>
      </c>
      <c r="AJ122" s="165">
        <v>8.2168789922826399E-4</v>
      </c>
    </row>
    <row r="123" spans="1:36">
      <c r="A123" s="3">
        <v>288</v>
      </c>
      <c r="B123" s="3">
        <v>288</v>
      </c>
      <c r="C123" s="3" t="s">
        <v>396</v>
      </c>
      <c r="D123" s="3" t="s">
        <v>397</v>
      </c>
      <c r="E123" s="5" t="s">
        <v>147</v>
      </c>
      <c r="F123" s="3" t="s">
        <v>607</v>
      </c>
      <c r="G123" s="3" t="s">
        <v>608</v>
      </c>
      <c r="H123" s="3" t="s">
        <v>150</v>
      </c>
      <c r="I123" s="3" t="s">
        <v>183</v>
      </c>
      <c r="J123" s="3" t="s">
        <v>30</v>
      </c>
      <c r="K123" s="3" t="s">
        <v>30</v>
      </c>
      <c r="L123" s="3" t="s">
        <v>152</v>
      </c>
      <c r="M123" s="3" t="s">
        <v>41</v>
      </c>
      <c r="N123" s="3" t="s">
        <v>282</v>
      </c>
      <c r="O123" s="3" t="s">
        <v>154</v>
      </c>
      <c r="P123" s="3" t="s">
        <v>283</v>
      </c>
      <c r="Q123" s="3" t="s">
        <v>156</v>
      </c>
      <c r="R123" s="3" t="s">
        <v>157</v>
      </c>
      <c r="S123" s="3" t="s">
        <v>44</v>
      </c>
      <c r="T123" s="154">
        <v>2.9409999999999998</v>
      </c>
      <c r="U123" s="3" t="s">
        <v>403</v>
      </c>
      <c r="V123" s="165">
        <v>1E-3</v>
      </c>
      <c r="W123" s="165">
        <v>2.562E-2</v>
      </c>
      <c r="X123" s="5" t="s">
        <v>159</v>
      </c>
      <c r="Y123" s="5" t="s">
        <v>154</v>
      </c>
      <c r="Z123" s="154">
        <v>1460971.72</v>
      </c>
      <c r="AA123" s="163">
        <v>1</v>
      </c>
      <c r="AB123" s="173">
        <v>106.57</v>
      </c>
      <c r="AD123" s="154">
        <v>1556.9580000000001</v>
      </c>
      <c r="AG123" s="3" t="s">
        <v>36</v>
      </c>
      <c r="AH123" s="165">
        <v>6.5499999999999998E-4</v>
      </c>
      <c r="AI123" s="165">
        <v>5.0238154453197403E-3</v>
      </c>
      <c r="AJ123" s="165">
        <v>6.0723997926268502E-4</v>
      </c>
    </row>
    <row r="124" spans="1:36">
      <c r="A124" s="3">
        <v>288</v>
      </c>
      <c r="B124" s="3">
        <v>288</v>
      </c>
      <c r="C124" s="3" t="s">
        <v>421</v>
      </c>
      <c r="D124" s="3" t="s">
        <v>422</v>
      </c>
      <c r="E124" s="5" t="s">
        <v>147</v>
      </c>
      <c r="F124" s="3" t="s">
        <v>426</v>
      </c>
      <c r="G124" s="3" t="s">
        <v>427</v>
      </c>
      <c r="H124" s="3" t="s">
        <v>150</v>
      </c>
      <c r="I124" s="3" t="s">
        <v>183</v>
      </c>
      <c r="J124" s="3" t="s">
        <v>30</v>
      </c>
      <c r="K124" s="3" t="s">
        <v>30</v>
      </c>
      <c r="L124" s="3" t="s">
        <v>152</v>
      </c>
      <c r="M124" s="3" t="s">
        <v>41</v>
      </c>
      <c r="N124" s="3" t="s">
        <v>425</v>
      </c>
      <c r="O124" s="3" t="s">
        <v>154</v>
      </c>
      <c r="P124" s="3" t="s">
        <v>383</v>
      </c>
      <c r="Q124" s="3" t="s">
        <v>169</v>
      </c>
      <c r="R124" s="3" t="s">
        <v>157</v>
      </c>
      <c r="S124" s="3" t="s">
        <v>44</v>
      </c>
      <c r="T124" s="154">
        <v>2.7869999999999999</v>
      </c>
      <c r="U124" s="3" t="s">
        <v>428</v>
      </c>
      <c r="V124" s="165">
        <v>0.01</v>
      </c>
      <c r="W124" s="165">
        <v>3.2149999999999998E-2</v>
      </c>
      <c r="X124" s="5" t="s">
        <v>159</v>
      </c>
      <c r="Y124" s="5" t="s">
        <v>154</v>
      </c>
      <c r="Z124" s="154">
        <v>2370000</v>
      </c>
      <c r="AA124" s="163">
        <v>1</v>
      </c>
      <c r="AB124" s="173">
        <v>109.08</v>
      </c>
      <c r="AD124" s="154">
        <v>2585.1959999999999</v>
      </c>
      <c r="AG124" s="3" t="s">
        <v>36</v>
      </c>
      <c r="AH124" s="165">
        <v>1.433E-3</v>
      </c>
      <c r="AI124" s="165">
        <v>8.3416195218977002E-3</v>
      </c>
      <c r="AJ124" s="165">
        <v>1.0082704909499299E-3</v>
      </c>
    </row>
    <row r="125" spans="1:36">
      <c r="A125" s="3">
        <v>288</v>
      </c>
      <c r="B125" s="3">
        <v>288</v>
      </c>
      <c r="C125" s="3" t="s">
        <v>431</v>
      </c>
      <c r="D125" s="3" t="s">
        <v>432</v>
      </c>
      <c r="E125" s="5" t="s">
        <v>147</v>
      </c>
      <c r="F125" s="3" t="s">
        <v>609</v>
      </c>
      <c r="G125" s="3" t="s">
        <v>610</v>
      </c>
      <c r="H125" s="3" t="s">
        <v>150</v>
      </c>
      <c r="I125" s="3" t="s">
        <v>183</v>
      </c>
      <c r="J125" s="3" t="s">
        <v>30</v>
      </c>
      <c r="K125" s="3" t="s">
        <v>30</v>
      </c>
      <c r="L125" s="3" t="s">
        <v>152</v>
      </c>
      <c r="M125" s="3" t="s">
        <v>41</v>
      </c>
      <c r="N125" s="3" t="s">
        <v>184</v>
      </c>
      <c r="O125" s="3" t="s">
        <v>154</v>
      </c>
      <c r="P125" s="3" t="s">
        <v>185</v>
      </c>
      <c r="Q125" s="3" t="s">
        <v>156</v>
      </c>
      <c r="R125" s="3" t="s">
        <v>157</v>
      </c>
      <c r="S125" s="3" t="s">
        <v>44</v>
      </c>
      <c r="T125" s="154">
        <v>3.0649999999999999</v>
      </c>
      <c r="U125" s="3" t="s">
        <v>611</v>
      </c>
      <c r="V125" s="165">
        <v>2.2499999999999999E-2</v>
      </c>
      <c r="W125" s="165">
        <v>2.9350000000000001E-2</v>
      </c>
      <c r="X125" s="5" t="s">
        <v>159</v>
      </c>
      <c r="Y125" s="5" t="s">
        <v>154</v>
      </c>
      <c r="Z125" s="154">
        <v>1643077.49</v>
      </c>
      <c r="AA125" s="163">
        <v>1</v>
      </c>
      <c r="AB125" s="173">
        <v>118.47</v>
      </c>
      <c r="AD125" s="154">
        <v>1946.5540000000001</v>
      </c>
      <c r="AG125" s="3" t="s">
        <v>36</v>
      </c>
      <c r="AH125" s="165">
        <v>9.4600000000000001E-4</v>
      </c>
      <c r="AI125" s="165">
        <v>6.2809210724103703E-3</v>
      </c>
      <c r="AJ125" s="165">
        <v>7.5918919062089403E-4</v>
      </c>
    </row>
    <row r="126" spans="1:36">
      <c r="A126" s="3">
        <v>288</v>
      </c>
      <c r="B126" s="3">
        <v>288</v>
      </c>
      <c r="C126" s="3" t="s">
        <v>612</v>
      </c>
      <c r="D126" s="3" t="s">
        <v>613</v>
      </c>
      <c r="E126" s="5" t="s">
        <v>147</v>
      </c>
      <c r="F126" s="3" t="s">
        <v>614</v>
      </c>
      <c r="G126" s="3" t="s">
        <v>615</v>
      </c>
      <c r="H126" s="3" t="s">
        <v>150</v>
      </c>
      <c r="I126" s="3" t="s">
        <v>183</v>
      </c>
      <c r="J126" s="3" t="s">
        <v>30</v>
      </c>
      <c r="K126" s="3" t="s">
        <v>30</v>
      </c>
      <c r="L126" s="3" t="s">
        <v>152</v>
      </c>
      <c r="M126" s="3" t="s">
        <v>41</v>
      </c>
      <c r="N126" s="3" t="s">
        <v>193</v>
      </c>
      <c r="O126" s="3" t="s">
        <v>154</v>
      </c>
      <c r="P126" s="3" t="s">
        <v>283</v>
      </c>
      <c r="Q126" s="3" t="s">
        <v>156</v>
      </c>
      <c r="R126" s="3" t="s">
        <v>157</v>
      </c>
      <c r="S126" s="3" t="s">
        <v>44</v>
      </c>
      <c r="T126" s="154">
        <v>11.507999999999999</v>
      </c>
      <c r="U126" s="3" t="s">
        <v>616</v>
      </c>
      <c r="V126" s="165">
        <v>2.07E-2</v>
      </c>
      <c r="W126" s="165">
        <v>2.7050000000000001E-2</v>
      </c>
      <c r="X126" s="5" t="s">
        <v>159</v>
      </c>
      <c r="Y126" s="5" t="s">
        <v>154</v>
      </c>
      <c r="Z126" s="154">
        <v>6262080.0999999996</v>
      </c>
      <c r="AA126" s="163">
        <v>1</v>
      </c>
      <c r="AB126" s="173">
        <v>109.4</v>
      </c>
      <c r="AD126" s="154">
        <v>6850.7160000000003</v>
      </c>
      <c r="AG126" s="3" t="s">
        <v>36</v>
      </c>
      <c r="AH126" s="165">
        <v>1.145E-3</v>
      </c>
      <c r="AI126" s="165">
        <v>2.2105118232107999E-2</v>
      </c>
      <c r="AJ126" s="165">
        <v>2.67189582956708E-3</v>
      </c>
    </row>
    <row r="127" spans="1:36">
      <c r="A127" s="3">
        <v>288</v>
      </c>
      <c r="B127" s="3">
        <v>288</v>
      </c>
      <c r="C127" s="3" t="s">
        <v>617</v>
      </c>
      <c r="D127" s="3" t="s">
        <v>618</v>
      </c>
      <c r="E127" s="5" t="s">
        <v>147</v>
      </c>
      <c r="F127" s="3" t="s">
        <v>619</v>
      </c>
      <c r="G127" s="3" t="s">
        <v>620</v>
      </c>
      <c r="H127" s="3" t="s">
        <v>150</v>
      </c>
      <c r="I127" s="3" t="s">
        <v>165</v>
      </c>
      <c r="J127" s="3" t="s">
        <v>30</v>
      </c>
      <c r="K127" s="3" t="s">
        <v>30</v>
      </c>
      <c r="L127" s="3" t="s">
        <v>152</v>
      </c>
      <c r="M127" s="3" t="s">
        <v>41</v>
      </c>
      <c r="N127" s="3" t="s">
        <v>222</v>
      </c>
      <c r="O127" s="3" t="s">
        <v>154</v>
      </c>
      <c r="P127" s="3" t="s">
        <v>168</v>
      </c>
      <c r="Q127" s="3" t="s">
        <v>169</v>
      </c>
      <c r="R127" s="3" t="s">
        <v>157</v>
      </c>
      <c r="S127" s="3" t="s">
        <v>44</v>
      </c>
      <c r="T127" s="154">
        <v>2.992</v>
      </c>
      <c r="U127" s="3" t="s">
        <v>495</v>
      </c>
      <c r="V127" s="165">
        <v>6.9500000000000006E-2</v>
      </c>
      <c r="W127" s="165">
        <v>5.3469999999999997E-2</v>
      </c>
      <c r="X127" s="5" t="s">
        <v>159</v>
      </c>
      <c r="Y127" s="5" t="s">
        <v>154</v>
      </c>
      <c r="Z127" s="154">
        <v>3515000</v>
      </c>
      <c r="AA127" s="163">
        <v>1</v>
      </c>
      <c r="AB127" s="173">
        <v>106.87</v>
      </c>
      <c r="AD127" s="154">
        <v>3756.4810000000002</v>
      </c>
      <c r="AG127" s="3" t="s">
        <v>36</v>
      </c>
      <c r="AH127" s="165">
        <v>4.3769999999999998E-3</v>
      </c>
      <c r="AI127" s="165">
        <v>1.21209885333367E-2</v>
      </c>
      <c r="AJ127" s="165">
        <v>1.4650914042799201E-3</v>
      </c>
    </row>
    <row r="128" spans="1:36">
      <c r="A128" s="3">
        <v>288</v>
      </c>
      <c r="B128" s="3">
        <v>288</v>
      </c>
      <c r="C128" s="3" t="s">
        <v>443</v>
      </c>
      <c r="D128" s="3" t="s">
        <v>444</v>
      </c>
      <c r="E128" s="5" t="s">
        <v>147</v>
      </c>
      <c r="F128" s="3" t="s">
        <v>621</v>
      </c>
      <c r="G128" s="3" t="s">
        <v>622</v>
      </c>
      <c r="H128" s="3" t="s">
        <v>150</v>
      </c>
      <c r="I128" s="3" t="s">
        <v>165</v>
      </c>
      <c r="J128" s="3" t="s">
        <v>30</v>
      </c>
      <c r="K128" s="3" t="s">
        <v>30</v>
      </c>
      <c r="L128" s="3" t="s">
        <v>152</v>
      </c>
      <c r="M128" s="3" t="s">
        <v>41</v>
      </c>
      <c r="N128" s="3" t="s">
        <v>184</v>
      </c>
      <c r="O128" s="3" t="s">
        <v>154</v>
      </c>
      <c r="P128" s="3" t="s">
        <v>155</v>
      </c>
      <c r="Q128" s="3" t="s">
        <v>156</v>
      </c>
      <c r="R128" s="3" t="s">
        <v>157</v>
      </c>
      <c r="S128" s="3" t="s">
        <v>44</v>
      </c>
      <c r="T128" s="154">
        <v>2.0640000000000001</v>
      </c>
      <c r="U128" s="3" t="s">
        <v>623</v>
      </c>
      <c r="V128" s="165">
        <v>6.6299999999999998E-2</v>
      </c>
      <c r="W128" s="165">
        <v>5.0970000000000001E-2</v>
      </c>
      <c r="X128" s="5" t="s">
        <v>159</v>
      </c>
      <c r="Y128" s="5" t="s">
        <v>154</v>
      </c>
      <c r="Z128" s="154">
        <v>3488000</v>
      </c>
      <c r="AA128" s="163">
        <v>1</v>
      </c>
      <c r="AB128" s="173">
        <v>105.18</v>
      </c>
      <c r="AD128" s="154">
        <v>3668.6779999999999</v>
      </c>
      <c r="AG128" s="3" t="s">
        <v>36</v>
      </c>
      <c r="AH128" s="165">
        <v>2.6350000000000002E-3</v>
      </c>
      <c r="AI128" s="165">
        <v>1.18376785980654E-2</v>
      </c>
      <c r="AJ128" s="165">
        <v>1.43084708915896E-3</v>
      </c>
    </row>
    <row r="129" spans="1:36">
      <c r="A129" s="3">
        <v>288</v>
      </c>
      <c r="B129" s="3">
        <v>288</v>
      </c>
      <c r="C129" s="3" t="s">
        <v>448</v>
      </c>
      <c r="D129" s="3" t="s">
        <v>449</v>
      </c>
      <c r="E129" s="5" t="s">
        <v>147</v>
      </c>
      <c r="F129" s="3" t="s">
        <v>624</v>
      </c>
      <c r="G129" s="3" t="s">
        <v>625</v>
      </c>
      <c r="H129" s="3" t="s">
        <v>150</v>
      </c>
      <c r="I129" s="3" t="s">
        <v>165</v>
      </c>
      <c r="J129" s="3" t="s">
        <v>30</v>
      </c>
      <c r="K129" s="3" t="s">
        <v>30</v>
      </c>
      <c r="L129" s="3" t="s">
        <v>152</v>
      </c>
      <c r="M129" s="3" t="s">
        <v>41</v>
      </c>
      <c r="N129" s="3" t="s">
        <v>240</v>
      </c>
      <c r="O129" s="3" t="s">
        <v>154</v>
      </c>
      <c r="P129" s="3" t="s">
        <v>199</v>
      </c>
      <c r="Q129" s="3" t="s">
        <v>156</v>
      </c>
      <c r="R129" s="3" t="s">
        <v>157</v>
      </c>
      <c r="S129" s="3" t="s">
        <v>44</v>
      </c>
      <c r="T129" s="154">
        <v>1.2909999999999999</v>
      </c>
      <c r="U129" s="3" t="s">
        <v>626</v>
      </c>
      <c r="V129" s="165">
        <v>2.5000000000000001E-2</v>
      </c>
      <c r="W129" s="165">
        <v>4.7910000000000001E-2</v>
      </c>
      <c r="X129" s="5" t="s">
        <v>159</v>
      </c>
      <c r="Y129" s="5" t="s">
        <v>154</v>
      </c>
      <c r="Z129" s="154">
        <v>1375000</v>
      </c>
      <c r="AA129" s="163">
        <v>1</v>
      </c>
      <c r="AB129" s="173">
        <v>98.99</v>
      </c>
      <c r="AD129" s="154">
        <v>1361.1120000000001</v>
      </c>
      <c r="AG129" s="3" t="s">
        <v>36</v>
      </c>
      <c r="AH129" s="165">
        <v>1.8799999999999999E-3</v>
      </c>
      <c r="AI129" s="165">
        <v>4.3918846391140104E-3</v>
      </c>
      <c r="AJ129" s="165">
        <v>5.3085706794111002E-4</v>
      </c>
    </row>
    <row r="130" spans="1:36">
      <c r="A130" s="3">
        <v>288</v>
      </c>
      <c r="B130" s="3">
        <v>288</v>
      </c>
      <c r="C130" s="3" t="s">
        <v>453</v>
      </c>
      <c r="D130" s="3" t="s">
        <v>454</v>
      </c>
      <c r="E130" s="5" t="s">
        <v>147</v>
      </c>
      <c r="F130" s="3" t="s">
        <v>627</v>
      </c>
      <c r="G130" s="3" t="s">
        <v>628</v>
      </c>
      <c r="H130" s="3" t="s">
        <v>150</v>
      </c>
      <c r="I130" s="3" t="s">
        <v>183</v>
      </c>
      <c r="J130" s="3" t="s">
        <v>30</v>
      </c>
      <c r="K130" s="3" t="s">
        <v>30</v>
      </c>
      <c r="L130" s="3" t="s">
        <v>152</v>
      </c>
      <c r="M130" s="3" t="s">
        <v>41</v>
      </c>
      <c r="N130" s="3" t="s">
        <v>184</v>
      </c>
      <c r="O130" s="3" t="s">
        <v>154</v>
      </c>
      <c r="P130" s="3" t="s">
        <v>123</v>
      </c>
      <c r="Q130" s="3" t="s">
        <v>169</v>
      </c>
      <c r="R130" s="3" t="s">
        <v>157</v>
      </c>
      <c r="S130" s="3" t="s">
        <v>44</v>
      </c>
      <c r="T130" s="154">
        <v>11.696</v>
      </c>
      <c r="U130" s="3" t="s">
        <v>629</v>
      </c>
      <c r="V130" s="165">
        <v>3.6700000000000003E-2</v>
      </c>
      <c r="W130" s="165">
        <v>3.0839999999999999E-2</v>
      </c>
      <c r="X130" s="5" t="s">
        <v>159</v>
      </c>
      <c r="Y130" s="5" t="s">
        <v>154</v>
      </c>
      <c r="Z130" s="154">
        <v>4000000</v>
      </c>
      <c r="AA130" s="163">
        <v>1</v>
      </c>
      <c r="AB130" s="173">
        <v>112.94</v>
      </c>
      <c r="AD130" s="154">
        <v>4517.6000000000004</v>
      </c>
      <c r="AG130" s="3" t="s">
        <v>36</v>
      </c>
      <c r="AH130" s="165">
        <v>7.8399999999999997E-4</v>
      </c>
      <c r="AI130" s="165">
        <v>1.45768832816255E-2</v>
      </c>
      <c r="AJ130" s="165">
        <v>1.76194097852364E-3</v>
      </c>
    </row>
    <row r="131" spans="1:36">
      <c r="A131" s="3">
        <v>288</v>
      </c>
      <c r="B131" s="3">
        <v>288</v>
      </c>
      <c r="C131" s="3" t="s">
        <v>464</v>
      </c>
      <c r="D131" s="3" t="s">
        <v>465</v>
      </c>
      <c r="E131" s="5" t="s">
        <v>147</v>
      </c>
      <c r="F131" s="3" t="s">
        <v>466</v>
      </c>
      <c r="G131" s="3" t="s">
        <v>467</v>
      </c>
      <c r="H131" s="3" t="s">
        <v>150</v>
      </c>
      <c r="I131" s="3" t="s">
        <v>165</v>
      </c>
      <c r="J131" s="3" t="s">
        <v>30</v>
      </c>
      <c r="K131" s="3" t="s">
        <v>30</v>
      </c>
      <c r="L131" s="3" t="s">
        <v>152</v>
      </c>
      <c r="M131" s="3" t="s">
        <v>41</v>
      </c>
      <c r="N131" s="3" t="s">
        <v>282</v>
      </c>
      <c r="O131" s="3" t="s">
        <v>154</v>
      </c>
      <c r="P131" s="3" t="s">
        <v>283</v>
      </c>
      <c r="Q131" s="3" t="s">
        <v>156</v>
      </c>
      <c r="R131" s="3" t="s">
        <v>157</v>
      </c>
      <c r="S131" s="3" t="s">
        <v>44</v>
      </c>
      <c r="T131" s="154">
        <v>2.9129999999999998</v>
      </c>
      <c r="U131" s="3" t="s">
        <v>468</v>
      </c>
      <c r="V131" s="165">
        <v>2.5000000000000001E-2</v>
      </c>
      <c r="W131" s="165">
        <v>4.462E-2</v>
      </c>
      <c r="X131" s="5" t="s">
        <v>159</v>
      </c>
      <c r="Y131" s="5" t="s">
        <v>154</v>
      </c>
      <c r="Z131" s="154">
        <v>2901111.11</v>
      </c>
      <c r="AA131" s="163">
        <v>1</v>
      </c>
      <c r="AB131" s="173">
        <v>96.5</v>
      </c>
      <c r="AD131" s="154">
        <v>2799.5720000000001</v>
      </c>
      <c r="AG131" s="3" t="s">
        <v>36</v>
      </c>
      <c r="AH131" s="165">
        <v>1.4300000000000001E-3</v>
      </c>
      <c r="AI131" s="165">
        <v>9.0333445869896604E-3</v>
      </c>
      <c r="AJ131" s="165">
        <v>1.0918808701037301E-3</v>
      </c>
    </row>
    <row r="132" spans="1:36">
      <c r="A132" s="3">
        <v>288</v>
      </c>
      <c r="B132" s="3">
        <v>288</v>
      </c>
      <c r="C132" s="3" t="s">
        <v>464</v>
      </c>
      <c r="D132" s="3" t="s">
        <v>465</v>
      </c>
      <c r="E132" s="5" t="s">
        <v>147</v>
      </c>
      <c r="F132" s="3" t="s">
        <v>471</v>
      </c>
      <c r="G132" s="3" t="s">
        <v>472</v>
      </c>
      <c r="H132" s="3" t="s">
        <v>150</v>
      </c>
      <c r="I132" s="3" t="s">
        <v>183</v>
      </c>
      <c r="J132" s="3" t="s">
        <v>30</v>
      </c>
      <c r="K132" s="3" t="s">
        <v>30</v>
      </c>
      <c r="L132" s="3" t="s">
        <v>152</v>
      </c>
      <c r="M132" s="3" t="s">
        <v>41</v>
      </c>
      <c r="N132" s="3" t="s">
        <v>282</v>
      </c>
      <c r="O132" s="3" t="s">
        <v>154</v>
      </c>
      <c r="P132" s="3" t="s">
        <v>283</v>
      </c>
      <c r="Q132" s="3" t="s">
        <v>156</v>
      </c>
      <c r="R132" s="3" t="s">
        <v>157</v>
      </c>
      <c r="S132" s="3" t="s">
        <v>44</v>
      </c>
      <c r="T132" s="154">
        <v>3.4510000000000001</v>
      </c>
      <c r="U132" s="3" t="s">
        <v>473</v>
      </c>
      <c r="V132" s="165">
        <v>1.3899999999999999E-2</v>
      </c>
      <c r="W132" s="165">
        <v>2.521E-2</v>
      </c>
      <c r="X132" s="5" t="s">
        <v>159</v>
      </c>
      <c r="Y132" s="5" t="s">
        <v>154</v>
      </c>
      <c r="Z132" s="154">
        <v>2796800</v>
      </c>
      <c r="AA132" s="163">
        <v>1</v>
      </c>
      <c r="AB132" s="173">
        <v>107.22</v>
      </c>
      <c r="AD132" s="154">
        <v>2998.7289999999998</v>
      </c>
      <c r="AG132" s="3" t="s">
        <v>36</v>
      </c>
      <c r="AH132" s="165">
        <v>1.748E-3</v>
      </c>
      <c r="AI132" s="165">
        <v>9.6759611393549896E-3</v>
      </c>
      <c r="AJ132" s="165">
        <v>1.1695553918252099E-3</v>
      </c>
    </row>
    <row r="133" spans="1:36">
      <c r="A133" s="3">
        <v>288</v>
      </c>
      <c r="B133" s="3">
        <v>288</v>
      </c>
      <c r="C133" s="3" t="s">
        <v>486</v>
      </c>
      <c r="D133" s="3" t="s">
        <v>487</v>
      </c>
      <c r="E133" s="5" t="s">
        <v>147</v>
      </c>
      <c r="F133" s="3" t="s">
        <v>630</v>
      </c>
      <c r="G133" s="3" t="s">
        <v>631</v>
      </c>
      <c r="H133" s="3" t="s">
        <v>150</v>
      </c>
      <c r="I133" s="3" t="s">
        <v>165</v>
      </c>
      <c r="J133" s="3" t="s">
        <v>30</v>
      </c>
      <c r="K133" s="3" t="s">
        <v>30</v>
      </c>
      <c r="L133" s="3" t="s">
        <v>152</v>
      </c>
      <c r="M133" s="3" t="s">
        <v>41</v>
      </c>
      <c r="N133" s="3" t="s">
        <v>234</v>
      </c>
      <c r="O133" s="3" t="s">
        <v>154</v>
      </c>
      <c r="P133" s="3" t="s">
        <v>199</v>
      </c>
      <c r="Q133" s="3" t="s">
        <v>156</v>
      </c>
      <c r="R133" s="3" t="s">
        <v>157</v>
      </c>
      <c r="S133" s="3" t="s">
        <v>44</v>
      </c>
      <c r="T133" s="154">
        <v>2.8969999999999998</v>
      </c>
      <c r="U133" s="3" t="s">
        <v>59</v>
      </c>
      <c r="V133" s="165">
        <v>2.4299999999999999E-2</v>
      </c>
      <c r="W133" s="165">
        <v>4.6780000000000002E-2</v>
      </c>
      <c r="X133" s="5" t="s">
        <v>159</v>
      </c>
      <c r="Y133" s="5" t="s">
        <v>154</v>
      </c>
      <c r="Z133" s="154">
        <v>2000000</v>
      </c>
      <c r="AA133" s="163">
        <v>1</v>
      </c>
      <c r="AB133" s="173">
        <v>94.65</v>
      </c>
      <c r="AD133" s="154">
        <v>1893</v>
      </c>
      <c r="AG133" s="3" t="s">
        <v>36</v>
      </c>
      <c r="AH133" s="165">
        <v>1.366E-3</v>
      </c>
      <c r="AI133" s="165">
        <v>6.1081193669463903E-3</v>
      </c>
      <c r="AJ133" s="165">
        <v>7.3830225614158996E-4</v>
      </c>
    </row>
    <row r="134" spans="1:36">
      <c r="A134" s="3">
        <v>288</v>
      </c>
      <c r="B134" s="3">
        <v>288</v>
      </c>
      <c r="C134" s="3" t="s">
        <v>516</v>
      </c>
      <c r="D134" s="3" t="s">
        <v>517</v>
      </c>
      <c r="E134" s="5" t="s">
        <v>147</v>
      </c>
      <c r="F134" s="3" t="s">
        <v>632</v>
      </c>
      <c r="G134" s="3" t="s">
        <v>633</v>
      </c>
      <c r="H134" s="3" t="s">
        <v>150</v>
      </c>
      <c r="I134" s="3" t="s">
        <v>165</v>
      </c>
      <c r="J134" s="3" t="s">
        <v>30</v>
      </c>
      <c r="K134" s="3" t="s">
        <v>30</v>
      </c>
      <c r="L134" s="3" t="s">
        <v>152</v>
      </c>
      <c r="M134" s="3" t="s">
        <v>41</v>
      </c>
      <c r="N134" s="3" t="s">
        <v>520</v>
      </c>
      <c r="O134" s="3" t="s">
        <v>154</v>
      </c>
      <c r="P134" s="3" t="s">
        <v>185</v>
      </c>
      <c r="Q134" s="3" t="s">
        <v>156</v>
      </c>
      <c r="R134" s="3" t="s">
        <v>157</v>
      </c>
      <c r="S134" s="3" t="s">
        <v>44</v>
      </c>
      <c r="T134" s="154">
        <v>2.6920000000000002</v>
      </c>
      <c r="U134" s="3" t="s">
        <v>634</v>
      </c>
      <c r="V134" s="165">
        <v>3.5200000000000002E-2</v>
      </c>
      <c r="W134" s="165">
        <v>4.5839999999999999E-2</v>
      </c>
      <c r="X134" s="5" t="s">
        <v>159</v>
      </c>
      <c r="Y134" s="5" t="s">
        <v>154</v>
      </c>
      <c r="Z134" s="154">
        <v>1836113.89</v>
      </c>
      <c r="AA134" s="163">
        <v>1</v>
      </c>
      <c r="AB134" s="173">
        <v>97.78</v>
      </c>
      <c r="AD134" s="154">
        <v>1795.3520000000001</v>
      </c>
      <c r="AG134" s="3" t="s">
        <v>36</v>
      </c>
      <c r="AH134" s="165">
        <v>2.6189999999999998E-3</v>
      </c>
      <c r="AI134" s="165">
        <v>5.7930403111540203E-3</v>
      </c>
      <c r="AJ134" s="165">
        <v>7.0021793529264102E-4</v>
      </c>
    </row>
    <row r="135" spans="1:36">
      <c r="A135" s="3">
        <v>288</v>
      </c>
      <c r="B135" s="3">
        <v>288</v>
      </c>
      <c r="C135" s="3" t="s">
        <v>635</v>
      </c>
      <c r="D135" s="3" t="s">
        <v>636</v>
      </c>
      <c r="E135" s="5" t="s">
        <v>147</v>
      </c>
      <c r="F135" s="3" t="s">
        <v>637</v>
      </c>
      <c r="G135" s="3" t="s">
        <v>638</v>
      </c>
      <c r="H135" s="3" t="s">
        <v>150</v>
      </c>
      <c r="I135" s="3" t="s">
        <v>165</v>
      </c>
      <c r="J135" s="3" t="s">
        <v>30</v>
      </c>
      <c r="K135" s="3" t="s">
        <v>30</v>
      </c>
      <c r="L135" s="3" t="s">
        <v>152</v>
      </c>
      <c r="M135" s="3" t="s">
        <v>41</v>
      </c>
      <c r="N135" s="3" t="s">
        <v>639</v>
      </c>
      <c r="O135" s="3" t="s">
        <v>154</v>
      </c>
      <c r="P135" s="3" t="s">
        <v>457</v>
      </c>
      <c r="Q135" s="3" t="s">
        <v>156</v>
      </c>
      <c r="R135" s="3" t="s">
        <v>157</v>
      </c>
      <c r="S135" s="3" t="s">
        <v>44</v>
      </c>
      <c r="T135" s="154">
        <v>5.7960000000000003</v>
      </c>
      <c r="U135" s="3" t="s">
        <v>640</v>
      </c>
      <c r="V135" s="165">
        <v>1.9E-2</v>
      </c>
      <c r="W135" s="165">
        <v>4.5870000000000001E-2</v>
      </c>
      <c r="X135" s="5" t="s">
        <v>159</v>
      </c>
      <c r="Y135" s="5" t="s">
        <v>154</v>
      </c>
      <c r="Z135" s="154">
        <v>3077100</v>
      </c>
      <c r="AA135" s="163">
        <v>1</v>
      </c>
      <c r="AB135" s="173">
        <v>86.15</v>
      </c>
      <c r="AD135" s="154">
        <v>2650.922</v>
      </c>
      <c r="AG135" s="3" t="s">
        <v>36</v>
      </c>
      <c r="AH135" s="165">
        <v>2.0709999999999999E-3</v>
      </c>
      <c r="AI135" s="165">
        <v>8.5536956527324202E-3</v>
      </c>
      <c r="AJ135" s="165">
        <v>1.0339046143949199E-3</v>
      </c>
    </row>
    <row r="136" spans="1:36">
      <c r="A136" s="3">
        <v>288</v>
      </c>
      <c r="B136" s="3">
        <v>288</v>
      </c>
      <c r="C136" s="3" t="s">
        <v>641</v>
      </c>
      <c r="D136" s="3" t="s">
        <v>642</v>
      </c>
      <c r="E136" s="5" t="s">
        <v>147</v>
      </c>
      <c r="F136" s="3" t="s">
        <v>643</v>
      </c>
      <c r="G136" s="3" t="s">
        <v>644</v>
      </c>
      <c r="H136" s="3" t="s">
        <v>150</v>
      </c>
      <c r="I136" s="3" t="s">
        <v>165</v>
      </c>
      <c r="J136" s="3" t="s">
        <v>30</v>
      </c>
      <c r="K136" s="3" t="s">
        <v>30</v>
      </c>
      <c r="L136" s="3" t="s">
        <v>152</v>
      </c>
      <c r="M136" s="3" t="s">
        <v>41</v>
      </c>
      <c r="N136" s="3" t="s">
        <v>645</v>
      </c>
      <c r="O136" s="3" t="s">
        <v>154</v>
      </c>
      <c r="P136" s="3" t="s">
        <v>228</v>
      </c>
      <c r="Q136" s="3" t="s">
        <v>156</v>
      </c>
      <c r="R136" s="3" t="s">
        <v>157</v>
      </c>
      <c r="S136" s="3" t="s">
        <v>44</v>
      </c>
      <c r="T136" s="154">
        <v>2.3919999999999999</v>
      </c>
      <c r="U136" s="3" t="s">
        <v>646</v>
      </c>
      <c r="V136" s="165">
        <v>2.8000000000000001E-2</v>
      </c>
      <c r="W136" s="165">
        <v>5.2229999999999999E-2</v>
      </c>
      <c r="X136" s="5" t="s">
        <v>159</v>
      </c>
      <c r="Y136" s="5" t="s">
        <v>154</v>
      </c>
      <c r="Z136" s="154">
        <v>1869528</v>
      </c>
      <c r="AA136" s="163">
        <v>1</v>
      </c>
      <c r="AB136" s="173">
        <v>95.72</v>
      </c>
      <c r="AD136" s="154">
        <v>1789.5119999999999</v>
      </c>
      <c r="AG136" s="3" t="s">
        <v>36</v>
      </c>
      <c r="AH136" s="165">
        <v>1.1999999999999999E-3</v>
      </c>
      <c r="AI136" s="165">
        <v>5.7741965853036602E-3</v>
      </c>
      <c r="AJ136" s="165">
        <v>6.9794025136512704E-4</v>
      </c>
    </row>
    <row r="137" spans="1:36">
      <c r="A137" s="3">
        <v>288</v>
      </c>
      <c r="B137" s="3">
        <v>288</v>
      </c>
      <c r="C137" s="3" t="s">
        <v>641</v>
      </c>
      <c r="D137" s="3" t="s">
        <v>642</v>
      </c>
      <c r="E137" s="5" t="s">
        <v>147</v>
      </c>
      <c r="F137" s="3" t="s">
        <v>647</v>
      </c>
      <c r="G137" s="3" t="s">
        <v>648</v>
      </c>
      <c r="H137" s="3" t="s">
        <v>150</v>
      </c>
      <c r="I137" s="3" t="s">
        <v>183</v>
      </c>
      <c r="J137" s="3" t="s">
        <v>30</v>
      </c>
      <c r="K137" s="3" t="s">
        <v>30</v>
      </c>
      <c r="L137" s="3" t="s">
        <v>152</v>
      </c>
      <c r="M137" s="3" t="s">
        <v>41</v>
      </c>
      <c r="N137" s="3" t="s">
        <v>645</v>
      </c>
      <c r="O137" s="3" t="s">
        <v>154</v>
      </c>
      <c r="P137" s="3" t="s">
        <v>228</v>
      </c>
      <c r="Q137" s="3" t="s">
        <v>156</v>
      </c>
      <c r="R137" s="3" t="s">
        <v>157</v>
      </c>
      <c r="S137" s="3" t="s">
        <v>44</v>
      </c>
      <c r="T137" s="154">
        <v>1.962</v>
      </c>
      <c r="U137" s="3" t="s">
        <v>649</v>
      </c>
      <c r="V137" s="165">
        <v>3.9E-2</v>
      </c>
      <c r="W137" s="165">
        <v>3.2160000000000001E-2</v>
      </c>
      <c r="X137" s="5" t="s">
        <v>159</v>
      </c>
      <c r="Y137" s="5" t="s">
        <v>154</v>
      </c>
      <c r="Z137" s="154">
        <v>1223659.99</v>
      </c>
      <c r="AA137" s="163">
        <v>1</v>
      </c>
      <c r="AB137" s="173">
        <v>122.88</v>
      </c>
      <c r="AD137" s="154">
        <v>1503.633</v>
      </c>
      <c r="AG137" s="3" t="s">
        <v>36</v>
      </c>
      <c r="AH137" s="165">
        <v>8.8699999999999998E-4</v>
      </c>
      <c r="AI137" s="165">
        <v>4.85175502648485E-3</v>
      </c>
      <c r="AJ137" s="165">
        <v>5.8644264578130501E-4</v>
      </c>
    </row>
    <row r="138" spans="1:36">
      <c r="A138" s="3">
        <v>288</v>
      </c>
      <c r="B138" s="3">
        <v>288</v>
      </c>
      <c r="C138" s="3" t="s">
        <v>522</v>
      </c>
      <c r="D138" s="3" t="s">
        <v>523</v>
      </c>
      <c r="E138" s="5" t="s">
        <v>147</v>
      </c>
      <c r="F138" s="3" t="s">
        <v>524</v>
      </c>
      <c r="G138" s="3" t="s">
        <v>525</v>
      </c>
      <c r="H138" s="3" t="s">
        <v>150</v>
      </c>
      <c r="I138" s="3" t="s">
        <v>165</v>
      </c>
      <c r="J138" s="3" t="s">
        <v>30</v>
      </c>
      <c r="K138" s="3" t="s">
        <v>30</v>
      </c>
      <c r="L138" s="3" t="s">
        <v>152</v>
      </c>
      <c r="M138" s="3" t="s">
        <v>41</v>
      </c>
      <c r="N138" s="3" t="s">
        <v>234</v>
      </c>
      <c r="O138" s="3" t="s">
        <v>154</v>
      </c>
      <c r="P138" s="3" t="s">
        <v>168</v>
      </c>
      <c r="Q138" s="3" t="s">
        <v>169</v>
      </c>
      <c r="R138" s="3" t="s">
        <v>157</v>
      </c>
      <c r="S138" s="3" t="s">
        <v>44</v>
      </c>
      <c r="T138" s="154">
        <v>3.9990000000000001</v>
      </c>
      <c r="U138" s="3" t="s">
        <v>526</v>
      </c>
      <c r="V138" s="165">
        <v>6.7699999999999996E-2</v>
      </c>
      <c r="W138" s="165">
        <v>5.2019999999999997E-2</v>
      </c>
      <c r="X138" s="5" t="s">
        <v>159</v>
      </c>
      <c r="Y138" s="5" t="s">
        <v>154</v>
      </c>
      <c r="Z138" s="154">
        <v>1800000</v>
      </c>
      <c r="AA138" s="163">
        <v>1</v>
      </c>
      <c r="AB138" s="173">
        <v>108.36</v>
      </c>
      <c r="AD138" s="154">
        <v>1950.48</v>
      </c>
      <c r="AG138" s="3" t="s">
        <v>36</v>
      </c>
      <c r="AH138" s="165">
        <v>2.6670000000000001E-3</v>
      </c>
      <c r="AI138" s="165">
        <v>6.2935893623040596E-3</v>
      </c>
      <c r="AJ138" s="165">
        <v>7.6072043558322703E-4</v>
      </c>
    </row>
    <row r="139" spans="1:36">
      <c r="A139" s="3">
        <v>288</v>
      </c>
      <c r="B139" s="3">
        <v>288</v>
      </c>
      <c r="C139" s="3" t="s">
        <v>650</v>
      </c>
      <c r="D139" s="3" t="s">
        <v>651</v>
      </c>
      <c r="E139" s="5" t="s">
        <v>652</v>
      </c>
      <c r="F139" s="3" t="s">
        <v>653</v>
      </c>
      <c r="G139" s="3" t="s">
        <v>654</v>
      </c>
      <c r="H139" s="3" t="s">
        <v>150</v>
      </c>
      <c r="I139" s="3" t="s">
        <v>151</v>
      </c>
      <c r="J139" s="3" t="s">
        <v>116</v>
      </c>
      <c r="K139" s="3" t="s">
        <v>117</v>
      </c>
      <c r="L139" s="3" t="s">
        <v>152</v>
      </c>
      <c r="M139" s="3" t="s">
        <v>31</v>
      </c>
      <c r="N139" s="3" t="s">
        <v>655</v>
      </c>
      <c r="O139" s="3" t="s">
        <v>154</v>
      </c>
      <c r="P139" s="3" t="s">
        <v>268</v>
      </c>
      <c r="Q139" s="3" t="s">
        <v>656</v>
      </c>
      <c r="R139" s="3" t="s">
        <v>157</v>
      </c>
      <c r="S139" s="3" t="s">
        <v>34</v>
      </c>
      <c r="T139" s="154">
        <v>4.5629999999999997</v>
      </c>
      <c r="U139" s="3" t="s">
        <v>657</v>
      </c>
      <c r="V139" s="165">
        <v>2.8840000000000001E-2</v>
      </c>
      <c r="W139" s="165">
        <v>4.4409999999999998E-2</v>
      </c>
      <c r="X139" s="5" t="s">
        <v>159</v>
      </c>
      <c r="Y139" s="5" t="s">
        <v>154</v>
      </c>
      <c r="Z139" s="154">
        <v>300000</v>
      </c>
      <c r="AA139" s="163">
        <v>3.306</v>
      </c>
      <c r="AB139" s="173">
        <v>96.197000000000003</v>
      </c>
      <c r="AD139" s="154">
        <v>954.08</v>
      </c>
      <c r="AG139" s="3" t="s">
        <v>36</v>
      </c>
      <c r="AH139" s="165">
        <v>1.4999999999999999E-4</v>
      </c>
      <c r="AI139" s="165">
        <v>3.0785175304484901E-3</v>
      </c>
      <c r="AJ139" s="165">
        <v>3.7210740356533398E-4</v>
      </c>
    </row>
    <row r="140" spans="1:36">
      <c r="A140" s="3">
        <v>288</v>
      </c>
      <c r="B140" s="3">
        <v>288</v>
      </c>
      <c r="C140" s="3" t="s">
        <v>658</v>
      </c>
      <c r="D140" s="3" t="s">
        <v>659</v>
      </c>
      <c r="E140" s="5" t="s">
        <v>147</v>
      </c>
      <c r="F140" s="3" t="s">
        <v>660</v>
      </c>
      <c r="G140" s="3" t="s">
        <v>661</v>
      </c>
      <c r="H140" s="3" t="s">
        <v>150</v>
      </c>
      <c r="I140" s="3" t="s">
        <v>151</v>
      </c>
      <c r="J140" s="3" t="s">
        <v>30</v>
      </c>
      <c r="K140" s="3" t="s">
        <v>30</v>
      </c>
      <c r="L140" s="3" t="s">
        <v>152</v>
      </c>
      <c r="M140" s="3" t="s">
        <v>41</v>
      </c>
      <c r="N140" s="3" t="s">
        <v>655</v>
      </c>
      <c r="O140" s="3" t="s">
        <v>154</v>
      </c>
      <c r="P140" s="3" t="s">
        <v>32</v>
      </c>
      <c r="Q140" s="3" t="s">
        <v>33</v>
      </c>
      <c r="R140" s="3" t="s">
        <v>157</v>
      </c>
      <c r="S140" s="3" t="s">
        <v>34</v>
      </c>
      <c r="T140" s="154">
        <v>2.1040000000000001</v>
      </c>
      <c r="U140" s="3" t="s">
        <v>662</v>
      </c>
      <c r="V140" s="165">
        <v>5.3749999999999999E-2</v>
      </c>
      <c r="W140" s="165">
        <v>4.8899999999999999E-2</v>
      </c>
      <c r="X140" s="5" t="s">
        <v>159</v>
      </c>
      <c r="Y140" s="5" t="s">
        <v>154</v>
      </c>
      <c r="Z140" s="154">
        <v>400000</v>
      </c>
      <c r="AA140" s="163">
        <v>3.306</v>
      </c>
      <c r="AB140" s="173">
        <v>102.02</v>
      </c>
      <c r="AD140" s="154">
        <v>1349.1179999999999</v>
      </c>
      <c r="AG140" s="3" t="s">
        <v>36</v>
      </c>
      <c r="AH140" s="165">
        <v>5.0000000000000001E-4</v>
      </c>
      <c r="AI140" s="165">
        <v>4.3531813929135101E-3</v>
      </c>
      <c r="AJ140" s="165">
        <v>5.2617891869856902E-4</v>
      </c>
    </row>
    <row r="141" spans="1:36">
      <c r="A141" s="3">
        <v>288</v>
      </c>
      <c r="B141" s="3">
        <v>288</v>
      </c>
      <c r="C141" s="3" t="s">
        <v>663</v>
      </c>
      <c r="D141" s="3" t="s">
        <v>664</v>
      </c>
      <c r="E141" s="5" t="s">
        <v>652</v>
      </c>
      <c r="F141" s="3" t="s">
        <v>665</v>
      </c>
      <c r="G141" s="3" t="s">
        <v>666</v>
      </c>
      <c r="H141" s="3" t="s">
        <v>150</v>
      </c>
      <c r="I141" s="3" t="s">
        <v>151</v>
      </c>
      <c r="J141" s="3" t="s">
        <v>116</v>
      </c>
      <c r="K141" s="3" t="s">
        <v>117</v>
      </c>
      <c r="L141" s="3" t="s">
        <v>152</v>
      </c>
      <c r="M141" s="3" t="s">
        <v>31</v>
      </c>
      <c r="N141" s="3" t="s">
        <v>667</v>
      </c>
      <c r="O141" s="3" t="s">
        <v>154</v>
      </c>
      <c r="P141" s="3" t="s">
        <v>268</v>
      </c>
      <c r="Q141" s="3" t="s">
        <v>656</v>
      </c>
      <c r="R141" s="3" t="s">
        <v>157</v>
      </c>
      <c r="S141" s="3" t="s">
        <v>34</v>
      </c>
      <c r="T141" s="154">
        <v>0</v>
      </c>
      <c r="U141" s="3" t="s">
        <v>668</v>
      </c>
      <c r="V141" s="165">
        <v>4.4929999999999998E-2</v>
      </c>
      <c r="W141" s="165">
        <v>0</v>
      </c>
      <c r="X141" s="5" t="s">
        <v>159</v>
      </c>
      <c r="Y141" s="5" t="s">
        <v>154</v>
      </c>
      <c r="Z141" s="154">
        <v>300000</v>
      </c>
      <c r="AA141" s="163">
        <v>3.306</v>
      </c>
      <c r="AB141" s="173">
        <v>101.09399999999999</v>
      </c>
      <c r="AD141" s="154">
        <v>1002.654</v>
      </c>
      <c r="AG141" s="3" t="s">
        <v>36</v>
      </c>
      <c r="AH141" s="165">
        <v>0</v>
      </c>
      <c r="AI141" s="165">
        <v>3.23525192761268E-3</v>
      </c>
      <c r="AJ141" s="165">
        <v>3.9105224601021401E-4</v>
      </c>
    </row>
    <row r="142" spans="1:36">
      <c r="A142" s="3">
        <v>288</v>
      </c>
      <c r="B142" s="3">
        <v>1451</v>
      </c>
      <c r="C142" s="3" t="s">
        <v>145</v>
      </c>
      <c r="D142" s="3" t="s">
        <v>146</v>
      </c>
      <c r="E142" s="5" t="s">
        <v>147</v>
      </c>
      <c r="F142" s="3" t="s">
        <v>148</v>
      </c>
      <c r="G142" s="3" t="s">
        <v>149</v>
      </c>
      <c r="H142" s="3" t="s">
        <v>150</v>
      </c>
      <c r="I142" s="3" t="s">
        <v>151</v>
      </c>
      <c r="J142" s="3" t="s">
        <v>30</v>
      </c>
      <c r="K142" s="3" t="s">
        <v>30</v>
      </c>
      <c r="L142" s="3" t="s">
        <v>152</v>
      </c>
      <c r="M142" s="3" t="s">
        <v>41</v>
      </c>
      <c r="N142" s="3" t="s">
        <v>153</v>
      </c>
      <c r="O142" s="3" t="s">
        <v>154</v>
      </c>
      <c r="P142" s="3" t="s">
        <v>155</v>
      </c>
      <c r="Q142" s="3" t="s">
        <v>156</v>
      </c>
      <c r="R142" s="3" t="s">
        <v>157</v>
      </c>
      <c r="S142" s="3" t="s">
        <v>44</v>
      </c>
      <c r="T142" s="154">
        <v>0.23599999999999999</v>
      </c>
      <c r="U142" s="3" t="s">
        <v>158</v>
      </c>
      <c r="V142" s="165">
        <v>3.9E-2</v>
      </c>
      <c r="W142" s="165">
        <v>3.9309999999999998E-2</v>
      </c>
      <c r="X142" s="5" t="s">
        <v>159</v>
      </c>
      <c r="Y142" s="5" t="s">
        <v>154</v>
      </c>
      <c r="Z142" s="154">
        <v>16600</v>
      </c>
      <c r="AA142" s="163">
        <v>1</v>
      </c>
      <c r="AB142" s="173">
        <v>91.08</v>
      </c>
      <c r="AD142" s="154">
        <v>15.119</v>
      </c>
      <c r="AG142" s="3" t="s">
        <v>36</v>
      </c>
      <c r="AH142" s="165">
        <v>4.2099999999999999E-4</v>
      </c>
      <c r="AI142" s="165">
        <v>1.0710188457583999E-3</v>
      </c>
      <c r="AJ142" s="165">
        <v>3.0442757696880999E-4</v>
      </c>
    </row>
    <row r="143" spans="1:36">
      <c r="A143" s="3">
        <v>288</v>
      </c>
      <c r="B143" s="3">
        <v>1451</v>
      </c>
      <c r="C143" s="3" t="s">
        <v>160</v>
      </c>
      <c r="D143" s="3" t="s">
        <v>161</v>
      </c>
      <c r="E143" s="5" t="s">
        <v>162</v>
      </c>
      <c r="F143" s="3" t="s">
        <v>163</v>
      </c>
      <c r="G143" s="3" t="s">
        <v>164</v>
      </c>
      <c r="H143" s="3" t="s">
        <v>150</v>
      </c>
      <c r="I143" s="3" t="s">
        <v>165</v>
      </c>
      <c r="J143" s="3" t="s">
        <v>30</v>
      </c>
      <c r="K143" s="3" t="s">
        <v>30</v>
      </c>
      <c r="L143" s="3" t="s">
        <v>166</v>
      </c>
      <c r="M143" s="3" t="s">
        <v>41</v>
      </c>
      <c r="N143" s="3" t="s">
        <v>167</v>
      </c>
      <c r="O143" s="3" t="s">
        <v>154</v>
      </c>
      <c r="P143" s="3" t="s">
        <v>168</v>
      </c>
      <c r="Q143" s="3" t="s">
        <v>169</v>
      </c>
      <c r="R143" s="3" t="s">
        <v>157</v>
      </c>
      <c r="S143" s="3" t="s">
        <v>44</v>
      </c>
      <c r="T143" s="154">
        <v>0.47</v>
      </c>
      <c r="U143" s="3" t="s">
        <v>170</v>
      </c>
      <c r="V143" s="165">
        <v>7.0000000000000007E-2</v>
      </c>
      <c r="W143" s="165">
        <v>1.814E-2</v>
      </c>
      <c r="X143" s="5" t="s">
        <v>171</v>
      </c>
      <c r="Y143" s="5" t="s">
        <v>154</v>
      </c>
      <c r="Z143" s="154">
        <v>13049.2</v>
      </c>
      <c r="AA143" s="163">
        <v>1</v>
      </c>
      <c r="AB143" s="173">
        <v>0</v>
      </c>
      <c r="AD143" s="154">
        <v>0</v>
      </c>
      <c r="AG143" s="3" t="s">
        <v>36</v>
      </c>
      <c r="AH143" s="165">
        <v>0</v>
      </c>
      <c r="AI143" s="165">
        <v>9.2437861604987604E-10</v>
      </c>
      <c r="AJ143" s="165">
        <v>2.6274639648061299E-10</v>
      </c>
    </row>
    <row r="144" spans="1:36">
      <c r="A144" s="3">
        <v>288</v>
      </c>
      <c r="B144" s="3">
        <v>1451</v>
      </c>
      <c r="C144" s="3" t="s">
        <v>172</v>
      </c>
      <c r="D144" s="3" t="s">
        <v>173</v>
      </c>
      <c r="E144" s="5" t="s">
        <v>147</v>
      </c>
      <c r="F144" s="3" t="s">
        <v>174</v>
      </c>
      <c r="G144" s="3" t="s">
        <v>175</v>
      </c>
      <c r="H144" s="3" t="s">
        <v>150</v>
      </c>
      <c r="I144" s="3" t="s">
        <v>165</v>
      </c>
      <c r="J144" s="3" t="s">
        <v>30</v>
      </c>
      <c r="K144" s="3" t="s">
        <v>30</v>
      </c>
      <c r="L144" s="3" t="s">
        <v>152</v>
      </c>
      <c r="M144" s="3" t="s">
        <v>41</v>
      </c>
      <c r="N144" s="3" t="s">
        <v>176</v>
      </c>
      <c r="O144" s="3" t="s">
        <v>154</v>
      </c>
      <c r="P144" s="3" t="s">
        <v>177</v>
      </c>
      <c r="Q144" s="3" t="s">
        <v>169</v>
      </c>
      <c r="R144" s="3" t="s">
        <v>157</v>
      </c>
      <c r="S144" s="3" t="s">
        <v>44</v>
      </c>
      <c r="T144" s="154">
        <v>5.9370000000000003</v>
      </c>
      <c r="U144" s="3" t="s">
        <v>178</v>
      </c>
      <c r="V144" s="165">
        <v>5.1299999999999998E-2</v>
      </c>
      <c r="W144" s="165">
        <v>5.1470000000000002E-2</v>
      </c>
      <c r="X144" s="5" t="s">
        <v>159</v>
      </c>
      <c r="Y144" s="5" t="s">
        <v>154</v>
      </c>
      <c r="Z144" s="154">
        <v>150000</v>
      </c>
      <c r="AA144" s="163">
        <v>1</v>
      </c>
      <c r="AB144" s="173">
        <v>100.43</v>
      </c>
      <c r="AD144" s="154">
        <v>150.64500000000001</v>
      </c>
      <c r="AG144" s="3" t="s">
        <v>36</v>
      </c>
      <c r="AH144" s="165">
        <v>4.4000000000000002E-4</v>
      </c>
      <c r="AI144" s="165">
        <v>1.06713834269406E-2</v>
      </c>
      <c r="AJ144" s="165">
        <v>3.0332457850153201E-3</v>
      </c>
    </row>
    <row r="145" spans="1:36">
      <c r="A145" s="3">
        <v>288</v>
      </c>
      <c r="B145" s="3">
        <v>1451</v>
      </c>
      <c r="C145" s="3" t="s">
        <v>179</v>
      </c>
      <c r="D145" s="3" t="s">
        <v>180</v>
      </c>
      <c r="E145" s="5" t="s">
        <v>147</v>
      </c>
      <c r="F145" s="3" t="s">
        <v>181</v>
      </c>
      <c r="G145" s="3" t="s">
        <v>182</v>
      </c>
      <c r="H145" s="3" t="s">
        <v>150</v>
      </c>
      <c r="I145" s="3" t="s">
        <v>183</v>
      </c>
      <c r="J145" s="3" t="s">
        <v>30</v>
      </c>
      <c r="K145" s="3" t="s">
        <v>30</v>
      </c>
      <c r="L145" s="3" t="s">
        <v>152</v>
      </c>
      <c r="M145" s="3" t="s">
        <v>41</v>
      </c>
      <c r="N145" s="3" t="s">
        <v>184</v>
      </c>
      <c r="O145" s="3" t="s">
        <v>154</v>
      </c>
      <c r="P145" s="3" t="s">
        <v>185</v>
      </c>
      <c r="Q145" s="3" t="s">
        <v>156</v>
      </c>
      <c r="R145" s="3" t="s">
        <v>157</v>
      </c>
      <c r="S145" s="3" t="s">
        <v>44</v>
      </c>
      <c r="T145" s="154">
        <v>1.7490000000000001</v>
      </c>
      <c r="U145" s="3" t="s">
        <v>106</v>
      </c>
      <c r="V145" s="165">
        <v>2.3400000000000001E-2</v>
      </c>
      <c r="W145" s="165">
        <v>2.9860000000000001E-2</v>
      </c>
      <c r="X145" s="5" t="s">
        <v>159</v>
      </c>
      <c r="Y145" s="5" t="s">
        <v>154</v>
      </c>
      <c r="Z145" s="154">
        <v>171531.55</v>
      </c>
      <c r="AA145" s="163">
        <v>1</v>
      </c>
      <c r="AB145" s="173">
        <v>118.73</v>
      </c>
      <c r="AD145" s="154">
        <v>203.65899999999999</v>
      </c>
      <c r="AG145" s="3" t="s">
        <v>36</v>
      </c>
      <c r="AH145" s="165">
        <v>1.05E-4</v>
      </c>
      <c r="AI145" s="165">
        <v>1.4426815661353599E-2</v>
      </c>
      <c r="AJ145" s="165">
        <v>4.1006939817679498E-3</v>
      </c>
    </row>
    <row r="146" spans="1:36">
      <c r="A146" s="3">
        <v>288</v>
      </c>
      <c r="B146" s="3">
        <v>1451</v>
      </c>
      <c r="C146" s="3" t="s">
        <v>179</v>
      </c>
      <c r="D146" s="3" t="s">
        <v>180</v>
      </c>
      <c r="E146" s="5" t="s">
        <v>147</v>
      </c>
      <c r="F146" s="3" t="s">
        <v>186</v>
      </c>
      <c r="G146" s="3" t="s">
        <v>187</v>
      </c>
      <c r="H146" s="3" t="s">
        <v>150</v>
      </c>
      <c r="I146" s="3" t="s">
        <v>165</v>
      </c>
      <c r="J146" s="3" t="s">
        <v>30</v>
      </c>
      <c r="K146" s="3" t="s">
        <v>30</v>
      </c>
      <c r="L146" s="3" t="s">
        <v>152</v>
      </c>
      <c r="M146" s="3" t="s">
        <v>41</v>
      </c>
      <c r="N146" s="3" t="s">
        <v>184</v>
      </c>
      <c r="O146" s="3" t="s">
        <v>154</v>
      </c>
      <c r="P146" s="3" t="s">
        <v>185</v>
      </c>
      <c r="Q146" s="3" t="s">
        <v>156</v>
      </c>
      <c r="R146" s="3" t="s">
        <v>157</v>
      </c>
      <c r="S146" s="3" t="s">
        <v>44</v>
      </c>
      <c r="T146" s="154">
        <v>2.12</v>
      </c>
      <c r="U146" s="3" t="s">
        <v>188</v>
      </c>
      <c r="V146" s="165">
        <v>0.05</v>
      </c>
      <c r="W146" s="165">
        <v>4.5929999999999999E-2</v>
      </c>
      <c r="X146" s="5" t="s">
        <v>159</v>
      </c>
      <c r="Y146" s="5" t="s">
        <v>154</v>
      </c>
      <c r="Z146" s="154">
        <v>218750</v>
      </c>
      <c r="AA146" s="163">
        <v>1</v>
      </c>
      <c r="AB146" s="173">
        <v>103.14</v>
      </c>
      <c r="AD146" s="154">
        <v>225.619</v>
      </c>
      <c r="AG146" s="3" t="s">
        <v>36</v>
      </c>
      <c r="AH146" s="165">
        <v>4.44E-4</v>
      </c>
      <c r="AI146" s="165">
        <v>1.5982370404308499E-2</v>
      </c>
      <c r="AJ146" s="165">
        <v>4.5428465761088999E-3</v>
      </c>
    </row>
    <row r="147" spans="1:36">
      <c r="A147" s="3">
        <v>288</v>
      </c>
      <c r="B147" s="3">
        <v>1451</v>
      </c>
      <c r="C147" s="3" t="s">
        <v>555</v>
      </c>
      <c r="D147" s="3" t="s">
        <v>556</v>
      </c>
      <c r="E147" s="5" t="s">
        <v>147</v>
      </c>
      <c r="F147" s="3" t="s">
        <v>669</v>
      </c>
      <c r="G147" s="3" t="s">
        <v>670</v>
      </c>
      <c r="H147" s="3" t="s">
        <v>150</v>
      </c>
      <c r="I147" s="3" t="s">
        <v>183</v>
      </c>
      <c r="J147" s="3" t="s">
        <v>30</v>
      </c>
      <c r="K147" s="3" t="s">
        <v>30</v>
      </c>
      <c r="L147" s="3" t="s">
        <v>152</v>
      </c>
      <c r="M147" s="3" t="s">
        <v>41</v>
      </c>
      <c r="N147" s="3" t="s">
        <v>193</v>
      </c>
      <c r="O147" s="3" t="s">
        <v>154</v>
      </c>
      <c r="P147" s="3" t="s">
        <v>155</v>
      </c>
      <c r="Q147" s="3" t="s">
        <v>156</v>
      </c>
      <c r="R147" s="3" t="s">
        <v>157</v>
      </c>
      <c r="S147" s="3" t="s">
        <v>44</v>
      </c>
      <c r="T147" s="154">
        <v>1.319</v>
      </c>
      <c r="U147" s="3" t="s">
        <v>671</v>
      </c>
      <c r="V147" s="165">
        <v>3.2000000000000001E-2</v>
      </c>
      <c r="W147" s="165">
        <v>3.4700000000000002E-2</v>
      </c>
      <c r="X147" s="5" t="s">
        <v>159</v>
      </c>
      <c r="Y147" s="5" t="s">
        <v>154</v>
      </c>
      <c r="Z147" s="154">
        <v>68750</v>
      </c>
      <c r="AA147" s="163">
        <v>1</v>
      </c>
      <c r="AB147" s="173">
        <v>110.31</v>
      </c>
      <c r="AD147" s="154">
        <v>75.837999999999994</v>
      </c>
      <c r="AG147" s="3" t="s">
        <v>36</v>
      </c>
      <c r="AH147" s="165">
        <v>1.1400000000000001E-4</v>
      </c>
      <c r="AI147" s="165">
        <v>5.3722175329765399E-3</v>
      </c>
      <c r="AJ147" s="165">
        <v>1.5270050316951399E-3</v>
      </c>
    </row>
    <row r="148" spans="1:36">
      <c r="A148" s="3">
        <v>288</v>
      </c>
      <c r="B148" s="3">
        <v>1451</v>
      </c>
      <c r="C148" s="3" t="s">
        <v>189</v>
      </c>
      <c r="D148" s="3" t="s">
        <v>190</v>
      </c>
      <c r="E148" s="5" t="s">
        <v>147</v>
      </c>
      <c r="F148" s="3" t="s">
        <v>191</v>
      </c>
      <c r="G148" s="3" t="s">
        <v>192</v>
      </c>
      <c r="H148" s="3" t="s">
        <v>150</v>
      </c>
      <c r="I148" s="3" t="s">
        <v>183</v>
      </c>
      <c r="J148" s="3" t="s">
        <v>30</v>
      </c>
      <c r="K148" s="3" t="s">
        <v>30</v>
      </c>
      <c r="L148" s="3" t="s">
        <v>152</v>
      </c>
      <c r="M148" s="3" t="s">
        <v>41</v>
      </c>
      <c r="N148" s="3" t="s">
        <v>193</v>
      </c>
      <c r="O148" s="3" t="s">
        <v>154</v>
      </c>
      <c r="P148" s="3" t="s">
        <v>155</v>
      </c>
      <c r="Q148" s="3" t="s">
        <v>156</v>
      </c>
      <c r="R148" s="3" t="s">
        <v>157</v>
      </c>
      <c r="S148" s="3" t="s">
        <v>44</v>
      </c>
      <c r="T148" s="154">
        <v>2.3919999999999999</v>
      </c>
      <c r="U148" s="3" t="s">
        <v>194</v>
      </c>
      <c r="V148" s="165">
        <v>3.2300000000000002E-2</v>
      </c>
      <c r="W148" s="165">
        <v>2.954E-2</v>
      </c>
      <c r="X148" s="5" t="s">
        <v>159</v>
      </c>
      <c r="Y148" s="5" t="s">
        <v>154</v>
      </c>
      <c r="Z148" s="154">
        <v>42160</v>
      </c>
      <c r="AA148" s="163">
        <v>1</v>
      </c>
      <c r="AB148" s="173">
        <v>110.84</v>
      </c>
      <c r="AD148" s="154">
        <v>46.73</v>
      </c>
      <c r="AG148" s="3" t="s">
        <v>36</v>
      </c>
      <c r="AH148" s="165">
        <v>8.2000000000000001E-5</v>
      </c>
      <c r="AI148" s="165">
        <v>3.3102677435039199E-3</v>
      </c>
      <c r="AJ148" s="165">
        <v>9.4091415129051001E-4</v>
      </c>
    </row>
    <row r="149" spans="1:36">
      <c r="A149" s="3">
        <v>288</v>
      </c>
      <c r="B149" s="3">
        <v>1451</v>
      </c>
      <c r="C149" s="3" t="s">
        <v>195</v>
      </c>
      <c r="D149" s="3" t="s">
        <v>196</v>
      </c>
      <c r="E149" s="5" t="s">
        <v>147</v>
      </c>
      <c r="F149" s="3" t="s">
        <v>197</v>
      </c>
      <c r="G149" s="3" t="s">
        <v>198</v>
      </c>
      <c r="H149" s="3" t="s">
        <v>150</v>
      </c>
      <c r="I149" s="3" t="s">
        <v>183</v>
      </c>
      <c r="J149" s="3" t="s">
        <v>30</v>
      </c>
      <c r="K149" s="3" t="s">
        <v>30</v>
      </c>
      <c r="L149" s="3" t="s">
        <v>152</v>
      </c>
      <c r="M149" s="3" t="s">
        <v>41</v>
      </c>
      <c r="N149" s="3" t="s">
        <v>184</v>
      </c>
      <c r="O149" s="3" t="s">
        <v>154</v>
      </c>
      <c r="P149" s="3" t="s">
        <v>199</v>
      </c>
      <c r="Q149" s="3" t="s">
        <v>156</v>
      </c>
      <c r="R149" s="3" t="s">
        <v>157</v>
      </c>
      <c r="S149" s="3" t="s">
        <v>44</v>
      </c>
      <c r="T149" s="154">
        <v>6.1760000000000002</v>
      </c>
      <c r="U149" s="3" t="s">
        <v>200</v>
      </c>
      <c r="V149" s="165">
        <v>2.5600000000000001E-2</v>
      </c>
      <c r="W149" s="165">
        <v>3.1919999999999997E-2</v>
      </c>
      <c r="X149" s="5" t="s">
        <v>159</v>
      </c>
      <c r="Y149" s="5" t="s">
        <v>154</v>
      </c>
      <c r="Z149" s="154">
        <v>170000</v>
      </c>
      <c r="AA149" s="163">
        <v>1</v>
      </c>
      <c r="AB149" s="173">
        <v>108.14</v>
      </c>
      <c r="AD149" s="154">
        <v>183.83799999999999</v>
      </c>
      <c r="AG149" s="3" t="s">
        <v>36</v>
      </c>
      <c r="AH149" s="165">
        <v>1.6200000000000001E-4</v>
      </c>
      <c r="AI149" s="165">
        <v>1.30227076002649E-2</v>
      </c>
      <c r="AJ149" s="165">
        <v>3.70158875917319E-3</v>
      </c>
    </row>
    <row r="150" spans="1:36">
      <c r="A150" s="3">
        <v>288</v>
      </c>
      <c r="B150" s="3">
        <v>1451</v>
      </c>
      <c r="C150" s="3" t="s">
        <v>195</v>
      </c>
      <c r="D150" s="3" t="s">
        <v>196</v>
      </c>
      <c r="E150" s="5" t="s">
        <v>147</v>
      </c>
      <c r="F150" s="3" t="s">
        <v>564</v>
      </c>
      <c r="G150" s="3" t="s">
        <v>565</v>
      </c>
      <c r="H150" s="3" t="s">
        <v>150</v>
      </c>
      <c r="I150" s="3" t="s">
        <v>165</v>
      </c>
      <c r="J150" s="3" t="s">
        <v>30</v>
      </c>
      <c r="K150" s="3" t="s">
        <v>30</v>
      </c>
      <c r="L150" s="3" t="s">
        <v>152</v>
      </c>
      <c r="M150" s="3" t="s">
        <v>41</v>
      </c>
      <c r="N150" s="3" t="s">
        <v>184</v>
      </c>
      <c r="O150" s="3" t="s">
        <v>154</v>
      </c>
      <c r="P150" s="3" t="s">
        <v>199</v>
      </c>
      <c r="Q150" s="3" t="s">
        <v>156</v>
      </c>
      <c r="R150" s="3" t="s">
        <v>157</v>
      </c>
      <c r="S150" s="3" t="s">
        <v>44</v>
      </c>
      <c r="T150" s="154">
        <v>5.6870000000000003</v>
      </c>
      <c r="U150" s="3" t="s">
        <v>200</v>
      </c>
      <c r="V150" s="165">
        <v>4.9399999999999999E-2</v>
      </c>
      <c r="W150" s="165">
        <v>5.142E-2</v>
      </c>
      <c r="X150" s="5" t="s">
        <v>159</v>
      </c>
      <c r="Y150" s="5" t="s">
        <v>154</v>
      </c>
      <c r="Z150" s="154">
        <v>140000</v>
      </c>
      <c r="AA150" s="163">
        <v>1</v>
      </c>
      <c r="AB150" s="173">
        <v>101.81</v>
      </c>
      <c r="AD150" s="154">
        <v>142.53399999999999</v>
      </c>
      <c r="AG150" s="3" t="s">
        <v>36</v>
      </c>
      <c r="AH150" s="165">
        <v>7.4999999999999993E-5</v>
      </c>
      <c r="AI150" s="165">
        <v>1.0096816790305401E-2</v>
      </c>
      <c r="AJ150" s="165">
        <v>2.8699303310522999E-3</v>
      </c>
    </row>
    <row r="151" spans="1:36">
      <c r="A151" s="3">
        <v>288</v>
      </c>
      <c r="B151" s="3">
        <v>1451</v>
      </c>
      <c r="C151" s="3" t="s">
        <v>204</v>
      </c>
      <c r="D151" s="3" t="s">
        <v>205</v>
      </c>
      <c r="E151" s="5" t="s">
        <v>147</v>
      </c>
      <c r="F151" s="3" t="s">
        <v>206</v>
      </c>
      <c r="G151" s="3" t="s">
        <v>207</v>
      </c>
      <c r="H151" s="3" t="s">
        <v>150</v>
      </c>
      <c r="I151" s="3" t="s">
        <v>165</v>
      </c>
      <c r="J151" s="3" t="s">
        <v>30</v>
      </c>
      <c r="K151" s="3" t="s">
        <v>30</v>
      </c>
      <c r="L151" s="3" t="s">
        <v>152</v>
      </c>
      <c r="M151" s="3" t="s">
        <v>41</v>
      </c>
      <c r="N151" s="3" t="s">
        <v>208</v>
      </c>
      <c r="O151" s="3" t="s">
        <v>154</v>
      </c>
      <c r="P151" s="3" t="s">
        <v>155</v>
      </c>
      <c r="Q151" s="3" t="s">
        <v>156</v>
      </c>
      <c r="R151" s="3" t="s">
        <v>157</v>
      </c>
      <c r="S151" s="3" t="s">
        <v>44</v>
      </c>
      <c r="T151" s="154">
        <v>2.5489999999999999</v>
      </c>
      <c r="U151" s="3" t="s">
        <v>209</v>
      </c>
      <c r="V151" s="165">
        <v>0.04</v>
      </c>
      <c r="W151" s="165">
        <v>4.802E-2</v>
      </c>
      <c r="X151" s="5" t="s">
        <v>159</v>
      </c>
      <c r="Y151" s="5" t="s">
        <v>154</v>
      </c>
      <c r="Z151" s="154">
        <v>182250.06</v>
      </c>
      <c r="AA151" s="163">
        <v>1</v>
      </c>
      <c r="AB151" s="173">
        <v>99.07</v>
      </c>
      <c r="AD151" s="154">
        <v>180.55500000000001</v>
      </c>
      <c r="AG151" s="3" t="s">
        <v>36</v>
      </c>
      <c r="AH151" s="165">
        <v>3.1399999999999999E-4</v>
      </c>
      <c r="AI151" s="165">
        <v>1.27901561242218E-2</v>
      </c>
      <c r="AJ151" s="165">
        <v>3.6354880713536501E-3</v>
      </c>
    </row>
    <row r="152" spans="1:36">
      <c r="A152" s="3">
        <v>288</v>
      </c>
      <c r="B152" s="3">
        <v>1451</v>
      </c>
      <c r="C152" s="3" t="s">
        <v>210</v>
      </c>
      <c r="D152" s="3" t="s">
        <v>211</v>
      </c>
      <c r="E152" s="5" t="s">
        <v>147</v>
      </c>
      <c r="F152" s="3" t="s">
        <v>212</v>
      </c>
      <c r="G152" s="3" t="s">
        <v>213</v>
      </c>
      <c r="H152" s="3" t="s">
        <v>150</v>
      </c>
      <c r="I152" s="3" t="s">
        <v>183</v>
      </c>
      <c r="J152" s="3" t="s">
        <v>30</v>
      </c>
      <c r="K152" s="3" t="s">
        <v>30</v>
      </c>
      <c r="L152" s="3" t="s">
        <v>152</v>
      </c>
      <c r="M152" s="3" t="s">
        <v>41</v>
      </c>
      <c r="N152" s="3" t="s">
        <v>184</v>
      </c>
      <c r="O152" s="3" t="s">
        <v>154</v>
      </c>
      <c r="P152" s="3" t="s">
        <v>185</v>
      </c>
      <c r="Q152" s="3" t="s">
        <v>156</v>
      </c>
      <c r="R152" s="3" t="s">
        <v>157</v>
      </c>
      <c r="S152" s="3" t="s">
        <v>44</v>
      </c>
      <c r="T152" s="154">
        <v>1.6990000000000001</v>
      </c>
      <c r="U152" s="3" t="s">
        <v>214</v>
      </c>
      <c r="V152" s="165">
        <v>3.2000000000000001E-2</v>
      </c>
      <c r="W152" s="165">
        <v>2.8459999999999999E-2</v>
      </c>
      <c r="X152" s="5" t="s">
        <v>159</v>
      </c>
      <c r="Y152" s="5" t="s">
        <v>154</v>
      </c>
      <c r="Z152" s="154">
        <v>109800</v>
      </c>
      <c r="AA152" s="163">
        <v>1</v>
      </c>
      <c r="AB152" s="173">
        <v>120.07</v>
      </c>
      <c r="AD152" s="154">
        <v>131.83699999999999</v>
      </c>
      <c r="AG152" s="3" t="s">
        <v>36</v>
      </c>
      <c r="AH152" s="165">
        <v>2.6499999999999999E-4</v>
      </c>
      <c r="AI152" s="165">
        <v>9.3390532899458294E-3</v>
      </c>
      <c r="AJ152" s="165">
        <v>2.6545427986634398E-3</v>
      </c>
    </row>
    <row r="153" spans="1:36">
      <c r="A153" s="3">
        <v>288</v>
      </c>
      <c r="B153" s="3">
        <v>1451</v>
      </c>
      <c r="C153" s="3" t="s">
        <v>210</v>
      </c>
      <c r="D153" s="3" t="s">
        <v>211</v>
      </c>
      <c r="E153" s="5" t="s">
        <v>147</v>
      </c>
      <c r="F153" s="3" t="s">
        <v>215</v>
      </c>
      <c r="G153" s="3" t="s">
        <v>216</v>
      </c>
      <c r="H153" s="3" t="s">
        <v>150</v>
      </c>
      <c r="I153" s="3" t="s">
        <v>183</v>
      </c>
      <c r="J153" s="3" t="s">
        <v>30</v>
      </c>
      <c r="K153" s="3" t="s">
        <v>30</v>
      </c>
      <c r="L153" s="3" t="s">
        <v>152</v>
      </c>
      <c r="M153" s="3" t="s">
        <v>41</v>
      </c>
      <c r="N153" s="3" t="s">
        <v>184</v>
      </c>
      <c r="O153" s="3" t="s">
        <v>154</v>
      </c>
      <c r="P153" s="3" t="s">
        <v>185</v>
      </c>
      <c r="Q153" s="3" t="s">
        <v>156</v>
      </c>
      <c r="R153" s="3" t="s">
        <v>157</v>
      </c>
      <c r="S153" s="3" t="s">
        <v>44</v>
      </c>
      <c r="T153" s="154">
        <v>4.6059999999999999</v>
      </c>
      <c r="U153" s="3" t="s">
        <v>217</v>
      </c>
      <c r="V153" s="165">
        <v>9.1999999999999998E-3</v>
      </c>
      <c r="W153" s="165">
        <v>2.8729999999999999E-2</v>
      </c>
      <c r="X153" s="5" t="s">
        <v>159</v>
      </c>
      <c r="Y153" s="5" t="s">
        <v>154</v>
      </c>
      <c r="Z153" s="154">
        <v>47250</v>
      </c>
      <c r="AA153" s="163">
        <v>1</v>
      </c>
      <c r="AB153" s="173">
        <v>109.54</v>
      </c>
      <c r="AD153" s="154">
        <v>51.758000000000003</v>
      </c>
      <c r="AG153" s="3" t="s">
        <v>36</v>
      </c>
      <c r="AH153" s="165">
        <v>1.8E-5</v>
      </c>
      <c r="AI153" s="165">
        <v>3.6664059771475501E-3</v>
      </c>
      <c r="AJ153" s="165">
        <v>1.0421432752816099E-3</v>
      </c>
    </row>
    <row r="154" spans="1:36">
      <c r="A154" s="3">
        <v>288</v>
      </c>
      <c r="B154" s="3">
        <v>1451</v>
      </c>
      <c r="C154" s="3" t="s">
        <v>218</v>
      </c>
      <c r="D154" s="3" t="s">
        <v>219</v>
      </c>
      <c r="E154" s="5" t="s">
        <v>147</v>
      </c>
      <c r="F154" s="3" t="s">
        <v>220</v>
      </c>
      <c r="G154" s="3" t="s">
        <v>221</v>
      </c>
      <c r="H154" s="3" t="s">
        <v>150</v>
      </c>
      <c r="I154" s="3" t="s">
        <v>165</v>
      </c>
      <c r="J154" s="3" t="s">
        <v>30</v>
      </c>
      <c r="K154" s="3" t="s">
        <v>117</v>
      </c>
      <c r="L154" s="3" t="s">
        <v>152</v>
      </c>
      <c r="M154" s="3" t="s">
        <v>41</v>
      </c>
      <c r="N154" s="3" t="s">
        <v>222</v>
      </c>
      <c r="O154" s="3" t="s">
        <v>154</v>
      </c>
      <c r="P154" s="3" t="s">
        <v>177</v>
      </c>
      <c r="Q154" s="3" t="s">
        <v>169</v>
      </c>
      <c r="R154" s="3" t="s">
        <v>157</v>
      </c>
      <c r="S154" s="3" t="s">
        <v>44</v>
      </c>
      <c r="T154" s="154">
        <v>0.89500000000000002</v>
      </c>
      <c r="U154" s="3" t="s">
        <v>223</v>
      </c>
      <c r="V154" s="165">
        <v>3.4500000000000003E-2</v>
      </c>
      <c r="W154" s="165">
        <v>5.1270000000000003E-2</v>
      </c>
      <c r="X154" s="5" t="s">
        <v>159</v>
      </c>
      <c r="Y154" s="5" t="s">
        <v>154</v>
      </c>
      <c r="Z154" s="154">
        <v>91764.7</v>
      </c>
      <c r="AA154" s="163">
        <v>1</v>
      </c>
      <c r="AB154" s="173">
        <v>98.92</v>
      </c>
      <c r="AD154" s="154">
        <v>90.774000000000001</v>
      </c>
      <c r="AG154" s="3" t="s">
        <v>36</v>
      </c>
      <c r="AH154" s="165">
        <v>1.65E-4</v>
      </c>
      <c r="AI154" s="165">
        <v>6.4302189301443102E-3</v>
      </c>
      <c r="AJ154" s="165">
        <v>1.82773251473147E-3</v>
      </c>
    </row>
    <row r="155" spans="1:36">
      <c r="A155" s="3">
        <v>288</v>
      </c>
      <c r="B155" s="3">
        <v>1451</v>
      </c>
      <c r="C155" s="3" t="s">
        <v>224</v>
      </c>
      <c r="D155" s="3" t="s">
        <v>225</v>
      </c>
      <c r="E155" s="5" t="s">
        <v>147</v>
      </c>
      <c r="F155" s="3" t="s">
        <v>226</v>
      </c>
      <c r="G155" s="3" t="s">
        <v>227</v>
      </c>
      <c r="H155" s="3" t="s">
        <v>150</v>
      </c>
      <c r="I155" s="3" t="s">
        <v>165</v>
      </c>
      <c r="J155" s="3" t="s">
        <v>30</v>
      </c>
      <c r="K155" s="3" t="s">
        <v>30</v>
      </c>
      <c r="L155" s="3" t="s">
        <v>152</v>
      </c>
      <c r="M155" s="3" t="s">
        <v>41</v>
      </c>
      <c r="N155" s="3" t="s">
        <v>222</v>
      </c>
      <c r="O155" s="3" t="s">
        <v>154</v>
      </c>
      <c r="P155" s="3" t="s">
        <v>228</v>
      </c>
      <c r="Q155" s="3" t="s">
        <v>156</v>
      </c>
      <c r="R155" s="3" t="s">
        <v>157</v>
      </c>
      <c r="S155" s="3" t="s">
        <v>44</v>
      </c>
      <c r="T155" s="154">
        <v>2.4319999999999999</v>
      </c>
      <c r="U155" s="3" t="s">
        <v>229</v>
      </c>
      <c r="V155" s="165">
        <v>2.0500000000000001E-2</v>
      </c>
      <c r="W155" s="165">
        <v>5.0529999999999999E-2</v>
      </c>
      <c r="X155" s="5" t="s">
        <v>159</v>
      </c>
      <c r="Y155" s="5" t="s">
        <v>154</v>
      </c>
      <c r="Z155" s="154">
        <v>85714.32</v>
      </c>
      <c r="AA155" s="163">
        <v>1</v>
      </c>
      <c r="AB155" s="173">
        <v>93.47</v>
      </c>
      <c r="AD155" s="154">
        <v>80.117000000000004</v>
      </c>
      <c r="AG155" s="3" t="s">
        <v>36</v>
      </c>
      <c r="AH155" s="165">
        <v>9.7999999999999997E-5</v>
      </c>
      <c r="AI155" s="165">
        <v>5.6753366688827899E-3</v>
      </c>
      <c r="AJ155" s="165">
        <v>1.6131639489189401E-3</v>
      </c>
    </row>
    <row r="156" spans="1:36">
      <c r="A156" s="3">
        <v>288</v>
      </c>
      <c r="B156" s="3">
        <v>1451</v>
      </c>
      <c r="C156" s="3" t="s">
        <v>230</v>
      </c>
      <c r="D156" s="3" t="s">
        <v>231</v>
      </c>
      <c r="E156" s="5" t="s">
        <v>147</v>
      </c>
      <c r="F156" s="3" t="s">
        <v>232</v>
      </c>
      <c r="G156" s="3" t="s">
        <v>233</v>
      </c>
      <c r="H156" s="3" t="s">
        <v>150</v>
      </c>
      <c r="I156" s="3" t="s">
        <v>165</v>
      </c>
      <c r="J156" s="3" t="s">
        <v>30</v>
      </c>
      <c r="K156" s="3" t="s">
        <v>30</v>
      </c>
      <c r="L156" s="3" t="s">
        <v>152</v>
      </c>
      <c r="M156" s="3" t="s">
        <v>41</v>
      </c>
      <c r="N156" s="3" t="s">
        <v>234</v>
      </c>
      <c r="O156" s="3" t="s">
        <v>154</v>
      </c>
      <c r="P156" s="3" t="s">
        <v>155</v>
      </c>
      <c r="Q156" s="3" t="s">
        <v>156</v>
      </c>
      <c r="R156" s="3" t="s">
        <v>157</v>
      </c>
      <c r="S156" s="3" t="s">
        <v>44</v>
      </c>
      <c r="T156" s="154">
        <v>2.4500000000000002</v>
      </c>
      <c r="U156" s="3" t="s">
        <v>235</v>
      </c>
      <c r="V156" s="165">
        <v>0.05</v>
      </c>
      <c r="W156" s="165">
        <v>5.1810000000000002E-2</v>
      </c>
      <c r="X156" s="5" t="s">
        <v>159</v>
      </c>
      <c r="Y156" s="5" t="s">
        <v>154</v>
      </c>
      <c r="Z156" s="154">
        <v>109894.74</v>
      </c>
      <c r="AA156" s="163">
        <v>1</v>
      </c>
      <c r="AB156" s="173">
        <v>99.87</v>
      </c>
      <c r="AD156" s="154">
        <v>109.752</v>
      </c>
      <c r="AG156" s="3" t="s">
        <v>36</v>
      </c>
      <c r="AH156" s="165">
        <v>1.0900000000000001E-4</v>
      </c>
      <c r="AI156" s="165">
        <v>7.7745982911126199E-3</v>
      </c>
      <c r="AJ156" s="165">
        <v>2.2098603857836898E-3</v>
      </c>
    </row>
    <row r="157" spans="1:36">
      <c r="A157" s="3">
        <v>288</v>
      </c>
      <c r="B157" s="3">
        <v>1451</v>
      </c>
      <c r="C157" s="3" t="s">
        <v>242</v>
      </c>
      <c r="D157" s="3" t="s">
        <v>243</v>
      </c>
      <c r="E157" s="5" t="s">
        <v>147</v>
      </c>
      <c r="F157" s="3" t="s">
        <v>244</v>
      </c>
      <c r="G157" s="3" t="s">
        <v>245</v>
      </c>
      <c r="H157" s="3" t="s">
        <v>150</v>
      </c>
      <c r="I157" s="3" t="s">
        <v>183</v>
      </c>
      <c r="J157" s="3" t="s">
        <v>30</v>
      </c>
      <c r="K157" s="3" t="s">
        <v>30</v>
      </c>
      <c r="L157" s="3" t="s">
        <v>152</v>
      </c>
      <c r="M157" s="3" t="s">
        <v>41</v>
      </c>
      <c r="N157" s="3" t="s">
        <v>184</v>
      </c>
      <c r="O157" s="3" t="s">
        <v>154</v>
      </c>
      <c r="P157" s="3" t="s">
        <v>246</v>
      </c>
      <c r="Q157" s="3" t="s">
        <v>169</v>
      </c>
      <c r="R157" s="3" t="s">
        <v>157</v>
      </c>
      <c r="S157" s="3" t="s">
        <v>44</v>
      </c>
      <c r="T157" s="154">
        <v>3.51</v>
      </c>
      <c r="U157" s="3" t="s">
        <v>247</v>
      </c>
      <c r="V157" s="165">
        <v>1.17E-2</v>
      </c>
      <c r="W157" s="165">
        <v>2.8479999999999998E-2</v>
      </c>
      <c r="X157" s="5" t="s">
        <v>159</v>
      </c>
      <c r="Y157" s="5" t="s">
        <v>154</v>
      </c>
      <c r="Z157" s="154">
        <v>59640</v>
      </c>
      <c r="AA157" s="163">
        <v>1</v>
      </c>
      <c r="AB157" s="173">
        <v>111.54</v>
      </c>
      <c r="AD157" s="154">
        <v>66.522000000000006</v>
      </c>
      <c r="AG157" s="3" t="s">
        <v>36</v>
      </c>
      <c r="AH157" s="165">
        <v>8.7000000000000001E-5</v>
      </c>
      <c r="AI157" s="165">
        <v>4.7123146103606904E-3</v>
      </c>
      <c r="AJ157" s="165">
        <v>1.33943349776539E-3</v>
      </c>
    </row>
    <row r="158" spans="1:36">
      <c r="A158" s="3">
        <v>288</v>
      </c>
      <c r="B158" s="3">
        <v>1451</v>
      </c>
      <c r="C158" s="3" t="s">
        <v>242</v>
      </c>
      <c r="D158" s="3" t="s">
        <v>243</v>
      </c>
      <c r="E158" s="5" t="s">
        <v>147</v>
      </c>
      <c r="F158" s="3" t="s">
        <v>672</v>
      </c>
      <c r="G158" s="3" t="s">
        <v>673</v>
      </c>
      <c r="H158" s="3" t="s">
        <v>150</v>
      </c>
      <c r="I158" s="3" t="s">
        <v>183</v>
      </c>
      <c r="J158" s="3" t="s">
        <v>30</v>
      </c>
      <c r="K158" s="3" t="s">
        <v>30</v>
      </c>
      <c r="L158" s="3" t="s">
        <v>152</v>
      </c>
      <c r="M158" s="3" t="s">
        <v>41</v>
      </c>
      <c r="N158" s="3" t="s">
        <v>184</v>
      </c>
      <c r="O158" s="3" t="s">
        <v>154</v>
      </c>
      <c r="P158" s="3" t="s">
        <v>185</v>
      </c>
      <c r="Q158" s="3" t="s">
        <v>156</v>
      </c>
      <c r="R158" s="3" t="s">
        <v>157</v>
      </c>
      <c r="S158" s="3" t="s">
        <v>44</v>
      </c>
      <c r="T158" s="154">
        <v>2.7170000000000001</v>
      </c>
      <c r="U158" s="3" t="s">
        <v>674</v>
      </c>
      <c r="V158" s="165">
        <v>6.8999999999999999E-3</v>
      </c>
      <c r="W158" s="165">
        <v>2.5319999999999999E-2</v>
      </c>
      <c r="X158" s="5" t="s">
        <v>159</v>
      </c>
      <c r="Y158" s="5" t="s">
        <v>154</v>
      </c>
      <c r="Z158" s="154">
        <v>54166.68</v>
      </c>
      <c r="AA158" s="163">
        <v>1</v>
      </c>
      <c r="AB158" s="173">
        <v>113.01</v>
      </c>
      <c r="AD158" s="154">
        <v>61.213999999999999</v>
      </c>
      <c r="AG158" s="3" t="s">
        <v>36</v>
      </c>
      <c r="AH158" s="165">
        <v>3.4499999999999998E-4</v>
      </c>
      <c r="AI158" s="165">
        <v>4.3362578117248597E-3</v>
      </c>
      <c r="AJ158" s="165">
        <v>1.23254269891088E-3</v>
      </c>
    </row>
    <row r="159" spans="1:36">
      <c r="A159" s="3">
        <v>288</v>
      </c>
      <c r="B159" s="3">
        <v>1451</v>
      </c>
      <c r="C159" s="3" t="s">
        <v>242</v>
      </c>
      <c r="D159" s="3" t="s">
        <v>243</v>
      </c>
      <c r="E159" s="5" t="s">
        <v>147</v>
      </c>
      <c r="F159" s="3" t="s">
        <v>248</v>
      </c>
      <c r="G159" s="3" t="s">
        <v>249</v>
      </c>
      <c r="H159" s="3" t="s">
        <v>150</v>
      </c>
      <c r="I159" s="3" t="s">
        <v>183</v>
      </c>
      <c r="J159" s="3" t="s">
        <v>30</v>
      </c>
      <c r="K159" s="3" t="s">
        <v>30</v>
      </c>
      <c r="L159" s="3" t="s">
        <v>152</v>
      </c>
      <c r="M159" s="3" t="s">
        <v>41</v>
      </c>
      <c r="N159" s="3" t="s">
        <v>184</v>
      </c>
      <c r="O159" s="3" t="s">
        <v>154</v>
      </c>
      <c r="P159" s="3" t="s">
        <v>199</v>
      </c>
      <c r="Q159" s="3" t="s">
        <v>156</v>
      </c>
      <c r="R159" s="3" t="s">
        <v>157</v>
      </c>
      <c r="S159" s="3" t="s">
        <v>44</v>
      </c>
      <c r="T159" s="154">
        <v>4.6689999999999996</v>
      </c>
      <c r="U159" s="3" t="s">
        <v>250</v>
      </c>
      <c r="V159" s="165">
        <v>1.8700000000000001E-2</v>
      </c>
      <c r="W159" s="165">
        <v>2.946E-2</v>
      </c>
      <c r="X159" s="5" t="s">
        <v>159</v>
      </c>
      <c r="Y159" s="5" t="s">
        <v>154</v>
      </c>
      <c r="Z159" s="154">
        <v>82320</v>
      </c>
      <c r="AA159" s="163">
        <v>1</v>
      </c>
      <c r="AB159" s="173">
        <v>109.28</v>
      </c>
      <c r="AD159" s="154">
        <v>89.959000000000003</v>
      </c>
      <c r="AG159" s="3" t="s">
        <v>36</v>
      </c>
      <c r="AH159" s="165">
        <v>8.3999999999999995E-5</v>
      </c>
      <c r="AI159" s="165">
        <v>6.3725323803222496E-3</v>
      </c>
      <c r="AJ159" s="165">
        <v>1.8113356262401399E-3</v>
      </c>
    </row>
    <row r="160" spans="1:36">
      <c r="A160" s="3">
        <v>288</v>
      </c>
      <c r="B160" s="3">
        <v>1451</v>
      </c>
      <c r="C160" s="3" t="s">
        <v>251</v>
      </c>
      <c r="D160" s="3" t="s">
        <v>252</v>
      </c>
      <c r="E160" s="5" t="s">
        <v>147</v>
      </c>
      <c r="F160" s="3" t="s">
        <v>253</v>
      </c>
      <c r="G160" s="3" t="s">
        <v>254</v>
      </c>
      <c r="H160" s="3" t="s">
        <v>150</v>
      </c>
      <c r="I160" s="3" t="s">
        <v>165</v>
      </c>
      <c r="J160" s="3" t="s">
        <v>30</v>
      </c>
      <c r="K160" s="3" t="s">
        <v>30</v>
      </c>
      <c r="L160" s="3" t="s">
        <v>152</v>
      </c>
      <c r="M160" s="3" t="s">
        <v>41</v>
      </c>
      <c r="N160" s="3" t="s">
        <v>234</v>
      </c>
      <c r="O160" s="3" t="s">
        <v>154</v>
      </c>
      <c r="P160" s="3" t="s">
        <v>168</v>
      </c>
      <c r="Q160" s="3" t="s">
        <v>169</v>
      </c>
      <c r="R160" s="3" t="s">
        <v>157</v>
      </c>
      <c r="S160" s="3" t="s">
        <v>44</v>
      </c>
      <c r="T160" s="154">
        <v>2.5110000000000001</v>
      </c>
      <c r="U160" s="3" t="s">
        <v>188</v>
      </c>
      <c r="V160" s="165">
        <v>7.2499999999999995E-2</v>
      </c>
      <c r="W160" s="165">
        <v>5.4579999999999997E-2</v>
      </c>
      <c r="X160" s="5" t="s">
        <v>159</v>
      </c>
      <c r="Y160" s="5" t="s">
        <v>154</v>
      </c>
      <c r="Z160" s="154">
        <v>39814.400000000001</v>
      </c>
      <c r="AA160" s="163">
        <v>1</v>
      </c>
      <c r="AB160" s="173">
        <v>107.9</v>
      </c>
      <c r="AD160" s="154">
        <v>42.96</v>
      </c>
      <c r="AG160" s="3" t="s">
        <v>36</v>
      </c>
      <c r="AH160" s="165">
        <v>6.2000000000000003E-5</v>
      </c>
      <c r="AI160" s="165">
        <v>3.0431798722185101E-3</v>
      </c>
      <c r="AJ160" s="165">
        <v>8.6499680042858402E-4</v>
      </c>
    </row>
    <row r="161" spans="1:36">
      <c r="A161" s="3">
        <v>288</v>
      </c>
      <c r="B161" s="3">
        <v>1451</v>
      </c>
      <c r="C161" s="3" t="s">
        <v>255</v>
      </c>
      <c r="D161" s="3" t="s">
        <v>256</v>
      </c>
      <c r="E161" s="5" t="s">
        <v>147</v>
      </c>
      <c r="F161" s="3" t="s">
        <v>583</v>
      </c>
      <c r="G161" s="3" t="s">
        <v>584</v>
      </c>
      <c r="H161" s="3" t="s">
        <v>150</v>
      </c>
      <c r="I161" s="3" t="s">
        <v>165</v>
      </c>
      <c r="J161" s="3" t="s">
        <v>30</v>
      </c>
      <c r="K161" s="3" t="s">
        <v>30</v>
      </c>
      <c r="L161" s="3" t="s">
        <v>152</v>
      </c>
      <c r="M161" s="3" t="s">
        <v>41</v>
      </c>
      <c r="N161" s="3" t="s">
        <v>184</v>
      </c>
      <c r="O161" s="3" t="s">
        <v>154</v>
      </c>
      <c r="P161" s="3" t="s">
        <v>185</v>
      </c>
      <c r="Q161" s="3" t="s">
        <v>156</v>
      </c>
      <c r="R161" s="3" t="s">
        <v>157</v>
      </c>
      <c r="S161" s="3" t="s">
        <v>44</v>
      </c>
      <c r="T161" s="154">
        <v>4.5410000000000004</v>
      </c>
      <c r="U161" s="3" t="s">
        <v>526</v>
      </c>
      <c r="V161" s="165">
        <v>2.5499999999999998E-2</v>
      </c>
      <c r="W161" s="165">
        <v>4.9320000000000003E-2</v>
      </c>
      <c r="X161" s="5" t="s">
        <v>159</v>
      </c>
      <c r="Y161" s="5" t="s">
        <v>154</v>
      </c>
      <c r="Z161" s="154">
        <v>96153.85</v>
      </c>
      <c r="AA161" s="163">
        <v>1</v>
      </c>
      <c r="AB161" s="173">
        <v>90.63</v>
      </c>
      <c r="AD161" s="154">
        <v>87.144000000000005</v>
      </c>
      <c r="AG161" s="3" t="s">
        <v>36</v>
      </c>
      <c r="AH161" s="165">
        <v>3.4E-5</v>
      </c>
      <c r="AI161" s="165">
        <v>6.1731191687891202E-3</v>
      </c>
      <c r="AJ161" s="165">
        <v>1.7546541952429E-3</v>
      </c>
    </row>
    <row r="162" spans="1:36">
      <c r="A162" s="3">
        <v>288</v>
      </c>
      <c r="B162" s="3">
        <v>1451</v>
      </c>
      <c r="C162" s="3" t="s">
        <v>255</v>
      </c>
      <c r="D162" s="3" t="s">
        <v>256</v>
      </c>
      <c r="E162" s="5" t="s">
        <v>147</v>
      </c>
      <c r="F162" s="3" t="s">
        <v>257</v>
      </c>
      <c r="G162" s="3" t="s">
        <v>258</v>
      </c>
      <c r="H162" s="3" t="s">
        <v>150</v>
      </c>
      <c r="I162" s="3" t="s">
        <v>183</v>
      </c>
      <c r="J162" s="3" t="s">
        <v>30</v>
      </c>
      <c r="K162" s="3" t="s">
        <v>30</v>
      </c>
      <c r="L162" s="3" t="s">
        <v>152</v>
      </c>
      <c r="M162" s="3" t="s">
        <v>41</v>
      </c>
      <c r="N162" s="3" t="s">
        <v>184</v>
      </c>
      <c r="O162" s="3" t="s">
        <v>154</v>
      </c>
      <c r="P162" s="3" t="s">
        <v>185</v>
      </c>
      <c r="Q162" s="3" t="s">
        <v>156</v>
      </c>
      <c r="R162" s="3" t="s">
        <v>157</v>
      </c>
      <c r="S162" s="3" t="s">
        <v>44</v>
      </c>
      <c r="T162" s="154">
        <v>3.726</v>
      </c>
      <c r="U162" s="3" t="s">
        <v>259</v>
      </c>
      <c r="V162" s="165">
        <v>5.0000000000000001E-3</v>
      </c>
      <c r="W162" s="165">
        <v>2.9350000000000001E-2</v>
      </c>
      <c r="X162" s="5" t="s">
        <v>159</v>
      </c>
      <c r="Y162" s="5" t="s">
        <v>154</v>
      </c>
      <c r="Z162" s="154">
        <v>20030.54</v>
      </c>
      <c r="AA162" s="163">
        <v>1</v>
      </c>
      <c r="AB162" s="173">
        <v>108.26</v>
      </c>
      <c r="AD162" s="154">
        <v>21.684999999999999</v>
      </c>
      <c r="AG162" s="3" t="s">
        <v>36</v>
      </c>
      <c r="AH162" s="165">
        <v>1.5E-5</v>
      </c>
      <c r="AI162" s="165">
        <v>1.5361254451491601E-3</v>
      </c>
      <c r="AJ162" s="165">
        <v>4.3662998932175799E-4</v>
      </c>
    </row>
    <row r="163" spans="1:36">
      <c r="A163" s="3">
        <v>288</v>
      </c>
      <c r="B163" s="3">
        <v>1451</v>
      </c>
      <c r="C163" s="3" t="s">
        <v>255</v>
      </c>
      <c r="D163" s="3" t="s">
        <v>256</v>
      </c>
      <c r="E163" s="5" t="s">
        <v>147</v>
      </c>
      <c r="F163" s="3" t="s">
        <v>260</v>
      </c>
      <c r="G163" s="3" t="s">
        <v>261</v>
      </c>
      <c r="H163" s="3" t="s">
        <v>150</v>
      </c>
      <c r="I163" s="3" t="s">
        <v>183</v>
      </c>
      <c r="J163" s="3" t="s">
        <v>30</v>
      </c>
      <c r="K163" s="3" t="s">
        <v>30</v>
      </c>
      <c r="L163" s="3" t="s">
        <v>152</v>
      </c>
      <c r="M163" s="3" t="s">
        <v>41</v>
      </c>
      <c r="N163" s="3" t="s">
        <v>184</v>
      </c>
      <c r="O163" s="3" t="s">
        <v>154</v>
      </c>
      <c r="P163" s="3" t="s">
        <v>185</v>
      </c>
      <c r="Q163" s="3" t="s">
        <v>156</v>
      </c>
      <c r="R163" s="3" t="s">
        <v>157</v>
      </c>
      <c r="S163" s="3" t="s">
        <v>44</v>
      </c>
      <c r="T163" s="154">
        <v>4.1829999999999998</v>
      </c>
      <c r="U163" s="3" t="s">
        <v>262</v>
      </c>
      <c r="V163" s="165">
        <v>5.8999999999999999E-3</v>
      </c>
      <c r="W163" s="165">
        <v>2.921E-2</v>
      </c>
      <c r="X163" s="5" t="s">
        <v>159</v>
      </c>
      <c r="Y163" s="5" t="s">
        <v>154</v>
      </c>
      <c r="Z163" s="154">
        <v>110000</v>
      </c>
      <c r="AA163" s="163">
        <v>1</v>
      </c>
      <c r="AB163" s="173">
        <v>104.71</v>
      </c>
      <c r="AD163" s="154">
        <v>115.181</v>
      </c>
      <c r="AG163" s="3" t="s">
        <v>36</v>
      </c>
      <c r="AH163" s="165">
        <v>7.8999999999999996E-5</v>
      </c>
      <c r="AI163" s="165">
        <v>8.1591862623946795E-3</v>
      </c>
      <c r="AJ163" s="165">
        <v>2.3191760945524202E-3</v>
      </c>
    </row>
    <row r="164" spans="1:36">
      <c r="A164" s="3">
        <v>288</v>
      </c>
      <c r="B164" s="3">
        <v>1451</v>
      </c>
      <c r="C164" s="3" t="s">
        <v>255</v>
      </c>
      <c r="D164" s="3" t="s">
        <v>256</v>
      </c>
      <c r="E164" s="5" t="s">
        <v>147</v>
      </c>
      <c r="F164" s="3" t="s">
        <v>675</v>
      </c>
      <c r="G164" s="3" t="s">
        <v>676</v>
      </c>
      <c r="H164" s="3" t="s">
        <v>150</v>
      </c>
      <c r="I164" s="3" t="s">
        <v>183</v>
      </c>
      <c r="J164" s="3" t="s">
        <v>30</v>
      </c>
      <c r="K164" s="3" t="s">
        <v>30</v>
      </c>
      <c r="L164" s="3" t="s">
        <v>152</v>
      </c>
      <c r="M164" s="3" t="s">
        <v>41</v>
      </c>
      <c r="N164" s="3" t="s">
        <v>184</v>
      </c>
      <c r="O164" s="3" t="s">
        <v>154</v>
      </c>
      <c r="P164" s="3" t="s">
        <v>185</v>
      </c>
      <c r="Q164" s="3" t="s">
        <v>156</v>
      </c>
      <c r="R164" s="3" t="s">
        <v>157</v>
      </c>
      <c r="S164" s="3" t="s">
        <v>44</v>
      </c>
      <c r="T164" s="154">
        <v>0.48199999999999998</v>
      </c>
      <c r="U164" s="3" t="s">
        <v>677</v>
      </c>
      <c r="V164" s="165">
        <v>4.7500000000000001E-2</v>
      </c>
      <c r="W164" s="165">
        <v>5.2159999999999998E-2</v>
      </c>
      <c r="X164" s="5" t="s">
        <v>159</v>
      </c>
      <c r="Y164" s="5" t="s">
        <v>154</v>
      </c>
      <c r="Z164" s="154">
        <v>0.19</v>
      </c>
      <c r="AA164" s="163">
        <v>1</v>
      </c>
      <c r="AB164" s="173">
        <v>143.80000000000001</v>
      </c>
      <c r="AD164" s="154">
        <v>0</v>
      </c>
      <c r="AG164" s="3" t="s">
        <v>36</v>
      </c>
      <c r="AH164" s="165">
        <v>0</v>
      </c>
      <c r="AI164" s="165">
        <v>1.9354345513682601E-8</v>
      </c>
      <c r="AJ164" s="165">
        <v>5.5013004970751404E-9</v>
      </c>
    </row>
    <row r="165" spans="1:36">
      <c r="A165" s="3">
        <v>288</v>
      </c>
      <c r="B165" s="3">
        <v>1451</v>
      </c>
      <c r="C165" s="3" t="s">
        <v>263</v>
      </c>
      <c r="D165" s="3" t="s">
        <v>264</v>
      </c>
      <c r="E165" s="5" t="s">
        <v>147</v>
      </c>
      <c r="F165" s="3" t="s">
        <v>270</v>
      </c>
      <c r="G165" s="3" t="s">
        <v>271</v>
      </c>
      <c r="H165" s="3" t="s">
        <v>150</v>
      </c>
      <c r="I165" s="3" t="s">
        <v>183</v>
      </c>
      <c r="J165" s="3" t="s">
        <v>30</v>
      </c>
      <c r="K165" s="3" t="s">
        <v>267</v>
      </c>
      <c r="L165" s="3" t="s">
        <v>152</v>
      </c>
      <c r="M165" s="3" t="s">
        <v>41</v>
      </c>
      <c r="N165" s="3" t="s">
        <v>167</v>
      </c>
      <c r="O165" s="3" t="s">
        <v>154</v>
      </c>
      <c r="P165" s="3" t="s">
        <v>268</v>
      </c>
      <c r="Q165" s="3" t="s">
        <v>156</v>
      </c>
      <c r="R165" s="3" t="s">
        <v>157</v>
      </c>
      <c r="S165" s="3" t="s">
        <v>44</v>
      </c>
      <c r="T165" s="154">
        <v>4.6870000000000003</v>
      </c>
      <c r="U165" s="3" t="s">
        <v>272</v>
      </c>
      <c r="V165" s="165">
        <v>1.7899999999999999E-2</v>
      </c>
      <c r="W165" s="165">
        <v>5.4170000000000003E-2</v>
      </c>
      <c r="X165" s="5" t="s">
        <v>159</v>
      </c>
      <c r="Y165" s="5" t="s">
        <v>154</v>
      </c>
      <c r="Z165" s="154">
        <v>100000</v>
      </c>
      <c r="AA165" s="163">
        <v>1</v>
      </c>
      <c r="AB165" s="173">
        <v>100.05</v>
      </c>
      <c r="AD165" s="154">
        <v>100.05</v>
      </c>
      <c r="AG165" s="3" t="s">
        <v>36</v>
      </c>
      <c r="AH165" s="165">
        <v>7.2000000000000002E-5</v>
      </c>
      <c r="AI165" s="165">
        <v>7.08733719582733E-3</v>
      </c>
      <c r="AJ165" s="165">
        <v>2.01451253470598E-3</v>
      </c>
    </row>
    <row r="166" spans="1:36">
      <c r="A166" s="3">
        <v>288</v>
      </c>
      <c r="B166" s="3">
        <v>1451</v>
      </c>
      <c r="C166" s="3" t="s">
        <v>273</v>
      </c>
      <c r="D166" s="3" t="s">
        <v>274</v>
      </c>
      <c r="E166" s="5" t="s">
        <v>147</v>
      </c>
      <c r="F166" s="3" t="s">
        <v>275</v>
      </c>
      <c r="G166" s="3" t="s">
        <v>276</v>
      </c>
      <c r="H166" s="3" t="s">
        <v>150</v>
      </c>
      <c r="I166" s="3" t="s">
        <v>165</v>
      </c>
      <c r="J166" s="3" t="s">
        <v>30</v>
      </c>
      <c r="K166" s="3" t="s">
        <v>30</v>
      </c>
      <c r="L166" s="3" t="s">
        <v>152</v>
      </c>
      <c r="M166" s="3" t="s">
        <v>41</v>
      </c>
      <c r="N166" s="3" t="s">
        <v>234</v>
      </c>
      <c r="O166" s="3" t="s">
        <v>154</v>
      </c>
      <c r="P166" s="3" t="s">
        <v>177</v>
      </c>
      <c r="Q166" s="3" t="s">
        <v>169</v>
      </c>
      <c r="R166" s="3" t="s">
        <v>157</v>
      </c>
      <c r="S166" s="3" t="s">
        <v>44</v>
      </c>
      <c r="T166" s="154">
        <v>1.4510000000000001</v>
      </c>
      <c r="U166" s="3" t="s">
        <v>277</v>
      </c>
      <c r="V166" s="165">
        <v>3.2899999999999999E-2</v>
      </c>
      <c r="W166" s="165">
        <v>4.9570000000000003E-2</v>
      </c>
      <c r="X166" s="5" t="s">
        <v>159</v>
      </c>
      <c r="Y166" s="5" t="s">
        <v>154</v>
      </c>
      <c r="Z166" s="154">
        <v>60333.33</v>
      </c>
      <c r="AA166" s="163">
        <v>1</v>
      </c>
      <c r="AB166" s="173">
        <v>97.79</v>
      </c>
      <c r="AD166" s="154">
        <v>59</v>
      </c>
      <c r="AG166" s="3" t="s">
        <v>36</v>
      </c>
      <c r="AH166" s="165">
        <v>8.3999999999999995E-5</v>
      </c>
      <c r="AI166" s="165">
        <v>4.1794366337519501E-3</v>
      </c>
      <c r="AJ166" s="165">
        <v>1.1879676744687201E-3</v>
      </c>
    </row>
    <row r="167" spans="1:36">
      <c r="A167" s="3">
        <v>288</v>
      </c>
      <c r="B167" s="3">
        <v>1451</v>
      </c>
      <c r="C167" s="3" t="s">
        <v>278</v>
      </c>
      <c r="D167" s="3" t="s">
        <v>279</v>
      </c>
      <c r="E167" s="5" t="s">
        <v>147</v>
      </c>
      <c r="F167" s="3" t="s">
        <v>280</v>
      </c>
      <c r="G167" s="3" t="s">
        <v>281</v>
      </c>
      <c r="H167" s="3" t="s">
        <v>150</v>
      </c>
      <c r="I167" s="3" t="s">
        <v>183</v>
      </c>
      <c r="J167" s="3" t="s">
        <v>30</v>
      </c>
      <c r="K167" s="3" t="s">
        <v>30</v>
      </c>
      <c r="L167" s="3" t="s">
        <v>152</v>
      </c>
      <c r="M167" s="3" t="s">
        <v>41</v>
      </c>
      <c r="N167" s="3" t="s">
        <v>282</v>
      </c>
      <c r="O167" s="3" t="s">
        <v>154</v>
      </c>
      <c r="P167" s="3" t="s">
        <v>283</v>
      </c>
      <c r="Q167" s="3" t="s">
        <v>156</v>
      </c>
      <c r="R167" s="3" t="s">
        <v>157</v>
      </c>
      <c r="S167" s="3" t="s">
        <v>44</v>
      </c>
      <c r="T167" s="154">
        <v>3.5009999999999999</v>
      </c>
      <c r="U167" s="3" t="s">
        <v>284</v>
      </c>
      <c r="V167" s="165">
        <v>2E-3</v>
      </c>
      <c r="W167" s="165">
        <v>2.5520000000000001E-2</v>
      </c>
      <c r="X167" s="5" t="s">
        <v>159</v>
      </c>
      <c r="Y167" s="5" t="s">
        <v>154</v>
      </c>
      <c r="Z167" s="154">
        <v>430162.88</v>
      </c>
      <c r="AA167" s="163">
        <v>1</v>
      </c>
      <c r="AB167" s="173">
        <v>106.62</v>
      </c>
      <c r="AD167" s="154">
        <v>458.64</v>
      </c>
      <c r="AG167" s="3" t="s">
        <v>36</v>
      </c>
      <c r="AH167" s="165">
        <v>1.35E-4</v>
      </c>
      <c r="AI167" s="165">
        <v>3.24890948588063E-2</v>
      </c>
      <c r="AJ167" s="165">
        <v>9.2347361252757103E-3</v>
      </c>
    </row>
    <row r="168" spans="1:36">
      <c r="A168" s="3">
        <v>288</v>
      </c>
      <c r="B168" s="3">
        <v>1451</v>
      </c>
      <c r="C168" s="3" t="s">
        <v>278</v>
      </c>
      <c r="D168" s="3" t="s">
        <v>279</v>
      </c>
      <c r="E168" s="5" t="s">
        <v>147</v>
      </c>
      <c r="F168" s="3" t="s">
        <v>285</v>
      </c>
      <c r="G168" s="3" t="s">
        <v>286</v>
      </c>
      <c r="H168" s="3" t="s">
        <v>150</v>
      </c>
      <c r="I168" s="3" t="s">
        <v>183</v>
      </c>
      <c r="J168" s="3" t="s">
        <v>30</v>
      </c>
      <c r="K168" s="3" t="s">
        <v>30</v>
      </c>
      <c r="L168" s="3" t="s">
        <v>152</v>
      </c>
      <c r="M168" s="3" t="s">
        <v>41</v>
      </c>
      <c r="N168" s="3" t="s">
        <v>282</v>
      </c>
      <c r="O168" s="3" t="s">
        <v>154</v>
      </c>
      <c r="P168" s="3" t="s">
        <v>283</v>
      </c>
      <c r="Q168" s="3" t="s">
        <v>156</v>
      </c>
      <c r="R168" s="3" t="s">
        <v>157</v>
      </c>
      <c r="S168" s="3" t="s">
        <v>44</v>
      </c>
      <c r="T168" s="154">
        <v>4.633</v>
      </c>
      <c r="U168" s="3" t="s">
        <v>287</v>
      </c>
      <c r="V168" s="165">
        <v>2.47E-2</v>
      </c>
      <c r="W168" s="165">
        <v>2.5909999999999999E-2</v>
      </c>
      <c r="X168" s="5" t="s">
        <v>159</v>
      </c>
      <c r="Y168" s="5" t="s">
        <v>154</v>
      </c>
      <c r="Z168" s="154">
        <v>136500</v>
      </c>
      <c r="AA168" s="163">
        <v>1</v>
      </c>
      <c r="AB168" s="173">
        <v>105.47</v>
      </c>
      <c r="AD168" s="154">
        <v>143.96700000000001</v>
      </c>
      <c r="AG168" s="3" t="s">
        <v>36</v>
      </c>
      <c r="AH168" s="165">
        <v>5.1999999999999997E-5</v>
      </c>
      <c r="AI168" s="165">
        <v>1.01982956998494E-2</v>
      </c>
      <c r="AJ168" s="165">
        <v>2.8987748081296901E-3</v>
      </c>
    </row>
    <row r="169" spans="1:36">
      <c r="A169" s="3">
        <v>288</v>
      </c>
      <c r="B169" s="3">
        <v>1451</v>
      </c>
      <c r="C169" s="3" t="s">
        <v>288</v>
      </c>
      <c r="D169" s="3" t="s">
        <v>289</v>
      </c>
      <c r="E169" s="5" t="s">
        <v>147</v>
      </c>
      <c r="F169" s="3" t="s">
        <v>290</v>
      </c>
      <c r="G169" s="3" t="s">
        <v>291</v>
      </c>
      <c r="H169" s="3" t="s">
        <v>150</v>
      </c>
      <c r="I169" s="3" t="s">
        <v>165</v>
      </c>
      <c r="J169" s="3" t="s">
        <v>30</v>
      </c>
      <c r="K169" s="3" t="s">
        <v>30</v>
      </c>
      <c r="L169" s="3" t="s">
        <v>152</v>
      </c>
      <c r="M169" s="3" t="s">
        <v>41</v>
      </c>
      <c r="N169" s="3" t="s">
        <v>292</v>
      </c>
      <c r="O169" s="3" t="s">
        <v>154</v>
      </c>
      <c r="P169" s="3" t="s">
        <v>199</v>
      </c>
      <c r="Q169" s="3" t="s">
        <v>156</v>
      </c>
      <c r="R169" s="3" t="s">
        <v>157</v>
      </c>
      <c r="S169" s="3" t="s">
        <v>44</v>
      </c>
      <c r="T169" s="154">
        <v>1.8160000000000001</v>
      </c>
      <c r="U169" s="3" t="s">
        <v>293</v>
      </c>
      <c r="V169" s="165">
        <v>0.05</v>
      </c>
      <c r="W169" s="165">
        <v>4.8529999999999997E-2</v>
      </c>
      <c r="X169" s="5" t="s">
        <v>159</v>
      </c>
      <c r="Y169" s="5" t="s">
        <v>154</v>
      </c>
      <c r="Z169" s="154">
        <v>100000.23</v>
      </c>
      <c r="AA169" s="163">
        <v>1</v>
      </c>
      <c r="AB169" s="173">
        <v>100.85</v>
      </c>
      <c r="AD169" s="154">
        <v>100.85</v>
      </c>
      <c r="AG169" s="3" t="s">
        <v>36</v>
      </c>
      <c r="AH169" s="165">
        <v>5.9699999999999998E-4</v>
      </c>
      <c r="AI169" s="165">
        <v>7.1440239894301396E-3</v>
      </c>
      <c r="AJ169" s="165">
        <v>2.0306252513878401E-3</v>
      </c>
    </row>
    <row r="170" spans="1:36">
      <c r="A170" s="3">
        <v>288</v>
      </c>
      <c r="B170" s="3">
        <v>1451</v>
      </c>
      <c r="C170" s="3" t="s">
        <v>294</v>
      </c>
      <c r="D170" s="3" t="s">
        <v>295</v>
      </c>
      <c r="E170" s="5" t="s">
        <v>147</v>
      </c>
      <c r="F170" s="3" t="s">
        <v>296</v>
      </c>
      <c r="G170" s="3" t="s">
        <v>297</v>
      </c>
      <c r="H170" s="3" t="s">
        <v>150</v>
      </c>
      <c r="I170" s="3" t="s">
        <v>183</v>
      </c>
      <c r="J170" s="3" t="s">
        <v>30</v>
      </c>
      <c r="K170" s="3" t="s">
        <v>30</v>
      </c>
      <c r="L170" s="3" t="s">
        <v>152</v>
      </c>
      <c r="M170" s="3" t="s">
        <v>41</v>
      </c>
      <c r="N170" s="3" t="s">
        <v>184</v>
      </c>
      <c r="O170" s="3" t="s">
        <v>154</v>
      </c>
      <c r="P170" s="3" t="s">
        <v>228</v>
      </c>
      <c r="Q170" s="3" t="s">
        <v>156</v>
      </c>
      <c r="R170" s="3" t="s">
        <v>157</v>
      </c>
      <c r="S170" s="3" t="s">
        <v>44</v>
      </c>
      <c r="T170" s="154">
        <v>1.996</v>
      </c>
      <c r="U170" s="3" t="s">
        <v>298</v>
      </c>
      <c r="V170" s="165">
        <v>1.7999999999999999E-2</v>
      </c>
      <c r="W170" s="165">
        <v>3.0210000000000001E-2</v>
      </c>
      <c r="X170" s="5" t="s">
        <v>159</v>
      </c>
      <c r="Y170" s="5" t="s">
        <v>154</v>
      </c>
      <c r="Z170" s="154">
        <v>194066.01</v>
      </c>
      <c r="AA170" s="163">
        <v>1</v>
      </c>
      <c r="AB170" s="173">
        <v>116.94</v>
      </c>
      <c r="AD170" s="154">
        <v>226.941</v>
      </c>
      <c r="AG170" s="3" t="s">
        <v>36</v>
      </c>
      <c r="AH170" s="165">
        <v>2.6200000000000003E-4</v>
      </c>
      <c r="AI170" s="165">
        <v>1.6076021160003201E-2</v>
      </c>
      <c r="AJ170" s="165">
        <v>4.5694659701096202E-3</v>
      </c>
    </row>
    <row r="171" spans="1:36">
      <c r="A171" s="3">
        <v>288</v>
      </c>
      <c r="B171" s="3">
        <v>1451</v>
      </c>
      <c r="C171" s="3" t="s">
        <v>294</v>
      </c>
      <c r="D171" s="3" t="s">
        <v>295</v>
      </c>
      <c r="E171" s="5" t="s">
        <v>147</v>
      </c>
      <c r="F171" s="3" t="s">
        <v>299</v>
      </c>
      <c r="G171" s="3" t="s">
        <v>300</v>
      </c>
      <c r="H171" s="3" t="s">
        <v>150</v>
      </c>
      <c r="I171" s="3" t="s">
        <v>183</v>
      </c>
      <c r="J171" s="3" t="s">
        <v>30</v>
      </c>
      <c r="K171" s="3" t="s">
        <v>30</v>
      </c>
      <c r="L171" s="3" t="s">
        <v>152</v>
      </c>
      <c r="M171" s="3" t="s">
        <v>41</v>
      </c>
      <c r="N171" s="3" t="s">
        <v>184</v>
      </c>
      <c r="O171" s="3" t="s">
        <v>154</v>
      </c>
      <c r="P171" s="3" t="s">
        <v>268</v>
      </c>
      <c r="Q171" s="3" t="s">
        <v>156</v>
      </c>
      <c r="R171" s="3" t="s">
        <v>157</v>
      </c>
      <c r="S171" s="3" t="s">
        <v>44</v>
      </c>
      <c r="T171" s="154">
        <v>1.212</v>
      </c>
      <c r="U171" s="3" t="s">
        <v>269</v>
      </c>
      <c r="V171" s="165">
        <v>2.2499999999999999E-2</v>
      </c>
      <c r="W171" s="165">
        <v>3.3989999999999999E-2</v>
      </c>
      <c r="X171" s="5" t="s">
        <v>159</v>
      </c>
      <c r="Y171" s="5" t="s">
        <v>154</v>
      </c>
      <c r="Z171" s="154">
        <v>40000.03</v>
      </c>
      <c r="AA171" s="163">
        <v>1</v>
      </c>
      <c r="AB171" s="173">
        <v>117.81</v>
      </c>
      <c r="AD171" s="154">
        <v>47.124000000000002</v>
      </c>
      <c r="AG171" s="3" t="s">
        <v>36</v>
      </c>
      <c r="AH171" s="165">
        <v>1.6000000000000001E-4</v>
      </c>
      <c r="AI171" s="165">
        <v>3.3381701999392901E-3</v>
      </c>
      <c r="AJ171" s="165">
        <v>9.4884517625588405E-4</v>
      </c>
    </row>
    <row r="172" spans="1:36">
      <c r="A172" s="3">
        <v>288</v>
      </c>
      <c r="B172" s="3">
        <v>1451</v>
      </c>
      <c r="C172" s="3" t="s">
        <v>301</v>
      </c>
      <c r="D172" s="3" t="s">
        <v>302</v>
      </c>
      <c r="E172" s="5" t="s">
        <v>147</v>
      </c>
      <c r="F172" s="3" t="s">
        <v>303</v>
      </c>
      <c r="G172" s="3" t="s">
        <v>304</v>
      </c>
      <c r="H172" s="3" t="s">
        <v>150</v>
      </c>
      <c r="I172" s="3" t="s">
        <v>183</v>
      </c>
      <c r="J172" s="3" t="s">
        <v>30</v>
      </c>
      <c r="K172" s="3" t="s">
        <v>30</v>
      </c>
      <c r="L172" s="3" t="s">
        <v>152</v>
      </c>
      <c r="M172" s="3" t="s">
        <v>41</v>
      </c>
      <c r="N172" s="3" t="s">
        <v>176</v>
      </c>
      <c r="O172" s="3" t="s">
        <v>154</v>
      </c>
      <c r="P172" s="3" t="s">
        <v>185</v>
      </c>
      <c r="Q172" s="3" t="s">
        <v>156</v>
      </c>
      <c r="R172" s="3" t="s">
        <v>157</v>
      </c>
      <c r="S172" s="3" t="s">
        <v>44</v>
      </c>
      <c r="T172" s="154">
        <v>3.544</v>
      </c>
      <c r="U172" s="3" t="s">
        <v>305</v>
      </c>
      <c r="V172" s="165">
        <v>4.4000000000000003E-3</v>
      </c>
      <c r="W172" s="165">
        <v>2.6939999999999999E-2</v>
      </c>
      <c r="X172" s="5" t="s">
        <v>159</v>
      </c>
      <c r="Y172" s="5" t="s">
        <v>154</v>
      </c>
      <c r="Z172" s="154">
        <v>200342.6</v>
      </c>
      <c r="AA172" s="163">
        <v>1</v>
      </c>
      <c r="AB172" s="173">
        <v>109.63</v>
      </c>
      <c r="AD172" s="154">
        <v>219.636</v>
      </c>
      <c r="AG172" s="3" t="s">
        <v>36</v>
      </c>
      <c r="AH172" s="165">
        <v>1.76E-4</v>
      </c>
      <c r="AI172" s="165">
        <v>1.5558535766140399E-2</v>
      </c>
      <c r="AJ172" s="165">
        <v>4.4223753514950901E-3</v>
      </c>
    </row>
    <row r="173" spans="1:36">
      <c r="A173" s="3">
        <v>288</v>
      </c>
      <c r="B173" s="3">
        <v>1451</v>
      </c>
      <c r="C173" s="3" t="s">
        <v>306</v>
      </c>
      <c r="D173" s="3" t="s">
        <v>307</v>
      </c>
      <c r="E173" s="5" t="s">
        <v>147</v>
      </c>
      <c r="F173" s="3" t="s">
        <v>593</v>
      </c>
      <c r="G173" s="3" t="s">
        <v>594</v>
      </c>
      <c r="H173" s="3" t="s">
        <v>150</v>
      </c>
      <c r="I173" s="3" t="s">
        <v>165</v>
      </c>
      <c r="J173" s="3" t="s">
        <v>30</v>
      </c>
      <c r="K173" s="3" t="s">
        <v>30</v>
      </c>
      <c r="L173" s="3" t="s">
        <v>152</v>
      </c>
      <c r="M173" s="3" t="s">
        <v>41</v>
      </c>
      <c r="N173" s="3" t="s">
        <v>176</v>
      </c>
      <c r="O173" s="3" t="s">
        <v>154</v>
      </c>
      <c r="P173" s="3" t="s">
        <v>199</v>
      </c>
      <c r="Q173" s="3" t="s">
        <v>156</v>
      </c>
      <c r="R173" s="3" t="s">
        <v>157</v>
      </c>
      <c r="S173" s="3" t="s">
        <v>44</v>
      </c>
      <c r="T173" s="154">
        <v>6.6020000000000003</v>
      </c>
      <c r="U173" s="3" t="s">
        <v>384</v>
      </c>
      <c r="V173" s="165">
        <v>6.0199999999999997E-2</v>
      </c>
      <c r="W173" s="165">
        <v>4.7719999999999999E-2</v>
      </c>
      <c r="X173" s="5" t="s">
        <v>159</v>
      </c>
      <c r="Y173" s="5" t="s">
        <v>154</v>
      </c>
      <c r="Z173" s="154">
        <v>100000</v>
      </c>
      <c r="AA173" s="163">
        <v>1</v>
      </c>
      <c r="AB173" s="173">
        <v>110.37</v>
      </c>
      <c r="AD173" s="154">
        <v>110.37</v>
      </c>
      <c r="AG173" s="3" t="s">
        <v>36</v>
      </c>
      <c r="AH173" s="165">
        <v>2.0000000000000001E-4</v>
      </c>
      <c r="AI173" s="165">
        <v>7.8183848705993299E-3</v>
      </c>
      <c r="AJ173" s="165">
        <v>2.2223063313893E-3</v>
      </c>
    </row>
    <row r="174" spans="1:36">
      <c r="A174" s="3">
        <v>288</v>
      </c>
      <c r="B174" s="3">
        <v>1451</v>
      </c>
      <c r="C174" s="3" t="s">
        <v>678</v>
      </c>
      <c r="D174" s="3" t="s">
        <v>679</v>
      </c>
      <c r="E174" s="5" t="s">
        <v>147</v>
      </c>
      <c r="F174" s="3" t="s">
        <v>680</v>
      </c>
      <c r="G174" s="3" t="s">
        <v>681</v>
      </c>
      <c r="H174" s="3" t="s">
        <v>150</v>
      </c>
      <c r="I174" s="3" t="s">
        <v>165</v>
      </c>
      <c r="J174" s="3" t="s">
        <v>30</v>
      </c>
      <c r="K174" s="3" t="s">
        <v>30</v>
      </c>
      <c r="L174" s="3" t="s">
        <v>152</v>
      </c>
      <c r="M174" s="3" t="s">
        <v>41</v>
      </c>
      <c r="N174" s="3" t="s">
        <v>176</v>
      </c>
      <c r="O174" s="3" t="s">
        <v>154</v>
      </c>
      <c r="P174" s="3" t="s">
        <v>442</v>
      </c>
      <c r="Q174" s="3" t="s">
        <v>169</v>
      </c>
      <c r="R174" s="3" t="s">
        <v>157</v>
      </c>
      <c r="S174" s="3" t="s">
        <v>44</v>
      </c>
      <c r="T174" s="154">
        <v>4.6740000000000004</v>
      </c>
      <c r="U174" s="3" t="s">
        <v>682</v>
      </c>
      <c r="V174" s="165">
        <v>1.95E-2</v>
      </c>
      <c r="W174" s="165">
        <v>4.5440000000000001E-2</v>
      </c>
      <c r="X174" s="5" t="s">
        <v>159</v>
      </c>
      <c r="Y174" s="5" t="s">
        <v>154</v>
      </c>
      <c r="Z174" s="154">
        <v>264970.5</v>
      </c>
      <c r="AA174" s="163">
        <v>1</v>
      </c>
      <c r="AB174" s="173">
        <v>89.16</v>
      </c>
      <c r="AD174" s="154">
        <v>236.24799999999999</v>
      </c>
      <c r="AG174" s="3" t="s">
        <v>36</v>
      </c>
      <c r="AH174" s="165">
        <v>2.7700000000000001E-4</v>
      </c>
      <c r="AI174" s="165">
        <v>1.6735303308810699E-2</v>
      </c>
      <c r="AJ174" s="165">
        <v>4.7568610546079998E-3</v>
      </c>
    </row>
    <row r="175" spans="1:36">
      <c r="A175" s="3">
        <v>288</v>
      </c>
      <c r="B175" s="3">
        <v>1451</v>
      </c>
      <c r="C175" s="3" t="s">
        <v>311</v>
      </c>
      <c r="D175" s="3" t="s">
        <v>312</v>
      </c>
      <c r="E175" s="5" t="s">
        <v>147</v>
      </c>
      <c r="F175" s="3" t="s">
        <v>683</v>
      </c>
      <c r="G175" s="3" t="s">
        <v>684</v>
      </c>
      <c r="H175" s="3" t="s">
        <v>150</v>
      </c>
      <c r="I175" s="3" t="s">
        <v>165</v>
      </c>
      <c r="J175" s="3" t="s">
        <v>30</v>
      </c>
      <c r="K175" s="3" t="s">
        <v>30</v>
      </c>
      <c r="L175" s="3" t="s">
        <v>152</v>
      </c>
      <c r="M175" s="3" t="s">
        <v>41</v>
      </c>
      <c r="N175" s="3" t="s">
        <v>208</v>
      </c>
      <c r="O175" s="3" t="s">
        <v>154</v>
      </c>
      <c r="P175" s="3" t="s">
        <v>155</v>
      </c>
      <c r="Q175" s="3" t="s">
        <v>156</v>
      </c>
      <c r="R175" s="3" t="s">
        <v>157</v>
      </c>
      <c r="S175" s="3" t="s">
        <v>44</v>
      </c>
      <c r="T175" s="154">
        <v>0.97499999999999998</v>
      </c>
      <c r="U175" s="3" t="s">
        <v>374</v>
      </c>
      <c r="V175" s="165">
        <v>3.5999999999999997E-2</v>
      </c>
      <c r="W175" s="165">
        <v>5.0310000000000001E-2</v>
      </c>
      <c r="X175" s="5" t="s">
        <v>159</v>
      </c>
      <c r="Y175" s="5" t="s">
        <v>154</v>
      </c>
      <c r="Z175" s="154">
        <v>55172.42</v>
      </c>
      <c r="AA175" s="163">
        <v>1</v>
      </c>
      <c r="AB175" s="173">
        <v>98.76</v>
      </c>
      <c r="AD175" s="154">
        <v>54.488</v>
      </c>
      <c r="AG175" s="3" t="s">
        <v>36</v>
      </c>
      <c r="AH175" s="165">
        <v>2.6600000000000001E-4</v>
      </c>
      <c r="AI175" s="165">
        <v>3.8598383578074E-3</v>
      </c>
      <c r="AJ175" s="165">
        <v>1.0971247083206199E-3</v>
      </c>
    </row>
    <row r="176" spans="1:36">
      <c r="A176" s="3">
        <v>288</v>
      </c>
      <c r="B176" s="3">
        <v>1451</v>
      </c>
      <c r="C176" s="3" t="s">
        <v>311</v>
      </c>
      <c r="D176" s="3" t="s">
        <v>312</v>
      </c>
      <c r="E176" s="5" t="s">
        <v>147</v>
      </c>
      <c r="F176" s="3" t="s">
        <v>313</v>
      </c>
      <c r="G176" s="3" t="s">
        <v>314</v>
      </c>
      <c r="H176" s="3" t="s">
        <v>150</v>
      </c>
      <c r="I176" s="3" t="s">
        <v>165</v>
      </c>
      <c r="J176" s="3" t="s">
        <v>30</v>
      </c>
      <c r="K176" s="3" t="s">
        <v>30</v>
      </c>
      <c r="L176" s="3" t="s">
        <v>152</v>
      </c>
      <c r="M176" s="3" t="s">
        <v>41</v>
      </c>
      <c r="N176" s="3" t="s">
        <v>208</v>
      </c>
      <c r="O176" s="3" t="s">
        <v>154</v>
      </c>
      <c r="P176" s="3" t="s">
        <v>155</v>
      </c>
      <c r="Q176" s="3" t="s">
        <v>156</v>
      </c>
      <c r="R176" s="3" t="s">
        <v>157</v>
      </c>
      <c r="S176" s="3" t="s">
        <v>44</v>
      </c>
      <c r="T176" s="154">
        <v>1.798</v>
      </c>
      <c r="U176" s="3" t="s">
        <v>315</v>
      </c>
      <c r="V176" s="165">
        <v>2.1999999999999999E-2</v>
      </c>
      <c r="W176" s="165">
        <v>4.87E-2</v>
      </c>
      <c r="X176" s="5" t="s">
        <v>159</v>
      </c>
      <c r="Y176" s="5" t="s">
        <v>154</v>
      </c>
      <c r="Z176" s="154">
        <v>158427.79999999999</v>
      </c>
      <c r="AA176" s="163">
        <v>1</v>
      </c>
      <c r="AB176" s="173">
        <v>96.03</v>
      </c>
      <c r="AD176" s="154">
        <v>152.13800000000001</v>
      </c>
      <c r="AG176" s="3" t="s">
        <v>36</v>
      </c>
      <c r="AH176" s="165">
        <v>1.83E-4</v>
      </c>
      <c r="AI176" s="165">
        <v>1.07771598158252E-2</v>
      </c>
      <c r="AJ176" s="165">
        <v>3.0633117823562202E-3</v>
      </c>
    </row>
    <row r="177" spans="1:36">
      <c r="A177" s="3">
        <v>288</v>
      </c>
      <c r="B177" s="3">
        <v>1451</v>
      </c>
      <c r="C177" s="3" t="s">
        <v>316</v>
      </c>
      <c r="D177" s="3" t="s">
        <v>317</v>
      </c>
      <c r="E177" s="5" t="s">
        <v>147</v>
      </c>
      <c r="F177" s="3" t="s">
        <v>318</v>
      </c>
      <c r="G177" s="3" t="s">
        <v>319</v>
      </c>
      <c r="H177" s="3" t="s">
        <v>150</v>
      </c>
      <c r="I177" s="3" t="s">
        <v>183</v>
      </c>
      <c r="J177" s="3" t="s">
        <v>30</v>
      </c>
      <c r="K177" s="3" t="s">
        <v>30</v>
      </c>
      <c r="L177" s="3" t="s">
        <v>152</v>
      </c>
      <c r="M177" s="3" t="s">
        <v>41</v>
      </c>
      <c r="N177" s="3" t="s">
        <v>234</v>
      </c>
      <c r="O177" s="3" t="s">
        <v>154</v>
      </c>
      <c r="P177" s="3" t="s">
        <v>283</v>
      </c>
      <c r="Q177" s="3" t="s">
        <v>156</v>
      </c>
      <c r="R177" s="3" t="s">
        <v>157</v>
      </c>
      <c r="S177" s="3" t="s">
        <v>44</v>
      </c>
      <c r="T177" s="154">
        <v>2.5529999999999999</v>
      </c>
      <c r="U177" s="3" t="s">
        <v>320</v>
      </c>
      <c r="V177" s="165">
        <v>3.85E-2</v>
      </c>
      <c r="W177" s="165">
        <v>2.5899999999999999E-2</v>
      </c>
      <c r="X177" s="5" t="s">
        <v>159</v>
      </c>
      <c r="Y177" s="5" t="s">
        <v>154</v>
      </c>
      <c r="Z177" s="154">
        <v>226092.82</v>
      </c>
      <c r="AA177" s="163">
        <v>1</v>
      </c>
      <c r="AB177" s="173">
        <v>123.26</v>
      </c>
      <c r="AC177" s="154">
        <v>5.1989999999999998</v>
      </c>
      <c r="AD177" s="154">
        <v>283.88099999999997</v>
      </c>
      <c r="AG177" s="3" t="s">
        <v>36</v>
      </c>
      <c r="AH177" s="165">
        <v>8.8999999999999995E-5</v>
      </c>
      <c r="AI177" s="165">
        <v>2.0109548217224899E-2</v>
      </c>
      <c r="AJ177" s="165">
        <v>5.7159601457546904E-3</v>
      </c>
    </row>
    <row r="178" spans="1:36">
      <c r="A178" s="3">
        <v>288</v>
      </c>
      <c r="B178" s="3">
        <v>1451</v>
      </c>
      <c r="C178" s="3" t="s">
        <v>316</v>
      </c>
      <c r="D178" s="3" t="s">
        <v>317</v>
      </c>
      <c r="E178" s="5" t="s">
        <v>147</v>
      </c>
      <c r="F178" s="3" t="s">
        <v>321</v>
      </c>
      <c r="G178" s="3" t="s">
        <v>322</v>
      </c>
      <c r="H178" s="3" t="s">
        <v>150</v>
      </c>
      <c r="I178" s="3" t="s">
        <v>183</v>
      </c>
      <c r="J178" s="3" t="s">
        <v>30</v>
      </c>
      <c r="K178" s="3" t="s">
        <v>30</v>
      </c>
      <c r="L178" s="3" t="s">
        <v>152</v>
      </c>
      <c r="M178" s="3" t="s">
        <v>41</v>
      </c>
      <c r="N178" s="3" t="s">
        <v>234</v>
      </c>
      <c r="O178" s="3" t="s">
        <v>154</v>
      </c>
      <c r="P178" s="3" t="s">
        <v>283</v>
      </c>
      <c r="Q178" s="3" t="s">
        <v>156</v>
      </c>
      <c r="R178" s="3" t="s">
        <v>157</v>
      </c>
      <c r="S178" s="3" t="s">
        <v>44</v>
      </c>
      <c r="T178" s="154">
        <v>4.915</v>
      </c>
      <c r="U178" s="3" t="s">
        <v>323</v>
      </c>
      <c r="V178" s="165">
        <v>2.3900000000000001E-2</v>
      </c>
      <c r="W178" s="165">
        <v>2.6040000000000001E-2</v>
      </c>
      <c r="X178" s="5" t="s">
        <v>159</v>
      </c>
      <c r="Y178" s="5" t="s">
        <v>154</v>
      </c>
      <c r="Z178" s="154">
        <v>200000</v>
      </c>
      <c r="AA178" s="163">
        <v>1</v>
      </c>
      <c r="AB178" s="173">
        <v>117.27</v>
      </c>
      <c r="AD178" s="154">
        <v>234.54</v>
      </c>
      <c r="AG178" s="3" t="s">
        <v>36</v>
      </c>
      <c r="AH178" s="165">
        <v>5.1E-5</v>
      </c>
      <c r="AI178" s="165">
        <v>1.66143334923473E-2</v>
      </c>
      <c r="AJ178" s="165">
        <v>4.7224764606690704E-3</v>
      </c>
    </row>
    <row r="179" spans="1:36">
      <c r="A179" s="3">
        <v>288</v>
      </c>
      <c r="B179" s="3">
        <v>1451</v>
      </c>
      <c r="C179" s="3" t="s">
        <v>316</v>
      </c>
      <c r="D179" s="3" t="s">
        <v>317</v>
      </c>
      <c r="E179" s="5" t="s">
        <v>147</v>
      </c>
      <c r="F179" s="3" t="s">
        <v>324</v>
      </c>
      <c r="G179" s="3" t="s">
        <v>325</v>
      </c>
      <c r="H179" s="3" t="s">
        <v>150</v>
      </c>
      <c r="I179" s="3" t="s">
        <v>183</v>
      </c>
      <c r="J179" s="3" t="s">
        <v>30</v>
      </c>
      <c r="K179" s="3" t="s">
        <v>30</v>
      </c>
      <c r="L179" s="3" t="s">
        <v>152</v>
      </c>
      <c r="M179" s="3" t="s">
        <v>41</v>
      </c>
      <c r="N179" s="3" t="s">
        <v>234</v>
      </c>
      <c r="O179" s="3" t="s">
        <v>154</v>
      </c>
      <c r="P179" s="3" t="s">
        <v>283</v>
      </c>
      <c r="Q179" s="3" t="s">
        <v>156</v>
      </c>
      <c r="R179" s="3" t="s">
        <v>157</v>
      </c>
      <c r="S179" s="3" t="s">
        <v>44</v>
      </c>
      <c r="T179" s="154">
        <v>9.9329999999999998</v>
      </c>
      <c r="U179" s="3" t="s">
        <v>326</v>
      </c>
      <c r="V179" s="165">
        <v>1.2500000000000001E-2</v>
      </c>
      <c r="W179" s="165">
        <v>2.7859999999999999E-2</v>
      </c>
      <c r="X179" s="5" t="s">
        <v>159</v>
      </c>
      <c r="Y179" s="5" t="s">
        <v>154</v>
      </c>
      <c r="Z179" s="154">
        <v>155000</v>
      </c>
      <c r="AA179" s="163">
        <v>1</v>
      </c>
      <c r="AB179" s="173">
        <v>101.02</v>
      </c>
      <c r="AD179" s="154">
        <v>156.58099999999999</v>
      </c>
      <c r="AG179" s="3" t="s">
        <v>36</v>
      </c>
      <c r="AH179" s="165">
        <v>3.6000000000000001E-5</v>
      </c>
      <c r="AI179" s="165">
        <v>1.1091877515840501E-2</v>
      </c>
      <c r="AJ179" s="165">
        <v>3.1527674882238601E-3</v>
      </c>
    </row>
    <row r="180" spans="1:36">
      <c r="A180" s="3">
        <v>288</v>
      </c>
      <c r="B180" s="3">
        <v>1451</v>
      </c>
      <c r="C180" s="3" t="s">
        <v>316</v>
      </c>
      <c r="D180" s="3" t="s">
        <v>317</v>
      </c>
      <c r="E180" s="5" t="s">
        <v>147</v>
      </c>
      <c r="F180" s="3" t="s">
        <v>327</v>
      </c>
      <c r="G180" s="3" t="s">
        <v>328</v>
      </c>
      <c r="H180" s="3" t="s">
        <v>150</v>
      </c>
      <c r="I180" s="3" t="s">
        <v>183</v>
      </c>
      <c r="J180" s="3" t="s">
        <v>30</v>
      </c>
      <c r="K180" s="3" t="s">
        <v>30</v>
      </c>
      <c r="L180" s="3" t="s">
        <v>152</v>
      </c>
      <c r="M180" s="3" t="s">
        <v>41</v>
      </c>
      <c r="N180" s="3" t="s">
        <v>234</v>
      </c>
      <c r="O180" s="3" t="s">
        <v>154</v>
      </c>
      <c r="P180" s="3" t="s">
        <v>283</v>
      </c>
      <c r="Q180" s="3" t="s">
        <v>156</v>
      </c>
      <c r="R180" s="3" t="s">
        <v>157</v>
      </c>
      <c r="S180" s="3" t="s">
        <v>44</v>
      </c>
      <c r="T180" s="154">
        <v>6.8730000000000002</v>
      </c>
      <c r="U180" s="3" t="s">
        <v>329</v>
      </c>
      <c r="V180" s="165">
        <v>0.03</v>
      </c>
      <c r="W180" s="165">
        <v>2.632E-2</v>
      </c>
      <c r="X180" s="5" t="s">
        <v>159</v>
      </c>
      <c r="Y180" s="5" t="s">
        <v>154</v>
      </c>
      <c r="Z180" s="154">
        <v>408000</v>
      </c>
      <c r="AA180" s="163">
        <v>1</v>
      </c>
      <c r="AB180" s="173">
        <v>111.48</v>
      </c>
      <c r="AD180" s="154">
        <v>454.83800000000002</v>
      </c>
      <c r="AG180" s="3" t="s">
        <v>36</v>
      </c>
      <c r="AH180" s="165">
        <v>1E-4</v>
      </c>
      <c r="AI180" s="165">
        <v>3.2219821193509197E-2</v>
      </c>
      <c r="AJ180" s="165">
        <v>9.1581974819151708E-3</v>
      </c>
    </row>
    <row r="181" spans="1:36">
      <c r="A181" s="3">
        <v>288</v>
      </c>
      <c r="B181" s="3">
        <v>1451</v>
      </c>
      <c r="C181" s="3" t="s">
        <v>685</v>
      </c>
      <c r="D181" s="3" t="s">
        <v>686</v>
      </c>
      <c r="E181" s="5" t="s">
        <v>147</v>
      </c>
      <c r="F181" s="3" t="s">
        <v>687</v>
      </c>
      <c r="G181" s="3" t="s">
        <v>688</v>
      </c>
      <c r="H181" s="3" t="s">
        <v>150</v>
      </c>
      <c r="I181" s="3" t="s">
        <v>183</v>
      </c>
      <c r="J181" s="3" t="s">
        <v>30</v>
      </c>
      <c r="K181" s="3" t="s">
        <v>30</v>
      </c>
      <c r="L181" s="3" t="s">
        <v>152</v>
      </c>
      <c r="M181" s="3" t="s">
        <v>41</v>
      </c>
      <c r="N181" s="3" t="s">
        <v>502</v>
      </c>
      <c r="O181" s="3" t="s">
        <v>154</v>
      </c>
      <c r="P181" s="3" t="s">
        <v>199</v>
      </c>
      <c r="Q181" s="3" t="s">
        <v>156</v>
      </c>
      <c r="R181" s="3" t="s">
        <v>157</v>
      </c>
      <c r="S181" s="3" t="s">
        <v>44</v>
      </c>
      <c r="T181" s="154">
        <v>2.5990000000000002</v>
      </c>
      <c r="U181" s="3" t="s">
        <v>689</v>
      </c>
      <c r="V181" s="165">
        <v>2.1999999999999999E-2</v>
      </c>
      <c r="W181" s="165">
        <v>2.8760000000000001E-2</v>
      </c>
      <c r="X181" s="5" t="s">
        <v>159</v>
      </c>
      <c r="Y181" s="5" t="s">
        <v>154</v>
      </c>
      <c r="Z181" s="154">
        <v>81481.5</v>
      </c>
      <c r="AA181" s="163">
        <v>1</v>
      </c>
      <c r="AB181" s="173">
        <v>108.58</v>
      </c>
      <c r="AD181" s="154">
        <v>88.472999999999999</v>
      </c>
      <c r="AG181" s="3" t="s">
        <v>36</v>
      </c>
      <c r="AH181" s="165">
        <v>2.8499999999999999E-4</v>
      </c>
      <c r="AI181" s="165">
        <v>6.26721877861805E-3</v>
      </c>
      <c r="AJ181" s="165">
        <v>1.78140117203736E-3</v>
      </c>
    </row>
    <row r="182" spans="1:36">
      <c r="A182" s="3">
        <v>288</v>
      </c>
      <c r="B182" s="3">
        <v>1451</v>
      </c>
      <c r="C182" s="3" t="s">
        <v>690</v>
      </c>
      <c r="D182" s="3" t="s">
        <v>691</v>
      </c>
      <c r="E182" s="5" t="s">
        <v>147</v>
      </c>
      <c r="F182" s="3" t="s">
        <v>692</v>
      </c>
      <c r="G182" s="3" t="s">
        <v>693</v>
      </c>
      <c r="H182" s="3" t="s">
        <v>150</v>
      </c>
      <c r="I182" s="3" t="s">
        <v>183</v>
      </c>
      <c r="J182" s="3" t="s">
        <v>30</v>
      </c>
      <c r="K182" s="3" t="s">
        <v>30</v>
      </c>
      <c r="L182" s="3" t="s">
        <v>152</v>
      </c>
      <c r="M182" s="3" t="s">
        <v>41</v>
      </c>
      <c r="N182" s="3" t="s">
        <v>282</v>
      </c>
      <c r="O182" s="3" t="s">
        <v>154</v>
      </c>
      <c r="P182" s="3" t="s">
        <v>199</v>
      </c>
      <c r="Q182" s="3" t="s">
        <v>156</v>
      </c>
      <c r="R182" s="3" t="s">
        <v>157</v>
      </c>
      <c r="S182" s="3" t="s">
        <v>44</v>
      </c>
      <c r="T182" s="154">
        <v>3.6120000000000001</v>
      </c>
      <c r="U182" s="3" t="s">
        <v>694</v>
      </c>
      <c r="V182" s="165">
        <v>2.5899999999999999E-2</v>
      </c>
      <c r="W182" s="165">
        <v>2.6800000000000001E-2</v>
      </c>
      <c r="X182" s="5" t="s">
        <v>159</v>
      </c>
      <c r="Y182" s="5" t="s">
        <v>154</v>
      </c>
      <c r="Z182" s="154">
        <v>100000</v>
      </c>
      <c r="AA182" s="163">
        <v>1</v>
      </c>
      <c r="AB182" s="173">
        <v>107.69</v>
      </c>
      <c r="AD182" s="154">
        <v>107.69</v>
      </c>
      <c r="AG182" s="3" t="s">
        <v>36</v>
      </c>
      <c r="AH182" s="165">
        <v>1.46E-4</v>
      </c>
      <c r="AI182" s="165">
        <v>7.6285391566081502E-3</v>
      </c>
      <c r="AJ182" s="165">
        <v>2.1683443764366501E-3</v>
      </c>
    </row>
    <row r="183" spans="1:36">
      <c r="A183" s="3">
        <v>288</v>
      </c>
      <c r="B183" s="3">
        <v>1451</v>
      </c>
      <c r="C183" s="3" t="s">
        <v>330</v>
      </c>
      <c r="D183" s="3" t="s">
        <v>331</v>
      </c>
      <c r="E183" s="5" t="s">
        <v>332</v>
      </c>
      <c r="F183" s="3" t="s">
        <v>695</v>
      </c>
      <c r="G183" s="3" t="s">
        <v>696</v>
      </c>
      <c r="H183" s="3" t="s">
        <v>150</v>
      </c>
      <c r="I183" s="3" t="s">
        <v>165</v>
      </c>
      <c r="J183" s="3" t="s">
        <v>30</v>
      </c>
      <c r="K183" s="3" t="s">
        <v>30</v>
      </c>
      <c r="L183" s="3" t="s">
        <v>152</v>
      </c>
      <c r="M183" s="3" t="s">
        <v>41</v>
      </c>
      <c r="N183" s="3" t="s">
        <v>335</v>
      </c>
      <c r="O183" s="3" t="s">
        <v>154</v>
      </c>
      <c r="P183" s="3" t="s">
        <v>185</v>
      </c>
      <c r="Q183" s="3" t="s">
        <v>156</v>
      </c>
      <c r="R183" s="3" t="s">
        <v>157</v>
      </c>
      <c r="S183" s="3" t="s">
        <v>44</v>
      </c>
      <c r="T183" s="154">
        <v>2.8519999999999999</v>
      </c>
      <c r="U183" s="3" t="s">
        <v>697</v>
      </c>
      <c r="V183" s="165">
        <v>2.24E-2</v>
      </c>
      <c r="W183" s="165">
        <v>4.6460000000000001E-2</v>
      </c>
      <c r="X183" s="5" t="s">
        <v>159</v>
      </c>
      <c r="Y183" s="5" t="s">
        <v>154</v>
      </c>
      <c r="Z183" s="154">
        <v>110483.88</v>
      </c>
      <c r="AA183" s="163">
        <v>1</v>
      </c>
      <c r="AB183" s="173">
        <v>94.99</v>
      </c>
      <c r="AD183" s="154">
        <v>104.949</v>
      </c>
      <c r="AG183" s="3" t="s">
        <v>36</v>
      </c>
      <c r="AH183" s="165">
        <v>2.0699999999999999E-4</v>
      </c>
      <c r="AI183" s="165">
        <v>7.4343466566609796E-3</v>
      </c>
      <c r="AJ183" s="165">
        <v>2.1131468862537698E-3</v>
      </c>
    </row>
    <row r="184" spans="1:36">
      <c r="A184" s="3">
        <v>288</v>
      </c>
      <c r="B184" s="3">
        <v>1451</v>
      </c>
      <c r="C184" s="3" t="s">
        <v>330</v>
      </c>
      <c r="D184" s="3" t="s">
        <v>331</v>
      </c>
      <c r="E184" s="5" t="s">
        <v>332</v>
      </c>
      <c r="F184" s="3" t="s">
        <v>333</v>
      </c>
      <c r="G184" s="3" t="s">
        <v>334</v>
      </c>
      <c r="H184" s="3" t="s">
        <v>150</v>
      </c>
      <c r="I184" s="3" t="s">
        <v>151</v>
      </c>
      <c r="J184" s="3" t="s">
        <v>30</v>
      </c>
      <c r="K184" s="3" t="s">
        <v>30</v>
      </c>
      <c r="L184" s="3" t="s">
        <v>152</v>
      </c>
      <c r="M184" s="3" t="s">
        <v>41</v>
      </c>
      <c r="N184" s="3" t="s">
        <v>335</v>
      </c>
      <c r="O184" s="3" t="s">
        <v>154</v>
      </c>
      <c r="P184" s="3" t="s">
        <v>185</v>
      </c>
      <c r="Q184" s="3" t="s">
        <v>156</v>
      </c>
      <c r="R184" s="3" t="s">
        <v>157</v>
      </c>
      <c r="S184" s="3" t="s">
        <v>44</v>
      </c>
      <c r="T184" s="154">
        <v>1.0999999999999999E-2</v>
      </c>
      <c r="U184" s="3" t="s">
        <v>336</v>
      </c>
      <c r="V184" s="165">
        <v>3.49E-2</v>
      </c>
      <c r="W184" s="165">
        <v>1E-4</v>
      </c>
      <c r="X184" s="5" t="s">
        <v>159</v>
      </c>
      <c r="Y184" s="5" t="s">
        <v>154</v>
      </c>
      <c r="Z184" s="154">
        <v>32623.77</v>
      </c>
      <c r="AA184" s="163">
        <v>1</v>
      </c>
      <c r="AB184" s="173">
        <v>93.05</v>
      </c>
      <c r="AD184" s="154">
        <v>30.356000000000002</v>
      </c>
      <c r="AG184" s="3" t="s">
        <v>36</v>
      </c>
      <c r="AH184" s="165">
        <v>9.7E-5</v>
      </c>
      <c r="AI184" s="165">
        <v>2.1503865099167601E-3</v>
      </c>
      <c r="AJ184" s="165">
        <v>6.1122823127992599E-4</v>
      </c>
    </row>
    <row r="185" spans="1:36">
      <c r="A185" s="3">
        <v>288</v>
      </c>
      <c r="B185" s="3">
        <v>1451</v>
      </c>
      <c r="C185" s="3" t="s">
        <v>337</v>
      </c>
      <c r="D185" s="3" t="s">
        <v>338</v>
      </c>
      <c r="E185" s="5" t="s">
        <v>147</v>
      </c>
      <c r="F185" s="3" t="s">
        <v>339</v>
      </c>
      <c r="G185" s="3" t="s">
        <v>340</v>
      </c>
      <c r="H185" s="3" t="s">
        <v>150</v>
      </c>
      <c r="I185" s="3" t="s">
        <v>183</v>
      </c>
      <c r="J185" s="3" t="s">
        <v>30</v>
      </c>
      <c r="K185" s="3" t="s">
        <v>30</v>
      </c>
      <c r="L185" s="3" t="s">
        <v>152</v>
      </c>
      <c r="M185" s="3" t="s">
        <v>41</v>
      </c>
      <c r="N185" s="3" t="s">
        <v>184</v>
      </c>
      <c r="O185" s="3" t="s">
        <v>154</v>
      </c>
      <c r="P185" s="3" t="s">
        <v>185</v>
      </c>
      <c r="Q185" s="3" t="s">
        <v>156</v>
      </c>
      <c r="R185" s="3" t="s">
        <v>157</v>
      </c>
      <c r="S185" s="3" t="s">
        <v>44</v>
      </c>
      <c r="T185" s="154">
        <v>1.494</v>
      </c>
      <c r="U185" s="3" t="s">
        <v>341</v>
      </c>
      <c r="V185" s="165">
        <v>1.5800000000000002E-2</v>
      </c>
      <c r="W185" s="165">
        <v>3.048E-2</v>
      </c>
      <c r="X185" s="5" t="s">
        <v>159</v>
      </c>
      <c r="Y185" s="5" t="s">
        <v>154</v>
      </c>
      <c r="Z185" s="154">
        <v>66854.87</v>
      </c>
      <c r="AA185" s="163">
        <v>1</v>
      </c>
      <c r="AB185" s="173">
        <v>118.01</v>
      </c>
      <c r="AD185" s="154">
        <v>78.894999999999996</v>
      </c>
      <c r="AG185" s="3" t="s">
        <v>36</v>
      </c>
      <c r="AH185" s="165">
        <v>1.7000000000000001E-4</v>
      </c>
      <c r="AI185" s="165">
        <v>5.5887909086563201E-3</v>
      </c>
      <c r="AJ185" s="165">
        <v>1.5885640866597299E-3</v>
      </c>
    </row>
    <row r="186" spans="1:36">
      <c r="A186" s="3">
        <v>288</v>
      </c>
      <c r="B186" s="3">
        <v>1451</v>
      </c>
      <c r="C186" s="3" t="s">
        <v>342</v>
      </c>
      <c r="D186" s="3" t="s">
        <v>343</v>
      </c>
      <c r="E186" s="5" t="s">
        <v>147</v>
      </c>
      <c r="F186" s="3" t="s">
        <v>344</v>
      </c>
      <c r="G186" s="3" t="s">
        <v>345</v>
      </c>
      <c r="H186" s="3" t="s">
        <v>150</v>
      </c>
      <c r="I186" s="3" t="s">
        <v>165</v>
      </c>
      <c r="J186" s="3" t="s">
        <v>30</v>
      </c>
      <c r="K186" s="3" t="s">
        <v>30</v>
      </c>
      <c r="L186" s="3" t="s">
        <v>152</v>
      </c>
      <c r="M186" s="3" t="s">
        <v>41</v>
      </c>
      <c r="N186" s="3" t="s">
        <v>176</v>
      </c>
      <c r="O186" s="3" t="s">
        <v>154</v>
      </c>
      <c r="P186" s="3" t="s">
        <v>199</v>
      </c>
      <c r="Q186" s="3" t="s">
        <v>156</v>
      </c>
      <c r="R186" s="3" t="s">
        <v>157</v>
      </c>
      <c r="S186" s="3" t="s">
        <v>44</v>
      </c>
      <c r="T186" s="154">
        <v>4.2460000000000004</v>
      </c>
      <c r="U186" s="3" t="s">
        <v>94</v>
      </c>
      <c r="V186" s="165">
        <v>2.64E-2</v>
      </c>
      <c r="W186" s="165">
        <v>4.6199999999999998E-2</v>
      </c>
      <c r="X186" s="5" t="s">
        <v>159</v>
      </c>
      <c r="Y186" s="5" t="s">
        <v>154</v>
      </c>
      <c r="Z186" s="154">
        <v>150000.21</v>
      </c>
      <c r="AA186" s="163">
        <v>1</v>
      </c>
      <c r="AB186" s="173">
        <v>92.3</v>
      </c>
      <c r="AD186" s="154">
        <v>138.44999999999999</v>
      </c>
      <c r="AG186" s="3" t="s">
        <v>36</v>
      </c>
      <c r="AH186" s="165">
        <v>9.2E-5</v>
      </c>
      <c r="AI186" s="165">
        <v>9.8075283208481998E-3</v>
      </c>
      <c r="AJ186" s="165">
        <v>2.7877026577012199E-3</v>
      </c>
    </row>
    <row r="187" spans="1:36">
      <c r="A187" s="3">
        <v>288</v>
      </c>
      <c r="B187" s="3">
        <v>1451</v>
      </c>
      <c r="C187" s="3" t="s">
        <v>346</v>
      </c>
      <c r="D187" s="3" t="s">
        <v>347</v>
      </c>
      <c r="E187" s="5" t="s">
        <v>147</v>
      </c>
      <c r="F187" s="3" t="s">
        <v>348</v>
      </c>
      <c r="G187" s="3" t="s">
        <v>349</v>
      </c>
      <c r="H187" s="3" t="s">
        <v>150</v>
      </c>
      <c r="I187" s="3" t="s">
        <v>165</v>
      </c>
      <c r="J187" s="3" t="s">
        <v>30</v>
      </c>
      <c r="K187" s="3" t="s">
        <v>30</v>
      </c>
      <c r="L187" s="3" t="s">
        <v>152</v>
      </c>
      <c r="M187" s="3" t="s">
        <v>41</v>
      </c>
      <c r="N187" s="3" t="s">
        <v>176</v>
      </c>
      <c r="O187" s="3" t="s">
        <v>154</v>
      </c>
      <c r="P187" s="3" t="s">
        <v>199</v>
      </c>
      <c r="Q187" s="3" t="s">
        <v>156</v>
      </c>
      <c r="R187" s="3" t="s">
        <v>157</v>
      </c>
      <c r="S187" s="3" t="s">
        <v>44</v>
      </c>
      <c r="T187" s="154">
        <v>2.2650000000000001</v>
      </c>
      <c r="U187" s="3" t="s">
        <v>350</v>
      </c>
      <c r="V187" s="165">
        <v>4.7E-2</v>
      </c>
      <c r="W187" s="165">
        <v>4.6940000000000003E-2</v>
      </c>
      <c r="X187" s="5" t="s">
        <v>159</v>
      </c>
      <c r="Y187" s="5" t="s">
        <v>154</v>
      </c>
      <c r="Z187" s="154">
        <v>97715.5</v>
      </c>
      <c r="AA187" s="163">
        <v>1</v>
      </c>
      <c r="AB187" s="173">
        <v>102.82</v>
      </c>
      <c r="AD187" s="154">
        <v>100.471</v>
      </c>
      <c r="AG187" s="3" t="s">
        <v>36</v>
      </c>
      <c r="AH187" s="165">
        <v>1.7799999999999999E-4</v>
      </c>
      <c r="AI187" s="165">
        <v>7.1171654356388401E-3</v>
      </c>
      <c r="AJ187" s="165">
        <v>2.0229909464603798E-3</v>
      </c>
    </row>
    <row r="188" spans="1:36">
      <c r="A188" s="3">
        <v>288</v>
      </c>
      <c r="B188" s="3">
        <v>1451</v>
      </c>
      <c r="C188" s="3" t="s">
        <v>355</v>
      </c>
      <c r="D188" s="3" t="s">
        <v>356</v>
      </c>
      <c r="E188" s="5" t="s">
        <v>147</v>
      </c>
      <c r="F188" s="3" t="s">
        <v>698</v>
      </c>
      <c r="G188" s="3" t="s">
        <v>699</v>
      </c>
      <c r="H188" s="3" t="s">
        <v>150</v>
      </c>
      <c r="I188" s="3" t="s">
        <v>183</v>
      </c>
      <c r="J188" s="3" t="s">
        <v>30</v>
      </c>
      <c r="K188" s="3" t="s">
        <v>30</v>
      </c>
      <c r="L188" s="3" t="s">
        <v>152</v>
      </c>
      <c r="M188" s="3" t="s">
        <v>41</v>
      </c>
      <c r="N188" s="3" t="s">
        <v>282</v>
      </c>
      <c r="O188" s="3" t="s">
        <v>154</v>
      </c>
      <c r="P188" s="3" t="s">
        <v>283</v>
      </c>
      <c r="Q188" s="3" t="s">
        <v>156</v>
      </c>
      <c r="R188" s="3" t="s">
        <v>157</v>
      </c>
      <c r="S188" s="3" t="s">
        <v>44</v>
      </c>
      <c r="T188" s="154">
        <v>0.73199999999999998</v>
      </c>
      <c r="U188" s="3" t="s">
        <v>310</v>
      </c>
      <c r="V188" s="165">
        <v>8.3000000000000001E-3</v>
      </c>
      <c r="W188" s="165">
        <v>3.2770000000000001E-2</v>
      </c>
      <c r="X188" s="5" t="s">
        <v>159</v>
      </c>
      <c r="Y188" s="5" t="s">
        <v>154</v>
      </c>
      <c r="Z188" s="154">
        <v>247213</v>
      </c>
      <c r="AA188" s="163">
        <v>1</v>
      </c>
      <c r="AB188" s="173">
        <v>116.83</v>
      </c>
      <c r="AD188" s="154">
        <v>288.81900000000002</v>
      </c>
      <c r="AG188" s="3" t="s">
        <v>36</v>
      </c>
      <c r="AH188" s="165">
        <v>1.63E-4</v>
      </c>
      <c r="AI188" s="165">
        <v>2.04593430515881E-2</v>
      </c>
      <c r="AJ188" s="165">
        <v>5.8153862149439598E-3</v>
      </c>
    </row>
    <row r="189" spans="1:36">
      <c r="A189" s="3">
        <v>288</v>
      </c>
      <c r="B189" s="3">
        <v>1451</v>
      </c>
      <c r="C189" s="3" t="s">
        <v>355</v>
      </c>
      <c r="D189" s="3" t="s">
        <v>356</v>
      </c>
      <c r="E189" s="5" t="s">
        <v>147</v>
      </c>
      <c r="F189" s="3" t="s">
        <v>700</v>
      </c>
      <c r="G189" s="3" t="s">
        <v>701</v>
      </c>
      <c r="H189" s="3" t="s">
        <v>150</v>
      </c>
      <c r="I189" s="3" t="s">
        <v>183</v>
      </c>
      <c r="J189" s="3" t="s">
        <v>30</v>
      </c>
      <c r="K189" s="3" t="s">
        <v>30</v>
      </c>
      <c r="L189" s="3" t="s">
        <v>152</v>
      </c>
      <c r="M189" s="3" t="s">
        <v>41</v>
      </c>
      <c r="N189" s="3" t="s">
        <v>282</v>
      </c>
      <c r="O189" s="3" t="s">
        <v>154</v>
      </c>
      <c r="P189" s="3" t="s">
        <v>283</v>
      </c>
      <c r="Q189" s="3" t="s">
        <v>156</v>
      </c>
      <c r="R189" s="3" t="s">
        <v>157</v>
      </c>
      <c r="S189" s="3" t="s">
        <v>44</v>
      </c>
      <c r="T189" s="154">
        <v>2.1339999999999999</v>
      </c>
      <c r="U189" s="3" t="s">
        <v>702</v>
      </c>
      <c r="V189" s="165">
        <v>1E-3</v>
      </c>
      <c r="W189" s="165">
        <v>2.5329999999999998E-2</v>
      </c>
      <c r="X189" s="5" t="s">
        <v>159</v>
      </c>
      <c r="Y189" s="5" t="s">
        <v>154</v>
      </c>
      <c r="Z189" s="154">
        <v>400000</v>
      </c>
      <c r="AA189" s="163">
        <v>1</v>
      </c>
      <c r="AB189" s="173">
        <v>110.05</v>
      </c>
      <c r="AD189" s="154">
        <v>440.2</v>
      </c>
      <c r="AG189" s="3" t="s">
        <v>36</v>
      </c>
      <c r="AH189" s="165">
        <v>1.27E-4</v>
      </c>
      <c r="AI189" s="165">
        <v>3.1182866902580601E-2</v>
      </c>
      <c r="AJ189" s="165">
        <v>8.8634524515499493E-3</v>
      </c>
    </row>
    <row r="190" spans="1:36">
      <c r="A190" s="3">
        <v>288</v>
      </c>
      <c r="B190" s="3">
        <v>1451</v>
      </c>
      <c r="C190" s="3" t="s">
        <v>355</v>
      </c>
      <c r="D190" s="3" t="s">
        <v>356</v>
      </c>
      <c r="E190" s="5" t="s">
        <v>147</v>
      </c>
      <c r="F190" s="3" t="s">
        <v>357</v>
      </c>
      <c r="G190" s="3" t="s">
        <v>358</v>
      </c>
      <c r="H190" s="3" t="s">
        <v>150</v>
      </c>
      <c r="I190" s="3" t="s">
        <v>183</v>
      </c>
      <c r="J190" s="3" t="s">
        <v>30</v>
      </c>
      <c r="K190" s="3" t="s">
        <v>30</v>
      </c>
      <c r="L190" s="3" t="s">
        <v>152</v>
      </c>
      <c r="M190" s="3" t="s">
        <v>41</v>
      </c>
      <c r="N190" s="3" t="s">
        <v>282</v>
      </c>
      <c r="O190" s="3" t="s">
        <v>154</v>
      </c>
      <c r="P190" s="3" t="s">
        <v>283</v>
      </c>
      <c r="Q190" s="3" t="s">
        <v>156</v>
      </c>
      <c r="R190" s="3" t="s">
        <v>157</v>
      </c>
      <c r="S190" s="3" t="s">
        <v>44</v>
      </c>
      <c r="T190" s="154">
        <v>4.13</v>
      </c>
      <c r="U190" s="3" t="s">
        <v>359</v>
      </c>
      <c r="V190" s="165">
        <v>2.0199999999999999E-2</v>
      </c>
      <c r="W190" s="165">
        <v>2.5430000000000001E-2</v>
      </c>
      <c r="X190" s="5" t="s">
        <v>159</v>
      </c>
      <c r="Y190" s="5" t="s">
        <v>154</v>
      </c>
      <c r="Z190" s="154">
        <v>300000</v>
      </c>
      <c r="AA190" s="163">
        <v>1</v>
      </c>
      <c r="AB190" s="173">
        <v>105.02</v>
      </c>
      <c r="AD190" s="154">
        <v>315.06</v>
      </c>
      <c r="AG190" s="3" t="s">
        <v>36</v>
      </c>
      <c r="AH190" s="165">
        <v>8.3999999999999995E-5</v>
      </c>
      <c r="AI190" s="165">
        <v>2.2318205466440401E-2</v>
      </c>
      <c r="AJ190" s="165">
        <v>6.3437513161865699E-3</v>
      </c>
    </row>
    <row r="191" spans="1:36">
      <c r="A191" s="3">
        <v>288</v>
      </c>
      <c r="B191" s="3">
        <v>1451</v>
      </c>
      <c r="C191" s="3" t="s">
        <v>355</v>
      </c>
      <c r="D191" s="3" t="s">
        <v>356</v>
      </c>
      <c r="E191" s="5" t="s">
        <v>147</v>
      </c>
      <c r="F191" s="3" t="s">
        <v>360</v>
      </c>
      <c r="G191" s="3" t="s">
        <v>361</v>
      </c>
      <c r="H191" s="3" t="s">
        <v>150</v>
      </c>
      <c r="I191" s="3" t="s">
        <v>183</v>
      </c>
      <c r="J191" s="3" t="s">
        <v>30</v>
      </c>
      <c r="K191" s="3" t="s">
        <v>30</v>
      </c>
      <c r="L191" s="3" t="s">
        <v>152</v>
      </c>
      <c r="M191" s="3" t="s">
        <v>41</v>
      </c>
      <c r="N191" s="3" t="s">
        <v>282</v>
      </c>
      <c r="O191" s="3" t="s">
        <v>154</v>
      </c>
      <c r="P191" s="3" t="s">
        <v>283</v>
      </c>
      <c r="Q191" s="3" t="s">
        <v>156</v>
      </c>
      <c r="R191" s="3" t="s">
        <v>157</v>
      </c>
      <c r="S191" s="3" t="s">
        <v>44</v>
      </c>
      <c r="T191" s="154">
        <v>4.1289999999999996</v>
      </c>
      <c r="U191" s="3" t="s">
        <v>362</v>
      </c>
      <c r="V191" s="165">
        <v>1E-3</v>
      </c>
      <c r="W191" s="165">
        <v>2.5350000000000001E-2</v>
      </c>
      <c r="X191" s="5" t="s">
        <v>159</v>
      </c>
      <c r="Y191" s="5" t="s">
        <v>154</v>
      </c>
      <c r="Z191" s="154">
        <v>333000</v>
      </c>
      <c r="AA191" s="163">
        <v>1</v>
      </c>
      <c r="AB191" s="173">
        <v>104.89</v>
      </c>
      <c r="AD191" s="154">
        <v>349.28399999999999</v>
      </c>
      <c r="AG191" s="3" t="s">
        <v>36</v>
      </c>
      <c r="AH191" s="165">
        <v>7.7999999999999999E-5</v>
      </c>
      <c r="AI191" s="165">
        <v>2.4742542317902998E-2</v>
      </c>
      <c r="AJ191" s="165">
        <v>7.0328474944376202E-3</v>
      </c>
    </row>
    <row r="192" spans="1:36">
      <c r="A192" s="3">
        <v>288</v>
      </c>
      <c r="B192" s="3">
        <v>1451</v>
      </c>
      <c r="C192" s="3" t="s">
        <v>355</v>
      </c>
      <c r="D192" s="3" t="s">
        <v>356</v>
      </c>
      <c r="E192" s="5" t="s">
        <v>147</v>
      </c>
      <c r="F192" s="3" t="s">
        <v>363</v>
      </c>
      <c r="G192" s="3" t="s">
        <v>364</v>
      </c>
      <c r="H192" s="3" t="s">
        <v>150</v>
      </c>
      <c r="I192" s="3" t="s">
        <v>165</v>
      </c>
      <c r="J192" s="3" t="s">
        <v>30</v>
      </c>
      <c r="K192" s="3" t="s">
        <v>30</v>
      </c>
      <c r="L192" s="3" t="s">
        <v>152</v>
      </c>
      <c r="M192" s="3" t="s">
        <v>41</v>
      </c>
      <c r="N192" s="3" t="s">
        <v>282</v>
      </c>
      <c r="O192" s="3" t="s">
        <v>154</v>
      </c>
      <c r="P192" s="3" t="s">
        <v>365</v>
      </c>
      <c r="Q192" s="3" t="s">
        <v>169</v>
      </c>
      <c r="R192" s="3" t="s">
        <v>157</v>
      </c>
      <c r="S192" s="3" t="s">
        <v>44</v>
      </c>
      <c r="T192" s="154">
        <v>5.7640000000000002</v>
      </c>
      <c r="U192" s="3" t="s">
        <v>366</v>
      </c>
      <c r="V192" s="165">
        <v>4.5900000000000003E-2</v>
      </c>
      <c r="W192" s="165">
        <v>4.548E-2</v>
      </c>
      <c r="X192" s="5" t="s">
        <v>159</v>
      </c>
      <c r="Y192" s="5" t="s">
        <v>154</v>
      </c>
      <c r="Z192" s="154">
        <v>150000</v>
      </c>
      <c r="AA192" s="163">
        <v>1</v>
      </c>
      <c r="AB192" s="173">
        <v>100.58</v>
      </c>
      <c r="AD192" s="154">
        <v>150.87</v>
      </c>
      <c r="AG192" s="3" t="s">
        <v>36</v>
      </c>
      <c r="AH192" s="165">
        <v>8.0000000000000007E-5</v>
      </c>
      <c r="AI192" s="165">
        <v>1.0687321966361501E-2</v>
      </c>
      <c r="AJ192" s="165">
        <v>3.0377761730244002E-3</v>
      </c>
    </row>
    <row r="193" spans="1:36">
      <c r="A193" s="3">
        <v>288</v>
      </c>
      <c r="B193" s="3">
        <v>1451</v>
      </c>
      <c r="C193" s="3" t="s">
        <v>355</v>
      </c>
      <c r="D193" s="3" t="s">
        <v>356</v>
      </c>
      <c r="E193" s="5" t="s">
        <v>147</v>
      </c>
      <c r="F193" s="3" t="s">
        <v>367</v>
      </c>
      <c r="G193" s="3" t="s">
        <v>368</v>
      </c>
      <c r="H193" s="3" t="s">
        <v>150</v>
      </c>
      <c r="I193" s="3" t="s">
        <v>183</v>
      </c>
      <c r="J193" s="3" t="s">
        <v>30</v>
      </c>
      <c r="K193" s="3" t="s">
        <v>30</v>
      </c>
      <c r="L193" s="3" t="s">
        <v>152</v>
      </c>
      <c r="M193" s="3" t="s">
        <v>41</v>
      </c>
      <c r="N193" s="3" t="s">
        <v>282</v>
      </c>
      <c r="O193" s="3" t="s">
        <v>154</v>
      </c>
      <c r="P193" s="3" t="s">
        <v>365</v>
      </c>
      <c r="Q193" s="3" t="s">
        <v>169</v>
      </c>
      <c r="R193" s="3" t="s">
        <v>157</v>
      </c>
      <c r="S193" s="3" t="s">
        <v>44</v>
      </c>
      <c r="T193" s="154">
        <v>6.6959999999999997</v>
      </c>
      <c r="U193" s="3" t="s">
        <v>369</v>
      </c>
      <c r="V193" s="165">
        <v>2.5999999999999999E-2</v>
      </c>
      <c r="W193" s="165">
        <v>2.554E-2</v>
      </c>
      <c r="X193" s="5" t="s">
        <v>159</v>
      </c>
      <c r="Y193" s="5" t="s">
        <v>154</v>
      </c>
      <c r="Z193" s="154">
        <v>150000</v>
      </c>
      <c r="AA193" s="163">
        <v>1</v>
      </c>
      <c r="AB193" s="173">
        <v>101.17</v>
      </c>
      <c r="AD193" s="154">
        <v>151.755</v>
      </c>
      <c r="AG193" s="3" t="s">
        <v>36</v>
      </c>
      <c r="AH193" s="165">
        <v>8.2000000000000001E-5</v>
      </c>
      <c r="AI193" s="165">
        <v>1.0750013554750399E-2</v>
      </c>
      <c r="AJ193" s="165">
        <v>3.05559569919346E-3</v>
      </c>
    </row>
    <row r="194" spans="1:36">
      <c r="A194" s="3">
        <v>288</v>
      </c>
      <c r="B194" s="3">
        <v>1451</v>
      </c>
      <c r="C194" s="3" t="s">
        <v>370</v>
      </c>
      <c r="D194" s="3" t="s">
        <v>371</v>
      </c>
      <c r="E194" s="5" t="s">
        <v>147</v>
      </c>
      <c r="F194" s="3" t="s">
        <v>375</v>
      </c>
      <c r="G194" s="3" t="s">
        <v>376</v>
      </c>
      <c r="H194" s="3" t="s">
        <v>150</v>
      </c>
      <c r="I194" s="3" t="s">
        <v>165</v>
      </c>
      <c r="J194" s="3" t="s">
        <v>30</v>
      </c>
      <c r="K194" s="3" t="s">
        <v>30</v>
      </c>
      <c r="L194" s="3" t="s">
        <v>152</v>
      </c>
      <c r="M194" s="3" t="s">
        <v>41</v>
      </c>
      <c r="N194" s="3" t="s">
        <v>184</v>
      </c>
      <c r="O194" s="3" t="s">
        <v>154</v>
      </c>
      <c r="P194" s="3" t="s">
        <v>185</v>
      </c>
      <c r="Q194" s="3" t="s">
        <v>156</v>
      </c>
      <c r="R194" s="3" t="s">
        <v>157</v>
      </c>
      <c r="S194" s="3" t="s">
        <v>44</v>
      </c>
      <c r="T194" s="154">
        <v>1.64</v>
      </c>
      <c r="U194" s="3" t="s">
        <v>315</v>
      </c>
      <c r="V194" s="165">
        <v>5.6500000000000002E-2</v>
      </c>
      <c r="W194" s="165">
        <v>4.9180000000000001E-2</v>
      </c>
      <c r="X194" s="5" t="s">
        <v>159</v>
      </c>
      <c r="Y194" s="5" t="s">
        <v>154</v>
      </c>
      <c r="Z194" s="154">
        <v>27365.74</v>
      </c>
      <c r="AA194" s="163">
        <v>1</v>
      </c>
      <c r="AB194" s="173">
        <v>102.79</v>
      </c>
      <c r="AD194" s="154">
        <v>28.129000000000001</v>
      </c>
      <c r="AG194" s="3" t="s">
        <v>36</v>
      </c>
      <c r="AH194" s="165">
        <v>2.34E-4</v>
      </c>
      <c r="AI194" s="165">
        <v>1.99261807422743E-3</v>
      </c>
      <c r="AJ194" s="165">
        <v>5.6638395726058802E-4</v>
      </c>
    </row>
    <row r="195" spans="1:36">
      <c r="A195" s="3">
        <v>288</v>
      </c>
      <c r="B195" s="3">
        <v>1451</v>
      </c>
      <c r="C195" s="3" t="s">
        <v>370</v>
      </c>
      <c r="D195" s="3" t="s">
        <v>371</v>
      </c>
      <c r="E195" s="5" t="s">
        <v>147</v>
      </c>
      <c r="F195" s="3" t="s">
        <v>377</v>
      </c>
      <c r="G195" s="3" t="s">
        <v>378</v>
      </c>
      <c r="H195" s="3" t="s">
        <v>150</v>
      </c>
      <c r="I195" s="3" t="s">
        <v>183</v>
      </c>
      <c r="J195" s="3" t="s">
        <v>30</v>
      </c>
      <c r="K195" s="3" t="s">
        <v>30</v>
      </c>
      <c r="L195" s="3" t="s">
        <v>152</v>
      </c>
      <c r="M195" s="3" t="s">
        <v>41</v>
      </c>
      <c r="N195" s="3" t="s">
        <v>184</v>
      </c>
      <c r="O195" s="3" t="s">
        <v>154</v>
      </c>
      <c r="P195" s="3" t="s">
        <v>185</v>
      </c>
      <c r="Q195" s="3" t="s">
        <v>156</v>
      </c>
      <c r="R195" s="3" t="s">
        <v>157</v>
      </c>
      <c r="S195" s="3" t="s">
        <v>44</v>
      </c>
      <c r="T195" s="154">
        <v>1.673</v>
      </c>
      <c r="U195" s="3" t="s">
        <v>315</v>
      </c>
      <c r="V195" s="165">
        <v>3.6999999999999998E-2</v>
      </c>
      <c r="W195" s="165">
        <v>2.9180000000000001E-2</v>
      </c>
      <c r="X195" s="5" t="s">
        <v>159</v>
      </c>
      <c r="Y195" s="5" t="s">
        <v>154</v>
      </c>
      <c r="Z195" s="154">
        <v>7704.26</v>
      </c>
      <c r="AA195" s="163">
        <v>1</v>
      </c>
      <c r="AB195" s="173">
        <v>121.5</v>
      </c>
      <c r="AD195" s="154">
        <v>9.3610000000000007</v>
      </c>
      <c r="AG195" s="3" t="s">
        <v>36</v>
      </c>
      <c r="AH195" s="165">
        <v>3.4E-5</v>
      </c>
      <c r="AI195" s="165">
        <v>6.63091119281904E-4</v>
      </c>
      <c r="AJ195" s="165">
        <v>1.8847775046347E-4</v>
      </c>
    </row>
    <row r="196" spans="1:36">
      <c r="A196" s="3">
        <v>288</v>
      </c>
      <c r="B196" s="3">
        <v>1451</v>
      </c>
      <c r="C196" s="3" t="s">
        <v>379</v>
      </c>
      <c r="D196" s="3" t="s">
        <v>380</v>
      </c>
      <c r="E196" s="5" t="s">
        <v>147</v>
      </c>
      <c r="F196" s="3" t="s">
        <v>381</v>
      </c>
      <c r="G196" s="3" t="s">
        <v>382</v>
      </c>
      <c r="H196" s="3" t="s">
        <v>150</v>
      </c>
      <c r="I196" s="3" t="s">
        <v>165</v>
      </c>
      <c r="J196" s="3" t="s">
        <v>30</v>
      </c>
      <c r="K196" s="3" t="s">
        <v>30</v>
      </c>
      <c r="L196" s="3" t="s">
        <v>152</v>
      </c>
      <c r="M196" s="3" t="s">
        <v>41</v>
      </c>
      <c r="N196" s="3" t="s">
        <v>176</v>
      </c>
      <c r="O196" s="3" t="s">
        <v>154</v>
      </c>
      <c r="P196" s="3" t="s">
        <v>383</v>
      </c>
      <c r="Q196" s="3" t="s">
        <v>169</v>
      </c>
      <c r="R196" s="3" t="s">
        <v>157</v>
      </c>
      <c r="S196" s="3" t="s">
        <v>44</v>
      </c>
      <c r="T196" s="154">
        <v>6.5819999999999999</v>
      </c>
      <c r="U196" s="3" t="s">
        <v>384</v>
      </c>
      <c r="V196" s="165">
        <v>6.0699999999999997E-2</v>
      </c>
      <c r="W196" s="165">
        <v>4.9540000000000001E-2</v>
      </c>
      <c r="X196" s="5" t="s">
        <v>159</v>
      </c>
      <c r="Y196" s="5" t="s">
        <v>154</v>
      </c>
      <c r="Z196" s="154">
        <v>90000</v>
      </c>
      <c r="AA196" s="163">
        <v>1</v>
      </c>
      <c r="AB196" s="173">
        <v>109.46</v>
      </c>
      <c r="AD196" s="154">
        <v>98.513999999999996</v>
      </c>
      <c r="AG196" s="3" t="s">
        <v>36</v>
      </c>
      <c r="AH196" s="165">
        <v>1.4300000000000001E-4</v>
      </c>
      <c r="AI196" s="165">
        <v>6.9785301000473204E-3</v>
      </c>
      <c r="AJ196" s="165">
        <v>1.9835850858973001E-3</v>
      </c>
    </row>
    <row r="197" spans="1:36">
      <c r="A197" s="3">
        <v>288</v>
      </c>
      <c r="B197" s="3">
        <v>1451</v>
      </c>
      <c r="C197" s="3" t="s">
        <v>379</v>
      </c>
      <c r="D197" s="3" t="s">
        <v>380</v>
      </c>
      <c r="E197" s="5" t="s">
        <v>147</v>
      </c>
      <c r="F197" s="3" t="s">
        <v>703</v>
      </c>
      <c r="G197" s="3" t="s">
        <v>704</v>
      </c>
      <c r="H197" s="3" t="s">
        <v>150</v>
      </c>
      <c r="I197" s="3" t="s">
        <v>165</v>
      </c>
      <c r="J197" s="3" t="s">
        <v>30</v>
      </c>
      <c r="K197" s="3" t="s">
        <v>30</v>
      </c>
      <c r="L197" s="3" t="s">
        <v>152</v>
      </c>
      <c r="M197" s="3" t="s">
        <v>41</v>
      </c>
      <c r="N197" s="3" t="s">
        <v>176</v>
      </c>
      <c r="O197" s="3" t="s">
        <v>154</v>
      </c>
      <c r="P197" s="3" t="s">
        <v>383</v>
      </c>
      <c r="Q197" s="3" t="s">
        <v>169</v>
      </c>
      <c r="R197" s="3" t="s">
        <v>157</v>
      </c>
      <c r="S197" s="3" t="s">
        <v>44</v>
      </c>
      <c r="T197" s="154">
        <v>4.2430000000000003</v>
      </c>
      <c r="U197" s="3" t="s">
        <v>94</v>
      </c>
      <c r="V197" s="165">
        <v>2.3800000000000002E-2</v>
      </c>
      <c r="W197" s="165">
        <v>4.6609999999999999E-2</v>
      </c>
      <c r="X197" s="5" t="s">
        <v>159</v>
      </c>
      <c r="Y197" s="5" t="s">
        <v>154</v>
      </c>
      <c r="Z197" s="154">
        <v>130000</v>
      </c>
      <c r="AA197" s="163">
        <v>1</v>
      </c>
      <c r="AB197" s="173">
        <v>92.17</v>
      </c>
      <c r="AD197" s="154">
        <v>119.821</v>
      </c>
      <c r="AG197" s="3" t="s">
        <v>36</v>
      </c>
      <c r="AH197" s="165">
        <v>2.0000000000000001E-4</v>
      </c>
      <c r="AI197" s="165">
        <v>8.4878743642301593E-3</v>
      </c>
      <c r="AJ197" s="165">
        <v>2.4126027628286399E-3</v>
      </c>
    </row>
    <row r="198" spans="1:36">
      <c r="A198" s="3">
        <v>288</v>
      </c>
      <c r="B198" s="3">
        <v>1451</v>
      </c>
      <c r="C198" s="3" t="s">
        <v>391</v>
      </c>
      <c r="D198" s="3" t="s">
        <v>392</v>
      </c>
      <c r="E198" s="5" t="s">
        <v>147</v>
      </c>
      <c r="F198" s="3" t="s">
        <v>393</v>
      </c>
      <c r="G198" s="3" t="s">
        <v>394</v>
      </c>
      <c r="H198" s="3" t="s">
        <v>150</v>
      </c>
      <c r="I198" s="3" t="s">
        <v>183</v>
      </c>
      <c r="J198" s="3" t="s">
        <v>30</v>
      </c>
      <c r="K198" s="3" t="s">
        <v>30</v>
      </c>
      <c r="L198" s="3" t="s">
        <v>152</v>
      </c>
      <c r="M198" s="3" t="s">
        <v>41</v>
      </c>
      <c r="N198" s="3" t="s">
        <v>184</v>
      </c>
      <c r="O198" s="3" t="s">
        <v>154</v>
      </c>
      <c r="P198" s="3" t="s">
        <v>155</v>
      </c>
      <c r="Q198" s="3" t="s">
        <v>156</v>
      </c>
      <c r="R198" s="3" t="s">
        <v>157</v>
      </c>
      <c r="S198" s="3" t="s">
        <v>44</v>
      </c>
      <c r="T198" s="154">
        <v>1.379</v>
      </c>
      <c r="U198" s="3" t="s">
        <v>395</v>
      </c>
      <c r="V198" s="165">
        <v>2.0500000000000001E-2</v>
      </c>
      <c r="W198" s="165">
        <v>3.0210000000000001E-2</v>
      </c>
      <c r="X198" s="5" t="s">
        <v>159</v>
      </c>
      <c r="Y198" s="5" t="s">
        <v>154</v>
      </c>
      <c r="Z198" s="154">
        <v>111770.54</v>
      </c>
      <c r="AA198" s="163">
        <v>1</v>
      </c>
      <c r="AB198" s="173">
        <v>118.88</v>
      </c>
      <c r="AD198" s="154">
        <v>132.87299999999999</v>
      </c>
      <c r="AG198" s="3" t="s">
        <v>36</v>
      </c>
      <c r="AH198" s="165">
        <v>2.22E-4</v>
      </c>
      <c r="AI198" s="165">
        <v>9.4124384306407093E-3</v>
      </c>
      <c r="AJ198" s="165">
        <v>2.6754018719241401E-3</v>
      </c>
    </row>
    <row r="199" spans="1:36">
      <c r="A199" s="3">
        <v>288</v>
      </c>
      <c r="B199" s="3">
        <v>1451</v>
      </c>
      <c r="C199" s="3" t="s">
        <v>396</v>
      </c>
      <c r="D199" s="3" t="s">
        <v>397</v>
      </c>
      <c r="E199" s="5" t="s">
        <v>147</v>
      </c>
      <c r="F199" s="3" t="s">
        <v>398</v>
      </c>
      <c r="G199" s="3" t="s">
        <v>399</v>
      </c>
      <c r="H199" s="3" t="s">
        <v>150</v>
      </c>
      <c r="I199" s="3" t="s">
        <v>183</v>
      </c>
      <c r="J199" s="3" t="s">
        <v>30</v>
      </c>
      <c r="K199" s="3" t="s">
        <v>30</v>
      </c>
      <c r="L199" s="3" t="s">
        <v>152</v>
      </c>
      <c r="M199" s="3" t="s">
        <v>41</v>
      </c>
      <c r="N199" s="3" t="s">
        <v>282</v>
      </c>
      <c r="O199" s="3" t="s">
        <v>154</v>
      </c>
      <c r="P199" s="3" t="s">
        <v>283</v>
      </c>
      <c r="Q199" s="3" t="s">
        <v>156</v>
      </c>
      <c r="R199" s="3" t="s">
        <v>157</v>
      </c>
      <c r="S199" s="3" t="s">
        <v>44</v>
      </c>
      <c r="T199" s="154">
        <v>3.04</v>
      </c>
      <c r="U199" s="3" t="s">
        <v>400</v>
      </c>
      <c r="V199" s="165">
        <v>1E-3</v>
      </c>
      <c r="W199" s="165">
        <v>2.5440000000000001E-2</v>
      </c>
      <c r="X199" s="5" t="s">
        <v>159</v>
      </c>
      <c r="Y199" s="5" t="s">
        <v>154</v>
      </c>
      <c r="Z199" s="154">
        <v>177000</v>
      </c>
      <c r="AA199" s="163">
        <v>1</v>
      </c>
      <c r="AB199" s="173">
        <v>107.76</v>
      </c>
      <c r="AD199" s="154">
        <v>190.73500000000001</v>
      </c>
      <c r="AG199" s="3" t="s">
        <v>36</v>
      </c>
      <c r="AH199" s="165">
        <v>5.1999999999999997E-5</v>
      </c>
      <c r="AI199" s="165">
        <v>1.3511291129570901E-2</v>
      </c>
      <c r="AJ199" s="165">
        <v>3.8404642799565402E-3</v>
      </c>
    </row>
    <row r="200" spans="1:36">
      <c r="A200" s="3">
        <v>288</v>
      </c>
      <c r="B200" s="3">
        <v>1451</v>
      </c>
      <c r="C200" s="3" t="s">
        <v>396</v>
      </c>
      <c r="D200" s="3" t="s">
        <v>397</v>
      </c>
      <c r="E200" s="5" t="s">
        <v>147</v>
      </c>
      <c r="F200" s="3" t="s">
        <v>401</v>
      </c>
      <c r="G200" s="3" t="s">
        <v>402</v>
      </c>
      <c r="H200" s="3" t="s">
        <v>150</v>
      </c>
      <c r="I200" s="3" t="s">
        <v>165</v>
      </c>
      <c r="J200" s="3" t="s">
        <v>30</v>
      </c>
      <c r="K200" s="3" t="s">
        <v>30</v>
      </c>
      <c r="L200" s="3" t="s">
        <v>152</v>
      </c>
      <c r="M200" s="3" t="s">
        <v>41</v>
      </c>
      <c r="N200" s="3" t="s">
        <v>282</v>
      </c>
      <c r="O200" s="3" t="s">
        <v>154</v>
      </c>
      <c r="P200" s="3" t="s">
        <v>283</v>
      </c>
      <c r="Q200" s="3" t="s">
        <v>156</v>
      </c>
      <c r="R200" s="3" t="s">
        <v>157</v>
      </c>
      <c r="S200" s="3" t="s">
        <v>44</v>
      </c>
      <c r="T200" s="154">
        <v>2.8170000000000002</v>
      </c>
      <c r="U200" s="3" t="s">
        <v>403</v>
      </c>
      <c r="V200" s="165">
        <v>2.7400000000000001E-2</v>
      </c>
      <c r="W200" s="165">
        <v>4.4889999999999999E-2</v>
      </c>
      <c r="X200" s="5" t="s">
        <v>159</v>
      </c>
      <c r="Y200" s="5" t="s">
        <v>154</v>
      </c>
      <c r="Z200" s="154">
        <v>250000</v>
      </c>
      <c r="AA200" s="163">
        <v>1</v>
      </c>
      <c r="AB200" s="173">
        <v>96.57</v>
      </c>
      <c r="AD200" s="154">
        <v>241.42500000000001</v>
      </c>
      <c r="AG200" s="3" t="s">
        <v>36</v>
      </c>
      <c r="AH200" s="165">
        <v>7.8999999999999996E-5</v>
      </c>
      <c r="AI200" s="165">
        <v>1.71020527986268E-2</v>
      </c>
      <c r="AJ200" s="165">
        <v>4.86110633374704E-3</v>
      </c>
    </row>
    <row r="201" spans="1:36">
      <c r="A201" s="3">
        <v>288</v>
      </c>
      <c r="B201" s="3">
        <v>1451</v>
      </c>
      <c r="C201" s="3" t="s">
        <v>396</v>
      </c>
      <c r="D201" s="3" t="s">
        <v>397</v>
      </c>
      <c r="E201" s="5" t="s">
        <v>147</v>
      </c>
      <c r="F201" s="3" t="s">
        <v>404</v>
      </c>
      <c r="G201" s="3" t="s">
        <v>405</v>
      </c>
      <c r="H201" s="3" t="s">
        <v>150</v>
      </c>
      <c r="I201" s="3" t="s">
        <v>183</v>
      </c>
      <c r="J201" s="3" t="s">
        <v>30</v>
      </c>
      <c r="K201" s="3" t="s">
        <v>30</v>
      </c>
      <c r="L201" s="3" t="s">
        <v>152</v>
      </c>
      <c r="M201" s="3" t="s">
        <v>41</v>
      </c>
      <c r="N201" s="3" t="s">
        <v>282</v>
      </c>
      <c r="O201" s="3" t="s">
        <v>154</v>
      </c>
      <c r="P201" s="3" t="s">
        <v>283</v>
      </c>
      <c r="Q201" s="3" t="s">
        <v>156</v>
      </c>
      <c r="R201" s="3" t="s">
        <v>157</v>
      </c>
      <c r="S201" s="3" t="s">
        <v>44</v>
      </c>
      <c r="T201" s="154">
        <v>3.956</v>
      </c>
      <c r="U201" s="3" t="s">
        <v>329</v>
      </c>
      <c r="V201" s="165">
        <v>2.06E-2</v>
      </c>
      <c r="W201" s="165">
        <v>2.5260000000000001E-2</v>
      </c>
      <c r="X201" s="5" t="s">
        <v>159</v>
      </c>
      <c r="Y201" s="5" t="s">
        <v>154</v>
      </c>
      <c r="Z201" s="154">
        <v>120000</v>
      </c>
      <c r="AA201" s="163">
        <v>1</v>
      </c>
      <c r="AB201" s="173">
        <v>106.36</v>
      </c>
      <c r="AD201" s="154">
        <v>127.63200000000001</v>
      </c>
      <c r="AG201" s="3" t="s">
        <v>36</v>
      </c>
      <c r="AH201" s="165">
        <v>7.4999999999999993E-5</v>
      </c>
      <c r="AI201" s="165">
        <v>9.0411896149708605E-3</v>
      </c>
      <c r="AJ201" s="165">
        <v>2.5698776994462101E-3</v>
      </c>
    </row>
    <row r="202" spans="1:36">
      <c r="A202" s="3">
        <v>288</v>
      </c>
      <c r="B202" s="3">
        <v>1451</v>
      </c>
      <c r="C202" s="3" t="s">
        <v>396</v>
      </c>
      <c r="D202" s="3" t="s">
        <v>397</v>
      </c>
      <c r="E202" s="5" t="s">
        <v>147</v>
      </c>
      <c r="F202" s="3" t="s">
        <v>406</v>
      </c>
      <c r="G202" s="3" t="s">
        <v>407</v>
      </c>
      <c r="H202" s="3" t="s">
        <v>150</v>
      </c>
      <c r="I202" s="3" t="s">
        <v>183</v>
      </c>
      <c r="J202" s="3" t="s">
        <v>30</v>
      </c>
      <c r="K202" s="3" t="s">
        <v>30</v>
      </c>
      <c r="L202" s="3" t="s">
        <v>152</v>
      </c>
      <c r="M202" s="3" t="s">
        <v>41</v>
      </c>
      <c r="N202" s="3" t="s">
        <v>282</v>
      </c>
      <c r="O202" s="3" t="s">
        <v>154</v>
      </c>
      <c r="P202" s="3" t="s">
        <v>283</v>
      </c>
      <c r="Q202" s="3" t="s">
        <v>156</v>
      </c>
      <c r="R202" s="3" t="s">
        <v>157</v>
      </c>
      <c r="S202" s="3" t="s">
        <v>44</v>
      </c>
      <c r="T202" s="154">
        <v>3.9340000000000002</v>
      </c>
      <c r="U202" s="3" t="s">
        <v>408</v>
      </c>
      <c r="V202" s="165">
        <v>1.9900000000000001E-2</v>
      </c>
      <c r="W202" s="165">
        <v>2.545E-2</v>
      </c>
      <c r="X202" s="5" t="s">
        <v>159</v>
      </c>
      <c r="Y202" s="5" t="s">
        <v>154</v>
      </c>
      <c r="Z202" s="154">
        <v>270000</v>
      </c>
      <c r="AA202" s="163">
        <v>1</v>
      </c>
      <c r="AB202" s="173">
        <v>105.83</v>
      </c>
      <c r="AD202" s="154">
        <v>285.74099999999999</v>
      </c>
      <c r="AG202" s="3" t="s">
        <v>36</v>
      </c>
      <c r="AH202" s="165">
        <v>1.11E-4</v>
      </c>
      <c r="AI202" s="165">
        <v>2.0241307522967499E-2</v>
      </c>
      <c r="AJ202" s="165">
        <v>5.7534115560162096E-3</v>
      </c>
    </row>
    <row r="203" spans="1:36">
      <c r="A203" s="3">
        <v>288</v>
      </c>
      <c r="B203" s="3">
        <v>1451</v>
      </c>
      <c r="C203" s="3" t="s">
        <v>396</v>
      </c>
      <c r="D203" s="3" t="s">
        <v>397</v>
      </c>
      <c r="E203" s="5" t="s">
        <v>147</v>
      </c>
      <c r="F203" s="3" t="s">
        <v>409</v>
      </c>
      <c r="G203" s="3" t="s">
        <v>410</v>
      </c>
      <c r="H203" s="3" t="s">
        <v>150</v>
      </c>
      <c r="I203" s="3" t="s">
        <v>183</v>
      </c>
      <c r="J203" s="3" t="s">
        <v>30</v>
      </c>
      <c r="K203" s="3" t="s">
        <v>30</v>
      </c>
      <c r="L203" s="3" t="s">
        <v>152</v>
      </c>
      <c r="M203" s="3" t="s">
        <v>41</v>
      </c>
      <c r="N203" s="3" t="s">
        <v>282</v>
      </c>
      <c r="O203" s="3" t="s">
        <v>154</v>
      </c>
      <c r="P203" s="3" t="s">
        <v>283</v>
      </c>
      <c r="Q203" s="3" t="s">
        <v>156</v>
      </c>
      <c r="R203" s="3" t="s">
        <v>157</v>
      </c>
      <c r="S203" s="3" t="s">
        <v>44</v>
      </c>
      <c r="T203" s="154">
        <v>5.0759999999999996</v>
      </c>
      <c r="U203" s="3" t="s">
        <v>411</v>
      </c>
      <c r="V203" s="165">
        <v>2.6800000000000001E-2</v>
      </c>
      <c r="W203" s="165">
        <v>2.598E-2</v>
      </c>
      <c r="X203" s="5" t="s">
        <v>159</v>
      </c>
      <c r="Y203" s="5" t="s">
        <v>154</v>
      </c>
      <c r="Z203" s="154">
        <v>203000</v>
      </c>
      <c r="AA203" s="163">
        <v>1</v>
      </c>
      <c r="AB203" s="173">
        <v>105.34</v>
      </c>
      <c r="AD203" s="154">
        <v>213.84</v>
      </c>
      <c r="AG203" s="3" t="s">
        <v>36</v>
      </c>
      <c r="AH203" s="165">
        <v>7.2999999999999999E-5</v>
      </c>
      <c r="AI203" s="165">
        <v>1.5148002033214999E-2</v>
      </c>
      <c r="AJ203" s="165">
        <v>4.3056847908449197E-3</v>
      </c>
    </row>
    <row r="204" spans="1:36">
      <c r="A204" s="3">
        <v>288</v>
      </c>
      <c r="B204" s="3">
        <v>1451</v>
      </c>
      <c r="C204" s="3" t="s">
        <v>396</v>
      </c>
      <c r="D204" s="3" t="s">
        <v>397</v>
      </c>
      <c r="E204" s="5" t="s">
        <v>147</v>
      </c>
      <c r="F204" s="3" t="s">
        <v>412</v>
      </c>
      <c r="G204" s="3" t="s">
        <v>413</v>
      </c>
      <c r="H204" s="3" t="s">
        <v>150</v>
      </c>
      <c r="I204" s="3" t="s">
        <v>183</v>
      </c>
      <c r="J204" s="3" t="s">
        <v>30</v>
      </c>
      <c r="K204" s="3" t="s">
        <v>30</v>
      </c>
      <c r="L204" s="3" t="s">
        <v>152</v>
      </c>
      <c r="M204" s="3" t="s">
        <v>41</v>
      </c>
      <c r="N204" s="3" t="s">
        <v>282</v>
      </c>
      <c r="O204" s="3" t="s">
        <v>154</v>
      </c>
      <c r="P204" s="3" t="s">
        <v>365</v>
      </c>
      <c r="Q204" s="3" t="s">
        <v>169</v>
      </c>
      <c r="R204" s="3" t="s">
        <v>157</v>
      </c>
      <c r="S204" s="3" t="s">
        <v>44</v>
      </c>
      <c r="T204" s="154">
        <v>1.157</v>
      </c>
      <c r="U204" s="3" t="s">
        <v>414</v>
      </c>
      <c r="V204" s="165">
        <v>5.0000000000000001E-3</v>
      </c>
      <c r="W204" s="165">
        <v>2.9350000000000001E-2</v>
      </c>
      <c r="X204" s="5" t="s">
        <v>159</v>
      </c>
      <c r="Y204" s="5" t="s">
        <v>154</v>
      </c>
      <c r="Z204" s="154">
        <v>104000</v>
      </c>
      <c r="AA204" s="163">
        <v>1</v>
      </c>
      <c r="AB204" s="173">
        <v>114.73</v>
      </c>
      <c r="AD204" s="154">
        <v>119.319</v>
      </c>
      <c r="AG204" s="3" t="s">
        <v>36</v>
      </c>
      <c r="AH204" s="165">
        <v>1.36E-4</v>
      </c>
      <c r="AI204" s="165">
        <v>8.4523278794239008E-3</v>
      </c>
      <c r="AJ204" s="165">
        <v>2.4024989908154899E-3</v>
      </c>
    </row>
    <row r="205" spans="1:36">
      <c r="A205" s="3">
        <v>288</v>
      </c>
      <c r="B205" s="3">
        <v>1451</v>
      </c>
      <c r="C205" s="3" t="s">
        <v>396</v>
      </c>
      <c r="D205" s="3" t="s">
        <v>397</v>
      </c>
      <c r="E205" s="5" t="s">
        <v>147</v>
      </c>
      <c r="F205" s="3" t="s">
        <v>705</v>
      </c>
      <c r="G205" s="3" t="s">
        <v>706</v>
      </c>
      <c r="H205" s="3" t="s">
        <v>150</v>
      </c>
      <c r="I205" s="3" t="s">
        <v>183</v>
      </c>
      <c r="J205" s="3" t="s">
        <v>30</v>
      </c>
      <c r="K205" s="3" t="s">
        <v>30</v>
      </c>
      <c r="L205" s="3" t="s">
        <v>152</v>
      </c>
      <c r="M205" s="3" t="s">
        <v>41</v>
      </c>
      <c r="N205" s="3" t="s">
        <v>282</v>
      </c>
      <c r="O205" s="3" t="s">
        <v>154</v>
      </c>
      <c r="P205" s="3" t="s">
        <v>283</v>
      </c>
      <c r="Q205" s="3" t="s">
        <v>156</v>
      </c>
      <c r="R205" s="3" t="s">
        <v>157</v>
      </c>
      <c r="S205" s="3" t="s">
        <v>44</v>
      </c>
      <c r="T205" s="154">
        <v>4.7160000000000002</v>
      </c>
      <c r="U205" s="3" t="s">
        <v>707</v>
      </c>
      <c r="V205" s="165">
        <v>2E-3</v>
      </c>
      <c r="W205" s="165">
        <v>2.564E-2</v>
      </c>
      <c r="X205" s="5" t="s">
        <v>159</v>
      </c>
      <c r="Y205" s="5" t="s">
        <v>154</v>
      </c>
      <c r="Z205" s="154">
        <v>150000</v>
      </c>
      <c r="AA205" s="163">
        <v>1</v>
      </c>
      <c r="AB205" s="173">
        <v>106.44</v>
      </c>
      <c r="AD205" s="154">
        <v>159.66</v>
      </c>
      <c r="AG205" s="3" t="s">
        <v>36</v>
      </c>
      <c r="AH205" s="165">
        <v>4.3000000000000002E-5</v>
      </c>
      <c r="AI205" s="165">
        <v>1.13099875730714E-2</v>
      </c>
      <c r="AJ205" s="165">
        <v>3.2147633312459502E-3</v>
      </c>
    </row>
    <row r="206" spans="1:36">
      <c r="A206" s="3">
        <v>288</v>
      </c>
      <c r="B206" s="3">
        <v>1451</v>
      </c>
      <c r="C206" s="3" t="s">
        <v>396</v>
      </c>
      <c r="D206" s="3" t="s">
        <v>397</v>
      </c>
      <c r="E206" s="5" t="s">
        <v>147</v>
      </c>
      <c r="F206" s="3" t="s">
        <v>607</v>
      </c>
      <c r="G206" s="3" t="s">
        <v>608</v>
      </c>
      <c r="H206" s="3" t="s">
        <v>150</v>
      </c>
      <c r="I206" s="3" t="s">
        <v>183</v>
      </c>
      <c r="J206" s="3" t="s">
        <v>30</v>
      </c>
      <c r="K206" s="3" t="s">
        <v>30</v>
      </c>
      <c r="L206" s="3" t="s">
        <v>152</v>
      </c>
      <c r="M206" s="3" t="s">
        <v>41</v>
      </c>
      <c r="N206" s="3" t="s">
        <v>282</v>
      </c>
      <c r="O206" s="3" t="s">
        <v>154</v>
      </c>
      <c r="P206" s="3" t="s">
        <v>283</v>
      </c>
      <c r="Q206" s="3" t="s">
        <v>156</v>
      </c>
      <c r="R206" s="3" t="s">
        <v>157</v>
      </c>
      <c r="S206" s="3" t="s">
        <v>44</v>
      </c>
      <c r="T206" s="154">
        <v>2.9409999999999998</v>
      </c>
      <c r="U206" s="3" t="s">
        <v>403</v>
      </c>
      <c r="V206" s="165">
        <v>1E-3</v>
      </c>
      <c r="W206" s="165">
        <v>2.562E-2</v>
      </c>
      <c r="X206" s="5" t="s">
        <v>159</v>
      </c>
      <c r="Y206" s="5" t="s">
        <v>154</v>
      </c>
      <c r="Z206" s="154">
        <v>342864.49</v>
      </c>
      <c r="AA206" s="163">
        <v>1</v>
      </c>
      <c r="AB206" s="173">
        <v>106.57</v>
      </c>
      <c r="AD206" s="154">
        <v>365.39100000000002</v>
      </c>
      <c r="AG206" s="3" t="s">
        <v>36</v>
      </c>
      <c r="AH206" s="165">
        <v>1.54E-4</v>
      </c>
      <c r="AI206" s="165">
        <v>2.5883528305191299E-2</v>
      </c>
      <c r="AJ206" s="165">
        <v>7.3571626088178698E-3</v>
      </c>
    </row>
    <row r="207" spans="1:36">
      <c r="A207" s="3">
        <v>288</v>
      </c>
      <c r="B207" s="3">
        <v>1451</v>
      </c>
      <c r="C207" s="3" t="s">
        <v>708</v>
      </c>
      <c r="D207" s="3" t="s">
        <v>709</v>
      </c>
      <c r="E207" s="5" t="s">
        <v>147</v>
      </c>
      <c r="F207" s="3" t="s">
        <v>710</v>
      </c>
      <c r="G207" s="3" t="s">
        <v>711</v>
      </c>
      <c r="H207" s="3" t="s">
        <v>150</v>
      </c>
      <c r="I207" s="3" t="s">
        <v>165</v>
      </c>
      <c r="J207" s="3" t="s">
        <v>30</v>
      </c>
      <c r="K207" s="3" t="s">
        <v>30</v>
      </c>
      <c r="L207" s="3" t="s">
        <v>152</v>
      </c>
      <c r="M207" s="3" t="s">
        <v>41</v>
      </c>
      <c r="N207" s="3" t="s">
        <v>353</v>
      </c>
      <c r="O207" s="3" t="s">
        <v>154</v>
      </c>
      <c r="P207" s="3" t="s">
        <v>383</v>
      </c>
      <c r="Q207" s="3" t="s">
        <v>169</v>
      </c>
      <c r="R207" s="3" t="s">
        <v>157</v>
      </c>
      <c r="S207" s="3" t="s">
        <v>44</v>
      </c>
      <c r="T207" s="154">
        <v>2.3879999999999999</v>
      </c>
      <c r="U207" s="3" t="s">
        <v>712</v>
      </c>
      <c r="V207" s="165">
        <v>2.1100000000000001E-2</v>
      </c>
      <c r="W207" s="165">
        <v>4.795E-2</v>
      </c>
      <c r="X207" s="5" t="s">
        <v>159</v>
      </c>
      <c r="Y207" s="5" t="s">
        <v>154</v>
      </c>
      <c r="Z207" s="154">
        <v>114705.88</v>
      </c>
      <c r="AA207" s="163">
        <v>1</v>
      </c>
      <c r="AB207" s="173">
        <v>94.6</v>
      </c>
      <c r="AD207" s="154">
        <v>108.512</v>
      </c>
      <c r="AG207" s="3" t="s">
        <v>36</v>
      </c>
      <c r="AH207" s="165">
        <v>2.1699999999999999E-4</v>
      </c>
      <c r="AI207" s="165">
        <v>7.6867511285285796E-3</v>
      </c>
      <c r="AJ207" s="165">
        <v>2.1848906114842401E-3</v>
      </c>
    </row>
    <row r="208" spans="1:36">
      <c r="A208" s="3">
        <v>288</v>
      </c>
      <c r="B208" s="3">
        <v>1451</v>
      </c>
      <c r="C208" s="3" t="s">
        <v>708</v>
      </c>
      <c r="D208" s="3" t="s">
        <v>709</v>
      </c>
      <c r="E208" s="5" t="s">
        <v>147</v>
      </c>
      <c r="F208" s="3" t="s">
        <v>713</v>
      </c>
      <c r="G208" s="3" t="s">
        <v>714</v>
      </c>
      <c r="H208" s="3" t="s">
        <v>150</v>
      </c>
      <c r="I208" s="3" t="s">
        <v>183</v>
      </c>
      <c r="J208" s="3" t="s">
        <v>30</v>
      </c>
      <c r="K208" s="3" t="s">
        <v>30</v>
      </c>
      <c r="L208" s="3" t="s">
        <v>152</v>
      </c>
      <c r="M208" s="3" t="s">
        <v>41</v>
      </c>
      <c r="N208" s="3" t="s">
        <v>353</v>
      </c>
      <c r="O208" s="3" t="s">
        <v>154</v>
      </c>
      <c r="P208" s="3" t="s">
        <v>383</v>
      </c>
      <c r="Q208" s="3" t="s">
        <v>169</v>
      </c>
      <c r="R208" s="3" t="s">
        <v>157</v>
      </c>
      <c r="S208" s="3" t="s">
        <v>44</v>
      </c>
      <c r="T208" s="154">
        <v>0.17799999999999999</v>
      </c>
      <c r="U208" s="3" t="s">
        <v>715</v>
      </c>
      <c r="V208" s="165">
        <v>3.95E-2</v>
      </c>
      <c r="W208" s="165">
        <v>4.9840000000000002E-2</v>
      </c>
      <c r="X208" s="5" t="s">
        <v>159</v>
      </c>
      <c r="Y208" s="5" t="s">
        <v>154</v>
      </c>
      <c r="Z208" s="154">
        <v>49055.85</v>
      </c>
      <c r="AA208" s="163">
        <v>1</v>
      </c>
      <c r="AB208" s="173">
        <v>127.01</v>
      </c>
      <c r="AD208" s="154">
        <v>62.305999999999997</v>
      </c>
      <c r="AG208" s="3" t="s">
        <v>36</v>
      </c>
      <c r="AH208" s="165">
        <v>6.02E-4</v>
      </c>
      <c r="AI208" s="165">
        <v>4.4136178162419203E-3</v>
      </c>
      <c r="AJ208" s="165">
        <v>1.2545315918446401E-3</v>
      </c>
    </row>
    <row r="209" spans="1:36">
      <c r="A209" s="3">
        <v>288</v>
      </c>
      <c r="B209" s="3">
        <v>1451</v>
      </c>
      <c r="C209" s="3" t="s">
        <v>421</v>
      </c>
      <c r="D209" s="3" t="s">
        <v>422</v>
      </c>
      <c r="E209" s="5" t="s">
        <v>147</v>
      </c>
      <c r="F209" s="3" t="s">
        <v>423</v>
      </c>
      <c r="G209" s="3" t="s">
        <v>424</v>
      </c>
      <c r="H209" s="3" t="s">
        <v>150</v>
      </c>
      <c r="I209" s="3" t="s">
        <v>183</v>
      </c>
      <c r="J209" s="3" t="s">
        <v>30</v>
      </c>
      <c r="K209" s="3" t="s">
        <v>30</v>
      </c>
      <c r="L209" s="3" t="s">
        <v>152</v>
      </c>
      <c r="M209" s="3" t="s">
        <v>41</v>
      </c>
      <c r="N209" s="3" t="s">
        <v>425</v>
      </c>
      <c r="O209" s="3" t="s">
        <v>154</v>
      </c>
      <c r="P209" s="3" t="s">
        <v>383</v>
      </c>
      <c r="Q209" s="3" t="s">
        <v>169</v>
      </c>
      <c r="R209" s="3" t="s">
        <v>157</v>
      </c>
      <c r="S209" s="3" t="s">
        <v>44</v>
      </c>
      <c r="T209" s="154">
        <v>0.23599999999999999</v>
      </c>
      <c r="U209" s="3" t="s">
        <v>158</v>
      </c>
      <c r="V209" s="165">
        <v>1.8499999999999999E-2</v>
      </c>
      <c r="W209" s="165">
        <v>6.1780000000000002E-2</v>
      </c>
      <c r="X209" s="5" t="s">
        <v>159</v>
      </c>
      <c r="Y209" s="5" t="s">
        <v>154</v>
      </c>
      <c r="Z209" s="154">
        <v>30254.06</v>
      </c>
      <c r="AA209" s="163">
        <v>1</v>
      </c>
      <c r="AB209" s="173">
        <v>118.05</v>
      </c>
      <c r="AD209" s="154">
        <v>35.715000000000003</v>
      </c>
      <c r="AG209" s="3" t="s">
        <v>36</v>
      </c>
      <c r="AH209" s="165">
        <v>2.05E-4</v>
      </c>
      <c r="AI209" s="165">
        <v>2.5299716699897601E-3</v>
      </c>
      <c r="AJ209" s="165">
        <v>7.1912193547755195E-4</v>
      </c>
    </row>
    <row r="210" spans="1:36">
      <c r="A210" s="3">
        <v>288</v>
      </c>
      <c r="B210" s="3">
        <v>1451</v>
      </c>
      <c r="C210" s="3" t="s">
        <v>421</v>
      </c>
      <c r="D210" s="3" t="s">
        <v>422</v>
      </c>
      <c r="E210" s="5" t="s">
        <v>147</v>
      </c>
      <c r="F210" s="3" t="s">
        <v>426</v>
      </c>
      <c r="G210" s="3" t="s">
        <v>427</v>
      </c>
      <c r="H210" s="3" t="s">
        <v>150</v>
      </c>
      <c r="I210" s="3" t="s">
        <v>183</v>
      </c>
      <c r="J210" s="3" t="s">
        <v>30</v>
      </c>
      <c r="K210" s="3" t="s">
        <v>30</v>
      </c>
      <c r="L210" s="3" t="s">
        <v>152</v>
      </c>
      <c r="M210" s="3" t="s">
        <v>41</v>
      </c>
      <c r="N210" s="3" t="s">
        <v>425</v>
      </c>
      <c r="O210" s="3" t="s">
        <v>154</v>
      </c>
      <c r="P210" s="3" t="s">
        <v>383</v>
      </c>
      <c r="Q210" s="3" t="s">
        <v>169</v>
      </c>
      <c r="R210" s="3" t="s">
        <v>157</v>
      </c>
      <c r="S210" s="3" t="s">
        <v>44</v>
      </c>
      <c r="T210" s="154">
        <v>2.7869999999999999</v>
      </c>
      <c r="U210" s="3" t="s">
        <v>428</v>
      </c>
      <c r="V210" s="165">
        <v>0.01</v>
      </c>
      <c r="W210" s="165">
        <v>3.2149999999999998E-2</v>
      </c>
      <c r="X210" s="5" t="s">
        <v>159</v>
      </c>
      <c r="Y210" s="5" t="s">
        <v>154</v>
      </c>
      <c r="Z210" s="154">
        <v>151569.76999999999</v>
      </c>
      <c r="AA210" s="163">
        <v>1</v>
      </c>
      <c r="AB210" s="173">
        <v>109.08</v>
      </c>
      <c r="AD210" s="154">
        <v>165.33199999999999</v>
      </c>
      <c r="AG210" s="3" t="s">
        <v>36</v>
      </c>
      <c r="AH210" s="165">
        <v>9.2E-5</v>
      </c>
      <c r="AI210" s="165">
        <v>1.17118020561769E-2</v>
      </c>
      <c r="AJ210" s="165">
        <v>3.3289755227188002E-3</v>
      </c>
    </row>
    <row r="211" spans="1:36">
      <c r="A211" s="3">
        <v>288</v>
      </c>
      <c r="B211" s="3">
        <v>1451</v>
      </c>
      <c r="C211" s="3" t="s">
        <v>421</v>
      </c>
      <c r="D211" s="3" t="s">
        <v>422</v>
      </c>
      <c r="E211" s="5" t="s">
        <v>147</v>
      </c>
      <c r="F211" s="3" t="s">
        <v>429</v>
      </c>
      <c r="G211" s="3" t="s">
        <v>430</v>
      </c>
      <c r="H211" s="3" t="s">
        <v>150</v>
      </c>
      <c r="I211" s="3" t="s">
        <v>183</v>
      </c>
      <c r="J211" s="3" t="s">
        <v>30</v>
      </c>
      <c r="K211" s="3" t="s">
        <v>30</v>
      </c>
      <c r="L211" s="3" t="s">
        <v>152</v>
      </c>
      <c r="M211" s="3" t="s">
        <v>41</v>
      </c>
      <c r="N211" s="3" t="s">
        <v>425</v>
      </c>
      <c r="O211" s="3" t="s">
        <v>154</v>
      </c>
      <c r="P211" s="3" t="s">
        <v>383</v>
      </c>
      <c r="Q211" s="3" t="s">
        <v>169</v>
      </c>
      <c r="R211" s="3" t="s">
        <v>157</v>
      </c>
      <c r="S211" s="3" t="s">
        <v>44</v>
      </c>
      <c r="T211" s="154">
        <v>0.97</v>
      </c>
      <c r="U211" s="3" t="s">
        <v>109</v>
      </c>
      <c r="V211" s="165">
        <v>3.5400000000000001E-2</v>
      </c>
      <c r="W211" s="165">
        <v>4.1360000000000001E-2</v>
      </c>
      <c r="X211" s="5" t="s">
        <v>159</v>
      </c>
      <c r="Y211" s="5" t="s">
        <v>154</v>
      </c>
      <c r="Z211" s="154">
        <v>171750</v>
      </c>
      <c r="AA211" s="163">
        <v>1</v>
      </c>
      <c r="AB211" s="173">
        <v>109.63</v>
      </c>
      <c r="AD211" s="154">
        <v>188.29</v>
      </c>
      <c r="AG211" s="3" t="s">
        <v>36</v>
      </c>
      <c r="AH211" s="165">
        <v>1.7100000000000001E-4</v>
      </c>
      <c r="AI211" s="165">
        <v>1.33380445189122E-2</v>
      </c>
      <c r="AJ211" s="165">
        <v>3.79122047242714E-3</v>
      </c>
    </row>
    <row r="212" spans="1:36">
      <c r="A212" s="3">
        <v>288</v>
      </c>
      <c r="B212" s="3">
        <v>1451</v>
      </c>
      <c r="C212" s="3" t="s">
        <v>431</v>
      </c>
      <c r="D212" s="3" t="s">
        <v>432</v>
      </c>
      <c r="E212" s="5" t="s">
        <v>147</v>
      </c>
      <c r="F212" s="3" t="s">
        <v>435</v>
      </c>
      <c r="G212" s="3" t="s">
        <v>436</v>
      </c>
      <c r="H212" s="3" t="s">
        <v>150</v>
      </c>
      <c r="I212" s="3" t="s">
        <v>183</v>
      </c>
      <c r="J212" s="3" t="s">
        <v>30</v>
      </c>
      <c r="K212" s="3" t="s">
        <v>30</v>
      </c>
      <c r="L212" s="3" t="s">
        <v>152</v>
      </c>
      <c r="M212" s="3" t="s">
        <v>41</v>
      </c>
      <c r="N212" s="3" t="s">
        <v>184</v>
      </c>
      <c r="O212" s="3" t="s">
        <v>154</v>
      </c>
      <c r="P212" s="3" t="s">
        <v>185</v>
      </c>
      <c r="Q212" s="3" t="s">
        <v>156</v>
      </c>
      <c r="R212" s="3" t="s">
        <v>157</v>
      </c>
      <c r="S212" s="3" t="s">
        <v>44</v>
      </c>
      <c r="T212" s="154">
        <v>5.3339999999999996</v>
      </c>
      <c r="U212" s="3" t="s">
        <v>437</v>
      </c>
      <c r="V212" s="165">
        <v>3.61E-2</v>
      </c>
      <c r="W212" s="165">
        <v>2.9340000000000001E-2</v>
      </c>
      <c r="X212" s="5" t="s">
        <v>159</v>
      </c>
      <c r="Y212" s="5" t="s">
        <v>154</v>
      </c>
      <c r="Z212" s="154">
        <v>180000</v>
      </c>
      <c r="AA212" s="163">
        <v>1</v>
      </c>
      <c r="AB212" s="173">
        <v>113.95</v>
      </c>
      <c r="AD212" s="154">
        <v>205.11</v>
      </c>
      <c r="AG212" s="3" t="s">
        <v>36</v>
      </c>
      <c r="AH212" s="165">
        <v>8.2000000000000001E-5</v>
      </c>
      <c r="AI212" s="165">
        <v>1.45295725360934E-2</v>
      </c>
      <c r="AJ212" s="165">
        <v>4.1299017090809E-3</v>
      </c>
    </row>
    <row r="213" spans="1:36">
      <c r="A213" s="3">
        <v>288</v>
      </c>
      <c r="B213" s="3">
        <v>1451</v>
      </c>
      <c r="C213" s="3" t="s">
        <v>431</v>
      </c>
      <c r="D213" s="3" t="s">
        <v>432</v>
      </c>
      <c r="E213" s="5" t="s">
        <v>147</v>
      </c>
      <c r="F213" s="3" t="s">
        <v>609</v>
      </c>
      <c r="G213" s="3" t="s">
        <v>610</v>
      </c>
      <c r="H213" s="3" t="s">
        <v>150</v>
      </c>
      <c r="I213" s="3" t="s">
        <v>183</v>
      </c>
      <c r="J213" s="3" t="s">
        <v>30</v>
      </c>
      <c r="K213" s="3" t="s">
        <v>30</v>
      </c>
      <c r="L213" s="3" t="s">
        <v>152</v>
      </c>
      <c r="M213" s="3" t="s">
        <v>41</v>
      </c>
      <c r="N213" s="3" t="s">
        <v>184</v>
      </c>
      <c r="O213" s="3" t="s">
        <v>154</v>
      </c>
      <c r="P213" s="3" t="s">
        <v>185</v>
      </c>
      <c r="Q213" s="3" t="s">
        <v>156</v>
      </c>
      <c r="R213" s="3" t="s">
        <v>157</v>
      </c>
      <c r="S213" s="3" t="s">
        <v>44</v>
      </c>
      <c r="T213" s="154">
        <v>3.0649999999999999</v>
      </c>
      <c r="U213" s="3" t="s">
        <v>611</v>
      </c>
      <c r="V213" s="165">
        <v>2.2499999999999999E-2</v>
      </c>
      <c r="W213" s="165">
        <v>2.9350000000000001E-2</v>
      </c>
      <c r="X213" s="5" t="s">
        <v>159</v>
      </c>
      <c r="Y213" s="5" t="s">
        <v>154</v>
      </c>
      <c r="Z213" s="154">
        <v>199382.39999999999</v>
      </c>
      <c r="AA213" s="163">
        <v>1</v>
      </c>
      <c r="AB213" s="173">
        <v>118.47</v>
      </c>
      <c r="AD213" s="154">
        <v>236.208</v>
      </c>
      <c r="AG213" s="3" t="s">
        <v>36</v>
      </c>
      <c r="AH213" s="165">
        <v>1.15E-4</v>
      </c>
      <c r="AI213" s="165">
        <v>1.6732514523441998E-2</v>
      </c>
      <c r="AJ213" s="165">
        <v>4.7560683671815903E-3</v>
      </c>
    </row>
    <row r="214" spans="1:36">
      <c r="A214" s="3">
        <v>288</v>
      </c>
      <c r="B214" s="3">
        <v>1451</v>
      </c>
      <c r="C214" s="3" t="s">
        <v>431</v>
      </c>
      <c r="D214" s="3" t="s">
        <v>432</v>
      </c>
      <c r="E214" s="5" t="s">
        <v>147</v>
      </c>
      <c r="F214" s="3" t="s">
        <v>716</v>
      </c>
      <c r="G214" s="3" t="s">
        <v>717</v>
      </c>
      <c r="H214" s="3" t="s">
        <v>150</v>
      </c>
      <c r="I214" s="3" t="s">
        <v>183</v>
      </c>
      <c r="J214" s="3" t="s">
        <v>30</v>
      </c>
      <c r="K214" s="3" t="s">
        <v>30</v>
      </c>
      <c r="L214" s="3" t="s">
        <v>152</v>
      </c>
      <c r="M214" s="3" t="s">
        <v>41</v>
      </c>
      <c r="N214" s="3" t="s">
        <v>184</v>
      </c>
      <c r="O214" s="3" t="s">
        <v>154</v>
      </c>
      <c r="P214" s="3" t="s">
        <v>185</v>
      </c>
      <c r="Q214" s="3" t="s">
        <v>156</v>
      </c>
      <c r="R214" s="3" t="s">
        <v>157</v>
      </c>
      <c r="S214" s="3" t="s">
        <v>44</v>
      </c>
      <c r="T214" s="154">
        <v>4.4290000000000003</v>
      </c>
      <c r="U214" s="3" t="s">
        <v>707</v>
      </c>
      <c r="V214" s="165">
        <v>2.5000000000000001E-3</v>
      </c>
      <c r="W214" s="165">
        <v>2.7029999999999998E-2</v>
      </c>
      <c r="X214" s="5" t="s">
        <v>159</v>
      </c>
      <c r="Y214" s="5" t="s">
        <v>154</v>
      </c>
      <c r="Z214" s="154">
        <v>171122.45</v>
      </c>
      <c r="AA214" s="163">
        <v>1</v>
      </c>
      <c r="AB214" s="173">
        <v>104.64</v>
      </c>
      <c r="AD214" s="154">
        <v>179.06299999999999</v>
      </c>
      <c r="AG214" s="3" t="s">
        <v>36</v>
      </c>
      <c r="AH214" s="165">
        <v>1.2799999999999999E-4</v>
      </c>
      <c r="AI214" s="165">
        <v>1.2684423199946801E-2</v>
      </c>
      <c r="AJ214" s="165">
        <v>3.6054344284412502E-3</v>
      </c>
    </row>
    <row r="215" spans="1:36">
      <c r="A215" s="3">
        <v>288</v>
      </c>
      <c r="B215" s="3">
        <v>1451</v>
      </c>
      <c r="C215" s="3" t="s">
        <v>718</v>
      </c>
      <c r="D215" s="3" t="s">
        <v>719</v>
      </c>
      <c r="E215" s="5" t="s">
        <v>147</v>
      </c>
      <c r="F215" s="3" t="s">
        <v>720</v>
      </c>
      <c r="G215" s="3" t="s">
        <v>721</v>
      </c>
      <c r="H215" s="3" t="s">
        <v>150</v>
      </c>
      <c r="I215" s="3" t="s">
        <v>165</v>
      </c>
      <c r="J215" s="3" t="s">
        <v>30</v>
      </c>
      <c r="K215" s="3" t="s">
        <v>30</v>
      </c>
      <c r="L215" s="3" t="s">
        <v>152</v>
      </c>
      <c r="M215" s="3" t="s">
        <v>41</v>
      </c>
      <c r="N215" s="3" t="s">
        <v>176</v>
      </c>
      <c r="O215" s="3" t="s">
        <v>154</v>
      </c>
      <c r="P215" s="3" t="s">
        <v>246</v>
      </c>
      <c r="Q215" s="3" t="s">
        <v>169</v>
      </c>
      <c r="R215" s="3" t="s">
        <v>157</v>
      </c>
      <c r="S215" s="3" t="s">
        <v>44</v>
      </c>
      <c r="T215" s="154">
        <v>0.97899999999999998</v>
      </c>
      <c r="U215" s="3" t="s">
        <v>374</v>
      </c>
      <c r="V215" s="165">
        <v>1.84E-2</v>
      </c>
      <c r="W215" s="165">
        <v>4.8570000000000002E-2</v>
      </c>
      <c r="X215" s="5" t="s">
        <v>159</v>
      </c>
      <c r="Y215" s="5" t="s">
        <v>154</v>
      </c>
      <c r="Z215" s="154">
        <v>60824</v>
      </c>
      <c r="AA215" s="163">
        <v>1</v>
      </c>
      <c r="AB215" s="173">
        <v>97.22</v>
      </c>
      <c r="AD215" s="154">
        <v>59.133000000000003</v>
      </c>
      <c r="AG215" s="3" t="s">
        <v>36</v>
      </c>
      <c r="AH215" s="165">
        <v>2.03E-4</v>
      </c>
      <c r="AI215" s="165">
        <v>4.1888672474337798E-3</v>
      </c>
      <c r="AJ215" s="165">
        <v>1.1906482424940701E-3</v>
      </c>
    </row>
    <row r="216" spans="1:36">
      <c r="A216" s="3">
        <v>288</v>
      </c>
      <c r="B216" s="3">
        <v>1451</v>
      </c>
      <c r="C216" s="3" t="s">
        <v>438</v>
      </c>
      <c r="D216" s="3" t="s">
        <v>439</v>
      </c>
      <c r="E216" s="5" t="s">
        <v>147</v>
      </c>
      <c r="F216" s="3" t="s">
        <v>440</v>
      </c>
      <c r="G216" s="3" t="s">
        <v>441</v>
      </c>
      <c r="H216" s="3" t="s">
        <v>150</v>
      </c>
      <c r="I216" s="3" t="s">
        <v>165</v>
      </c>
      <c r="J216" s="3" t="s">
        <v>30</v>
      </c>
      <c r="K216" s="3" t="s">
        <v>30</v>
      </c>
      <c r="L216" s="3" t="s">
        <v>152</v>
      </c>
      <c r="M216" s="3" t="s">
        <v>41</v>
      </c>
      <c r="N216" s="3" t="s">
        <v>176</v>
      </c>
      <c r="O216" s="3" t="s">
        <v>154</v>
      </c>
      <c r="P216" s="3" t="s">
        <v>442</v>
      </c>
      <c r="Q216" s="3" t="s">
        <v>169</v>
      </c>
      <c r="R216" s="3" t="s">
        <v>157</v>
      </c>
      <c r="S216" s="3" t="s">
        <v>44</v>
      </c>
      <c r="T216" s="154">
        <v>0.98399999999999999</v>
      </c>
      <c r="U216" s="3" t="s">
        <v>374</v>
      </c>
      <c r="V216" s="165">
        <v>2.9399999999999999E-2</v>
      </c>
      <c r="W216" s="165">
        <v>4.4979999999999999E-2</v>
      </c>
      <c r="X216" s="5" t="s">
        <v>159</v>
      </c>
      <c r="Y216" s="5" t="s">
        <v>154</v>
      </c>
      <c r="Z216" s="154">
        <v>20279.900000000001</v>
      </c>
      <c r="AA216" s="163">
        <v>1</v>
      </c>
      <c r="AB216" s="173">
        <v>98.58</v>
      </c>
      <c r="AD216" s="154">
        <v>19.992000000000001</v>
      </c>
      <c r="AG216" s="3" t="s">
        <v>36</v>
      </c>
      <c r="AH216" s="165">
        <v>1.8900000000000001E-4</v>
      </c>
      <c r="AI216" s="165">
        <v>1.4161870729172601E-3</v>
      </c>
      <c r="AJ216" s="165">
        <v>4.0253857422785702E-4</v>
      </c>
    </row>
    <row r="217" spans="1:36">
      <c r="A217" s="3">
        <v>288</v>
      </c>
      <c r="B217" s="3">
        <v>1451</v>
      </c>
      <c r="C217" s="3" t="s">
        <v>443</v>
      </c>
      <c r="D217" s="3" t="s">
        <v>444</v>
      </c>
      <c r="E217" s="5" t="s">
        <v>147</v>
      </c>
      <c r="F217" s="3" t="s">
        <v>445</v>
      </c>
      <c r="G217" s="3" t="s">
        <v>446</v>
      </c>
      <c r="H217" s="3" t="s">
        <v>150</v>
      </c>
      <c r="I217" s="3" t="s">
        <v>183</v>
      </c>
      <c r="J217" s="3" t="s">
        <v>30</v>
      </c>
      <c r="K217" s="3" t="s">
        <v>30</v>
      </c>
      <c r="L217" s="3" t="s">
        <v>152</v>
      </c>
      <c r="M217" s="3" t="s">
        <v>41</v>
      </c>
      <c r="N217" s="3" t="s">
        <v>184</v>
      </c>
      <c r="O217" s="3" t="s">
        <v>154</v>
      </c>
      <c r="P217" s="3" t="s">
        <v>228</v>
      </c>
      <c r="Q217" s="3" t="s">
        <v>156</v>
      </c>
      <c r="R217" s="3" t="s">
        <v>157</v>
      </c>
      <c r="S217" s="3" t="s">
        <v>44</v>
      </c>
      <c r="T217" s="154">
        <v>3.294</v>
      </c>
      <c r="U217" s="3" t="s">
        <v>447</v>
      </c>
      <c r="V217" s="165">
        <v>3.6200000000000003E-2</v>
      </c>
      <c r="W217" s="165">
        <v>2.9960000000000001E-2</v>
      </c>
      <c r="X217" s="5" t="s">
        <v>159</v>
      </c>
      <c r="Y217" s="5" t="s">
        <v>154</v>
      </c>
      <c r="Z217" s="154">
        <v>54575</v>
      </c>
      <c r="AA217" s="163">
        <v>1</v>
      </c>
      <c r="AB217" s="173">
        <v>112.77</v>
      </c>
      <c r="AD217" s="154">
        <v>61.543999999999997</v>
      </c>
      <c r="AG217" s="3" t="s">
        <v>36</v>
      </c>
      <c r="AH217" s="165">
        <v>3.0000000000000001E-5</v>
      </c>
      <c r="AI217" s="165">
        <v>4.3596670939451201E-3</v>
      </c>
      <c r="AJ217" s="165">
        <v>1.23919657908592E-3</v>
      </c>
    </row>
    <row r="218" spans="1:36">
      <c r="A218" s="3">
        <v>288</v>
      </c>
      <c r="B218" s="3">
        <v>1451</v>
      </c>
      <c r="C218" s="3" t="s">
        <v>453</v>
      </c>
      <c r="D218" s="3" t="s">
        <v>454</v>
      </c>
      <c r="E218" s="5" t="s">
        <v>147</v>
      </c>
      <c r="F218" s="3" t="s">
        <v>455</v>
      </c>
      <c r="G218" s="3" t="s">
        <v>456</v>
      </c>
      <c r="H218" s="3" t="s">
        <v>150</v>
      </c>
      <c r="I218" s="3" t="s">
        <v>183</v>
      </c>
      <c r="J218" s="3" t="s">
        <v>30</v>
      </c>
      <c r="K218" s="3" t="s">
        <v>30</v>
      </c>
      <c r="L218" s="3" t="s">
        <v>152</v>
      </c>
      <c r="M218" s="3" t="s">
        <v>41</v>
      </c>
      <c r="N218" s="3" t="s">
        <v>184</v>
      </c>
      <c r="O218" s="3" t="s">
        <v>154</v>
      </c>
      <c r="P218" s="3" t="s">
        <v>457</v>
      </c>
      <c r="Q218" s="3" t="s">
        <v>156</v>
      </c>
      <c r="R218" s="3" t="s">
        <v>157</v>
      </c>
      <c r="S218" s="3" t="s">
        <v>44</v>
      </c>
      <c r="T218" s="154">
        <v>2.4140000000000001</v>
      </c>
      <c r="U218" s="3" t="s">
        <v>458</v>
      </c>
      <c r="V218" s="165">
        <v>1.34E-2</v>
      </c>
      <c r="W218" s="165">
        <v>2.8539999999999999E-2</v>
      </c>
      <c r="X218" s="5" t="s">
        <v>159</v>
      </c>
      <c r="Y218" s="5" t="s">
        <v>154</v>
      </c>
      <c r="Z218" s="154">
        <v>137698.75</v>
      </c>
      <c r="AA218" s="163">
        <v>1</v>
      </c>
      <c r="AB218" s="173">
        <v>116.33</v>
      </c>
      <c r="AD218" s="154">
        <v>160.185</v>
      </c>
      <c r="AG218" s="3" t="s">
        <v>36</v>
      </c>
      <c r="AH218" s="165">
        <v>6.2000000000000003E-5</v>
      </c>
      <c r="AI218" s="165">
        <v>1.1347174372662101E-2</v>
      </c>
      <c r="AJ218" s="165">
        <v>3.2253333481410502E-3</v>
      </c>
    </row>
    <row r="219" spans="1:36">
      <c r="A219" s="3">
        <v>288</v>
      </c>
      <c r="B219" s="3">
        <v>1451</v>
      </c>
      <c r="C219" s="3" t="s">
        <v>453</v>
      </c>
      <c r="D219" s="3" t="s">
        <v>454</v>
      </c>
      <c r="E219" s="5" t="s">
        <v>147</v>
      </c>
      <c r="F219" s="3" t="s">
        <v>459</v>
      </c>
      <c r="G219" s="3" t="s">
        <v>460</v>
      </c>
      <c r="H219" s="3" t="s">
        <v>150</v>
      </c>
      <c r="I219" s="3" t="s">
        <v>183</v>
      </c>
      <c r="J219" s="3" t="s">
        <v>30</v>
      </c>
      <c r="K219" s="3" t="s">
        <v>30</v>
      </c>
      <c r="L219" s="3" t="s">
        <v>152</v>
      </c>
      <c r="M219" s="3" t="s">
        <v>41</v>
      </c>
      <c r="N219" s="3" t="s">
        <v>184</v>
      </c>
      <c r="O219" s="3" t="s">
        <v>154</v>
      </c>
      <c r="P219" s="3" t="s">
        <v>123</v>
      </c>
      <c r="Q219" s="3" t="s">
        <v>169</v>
      </c>
      <c r="R219" s="3" t="s">
        <v>157</v>
      </c>
      <c r="S219" s="3" t="s">
        <v>44</v>
      </c>
      <c r="T219" s="154">
        <v>1.6930000000000001</v>
      </c>
      <c r="U219" s="3" t="s">
        <v>315</v>
      </c>
      <c r="V219" s="165">
        <v>1.77E-2</v>
      </c>
      <c r="W219" s="165">
        <v>2.93E-2</v>
      </c>
      <c r="X219" s="5" t="s">
        <v>159</v>
      </c>
      <c r="Y219" s="5" t="s">
        <v>154</v>
      </c>
      <c r="Z219" s="154">
        <v>0.62</v>
      </c>
      <c r="AA219" s="163">
        <v>1</v>
      </c>
      <c r="AB219" s="173">
        <v>116.94</v>
      </c>
      <c r="AD219" s="154">
        <v>1E-3</v>
      </c>
      <c r="AG219" s="3" t="s">
        <v>36</v>
      </c>
      <c r="AH219" s="165">
        <v>0</v>
      </c>
      <c r="AI219" s="165">
        <v>5.1359499374475801E-8</v>
      </c>
      <c r="AJ219" s="165">
        <v>1.45984806997782E-8</v>
      </c>
    </row>
    <row r="220" spans="1:36">
      <c r="A220" s="3">
        <v>288</v>
      </c>
      <c r="B220" s="3">
        <v>1451</v>
      </c>
      <c r="C220" s="3" t="s">
        <v>453</v>
      </c>
      <c r="D220" s="3" t="s">
        <v>454</v>
      </c>
      <c r="E220" s="5" t="s">
        <v>147</v>
      </c>
      <c r="F220" s="3" t="s">
        <v>461</v>
      </c>
      <c r="G220" s="3" t="s">
        <v>462</v>
      </c>
      <c r="H220" s="3" t="s">
        <v>150</v>
      </c>
      <c r="I220" s="3" t="s">
        <v>183</v>
      </c>
      <c r="J220" s="3" t="s">
        <v>30</v>
      </c>
      <c r="K220" s="3" t="s">
        <v>30</v>
      </c>
      <c r="L220" s="3" t="s">
        <v>152</v>
      </c>
      <c r="M220" s="3" t="s">
        <v>41</v>
      </c>
      <c r="N220" s="3" t="s">
        <v>184</v>
      </c>
      <c r="O220" s="3" t="s">
        <v>154</v>
      </c>
      <c r="P220" s="3" t="s">
        <v>457</v>
      </c>
      <c r="Q220" s="3" t="s">
        <v>156</v>
      </c>
      <c r="R220" s="3" t="s">
        <v>157</v>
      </c>
      <c r="S220" s="3" t="s">
        <v>44</v>
      </c>
      <c r="T220" s="154">
        <v>6.157</v>
      </c>
      <c r="U220" s="3" t="s">
        <v>463</v>
      </c>
      <c r="V220" s="165">
        <v>8.9999999999999993E-3</v>
      </c>
      <c r="W220" s="165">
        <v>2.7810000000000001E-2</v>
      </c>
      <c r="X220" s="5" t="s">
        <v>159</v>
      </c>
      <c r="Y220" s="5" t="s">
        <v>154</v>
      </c>
      <c r="Z220" s="154">
        <v>384800</v>
      </c>
      <c r="AA220" s="163">
        <v>1</v>
      </c>
      <c r="AB220" s="173">
        <v>104.46</v>
      </c>
      <c r="AD220" s="154">
        <v>401.96199999999999</v>
      </c>
      <c r="AG220" s="3" t="s">
        <v>36</v>
      </c>
      <c r="AH220" s="165">
        <v>1.4300000000000001E-4</v>
      </c>
      <c r="AI220" s="165">
        <v>2.8474170923499499E-2</v>
      </c>
      <c r="AJ220" s="165">
        <v>8.0935297215041294E-3</v>
      </c>
    </row>
    <row r="221" spans="1:36">
      <c r="A221" s="3">
        <v>288</v>
      </c>
      <c r="B221" s="3">
        <v>1451</v>
      </c>
      <c r="C221" s="3" t="s">
        <v>464</v>
      </c>
      <c r="D221" s="3" t="s">
        <v>465</v>
      </c>
      <c r="E221" s="5" t="s">
        <v>147</v>
      </c>
      <c r="F221" s="3" t="s">
        <v>466</v>
      </c>
      <c r="G221" s="3" t="s">
        <v>467</v>
      </c>
      <c r="H221" s="3" t="s">
        <v>150</v>
      </c>
      <c r="I221" s="3" t="s">
        <v>165</v>
      </c>
      <c r="J221" s="3" t="s">
        <v>30</v>
      </c>
      <c r="K221" s="3" t="s">
        <v>30</v>
      </c>
      <c r="L221" s="3" t="s">
        <v>152</v>
      </c>
      <c r="M221" s="3" t="s">
        <v>41</v>
      </c>
      <c r="N221" s="3" t="s">
        <v>282</v>
      </c>
      <c r="O221" s="3" t="s">
        <v>154</v>
      </c>
      <c r="P221" s="3" t="s">
        <v>283</v>
      </c>
      <c r="Q221" s="3" t="s">
        <v>156</v>
      </c>
      <c r="R221" s="3" t="s">
        <v>157</v>
      </c>
      <c r="S221" s="3" t="s">
        <v>44</v>
      </c>
      <c r="T221" s="154">
        <v>2.9129999999999998</v>
      </c>
      <c r="U221" s="3" t="s">
        <v>468</v>
      </c>
      <c r="V221" s="165">
        <v>2.5000000000000001E-2</v>
      </c>
      <c r="W221" s="165">
        <v>4.462E-2</v>
      </c>
      <c r="X221" s="5" t="s">
        <v>159</v>
      </c>
      <c r="Y221" s="5" t="s">
        <v>154</v>
      </c>
      <c r="Z221" s="154">
        <v>227671.6</v>
      </c>
      <c r="AA221" s="163">
        <v>1</v>
      </c>
      <c r="AB221" s="173">
        <v>96.5</v>
      </c>
      <c r="AD221" s="154">
        <v>219.703</v>
      </c>
      <c r="AG221" s="3" t="s">
        <v>36</v>
      </c>
      <c r="AH221" s="165">
        <v>1.12E-4</v>
      </c>
      <c r="AI221" s="165">
        <v>1.5563317442724101E-2</v>
      </c>
      <c r="AJ221" s="165">
        <v>4.4237345005166103E-3</v>
      </c>
    </row>
    <row r="222" spans="1:36">
      <c r="A222" s="3">
        <v>288</v>
      </c>
      <c r="B222" s="3">
        <v>1451</v>
      </c>
      <c r="C222" s="3" t="s">
        <v>464</v>
      </c>
      <c r="D222" s="3" t="s">
        <v>465</v>
      </c>
      <c r="E222" s="5" t="s">
        <v>147</v>
      </c>
      <c r="F222" s="3" t="s">
        <v>469</v>
      </c>
      <c r="G222" s="3" t="s">
        <v>470</v>
      </c>
      <c r="H222" s="3" t="s">
        <v>150</v>
      </c>
      <c r="I222" s="3" t="s">
        <v>183</v>
      </c>
      <c r="J222" s="3" t="s">
        <v>30</v>
      </c>
      <c r="K222" s="3" t="s">
        <v>30</v>
      </c>
      <c r="L222" s="3" t="s">
        <v>152</v>
      </c>
      <c r="M222" s="3" t="s">
        <v>41</v>
      </c>
      <c r="N222" s="3" t="s">
        <v>282</v>
      </c>
      <c r="O222" s="3" t="s">
        <v>154</v>
      </c>
      <c r="P222" s="3" t="s">
        <v>283</v>
      </c>
      <c r="Q222" s="3" t="s">
        <v>156</v>
      </c>
      <c r="R222" s="3" t="s">
        <v>157</v>
      </c>
      <c r="S222" s="3" t="s">
        <v>44</v>
      </c>
      <c r="T222" s="154">
        <v>3.073</v>
      </c>
      <c r="U222" s="3" t="s">
        <v>468</v>
      </c>
      <c r="V222" s="165">
        <v>1E-3</v>
      </c>
      <c r="W222" s="165">
        <v>2.538E-2</v>
      </c>
      <c r="X222" s="5" t="s">
        <v>159</v>
      </c>
      <c r="Y222" s="5" t="s">
        <v>154</v>
      </c>
      <c r="Z222" s="154">
        <v>222008.66</v>
      </c>
      <c r="AA222" s="163">
        <v>1</v>
      </c>
      <c r="AB222" s="173">
        <v>107.45</v>
      </c>
      <c r="AD222" s="154">
        <v>238.548</v>
      </c>
      <c r="AG222" s="3" t="s">
        <v>36</v>
      </c>
      <c r="AH222" s="165">
        <v>2.2599999999999999E-4</v>
      </c>
      <c r="AI222" s="165">
        <v>1.6898273625516401E-2</v>
      </c>
      <c r="AJ222" s="165">
        <v>4.8031839170198203E-3</v>
      </c>
    </row>
    <row r="223" spans="1:36">
      <c r="A223" s="3">
        <v>288</v>
      </c>
      <c r="B223" s="3">
        <v>1451</v>
      </c>
      <c r="C223" s="3" t="s">
        <v>464</v>
      </c>
      <c r="D223" s="3" t="s">
        <v>465</v>
      </c>
      <c r="E223" s="5" t="s">
        <v>147</v>
      </c>
      <c r="F223" s="3" t="s">
        <v>471</v>
      </c>
      <c r="G223" s="3" t="s">
        <v>472</v>
      </c>
      <c r="H223" s="3" t="s">
        <v>150</v>
      </c>
      <c r="I223" s="3" t="s">
        <v>183</v>
      </c>
      <c r="J223" s="3" t="s">
        <v>30</v>
      </c>
      <c r="K223" s="3" t="s">
        <v>30</v>
      </c>
      <c r="L223" s="3" t="s">
        <v>152</v>
      </c>
      <c r="M223" s="3" t="s">
        <v>41</v>
      </c>
      <c r="N223" s="3" t="s">
        <v>282</v>
      </c>
      <c r="O223" s="3" t="s">
        <v>154</v>
      </c>
      <c r="P223" s="3" t="s">
        <v>283</v>
      </c>
      <c r="Q223" s="3" t="s">
        <v>156</v>
      </c>
      <c r="R223" s="3" t="s">
        <v>157</v>
      </c>
      <c r="S223" s="3" t="s">
        <v>44</v>
      </c>
      <c r="T223" s="154">
        <v>3.4510000000000001</v>
      </c>
      <c r="U223" s="3" t="s">
        <v>473</v>
      </c>
      <c r="V223" s="165">
        <v>1.3899999999999999E-2</v>
      </c>
      <c r="W223" s="165">
        <v>2.521E-2</v>
      </c>
      <c r="X223" s="5" t="s">
        <v>159</v>
      </c>
      <c r="Y223" s="5" t="s">
        <v>154</v>
      </c>
      <c r="Z223" s="154">
        <v>101600</v>
      </c>
      <c r="AA223" s="163">
        <v>1</v>
      </c>
      <c r="AB223" s="173">
        <v>107.22</v>
      </c>
      <c r="AD223" s="154">
        <v>108.93600000000001</v>
      </c>
      <c r="AG223" s="3" t="s">
        <v>36</v>
      </c>
      <c r="AH223" s="165">
        <v>6.3E-5</v>
      </c>
      <c r="AI223" s="165">
        <v>7.7167692438060197E-3</v>
      </c>
      <c r="AJ223" s="165">
        <v>2.19342299365032E-3</v>
      </c>
    </row>
    <row r="224" spans="1:36">
      <c r="A224" s="3">
        <v>288</v>
      </c>
      <c r="B224" s="3">
        <v>1451</v>
      </c>
      <c r="C224" s="3" t="s">
        <v>464</v>
      </c>
      <c r="D224" s="3" t="s">
        <v>465</v>
      </c>
      <c r="E224" s="5" t="s">
        <v>147</v>
      </c>
      <c r="F224" s="3" t="s">
        <v>474</v>
      </c>
      <c r="G224" s="3" t="s">
        <v>475</v>
      </c>
      <c r="H224" s="3" t="s">
        <v>150</v>
      </c>
      <c r="I224" s="3" t="s">
        <v>183</v>
      </c>
      <c r="J224" s="3" t="s">
        <v>30</v>
      </c>
      <c r="K224" s="3" t="s">
        <v>30</v>
      </c>
      <c r="L224" s="3" t="s">
        <v>152</v>
      </c>
      <c r="M224" s="3" t="s">
        <v>41</v>
      </c>
      <c r="N224" s="3" t="s">
        <v>282</v>
      </c>
      <c r="O224" s="3" t="s">
        <v>154</v>
      </c>
      <c r="P224" s="3" t="s">
        <v>283</v>
      </c>
      <c r="Q224" s="3" t="s">
        <v>156</v>
      </c>
      <c r="R224" s="3" t="s">
        <v>157</v>
      </c>
      <c r="S224" s="3" t="s">
        <v>44</v>
      </c>
      <c r="T224" s="154">
        <v>2.5369999999999999</v>
      </c>
      <c r="U224" s="3" t="s">
        <v>476</v>
      </c>
      <c r="V224" s="165">
        <v>1.7500000000000002E-2</v>
      </c>
      <c r="W224" s="165">
        <v>2.5860000000000001E-2</v>
      </c>
      <c r="X224" s="5" t="s">
        <v>159</v>
      </c>
      <c r="Y224" s="5" t="s">
        <v>154</v>
      </c>
      <c r="Z224" s="154">
        <v>202836.54</v>
      </c>
      <c r="AA224" s="163">
        <v>1</v>
      </c>
      <c r="AB224" s="173">
        <v>117.2</v>
      </c>
      <c r="AD224" s="154">
        <v>237.72399999999999</v>
      </c>
      <c r="AG224" s="3" t="s">
        <v>36</v>
      </c>
      <c r="AH224" s="165">
        <v>9.1000000000000003E-5</v>
      </c>
      <c r="AI224" s="165">
        <v>1.68399116322707E-2</v>
      </c>
      <c r="AJ224" s="165">
        <v>4.7865950397454303E-3</v>
      </c>
    </row>
    <row r="225" spans="1:36">
      <c r="A225" s="3">
        <v>288</v>
      </c>
      <c r="B225" s="3">
        <v>1451</v>
      </c>
      <c r="C225" s="3" t="s">
        <v>464</v>
      </c>
      <c r="D225" s="3" t="s">
        <v>465</v>
      </c>
      <c r="E225" s="5" t="s">
        <v>147</v>
      </c>
      <c r="F225" s="3" t="s">
        <v>477</v>
      </c>
      <c r="G225" s="3" t="s">
        <v>478</v>
      </c>
      <c r="H225" s="3" t="s">
        <v>150</v>
      </c>
      <c r="I225" s="3" t="s">
        <v>183</v>
      </c>
      <c r="J225" s="3" t="s">
        <v>30</v>
      </c>
      <c r="K225" s="3" t="s">
        <v>30</v>
      </c>
      <c r="L225" s="3" t="s">
        <v>152</v>
      </c>
      <c r="M225" s="3" t="s">
        <v>41</v>
      </c>
      <c r="N225" s="3" t="s">
        <v>282</v>
      </c>
      <c r="O225" s="3" t="s">
        <v>154</v>
      </c>
      <c r="P225" s="3" t="s">
        <v>283</v>
      </c>
      <c r="Q225" s="3" t="s">
        <v>156</v>
      </c>
      <c r="R225" s="3" t="s">
        <v>157</v>
      </c>
      <c r="S225" s="3" t="s">
        <v>44</v>
      </c>
      <c r="T225" s="154">
        <v>4.9800000000000004</v>
      </c>
      <c r="U225" s="3" t="s">
        <v>479</v>
      </c>
      <c r="V225" s="165">
        <v>2.6100000000000002E-2</v>
      </c>
      <c r="W225" s="165">
        <v>2.5860000000000001E-2</v>
      </c>
      <c r="X225" s="5" t="s">
        <v>159</v>
      </c>
      <c r="Y225" s="5" t="s">
        <v>154</v>
      </c>
      <c r="Z225" s="154">
        <v>150000</v>
      </c>
      <c r="AA225" s="163">
        <v>1</v>
      </c>
      <c r="AB225" s="173">
        <v>101.11</v>
      </c>
      <c r="AD225" s="154">
        <v>151.66499999999999</v>
      </c>
      <c r="AG225" s="3" t="s">
        <v>36</v>
      </c>
      <c r="AH225" s="165">
        <v>4.3999999999999999E-5</v>
      </c>
      <c r="AI225" s="165">
        <v>1.0743638138981999E-2</v>
      </c>
      <c r="AJ225" s="165">
        <v>3.0537835439898302E-3</v>
      </c>
    </row>
    <row r="226" spans="1:36">
      <c r="A226" s="3">
        <v>288</v>
      </c>
      <c r="B226" s="3">
        <v>1451</v>
      </c>
      <c r="C226" s="3" t="s">
        <v>480</v>
      </c>
      <c r="D226" s="3" t="s">
        <v>481</v>
      </c>
      <c r="E226" s="5" t="s">
        <v>147</v>
      </c>
      <c r="F226" s="3" t="s">
        <v>482</v>
      </c>
      <c r="G226" s="3" t="s">
        <v>483</v>
      </c>
      <c r="H226" s="3" t="s">
        <v>150</v>
      </c>
      <c r="I226" s="3" t="s">
        <v>165</v>
      </c>
      <c r="J226" s="3" t="s">
        <v>30</v>
      </c>
      <c r="K226" s="3" t="s">
        <v>30</v>
      </c>
      <c r="L226" s="3" t="s">
        <v>152</v>
      </c>
      <c r="M226" s="3" t="s">
        <v>41</v>
      </c>
      <c r="N226" s="3" t="s">
        <v>484</v>
      </c>
      <c r="O226" s="3" t="s">
        <v>154</v>
      </c>
      <c r="P226" s="3" t="s">
        <v>199</v>
      </c>
      <c r="Q226" s="3" t="s">
        <v>156</v>
      </c>
      <c r="R226" s="3" t="s">
        <v>157</v>
      </c>
      <c r="S226" s="3" t="s">
        <v>44</v>
      </c>
      <c r="T226" s="154">
        <v>0.64</v>
      </c>
      <c r="U226" s="3" t="s">
        <v>485</v>
      </c>
      <c r="V226" s="165">
        <v>2.29E-2</v>
      </c>
      <c r="W226" s="165">
        <v>4.5589999999999999E-2</v>
      </c>
      <c r="X226" s="5" t="s">
        <v>159</v>
      </c>
      <c r="Y226" s="5" t="s">
        <v>154</v>
      </c>
      <c r="Z226" s="154">
        <v>60576.93</v>
      </c>
      <c r="AA226" s="163">
        <v>1</v>
      </c>
      <c r="AB226" s="173">
        <v>99.39</v>
      </c>
      <c r="AD226" s="154">
        <v>60.207000000000001</v>
      </c>
      <c r="AG226" s="3" t="s">
        <v>36</v>
      </c>
      <c r="AH226" s="165">
        <v>1.83E-4</v>
      </c>
      <c r="AI226" s="165">
        <v>4.2649697302340897E-3</v>
      </c>
      <c r="AJ226" s="165">
        <v>1.21227969606929E-3</v>
      </c>
    </row>
    <row r="227" spans="1:36">
      <c r="A227" s="3">
        <v>288</v>
      </c>
      <c r="B227" s="3">
        <v>1451</v>
      </c>
      <c r="C227" s="3" t="s">
        <v>486</v>
      </c>
      <c r="D227" s="3" t="s">
        <v>487</v>
      </c>
      <c r="E227" s="5" t="s">
        <v>147</v>
      </c>
      <c r="F227" s="3" t="s">
        <v>630</v>
      </c>
      <c r="G227" s="3" t="s">
        <v>631</v>
      </c>
      <c r="H227" s="3" t="s">
        <v>150</v>
      </c>
      <c r="I227" s="3" t="s">
        <v>165</v>
      </c>
      <c r="J227" s="3" t="s">
        <v>30</v>
      </c>
      <c r="K227" s="3" t="s">
        <v>30</v>
      </c>
      <c r="L227" s="3" t="s">
        <v>152</v>
      </c>
      <c r="M227" s="3" t="s">
        <v>41</v>
      </c>
      <c r="N227" s="3" t="s">
        <v>234</v>
      </c>
      <c r="O227" s="3" t="s">
        <v>154</v>
      </c>
      <c r="P227" s="3" t="s">
        <v>199</v>
      </c>
      <c r="Q227" s="3" t="s">
        <v>156</v>
      </c>
      <c r="R227" s="3" t="s">
        <v>157</v>
      </c>
      <c r="S227" s="3" t="s">
        <v>44</v>
      </c>
      <c r="T227" s="154">
        <v>2.8969999999999998</v>
      </c>
      <c r="U227" s="3" t="s">
        <v>59</v>
      </c>
      <c r="V227" s="165">
        <v>2.4299999999999999E-2</v>
      </c>
      <c r="W227" s="165">
        <v>4.6780000000000002E-2</v>
      </c>
      <c r="X227" s="5" t="s">
        <v>159</v>
      </c>
      <c r="Y227" s="5" t="s">
        <v>154</v>
      </c>
      <c r="Z227" s="154">
        <v>170000</v>
      </c>
      <c r="AA227" s="163">
        <v>1</v>
      </c>
      <c r="AB227" s="173">
        <v>94.65</v>
      </c>
      <c r="AD227" s="154">
        <v>160.905</v>
      </c>
      <c r="AG227" s="3" t="s">
        <v>36</v>
      </c>
      <c r="AH227" s="165">
        <v>1.16E-4</v>
      </c>
      <c r="AI227" s="165">
        <v>1.1398180824533701E-2</v>
      </c>
      <c r="AJ227" s="165">
        <v>3.23983147822954E-3</v>
      </c>
    </row>
    <row r="228" spans="1:36">
      <c r="A228" s="3">
        <v>288</v>
      </c>
      <c r="B228" s="3">
        <v>1451</v>
      </c>
      <c r="C228" s="3" t="s">
        <v>491</v>
      </c>
      <c r="D228" s="3" t="s">
        <v>492</v>
      </c>
      <c r="E228" s="5" t="s">
        <v>147</v>
      </c>
      <c r="F228" s="3" t="s">
        <v>493</v>
      </c>
      <c r="G228" s="3" t="s">
        <v>494</v>
      </c>
      <c r="H228" s="3" t="s">
        <v>150</v>
      </c>
      <c r="I228" s="3" t="s">
        <v>165</v>
      </c>
      <c r="J228" s="3" t="s">
        <v>30</v>
      </c>
      <c r="K228" s="3" t="s">
        <v>30</v>
      </c>
      <c r="L228" s="3" t="s">
        <v>152</v>
      </c>
      <c r="M228" s="3" t="s">
        <v>41</v>
      </c>
      <c r="N228" s="3" t="s">
        <v>176</v>
      </c>
      <c r="O228" s="3" t="s">
        <v>154</v>
      </c>
      <c r="P228" s="3" t="s">
        <v>185</v>
      </c>
      <c r="Q228" s="3" t="s">
        <v>156</v>
      </c>
      <c r="R228" s="3" t="s">
        <v>157</v>
      </c>
      <c r="S228" s="3" t="s">
        <v>44</v>
      </c>
      <c r="T228" s="154">
        <v>4.2709999999999999</v>
      </c>
      <c r="U228" s="3" t="s">
        <v>495</v>
      </c>
      <c r="V228" s="165">
        <v>4.6899999999999997E-2</v>
      </c>
      <c r="W228" s="165">
        <v>4.6489999999999997E-2</v>
      </c>
      <c r="X228" s="5" t="s">
        <v>159</v>
      </c>
      <c r="Y228" s="5" t="s">
        <v>154</v>
      </c>
      <c r="Z228" s="154">
        <v>180000</v>
      </c>
      <c r="AA228" s="163">
        <v>1</v>
      </c>
      <c r="AB228" s="173">
        <v>100.58</v>
      </c>
      <c r="AD228" s="154">
        <v>181.04400000000001</v>
      </c>
      <c r="AG228" s="3" t="s">
        <v>36</v>
      </c>
      <c r="AH228" s="165">
        <v>3.6000000000000002E-4</v>
      </c>
      <c r="AI228" s="165">
        <v>1.28247863596338E-2</v>
      </c>
      <c r="AJ228" s="165">
        <v>3.6453314076292801E-3</v>
      </c>
    </row>
    <row r="229" spans="1:36">
      <c r="A229" s="3">
        <v>288</v>
      </c>
      <c r="B229" s="3">
        <v>1451</v>
      </c>
      <c r="C229" s="3" t="s">
        <v>491</v>
      </c>
      <c r="D229" s="3" t="s">
        <v>492</v>
      </c>
      <c r="E229" s="5" t="s">
        <v>147</v>
      </c>
      <c r="F229" s="3" t="s">
        <v>496</v>
      </c>
      <c r="G229" s="3" t="s">
        <v>497</v>
      </c>
      <c r="H229" s="3" t="s">
        <v>150</v>
      </c>
      <c r="I229" s="3" t="s">
        <v>165</v>
      </c>
      <c r="J229" s="3" t="s">
        <v>30</v>
      </c>
      <c r="K229" s="3" t="s">
        <v>30</v>
      </c>
      <c r="L229" s="3" t="s">
        <v>152</v>
      </c>
      <c r="M229" s="3" t="s">
        <v>41</v>
      </c>
      <c r="N229" s="3" t="s">
        <v>176</v>
      </c>
      <c r="O229" s="3" t="s">
        <v>154</v>
      </c>
      <c r="P229" s="3" t="s">
        <v>185</v>
      </c>
      <c r="Q229" s="3" t="s">
        <v>156</v>
      </c>
      <c r="R229" s="3" t="s">
        <v>157</v>
      </c>
      <c r="S229" s="3" t="s">
        <v>44</v>
      </c>
      <c r="T229" s="154">
        <v>3.383</v>
      </c>
      <c r="U229" s="3" t="s">
        <v>188</v>
      </c>
      <c r="V229" s="165">
        <v>2.6200000000000001E-2</v>
      </c>
      <c r="W229" s="165">
        <v>4.5310000000000003E-2</v>
      </c>
      <c r="X229" s="5" t="s">
        <v>159</v>
      </c>
      <c r="Y229" s="5" t="s">
        <v>154</v>
      </c>
      <c r="Z229" s="154">
        <v>109000</v>
      </c>
      <c r="AA229" s="163">
        <v>1</v>
      </c>
      <c r="AB229" s="173">
        <v>95.06</v>
      </c>
      <c r="AD229" s="154">
        <v>103.61499999999999</v>
      </c>
      <c r="AG229" s="3" t="s">
        <v>36</v>
      </c>
      <c r="AH229" s="165">
        <v>8.3999999999999995E-5</v>
      </c>
      <c r="AI229" s="165">
        <v>7.3399028333885801E-3</v>
      </c>
      <c r="AJ229" s="165">
        <v>2.08630206985082E-3</v>
      </c>
    </row>
    <row r="230" spans="1:36">
      <c r="A230" s="3">
        <v>288</v>
      </c>
      <c r="B230" s="3">
        <v>1451</v>
      </c>
      <c r="C230" s="3" t="s">
        <v>491</v>
      </c>
      <c r="D230" s="3" t="s">
        <v>492</v>
      </c>
      <c r="E230" s="5" t="s">
        <v>147</v>
      </c>
      <c r="F230" s="3" t="s">
        <v>722</v>
      </c>
      <c r="G230" s="3" t="s">
        <v>723</v>
      </c>
      <c r="H230" s="3" t="s">
        <v>150</v>
      </c>
      <c r="I230" s="3" t="s">
        <v>165</v>
      </c>
      <c r="J230" s="3" t="s">
        <v>30</v>
      </c>
      <c r="K230" s="3" t="s">
        <v>30</v>
      </c>
      <c r="L230" s="3" t="s">
        <v>152</v>
      </c>
      <c r="M230" s="3" t="s">
        <v>41</v>
      </c>
      <c r="N230" s="3" t="s">
        <v>176</v>
      </c>
      <c r="O230" s="3" t="s">
        <v>154</v>
      </c>
      <c r="P230" s="3" t="s">
        <v>185</v>
      </c>
      <c r="Q230" s="3" t="s">
        <v>156</v>
      </c>
      <c r="R230" s="3" t="s">
        <v>157</v>
      </c>
      <c r="S230" s="3" t="s">
        <v>44</v>
      </c>
      <c r="T230" s="154">
        <v>2.7919999999999998</v>
      </c>
      <c r="U230" s="3" t="s">
        <v>88</v>
      </c>
      <c r="V230" s="165">
        <v>6.25E-2</v>
      </c>
      <c r="W230" s="165">
        <v>5.3629999999999997E-2</v>
      </c>
      <c r="X230" s="5" t="s">
        <v>159</v>
      </c>
      <c r="Y230" s="5" t="s">
        <v>154</v>
      </c>
      <c r="Z230" s="154">
        <v>35269</v>
      </c>
      <c r="AA230" s="163">
        <v>1</v>
      </c>
      <c r="AB230" s="173">
        <v>103.94</v>
      </c>
      <c r="AD230" s="154">
        <v>36.658999999999999</v>
      </c>
      <c r="AG230" s="3" t="s">
        <v>36</v>
      </c>
      <c r="AH230" s="165">
        <v>1.76E-4</v>
      </c>
      <c r="AI230" s="165">
        <v>2.5968200840048401E-3</v>
      </c>
      <c r="AJ230" s="165">
        <v>7.3812300234337997E-4</v>
      </c>
    </row>
    <row r="231" spans="1:36">
      <c r="A231" s="3">
        <v>288</v>
      </c>
      <c r="B231" s="3">
        <v>1451</v>
      </c>
      <c r="C231" s="3" t="s">
        <v>724</v>
      </c>
      <c r="D231" s="3" t="s">
        <v>725</v>
      </c>
      <c r="E231" s="5" t="s">
        <v>147</v>
      </c>
      <c r="F231" s="3" t="s">
        <v>726</v>
      </c>
      <c r="G231" s="3" t="s">
        <v>727</v>
      </c>
      <c r="H231" s="3" t="s">
        <v>150</v>
      </c>
      <c r="I231" s="3" t="s">
        <v>165</v>
      </c>
      <c r="J231" s="3" t="s">
        <v>30</v>
      </c>
      <c r="K231" s="3" t="s">
        <v>30</v>
      </c>
      <c r="L231" s="3" t="s">
        <v>152</v>
      </c>
      <c r="M231" s="3" t="s">
        <v>41</v>
      </c>
      <c r="N231" s="3" t="s">
        <v>728</v>
      </c>
      <c r="O231" s="3" t="s">
        <v>154</v>
      </c>
      <c r="P231" s="3" t="s">
        <v>177</v>
      </c>
      <c r="Q231" s="3" t="s">
        <v>169</v>
      </c>
      <c r="R231" s="3" t="s">
        <v>157</v>
      </c>
      <c r="S231" s="3" t="s">
        <v>44</v>
      </c>
      <c r="T231" s="154">
        <v>2.984</v>
      </c>
      <c r="U231" s="3" t="s">
        <v>729</v>
      </c>
      <c r="V231" s="165">
        <v>2.1600000000000001E-2</v>
      </c>
      <c r="W231" s="165">
        <v>5.0880000000000002E-2</v>
      </c>
      <c r="X231" s="5" t="s">
        <v>159</v>
      </c>
      <c r="Y231" s="5" t="s">
        <v>154</v>
      </c>
      <c r="Z231" s="154">
        <v>90659.36</v>
      </c>
      <c r="AA231" s="163">
        <v>1</v>
      </c>
      <c r="AB231" s="173">
        <v>92.03</v>
      </c>
      <c r="AD231" s="154">
        <v>83.433999999999997</v>
      </c>
      <c r="AG231" s="3" t="s">
        <v>36</v>
      </c>
      <c r="AH231" s="165">
        <v>1.55E-4</v>
      </c>
      <c r="AI231" s="165">
        <v>5.9102802395997198E-3</v>
      </c>
      <c r="AJ231" s="165">
        <v>1.6799445683646299E-3</v>
      </c>
    </row>
    <row r="232" spans="1:36">
      <c r="A232" s="3">
        <v>288</v>
      </c>
      <c r="B232" s="3">
        <v>1451</v>
      </c>
      <c r="C232" s="3" t="s">
        <v>498</v>
      </c>
      <c r="D232" s="3" t="s">
        <v>499</v>
      </c>
      <c r="E232" s="5" t="s">
        <v>147</v>
      </c>
      <c r="F232" s="3" t="s">
        <v>500</v>
      </c>
      <c r="G232" s="3" t="s">
        <v>501</v>
      </c>
      <c r="H232" s="3" t="s">
        <v>150</v>
      </c>
      <c r="I232" s="3" t="s">
        <v>165</v>
      </c>
      <c r="J232" s="3" t="s">
        <v>30</v>
      </c>
      <c r="K232" s="3" t="s">
        <v>30</v>
      </c>
      <c r="L232" s="3" t="s">
        <v>152</v>
      </c>
      <c r="M232" s="3" t="s">
        <v>41</v>
      </c>
      <c r="N232" s="3" t="s">
        <v>502</v>
      </c>
      <c r="O232" s="3" t="s">
        <v>154</v>
      </c>
      <c r="P232" s="3" t="s">
        <v>199</v>
      </c>
      <c r="Q232" s="3" t="s">
        <v>156</v>
      </c>
      <c r="R232" s="3" t="s">
        <v>157</v>
      </c>
      <c r="S232" s="3" t="s">
        <v>44</v>
      </c>
      <c r="T232" s="154">
        <v>1.3779999999999999</v>
      </c>
      <c r="U232" s="3" t="s">
        <v>503</v>
      </c>
      <c r="V232" s="165">
        <v>2.3E-2</v>
      </c>
      <c r="W232" s="165">
        <v>4.8079999999999998E-2</v>
      </c>
      <c r="X232" s="5" t="s">
        <v>159</v>
      </c>
      <c r="Y232" s="5" t="s">
        <v>154</v>
      </c>
      <c r="Z232" s="154">
        <v>49230.77</v>
      </c>
      <c r="AA232" s="163">
        <v>1</v>
      </c>
      <c r="AB232" s="173">
        <v>96.94</v>
      </c>
      <c r="AD232" s="154">
        <v>47.723999999999997</v>
      </c>
      <c r="AG232" s="3" t="s">
        <v>36</v>
      </c>
      <c r="AH232" s="165">
        <v>6.0000000000000002E-5</v>
      </c>
      <c r="AI232" s="165">
        <v>3.3806923172191301E-3</v>
      </c>
      <c r="AJ232" s="165">
        <v>9.6093170973038898E-4</v>
      </c>
    </row>
    <row r="233" spans="1:36">
      <c r="A233" s="3">
        <v>288</v>
      </c>
      <c r="B233" s="3">
        <v>1451</v>
      </c>
      <c r="C233" s="3" t="s">
        <v>504</v>
      </c>
      <c r="D233" s="3" t="s">
        <v>505</v>
      </c>
      <c r="E233" s="5" t="s">
        <v>147</v>
      </c>
      <c r="F233" s="3" t="s">
        <v>509</v>
      </c>
      <c r="G233" s="3" t="s">
        <v>510</v>
      </c>
      <c r="H233" s="3" t="s">
        <v>150</v>
      </c>
      <c r="I233" s="3" t="s">
        <v>183</v>
      </c>
      <c r="J233" s="3" t="s">
        <v>30</v>
      </c>
      <c r="K233" s="3" t="s">
        <v>30</v>
      </c>
      <c r="L233" s="3" t="s">
        <v>152</v>
      </c>
      <c r="M233" s="3" t="s">
        <v>41</v>
      </c>
      <c r="N233" s="3" t="s">
        <v>184</v>
      </c>
      <c r="O233" s="3" t="s">
        <v>154</v>
      </c>
      <c r="P233" s="3" t="s">
        <v>185</v>
      </c>
      <c r="Q233" s="3" t="s">
        <v>156</v>
      </c>
      <c r="R233" s="3" t="s">
        <v>157</v>
      </c>
      <c r="S233" s="3" t="s">
        <v>44</v>
      </c>
      <c r="T233" s="154">
        <v>0.65100000000000002</v>
      </c>
      <c r="U233" s="3" t="s">
        <v>508</v>
      </c>
      <c r="V233" s="165">
        <v>1.6E-2</v>
      </c>
      <c r="W233" s="165">
        <v>3.7109999999999997E-2</v>
      </c>
      <c r="X233" s="5" t="s">
        <v>159</v>
      </c>
      <c r="Y233" s="5" t="s">
        <v>154</v>
      </c>
      <c r="Z233" s="154">
        <v>19023.03</v>
      </c>
      <c r="AA233" s="163">
        <v>1</v>
      </c>
      <c r="AB233" s="173">
        <v>119.36</v>
      </c>
      <c r="AD233" s="154">
        <v>22.706</v>
      </c>
      <c r="AG233" s="3" t="s">
        <v>36</v>
      </c>
      <c r="AH233" s="165">
        <v>6.7000000000000002E-5</v>
      </c>
      <c r="AI233" s="165">
        <v>1.6084386696230901E-3</v>
      </c>
      <c r="AJ233" s="165">
        <v>4.5718437993456999E-4</v>
      </c>
    </row>
    <row r="234" spans="1:36">
      <c r="A234" s="3">
        <v>288</v>
      </c>
      <c r="B234" s="3">
        <v>1451</v>
      </c>
      <c r="C234" s="3" t="s">
        <v>516</v>
      </c>
      <c r="D234" s="3" t="s">
        <v>517</v>
      </c>
      <c r="E234" s="5" t="s">
        <v>147</v>
      </c>
      <c r="F234" s="3" t="s">
        <v>730</v>
      </c>
      <c r="G234" s="3" t="s">
        <v>731</v>
      </c>
      <c r="H234" s="3" t="s">
        <v>150</v>
      </c>
      <c r="I234" s="3" t="s">
        <v>183</v>
      </c>
      <c r="J234" s="3" t="s">
        <v>30</v>
      </c>
      <c r="K234" s="3" t="s">
        <v>30</v>
      </c>
      <c r="L234" s="3" t="s">
        <v>152</v>
      </c>
      <c r="M234" s="3" t="s">
        <v>41</v>
      </c>
      <c r="N234" s="3" t="s">
        <v>520</v>
      </c>
      <c r="O234" s="3" t="s">
        <v>154</v>
      </c>
      <c r="P234" s="3" t="s">
        <v>185</v>
      </c>
      <c r="Q234" s="3" t="s">
        <v>156</v>
      </c>
      <c r="R234" s="3" t="s">
        <v>157</v>
      </c>
      <c r="S234" s="3" t="s">
        <v>44</v>
      </c>
      <c r="T234" s="154">
        <v>1.962</v>
      </c>
      <c r="U234" s="3" t="s">
        <v>732</v>
      </c>
      <c r="V234" s="165">
        <v>4.2999999999999997E-2</v>
      </c>
      <c r="W234" s="165">
        <v>2.708E-2</v>
      </c>
      <c r="X234" s="5" t="s">
        <v>159</v>
      </c>
      <c r="Y234" s="5" t="s">
        <v>154</v>
      </c>
      <c r="Z234" s="154">
        <v>72000.009999999995</v>
      </c>
      <c r="AA234" s="163">
        <v>1</v>
      </c>
      <c r="AB234" s="173">
        <v>122.21</v>
      </c>
      <c r="AC234" s="154">
        <v>33.365000000000002</v>
      </c>
      <c r="AD234" s="154">
        <v>121.35599999999999</v>
      </c>
      <c r="AG234" s="3" t="s">
        <v>36</v>
      </c>
      <c r="AH234" s="165">
        <v>1.7699999999999999E-4</v>
      </c>
      <c r="AI234" s="165">
        <v>8.59662565535841E-3</v>
      </c>
      <c r="AJ234" s="165">
        <v>2.4435143496616099E-3</v>
      </c>
    </row>
    <row r="235" spans="1:36">
      <c r="A235" s="3">
        <v>288</v>
      </c>
      <c r="B235" s="3">
        <v>1451</v>
      </c>
      <c r="C235" s="3" t="s">
        <v>522</v>
      </c>
      <c r="D235" s="3" t="s">
        <v>523</v>
      </c>
      <c r="E235" s="5" t="s">
        <v>147</v>
      </c>
      <c r="F235" s="3" t="s">
        <v>524</v>
      </c>
      <c r="G235" s="3" t="s">
        <v>525</v>
      </c>
      <c r="H235" s="3" t="s">
        <v>150</v>
      </c>
      <c r="I235" s="3" t="s">
        <v>165</v>
      </c>
      <c r="J235" s="3" t="s">
        <v>30</v>
      </c>
      <c r="K235" s="3" t="s">
        <v>30</v>
      </c>
      <c r="L235" s="3" t="s">
        <v>152</v>
      </c>
      <c r="M235" s="3" t="s">
        <v>41</v>
      </c>
      <c r="N235" s="3" t="s">
        <v>234</v>
      </c>
      <c r="O235" s="3" t="s">
        <v>154</v>
      </c>
      <c r="P235" s="3" t="s">
        <v>168</v>
      </c>
      <c r="Q235" s="3" t="s">
        <v>169</v>
      </c>
      <c r="R235" s="3" t="s">
        <v>157</v>
      </c>
      <c r="S235" s="3" t="s">
        <v>44</v>
      </c>
      <c r="T235" s="154">
        <v>3.9990000000000001</v>
      </c>
      <c r="U235" s="3" t="s">
        <v>526</v>
      </c>
      <c r="V235" s="165">
        <v>6.7699999999999996E-2</v>
      </c>
      <c r="W235" s="165">
        <v>5.2019999999999997E-2</v>
      </c>
      <c r="X235" s="5" t="s">
        <v>159</v>
      </c>
      <c r="Y235" s="5" t="s">
        <v>154</v>
      </c>
      <c r="Z235" s="154">
        <v>99000</v>
      </c>
      <c r="AA235" s="163">
        <v>1</v>
      </c>
      <c r="AB235" s="173">
        <v>108.36</v>
      </c>
      <c r="AD235" s="154">
        <v>107.276</v>
      </c>
      <c r="AG235" s="3" t="s">
        <v>36</v>
      </c>
      <c r="AH235" s="165">
        <v>1.47E-4</v>
      </c>
      <c r="AI235" s="165">
        <v>7.5992405792548899E-3</v>
      </c>
      <c r="AJ235" s="165">
        <v>2.1600165165230598E-3</v>
      </c>
    </row>
    <row r="236" spans="1:36">
      <c r="A236" s="3">
        <v>288</v>
      </c>
      <c r="B236" s="3">
        <v>1451</v>
      </c>
      <c r="C236" s="3" t="s">
        <v>527</v>
      </c>
      <c r="D236" s="3" t="s">
        <v>528</v>
      </c>
      <c r="E236" s="5" t="s">
        <v>147</v>
      </c>
      <c r="F236" s="3" t="s">
        <v>529</v>
      </c>
      <c r="G236" s="3" t="s">
        <v>530</v>
      </c>
      <c r="H236" s="3" t="s">
        <v>150</v>
      </c>
      <c r="I236" s="3" t="s">
        <v>165</v>
      </c>
      <c r="J236" s="3" t="s">
        <v>30</v>
      </c>
      <c r="K236" s="3" t="s">
        <v>30</v>
      </c>
      <c r="L236" s="3" t="s">
        <v>152</v>
      </c>
      <c r="M236" s="3" t="s">
        <v>41</v>
      </c>
      <c r="N236" s="3" t="s">
        <v>193</v>
      </c>
      <c r="O236" s="3" t="s">
        <v>154</v>
      </c>
      <c r="P236" s="3" t="s">
        <v>185</v>
      </c>
      <c r="Q236" s="3" t="s">
        <v>156</v>
      </c>
      <c r="R236" s="3" t="s">
        <v>157</v>
      </c>
      <c r="S236" s="3" t="s">
        <v>44</v>
      </c>
      <c r="T236" s="154">
        <v>0.45200000000000001</v>
      </c>
      <c r="U236" s="3" t="s">
        <v>531</v>
      </c>
      <c r="V236" s="165">
        <v>2.7E-2</v>
      </c>
      <c r="W236" s="165">
        <v>4.632E-2</v>
      </c>
      <c r="X236" s="5" t="s">
        <v>159</v>
      </c>
      <c r="Y236" s="5" t="s">
        <v>154</v>
      </c>
      <c r="Z236" s="154">
        <v>46119.76</v>
      </c>
      <c r="AA236" s="163">
        <v>1</v>
      </c>
      <c r="AB236" s="173">
        <v>99.29</v>
      </c>
      <c r="AD236" s="154">
        <v>45.792000000000002</v>
      </c>
      <c r="AG236" s="3" t="s">
        <v>36</v>
      </c>
      <c r="AH236" s="165">
        <v>9.8400000000000007E-4</v>
      </c>
      <c r="AI236" s="165">
        <v>3.24383348173917E-3</v>
      </c>
      <c r="AJ236" s="165">
        <v>9.22030803516705E-4</v>
      </c>
    </row>
    <row r="237" spans="1:36">
      <c r="A237" s="3">
        <v>288</v>
      </c>
      <c r="B237" s="3">
        <v>1451</v>
      </c>
      <c r="C237" s="3" t="s">
        <v>527</v>
      </c>
      <c r="D237" s="3" t="s">
        <v>528</v>
      </c>
      <c r="E237" s="5" t="s">
        <v>147</v>
      </c>
      <c r="F237" s="3" t="s">
        <v>534</v>
      </c>
      <c r="G237" s="3" t="s">
        <v>535</v>
      </c>
      <c r="H237" s="3" t="s">
        <v>150</v>
      </c>
      <c r="I237" s="3" t="s">
        <v>165</v>
      </c>
      <c r="J237" s="3" t="s">
        <v>30</v>
      </c>
      <c r="K237" s="3" t="s">
        <v>30</v>
      </c>
      <c r="L237" s="3" t="s">
        <v>152</v>
      </c>
      <c r="M237" s="3" t="s">
        <v>41</v>
      </c>
      <c r="N237" s="3" t="s">
        <v>193</v>
      </c>
      <c r="O237" s="3" t="s">
        <v>154</v>
      </c>
      <c r="P237" s="3" t="s">
        <v>185</v>
      </c>
      <c r="Q237" s="3" t="s">
        <v>156</v>
      </c>
      <c r="R237" s="3" t="s">
        <v>157</v>
      </c>
      <c r="S237" s="3" t="s">
        <v>44</v>
      </c>
      <c r="T237" s="154">
        <v>2.9289999999999998</v>
      </c>
      <c r="U237" s="3" t="s">
        <v>536</v>
      </c>
      <c r="V237" s="165">
        <v>4.5600000000000002E-2</v>
      </c>
      <c r="W237" s="165">
        <v>4.7230000000000001E-2</v>
      </c>
      <c r="X237" s="5" t="s">
        <v>159</v>
      </c>
      <c r="Y237" s="5" t="s">
        <v>154</v>
      </c>
      <c r="Z237" s="154">
        <v>99148.62</v>
      </c>
      <c r="AA237" s="163">
        <v>1</v>
      </c>
      <c r="AB237" s="173">
        <v>99.96</v>
      </c>
      <c r="AD237" s="154">
        <v>99.108999999999995</v>
      </c>
      <c r="AG237" s="3" t="s">
        <v>36</v>
      </c>
      <c r="AH237" s="165">
        <v>1.26E-4</v>
      </c>
      <c r="AI237" s="165">
        <v>7.0206758876559102E-3</v>
      </c>
      <c r="AJ237" s="165">
        <v>1.9955646510113399E-3</v>
      </c>
    </row>
    <row r="238" spans="1:36">
      <c r="A238" s="3">
        <v>288</v>
      </c>
      <c r="B238" s="3">
        <v>1451</v>
      </c>
      <c r="C238" s="3" t="s">
        <v>527</v>
      </c>
      <c r="D238" s="3" t="s">
        <v>528</v>
      </c>
      <c r="E238" s="5" t="s">
        <v>147</v>
      </c>
      <c r="F238" s="3" t="s">
        <v>537</v>
      </c>
      <c r="G238" s="3" t="s">
        <v>538</v>
      </c>
      <c r="H238" s="3" t="s">
        <v>150</v>
      </c>
      <c r="I238" s="3" t="s">
        <v>183</v>
      </c>
      <c r="J238" s="3" t="s">
        <v>30</v>
      </c>
      <c r="K238" s="3" t="s">
        <v>30</v>
      </c>
      <c r="L238" s="3" t="s">
        <v>152</v>
      </c>
      <c r="M238" s="3" t="s">
        <v>41</v>
      </c>
      <c r="N238" s="3" t="s">
        <v>193</v>
      </c>
      <c r="O238" s="3" t="s">
        <v>154</v>
      </c>
      <c r="P238" s="3" t="s">
        <v>185</v>
      </c>
      <c r="Q238" s="3" t="s">
        <v>156</v>
      </c>
      <c r="R238" s="3" t="s">
        <v>157</v>
      </c>
      <c r="S238" s="3" t="s">
        <v>44</v>
      </c>
      <c r="T238" s="154">
        <v>3.0470000000000002</v>
      </c>
      <c r="U238" s="3" t="s">
        <v>536</v>
      </c>
      <c r="V238" s="165">
        <v>2.1999999999999999E-2</v>
      </c>
      <c r="W238" s="165">
        <v>2.912E-2</v>
      </c>
      <c r="X238" s="5" t="s">
        <v>159</v>
      </c>
      <c r="Y238" s="5" t="s">
        <v>154</v>
      </c>
      <c r="Z238" s="154">
        <v>173077.03</v>
      </c>
      <c r="AA238" s="163">
        <v>1</v>
      </c>
      <c r="AB238" s="173">
        <v>107.59</v>
      </c>
      <c r="AD238" s="154">
        <v>186.214</v>
      </c>
      <c r="AG238" s="3" t="s">
        <v>36</v>
      </c>
      <c r="AH238" s="165">
        <v>2.32E-4</v>
      </c>
      <c r="AI238" s="165">
        <v>1.3190988582131099E-2</v>
      </c>
      <c r="AJ238" s="165">
        <v>3.7494211309025299E-3</v>
      </c>
    </row>
    <row r="239" spans="1:36">
      <c r="A239" s="3">
        <v>288</v>
      </c>
      <c r="B239" s="3">
        <v>1451</v>
      </c>
      <c r="C239" s="3" t="s">
        <v>539</v>
      </c>
      <c r="D239" s="3" t="s">
        <v>540</v>
      </c>
      <c r="E239" s="5" t="s">
        <v>147</v>
      </c>
      <c r="F239" s="3" t="s">
        <v>733</v>
      </c>
      <c r="G239" s="3" t="s">
        <v>734</v>
      </c>
      <c r="H239" s="3" t="s">
        <v>150</v>
      </c>
      <c r="I239" s="3" t="s">
        <v>151</v>
      </c>
      <c r="J239" s="3" t="s">
        <v>30</v>
      </c>
      <c r="K239" s="3" t="s">
        <v>30</v>
      </c>
      <c r="L239" s="3" t="s">
        <v>152</v>
      </c>
      <c r="M239" s="3" t="s">
        <v>41</v>
      </c>
      <c r="N239" s="3" t="s">
        <v>335</v>
      </c>
      <c r="O239" s="3" t="s">
        <v>154</v>
      </c>
      <c r="P239" s="3" t="s">
        <v>383</v>
      </c>
      <c r="Q239" s="3" t="s">
        <v>169</v>
      </c>
      <c r="R239" s="3" t="s">
        <v>157</v>
      </c>
      <c r="S239" s="3" t="s">
        <v>44</v>
      </c>
      <c r="T239" s="154">
        <v>2.4950000000000001</v>
      </c>
      <c r="U239" s="3" t="s">
        <v>543</v>
      </c>
      <c r="V239" s="165">
        <v>4.6899999999999997E-2</v>
      </c>
      <c r="W239" s="165">
        <v>5.987E-2</v>
      </c>
      <c r="X239" s="5" t="s">
        <v>159</v>
      </c>
      <c r="Y239" s="5" t="s">
        <v>154</v>
      </c>
      <c r="Z239" s="154">
        <v>222803.65</v>
      </c>
      <c r="AA239" s="163">
        <v>1</v>
      </c>
      <c r="AB239" s="173">
        <v>92.95</v>
      </c>
      <c r="AD239" s="154">
        <v>207.096</v>
      </c>
      <c r="AG239" s="3" t="s">
        <v>36</v>
      </c>
      <c r="AH239" s="165">
        <v>1.94E-4</v>
      </c>
      <c r="AI239" s="165">
        <v>1.46702561918272E-2</v>
      </c>
      <c r="AJ239" s="165">
        <v>4.1698897864184499E-3</v>
      </c>
    </row>
    <row r="240" spans="1:36">
      <c r="A240" s="3">
        <v>288</v>
      </c>
      <c r="B240" s="3">
        <v>1451</v>
      </c>
      <c r="C240" s="3" t="s">
        <v>539</v>
      </c>
      <c r="D240" s="3" t="s">
        <v>540</v>
      </c>
      <c r="E240" s="5" t="s">
        <v>147</v>
      </c>
      <c r="F240" s="3" t="s">
        <v>541</v>
      </c>
      <c r="G240" s="3" t="s">
        <v>542</v>
      </c>
      <c r="H240" s="3" t="s">
        <v>150</v>
      </c>
      <c r="I240" s="3" t="s">
        <v>151</v>
      </c>
      <c r="J240" s="3" t="s">
        <v>30</v>
      </c>
      <c r="K240" s="3" t="s">
        <v>30</v>
      </c>
      <c r="L240" s="3" t="s">
        <v>152</v>
      </c>
      <c r="M240" s="3" t="s">
        <v>41</v>
      </c>
      <c r="N240" s="3" t="s">
        <v>335</v>
      </c>
      <c r="O240" s="3" t="s">
        <v>154</v>
      </c>
      <c r="P240" s="3" t="s">
        <v>383</v>
      </c>
      <c r="Q240" s="3" t="s">
        <v>169</v>
      </c>
      <c r="R240" s="3" t="s">
        <v>157</v>
      </c>
      <c r="S240" s="3" t="s">
        <v>44</v>
      </c>
      <c r="T240" s="154">
        <v>2.343</v>
      </c>
      <c r="U240" s="3" t="s">
        <v>543</v>
      </c>
      <c r="V240" s="165">
        <v>4.6899999999999997E-2</v>
      </c>
      <c r="W240" s="165">
        <v>5.8500000000000003E-2</v>
      </c>
      <c r="X240" s="5" t="s">
        <v>159</v>
      </c>
      <c r="Y240" s="5" t="s">
        <v>154</v>
      </c>
      <c r="Z240" s="154">
        <v>177929.38</v>
      </c>
      <c r="AA240" s="163">
        <v>1</v>
      </c>
      <c r="AB240" s="173">
        <v>91.73</v>
      </c>
      <c r="AD240" s="154">
        <v>163.215</v>
      </c>
      <c r="AG240" s="3" t="s">
        <v>36</v>
      </c>
      <c r="AH240" s="165">
        <v>1.3200000000000001E-4</v>
      </c>
      <c r="AI240" s="165">
        <v>1.15617895969091E-2</v>
      </c>
      <c r="AJ240" s="165">
        <v>3.28633581598451E-3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55"/>
  <sheetViews>
    <sheetView rightToLeft="1" topLeftCell="C1" workbookViewId="0">
      <selection activeCell="G26" sqref="G26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8</v>
      </c>
      <c r="N1" s="21" t="s">
        <v>137</v>
      </c>
      <c r="O1" s="21" t="s">
        <v>138</v>
      </c>
      <c r="P1" s="21" t="s">
        <v>11</v>
      </c>
      <c r="Q1" s="21" t="s">
        <v>17</v>
      </c>
      <c r="R1" s="162" t="s">
        <v>18</v>
      </c>
      <c r="S1" s="168" t="s">
        <v>19</v>
      </c>
      <c r="T1" s="21" t="s">
        <v>16</v>
      </c>
      <c r="U1" s="21" t="s">
        <v>20</v>
      </c>
      <c r="V1" s="164" t="s">
        <v>23</v>
      </c>
      <c r="W1" s="164" t="s">
        <v>24</v>
      </c>
      <c r="X1" s="164" t="s">
        <v>25</v>
      </c>
    </row>
    <row r="2" spans="1:24">
      <c r="A2" s="20">
        <v>288</v>
      </c>
      <c r="B2" s="20">
        <v>288</v>
      </c>
      <c r="C2" s="20" t="s">
        <v>735</v>
      </c>
      <c r="D2" s="20" t="s">
        <v>736</v>
      </c>
      <c r="E2" s="20" t="s">
        <v>147</v>
      </c>
      <c r="F2" s="20" t="s">
        <v>737</v>
      </c>
      <c r="G2" s="20" t="s">
        <v>738</v>
      </c>
      <c r="H2" s="20" t="s">
        <v>150</v>
      </c>
      <c r="I2" s="20" t="s">
        <v>739</v>
      </c>
      <c r="J2" s="20" t="s">
        <v>30</v>
      </c>
      <c r="K2" s="20" t="s">
        <v>267</v>
      </c>
      <c r="L2" s="22" t="s">
        <v>152</v>
      </c>
      <c r="M2" s="20" t="s">
        <v>740</v>
      </c>
      <c r="N2" s="22" t="s">
        <v>741</v>
      </c>
      <c r="O2" s="22" t="s">
        <v>154</v>
      </c>
      <c r="P2" s="20" t="s">
        <v>34</v>
      </c>
      <c r="Q2" s="157">
        <v>2956</v>
      </c>
      <c r="R2" s="174">
        <v>3.306</v>
      </c>
      <c r="S2" s="175">
        <v>31966</v>
      </c>
      <c r="T2" s="22"/>
      <c r="U2" s="157">
        <v>3123.8890000000001</v>
      </c>
      <c r="V2" s="176">
        <v>1.05E-4</v>
      </c>
      <c r="W2" s="176">
        <v>6.8530802646628603E-3</v>
      </c>
      <c r="X2" s="176">
        <v>1.2183698846380299E-3</v>
      </c>
    </row>
    <row r="3" spans="1:24">
      <c r="A3" s="20">
        <v>288</v>
      </c>
      <c r="B3" s="20">
        <v>288</v>
      </c>
      <c r="C3" s="20" t="s">
        <v>742</v>
      </c>
      <c r="D3" s="20" t="s">
        <v>743</v>
      </c>
      <c r="E3" s="20" t="s">
        <v>147</v>
      </c>
      <c r="F3" s="20" t="s">
        <v>744</v>
      </c>
      <c r="G3" s="20" t="s">
        <v>745</v>
      </c>
      <c r="H3" s="20" t="s">
        <v>150</v>
      </c>
      <c r="I3" s="20" t="s">
        <v>739</v>
      </c>
      <c r="J3" s="20" t="s">
        <v>30</v>
      </c>
      <c r="K3" s="20" t="s">
        <v>30</v>
      </c>
      <c r="L3" s="22" t="s">
        <v>152</v>
      </c>
      <c r="M3" s="20" t="s">
        <v>41</v>
      </c>
      <c r="N3" s="22" t="s">
        <v>193</v>
      </c>
      <c r="O3" s="22" t="s">
        <v>154</v>
      </c>
      <c r="P3" s="20" t="s">
        <v>44</v>
      </c>
      <c r="Q3" s="157">
        <v>170000</v>
      </c>
      <c r="R3" s="174">
        <v>1</v>
      </c>
      <c r="S3" s="175">
        <v>1509</v>
      </c>
      <c r="T3" s="22"/>
      <c r="U3" s="157">
        <v>2565.3000000000002</v>
      </c>
      <c r="V3" s="176">
        <v>3.0899999999999998E-4</v>
      </c>
      <c r="W3" s="176">
        <v>5.6276671813303902E-3</v>
      </c>
      <c r="X3" s="176">
        <v>1.0005107119281701E-3</v>
      </c>
    </row>
    <row r="4" spans="1:24">
      <c r="A4" s="20">
        <v>288</v>
      </c>
      <c r="B4" s="20">
        <v>288</v>
      </c>
      <c r="C4" s="20" t="s">
        <v>550</v>
      </c>
      <c r="D4" s="20" t="s">
        <v>551</v>
      </c>
      <c r="E4" s="20" t="s">
        <v>147</v>
      </c>
      <c r="F4" s="20" t="s">
        <v>746</v>
      </c>
      <c r="G4" s="20" t="s">
        <v>747</v>
      </c>
      <c r="H4" s="20" t="s">
        <v>150</v>
      </c>
      <c r="I4" s="20" t="s">
        <v>739</v>
      </c>
      <c r="J4" s="20" t="s">
        <v>30</v>
      </c>
      <c r="K4" s="20" t="s">
        <v>30</v>
      </c>
      <c r="L4" s="22" t="s">
        <v>152</v>
      </c>
      <c r="M4" s="20" t="s">
        <v>41</v>
      </c>
      <c r="N4" s="22" t="s">
        <v>554</v>
      </c>
      <c r="O4" s="22" t="s">
        <v>154</v>
      </c>
      <c r="P4" s="20" t="s">
        <v>44</v>
      </c>
      <c r="Q4" s="157">
        <v>5460</v>
      </c>
      <c r="R4" s="174">
        <v>1</v>
      </c>
      <c r="S4" s="175">
        <v>167700</v>
      </c>
      <c r="T4" s="22"/>
      <c r="U4" s="157">
        <v>9156.42</v>
      </c>
      <c r="V4" s="176">
        <v>1.18E-4</v>
      </c>
      <c r="W4" s="176">
        <v>2.0087040241873098E-2</v>
      </c>
      <c r="X4" s="176">
        <v>3.5711598225990401E-3</v>
      </c>
    </row>
    <row r="5" spans="1:24">
      <c r="A5" s="20">
        <v>288</v>
      </c>
      <c r="B5" s="20">
        <v>288</v>
      </c>
      <c r="C5" s="20" t="s">
        <v>195</v>
      </c>
      <c r="D5" s="20" t="s">
        <v>196</v>
      </c>
      <c r="E5" s="20" t="s">
        <v>147</v>
      </c>
      <c r="F5" s="20" t="s">
        <v>748</v>
      </c>
      <c r="G5" s="20" t="s">
        <v>749</v>
      </c>
      <c r="H5" s="20" t="s">
        <v>150</v>
      </c>
      <c r="I5" s="20" t="s">
        <v>739</v>
      </c>
      <c r="J5" s="20" t="s">
        <v>30</v>
      </c>
      <c r="K5" s="20" t="s">
        <v>30</v>
      </c>
      <c r="L5" s="22" t="s">
        <v>152</v>
      </c>
      <c r="M5" s="20" t="s">
        <v>41</v>
      </c>
      <c r="N5" s="22" t="s">
        <v>184</v>
      </c>
      <c r="O5" s="22" t="s">
        <v>154</v>
      </c>
      <c r="P5" s="20" t="s">
        <v>44</v>
      </c>
      <c r="Q5" s="157">
        <v>175153</v>
      </c>
      <c r="R5" s="174">
        <v>1</v>
      </c>
      <c r="S5" s="175">
        <v>3926</v>
      </c>
      <c r="T5" s="22"/>
      <c r="U5" s="157">
        <v>6876.5069999999996</v>
      </c>
      <c r="V5" s="176">
        <v>8.1099999999999998E-4</v>
      </c>
      <c r="W5" s="176">
        <v>1.5085444793202301E-2</v>
      </c>
      <c r="X5" s="176">
        <v>2.6819548177744001E-3</v>
      </c>
    </row>
    <row r="6" spans="1:24">
      <c r="A6" s="20">
        <v>288</v>
      </c>
      <c r="B6" s="20">
        <v>288</v>
      </c>
      <c r="C6" s="20" t="s">
        <v>210</v>
      </c>
      <c r="D6" s="20" t="s">
        <v>211</v>
      </c>
      <c r="E6" s="20" t="s">
        <v>147</v>
      </c>
      <c r="F6" s="20" t="s">
        <v>750</v>
      </c>
      <c r="G6" s="20" t="s">
        <v>751</v>
      </c>
      <c r="H6" s="20" t="s">
        <v>150</v>
      </c>
      <c r="I6" s="20" t="s">
        <v>739</v>
      </c>
      <c r="J6" s="20" t="s">
        <v>30</v>
      </c>
      <c r="K6" s="20" t="s">
        <v>30</v>
      </c>
      <c r="L6" s="22" t="s">
        <v>152</v>
      </c>
      <c r="M6" s="20" t="s">
        <v>41</v>
      </c>
      <c r="N6" s="22" t="s">
        <v>184</v>
      </c>
      <c r="O6" s="22" t="s">
        <v>154</v>
      </c>
      <c r="P6" s="20" t="s">
        <v>44</v>
      </c>
      <c r="Q6" s="157">
        <v>134961</v>
      </c>
      <c r="R6" s="174">
        <v>1</v>
      </c>
      <c r="S6" s="175">
        <v>2476</v>
      </c>
      <c r="T6" s="22"/>
      <c r="U6" s="157">
        <v>3341.634</v>
      </c>
      <c r="V6" s="176">
        <v>2.7399999999999999E-4</v>
      </c>
      <c r="W6" s="176">
        <v>7.33076288144777E-3</v>
      </c>
      <c r="X6" s="176">
        <v>1.3032943408284501E-3</v>
      </c>
    </row>
    <row r="7" spans="1:24">
      <c r="A7" s="20">
        <v>288</v>
      </c>
      <c r="B7" s="20">
        <v>288</v>
      </c>
      <c r="C7" s="20" t="s">
        <v>218</v>
      </c>
      <c r="D7" s="20" t="s">
        <v>219</v>
      </c>
      <c r="E7" s="20" t="s">
        <v>147</v>
      </c>
      <c r="F7" s="20" t="s">
        <v>752</v>
      </c>
      <c r="G7" s="20" t="s">
        <v>753</v>
      </c>
      <c r="H7" s="20" t="s">
        <v>150</v>
      </c>
      <c r="I7" s="20" t="s">
        <v>739</v>
      </c>
      <c r="J7" s="20" t="s">
        <v>30</v>
      </c>
      <c r="K7" s="20" t="s">
        <v>117</v>
      </c>
      <c r="L7" s="22" t="s">
        <v>152</v>
      </c>
      <c r="M7" s="20" t="s">
        <v>41</v>
      </c>
      <c r="N7" s="22" t="s">
        <v>222</v>
      </c>
      <c r="O7" s="22" t="s">
        <v>154</v>
      </c>
      <c r="P7" s="20" t="s">
        <v>44</v>
      </c>
      <c r="Q7" s="157">
        <v>81688.899999999994</v>
      </c>
      <c r="R7" s="174">
        <v>1</v>
      </c>
      <c r="S7" s="175">
        <v>10190</v>
      </c>
      <c r="T7" s="22"/>
      <c r="U7" s="157">
        <v>8324.0990000000002</v>
      </c>
      <c r="V7" s="176">
        <v>6.2E-4</v>
      </c>
      <c r="W7" s="176">
        <v>1.8261122773147401E-2</v>
      </c>
      <c r="X7" s="176">
        <v>3.2465404150019798E-3</v>
      </c>
    </row>
    <row r="8" spans="1:24">
      <c r="A8" s="20">
        <v>288</v>
      </c>
      <c r="B8" s="20">
        <v>288</v>
      </c>
      <c r="C8" s="20" t="s">
        <v>224</v>
      </c>
      <c r="D8" s="20" t="s">
        <v>225</v>
      </c>
      <c r="E8" s="20" t="s">
        <v>147</v>
      </c>
      <c r="F8" s="20" t="s">
        <v>754</v>
      </c>
      <c r="G8" s="20" t="s">
        <v>755</v>
      </c>
      <c r="H8" s="20" t="s">
        <v>150</v>
      </c>
      <c r="I8" s="20" t="s">
        <v>739</v>
      </c>
      <c r="J8" s="20" t="s">
        <v>30</v>
      </c>
      <c r="K8" s="20" t="s">
        <v>30</v>
      </c>
      <c r="L8" s="22" t="s">
        <v>152</v>
      </c>
      <c r="M8" s="20" t="s">
        <v>41</v>
      </c>
      <c r="N8" s="22" t="s">
        <v>222</v>
      </c>
      <c r="O8" s="22" t="s">
        <v>154</v>
      </c>
      <c r="P8" s="20" t="s">
        <v>44</v>
      </c>
      <c r="Q8" s="157">
        <v>314000</v>
      </c>
      <c r="R8" s="174">
        <v>1</v>
      </c>
      <c r="S8" s="175">
        <v>1428</v>
      </c>
      <c r="T8" s="22"/>
      <c r="U8" s="157">
        <v>4483.92</v>
      </c>
      <c r="V8" s="176">
        <v>5.6999999999999998E-4</v>
      </c>
      <c r="W8" s="176">
        <v>9.8366699519397208E-3</v>
      </c>
      <c r="X8" s="176">
        <v>1.74880520462673E-3</v>
      </c>
    </row>
    <row r="9" spans="1:24">
      <c r="A9" s="20">
        <v>288</v>
      </c>
      <c r="B9" s="20">
        <v>288</v>
      </c>
      <c r="C9" s="20" t="s">
        <v>236</v>
      </c>
      <c r="D9" s="20" t="s">
        <v>237</v>
      </c>
      <c r="E9" s="20" t="s">
        <v>147</v>
      </c>
      <c r="F9" s="20" t="s">
        <v>756</v>
      </c>
      <c r="G9" s="20" t="s">
        <v>757</v>
      </c>
      <c r="H9" s="20" t="s">
        <v>150</v>
      </c>
      <c r="I9" s="20" t="s">
        <v>739</v>
      </c>
      <c r="J9" s="20" t="s">
        <v>30</v>
      </c>
      <c r="K9" s="20" t="s">
        <v>30</v>
      </c>
      <c r="L9" s="22" t="s">
        <v>152</v>
      </c>
      <c r="M9" s="20" t="s">
        <v>41</v>
      </c>
      <c r="N9" s="22" t="s">
        <v>240</v>
      </c>
      <c r="O9" s="22" t="s">
        <v>154</v>
      </c>
      <c r="P9" s="20" t="s">
        <v>44</v>
      </c>
      <c r="Q9" s="157">
        <v>1360472</v>
      </c>
      <c r="R9" s="174">
        <v>1</v>
      </c>
      <c r="S9" s="175">
        <v>634.70000000000005</v>
      </c>
      <c r="T9" s="156">
        <v>286.03199999999998</v>
      </c>
      <c r="U9" s="157">
        <v>8920.9480000000003</v>
      </c>
      <c r="V9" s="176">
        <v>4.9100000000000001E-4</v>
      </c>
      <c r="W9" s="176">
        <v>1.9570469126938599E-2</v>
      </c>
      <c r="X9" s="176">
        <v>3.4793216030825501E-3</v>
      </c>
    </row>
    <row r="10" spans="1:24">
      <c r="A10" s="20">
        <v>288</v>
      </c>
      <c r="B10" s="20">
        <v>288</v>
      </c>
      <c r="C10" s="20" t="s">
        <v>758</v>
      </c>
      <c r="D10" s="20" t="s">
        <v>759</v>
      </c>
      <c r="E10" s="20" t="s">
        <v>147</v>
      </c>
      <c r="F10" s="20" t="s">
        <v>760</v>
      </c>
      <c r="G10" s="20" t="s">
        <v>761</v>
      </c>
      <c r="H10" s="20" t="s">
        <v>150</v>
      </c>
      <c r="I10" s="20" t="s">
        <v>739</v>
      </c>
      <c r="J10" s="20" t="s">
        <v>30</v>
      </c>
      <c r="K10" s="20" t="s">
        <v>30</v>
      </c>
      <c r="L10" s="22" t="s">
        <v>152</v>
      </c>
      <c r="M10" s="20" t="s">
        <v>41</v>
      </c>
      <c r="N10" s="22" t="s">
        <v>645</v>
      </c>
      <c r="O10" s="22" t="s">
        <v>154</v>
      </c>
      <c r="P10" s="20" t="s">
        <v>44</v>
      </c>
      <c r="Q10" s="157">
        <v>3356</v>
      </c>
      <c r="R10" s="174">
        <v>1</v>
      </c>
      <c r="S10" s="175">
        <v>24800</v>
      </c>
      <c r="T10" s="22"/>
      <c r="U10" s="157">
        <v>832.28800000000001</v>
      </c>
      <c r="V10" s="176">
        <v>3.7199999999999999E-4</v>
      </c>
      <c r="W10" s="176">
        <v>1.82584487701832E-3</v>
      </c>
      <c r="X10" s="176">
        <v>3.24606501933213E-4</v>
      </c>
    </row>
    <row r="11" spans="1:24">
      <c r="A11" s="20">
        <v>288</v>
      </c>
      <c r="B11" s="20">
        <v>288</v>
      </c>
      <c r="C11" s="20" t="s">
        <v>658</v>
      </c>
      <c r="D11" s="20" t="s">
        <v>659</v>
      </c>
      <c r="E11" s="20" t="s">
        <v>147</v>
      </c>
      <c r="F11" s="20" t="s">
        <v>762</v>
      </c>
      <c r="G11" s="20" t="s">
        <v>763</v>
      </c>
      <c r="H11" s="20" t="s">
        <v>150</v>
      </c>
      <c r="I11" s="20" t="s">
        <v>739</v>
      </c>
      <c r="J11" s="20" t="s">
        <v>30</v>
      </c>
      <c r="K11" s="20" t="s">
        <v>30</v>
      </c>
      <c r="L11" s="22" t="s">
        <v>152</v>
      </c>
      <c r="M11" s="20" t="s">
        <v>41</v>
      </c>
      <c r="N11" s="22" t="s">
        <v>282</v>
      </c>
      <c r="O11" s="22" t="s">
        <v>154</v>
      </c>
      <c r="P11" s="20" t="s">
        <v>44</v>
      </c>
      <c r="Q11" s="157">
        <v>464573</v>
      </c>
      <c r="R11" s="174">
        <v>1</v>
      </c>
      <c r="S11" s="175">
        <v>3274</v>
      </c>
      <c r="T11" s="22"/>
      <c r="U11" s="157">
        <v>15210.12</v>
      </c>
      <c r="V11" s="176">
        <v>3.7500000000000001E-4</v>
      </c>
      <c r="W11" s="176">
        <v>3.3367439777277602E-2</v>
      </c>
      <c r="X11" s="176">
        <v>5.9322059835976602E-3</v>
      </c>
    </row>
    <row r="12" spans="1:24">
      <c r="A12" s="20">
        <v>288</v>
      </c>
      <c r="B12" s="20">
        <v>288</v>
      </c>
      <c r="C12" s="20" t="s">
        <v>764</v>
      </c>
      <c r="D12" s="20" t="s">
        <v>765</v>
      </c>
      <c r="E12" s="20" t="s">
        <v>147</v>
      </c>
      <c r="F12" s="20" t="s">
        <v>766</v>
      </c>
      <c r="G12" s="20" t="s">
        <v>767</v>
      </c>
      <c r="H12" s="20" t="s">
        <v>150</v>
      </c>
      <c r="I12" s="20" t="s">
        <v>739</v>
      </c>
      <c r="J12" s="20" t="s">
        <v>30</v>
      </c>
      <c r="K12" s="20" t="s">
        <v>30</v>
      </c>
      <c r="L12" s="22" t="s">
        <v>152</v>
      </c>
      <c r="M12" s="20" t="s">
        <v>41</v>
      </c>
      <c r="N12" s="22" t="s">
        <v>645</v>
      </c>
      <c r="O12" s="22" t="s">
        <v>154</v>
      </c>
      <c r="P12" s="20" t="s">
        <v>44</v>
      </c>
      <c r="Q12" s="157">
        <v>12695</v>
      </c>
      <c r="R12" s="174">
        <v>1</v>
      </c>
      <c r="S12" s="175">
        <v>38150</v>
      </c>
      <c r="T12" s="22"/>
      <c r="U12" s="157">
        <v>4843.1419999999998</v>
      </c>
      <c r="V12" s="176">
        <v>6.0700000000000001E-4</v>
      </c>
      <c r="W12" s="176">
        <v>1.06247199554658E-2</v>
      </c>
      <c r="X12" s="176">
        <v>1.88890810066837E-3</v>
      </c>
    </row>
    <row r="13" spans="1:24">
      <c r="A13" s="20">
        <v>288</v>
      </c>
      <c r="B13" s="20">
        <v>288</v>
      </c>
      <c r="C13" s="20" t="s">
        <v>301</v>
      </c>
      <c r="D13" s="20" t="s">
        <v>302</v>
      </c>
      <c r="E13" s="20" t="s">
        <v>147</v>
      </c>
      <c r="F13" s="20" t="s">
        <v>768</v>
      </c>
      <c r="G13" s="20" t="s">
        <v>769</v>
      </c>
      <c r="H13" s="20" t="s">
        <v>150</v>
      </c>
      <c r="I13" s="20" t="s">
        <v>739</v>
      </c>
      <c r="J13" s="20" t="s">
        <v>30</v>
      </c>
      <c r="K13" s="20" t="s">
        <v>30</v>
      </c>
      <c r="L13" s="22" t="s">
        <v>152</v>
      </c>
      <c r="M13" s="20" t="s">
        <v>41</v>
      </c>
      <c r="N13" s="22" t="s">
        <v>176</v>
      </c>
      <c r="O13" s="22" t="s">
        <v>154</v>
      </c>
      <c r="P13" s="20" t="s">
        <v>44</v>
      </c>
      <c r="Q13" s="157">
        <v>49983</v>
      </c>
      <c r="R13" s="174">
        <v>1</v>
      </c>
      <c r="S13" s="175">
        <v>12400</v>
      </c>
      <c r="T13" s="22"/>
      <c r="U13" s="157">
        <v>6197.8919999999998</v>
      </c>
      <c r="V13" s="176">
        <v>1.9000000000000001E-4</v>
      </c>
      <c r="W13" s="176">
        <v>1.3596722957092799E-2</v>
      </c>
      <c r="X13" s="176">
        <v>2.4172834901858998E-3</v>
      </c>
    </row>
    <row r="14" spans="1:24">
      <c r="A14" s="20">
        <v>288</v>
      </c>
      <c r="B14" s="20">
        <v>288</v>
      </c>
      <c r="C14" s="20" t="s">
        <v>770</v>
      </c>
      <c r="D14" s="20" t="s">
        <v>771</v>
      </c>
      <c r="E14" s="20" t="s">
        <v>147</v>
      </c>
      <c r="F14" s="20" t="s">
        <v>772</v>
      </c>
      <c r="G14" s="20" t="s">
        <v>773</v>
      </c>
      <c r="H14" s="20" t="s">
        <v>150</v>
      </c>
      <c r="I14" s="20" t="s">
        <v>739</v>
      </c>
      <c r="J14" s="20" t="s">
        <v>30</v>
      </c>
      <c r="K14" s="20" t="s">
        <v>117</v>
      </c>
      <c r="L14" s="22" t="s">
        <v>152</v>
      </c>
      <c r="M14" s="20" t="s">
        <v>41</v>
      </c>
      <c r="N14" s="22" t="s">
        <v>774</v>
      </c>
      <c r="O14" s="22" t="s">
        <v>154</v>
      </c>
      <c r="P14" s="20" t="s">
        <v>44</v>
      </c>
      <c r="Q14" s="157">
        <v>127025</v>
      </c>
      <c r="R14" s="174">
        <v>1</v>
      </c>
      <c r="S14" s="175">
        <v>6440</v>
      </c>
      <c r="T14" s="22"/>
      <c r="U14" s="157">
        <v>8180.41</v>
      </c>
      <c r="V14" s="176">
        <v>1.01E-4</v>
      </c>
      <c r="W14" s="176">
        <v>1.7945902969175899E-2</v>
      </c>
      <c r="X14" s="176">
        <v>3.1904992916868598E-3</v>
      </c>
    </row>
    <row r="15" spans="1:24">
      <c r="A15" s="20">
        <v>288</v>
      </c>
      <c r="B15" s="20">
        <v>288</v>
      </c>
      <c r="C15" s="20" t="s">
        <v>775</v>
      </c>
      <c r="D15" s="20" t="s">
        <v>776</v>
      </c>
      <c r="E15" s="20" t="s">
        <v>147</v>
      </c>
      <c r="F15" s="20" t="s">
        <v>777</v>
      </c>
      <c r="G15" s="20" t="s">
        <v>778</v>
      </c>
      <c r="H15" s="20" t="s">
        <v>150</v>
      </c>
      <c r="I15" s="20" t="s">
        <v>739</v>
      </c>
      <c r="J15" s="20" t="s">
        <v>30</v>
      </c>
      <c r="K15" s="20" t="s">
        <v>30</v>
      </c>
      <c r="L15" s="22" t="s">
        <v>152</v>
      </c>
      <c r="M15" s="20" t="s">
        <v>41</v>
      </c>
      <c r="N15" s="22" t="s">
        <v>645</v>
      </c>
      <c r="O15" s="22" t="s">
        <v>154</v>
      </c>
      <c r="P15" s="20" t="s">
        <v>44</v>
      </c>
      <c r="Q15" s="157">
        <v>251997</v>
      </c>
      <c r="R15" s="174">
        <v>1</v>
      </c>
      <c r="S15" s="175">
        <v>1463</v>
      </c>
      <c r="T15" s="22"/>
      <c r="U15" s="157">
        <v>3686.7159999999999</v>
      </c>
      <c r="V15" s="176">
        <v>7.6199999999999998E-4</v>
      </c>
      <c r="W15" s="176">
        <v>8.0877913924800298E-3</v>
      </c>
      <c r="X15" s="176">
        <v>1.43788210341603E-3</v>
      </c>
    </row>
    <row r="16" spans="1:24">
      <c r="A16" s="20">
        <v>288</v>
      </c>
      <c r="B16" s="20">
        <v>288</v>
      </c>
      <c r="C16" s="20" t="s">
        <v>346</v>
      </c>
      <c r="D16" s="20" t="s">
        <v>347</v>
      </c>
      <c r="E16" s="20" t="s">
        <v>147</v>
      </c>
      <c r="F16" s="20" t="s">
        <v>779</v>
      </c>
      <c r="G16" s="20" t="s">
        <v>780</v>
      </c>
      <c r="H16" s="20" t="s">
        <v>150</v>
      </c>
      <c r="I16" s="20" t="s">
        <v>739</v>
      </c>
      <c r="J16" s="20" t="s">
        <v>30</v>
      </c>
      <c r="K16" s="20" t="s">
        <v>30</v>
      </c>
      <c r="L16" s="22" t="s">
        <v>152</v>
      </c>
      <c r="M16" s="20" t="s">
        <v>41</v>
      </c>
      <c r="N16" s="22" t="s">
        <v>176</v>
      </c>
      <c r="O16" s="22" t="s">
        <v>154</v>
      </c>
      <c r="P16" s="20" t="s">
        <v>44</v>
      </c>
      <c r="Q16" s="157">
        <v>50440</v>
      </c>
      <c r="R16" s="174">
        <v>1</v>
      </c>
      <c r="S16" s="175">
        <v>16970</v>
      </c>
      <c r="T16" s="22"/>
      <c r="U16" s="157">
        <v>8559.6679999999997</v>
      </c>
      <c r="V16" s="176">
        <v>6.3000000000000003E-4</v>
      </c>
      <c r="W16" s="176">
        <v>1.8777906165627401E-2</v>
      </c>
      <c r="X16" s="176">
        <v>3.3384163741273002E-3</v>
      </c>
    </row>
    <row r="17" spans="1:24">
      <c r="A17" s="20">
        <v>288</v>
      </c>
      <c r="B17" s="20">
        <v>288</v>
      </c>
      <c r="C17" s="20" t="s">
        <v>355</v>
      </c>
      <c r="D17" s="20" t="s">
        <v>356</v>
      </c>
      <c r="E17" s="20" t="s">
        <v>147</v>
      </c>
      <c r="F17" s="20" t="s">
        <v>781</v>
      </c>
      <c r="G17" s="20" t="s">
        <v>782</v>
      </c>
      <c r="H17" s="20" t="s">
        <v>150</v>
      </c>
      <c r="I17" s="20" t="s">
        <v>739</v>
      </c>
      <c r="J17" s="20" t="s">
        <v>30</v>
      </c>
      <c r="K17" s="20" t="s">
        <v>30</v>
      </c>
      <c r="L17" s="22" t="s">
        <v>152</v>
      </c>
      <c r="M17" s="20" t="s">
        <v>41</v>
      </c>
      <c r="N17" s="22" t="s">
        <v>282</v>
      </c>
      <c r="O17" s="22" t="s">
        <v>154</v>
      </c>
      <c r="P17" s="20" t="s">
        <v>44</v>
      </c>
      <c r="Q17" s="157">
        <v>347066</v>
      </c>
      <c r="R17" s="174">
        <v>1</v>
      </c>
      <c r="S17" s="175">
        <v>6529</v>
      </c>
      <c r="T17" s="22"/>
      <c r="U17" s="157">
        <v>22659.938999999998</v>
      </c>
      <c r="V17" s="176">
        <v>2.1499999999999999E-4</v>
      </c>
      <c r="W17" s="176">
        <v>4.9710597524313699E-2</v>
      </c>
      <c r="X17" s="176">
        <v>8.8377623830391602E-3</v>
      </c>
    </row>
    <row r="18" spans="1:24">
      <c r="A18" s="20">
        <v>288</v>
      </c>
      <c r="B18" s="20">
        <v>288</v>
      </c>
      <c r="C18" s="20" t="s">
        <v>783</v>
      </c>
      <c r="D18" s="20" t="s">
        <v>784</v>
      </c>
      <c r="E18" s="20" t="s">
        <v>147</v>
      </c>
      <c r="F18" s="20" t="s">
        <v>785</v>
      </c>
      <c r="G18" s="20" t="s">
        <v>786</v>
      </c>
      <c r="H18" s="20" t="s">
        <v>150</v>
      </c>
      <c r="I18" s="20" t="s">
        <v>739</v>
      </c>
      <c r="J18" s="20" t="s">
        <v>30</v>
      </c>
      <c r="K18" s="20" t="s">
        <v>30</v>
      </c>
      <c r="L18" s="22" t="s">
        <v>152</v>
      </c>
      <c r="M18" s="20" t="s">
        <v>41</v>
      </c>
      <c r="N18" s="22" t="s">
        <v>353</v>
      </c>
      <c r="O18" s="22" t="s">
        <v>154</v>
      </c>
      <c r="P18" s="20" t="s">
        <v>44</v>
      </c>
      <c r="Q18" s="157">
        <v>96100</v>
      </c>
      <c r="R18" s="174">
        <v>1</v>
      </c>
      <c r="S18" s="175">
        <v>4523</v>
      </c>
      <c r="T18" s="22"/>
      <c r="U18" s="157">
        <v>4346.6030000000001</v>
      </c>
      <c r="V18" s="176">
        <v>1.3029999999999999E-3</v>
      </c>
      <c r="W18" s="176">
        <v>9.5354286256469807E-3</v>
      </c>
      <c r="X18" s="176">
        <v>1.6952492347870099E-3</v>
      </c>
    </row>
    <row r="19" spans="1:24">
      <c r="A19" s="20">
        <v>288</v>
      </c>
      <c r="B19" s="20">
        <v>288</v>
      </c>
      <c r="C19" s="20" t="s">
        <v>788</v>
      </c>
      <c r="D19" s="20" t="s">
        <v>789</v>
      </c>
      <c r="E19" s="20" t="s">
        <v>147</v>
      </c>
      <c r="F19" s="20" t="s">
        <v>790</v>
      </c>
      <c r="G19" s="20" t="s">
        <v>791</v>
      </c>
      <c r="H19" s="20" t="s">
        <v>150</v>
      </c>
      <c r="I19" s="20" t="s">
        <v>739</v>
      </c>
      <c r="J19" s="20" t="s">
        <v>30</v>
      </c>
      <c r="K19" s="20" t="s">
        <v>30</v>
      </c>
      <c r="L19" s="22" t="s">
        <v>152</v>
      </c>
      <c r="M19" s="20" t="s">
        <v>41</v>
      </c>
      <c r="N19" s="22" t="s">
        <v>282</v>
      </c>
      <c r="O19" s="22" t="s">
        <v>154</v>
      </c>
      <c r="P19" s="20" t="s">
        <v>44</v>
      </c>
      <c r="Q19" s="157">
        <v>39740</v>
      </c>
      <c r="R19" s="174">
        <v>1</v>
      </c>
      <c r="S19" s="175">
        <v>21790</v>
      </c>
      <c r="T19" s="22"/>
      <c r="U19" s="157">
        <v>8659.3459999999995</v>
      </c>
      <c r="V19" s="176">
        <v>1.5300000000000001E-4</v>
      </c>
      <c r="W19" s="176">
        <v>1.8996576344281198E-2</v>
      </c>
      <c r="X19" s="176">
        <v>3.3772924926099598E-3</v>
      </c>
    </row>
    <row r="20" spans="1:24">
      <c r="A20" s="5">
        <v>288</v>
      </c>
      <c r="B20" s="5">
        <v>288</v>
      </c>
      <c r="C20" s="5" t="s">
        <v>431</v>
      </c>
      <c r="D20" s="5" t="s">
        <v>432</v>
      </c>
      <c r="E20" s="20" t="s">
        <v>147</v>
      </c>
      <c r="F20" s="5" t="s">
        <v>792</v>
      </c>
      <c r="G20" s="5" t="s">
        <v>793</v>
      </c>
      <c r="H20" s="20" t="s">
        <v>150</v>
      </c>
      <c r="I20" s="5" t="s">
        <v>739</v>
      </c>
      <c r="J20" s="5" t="s">
        <v>30</v>
      </c>
      <c r="K20" s="20" t="s">
        <v>30</v>
      </c>
      <c r="L20" s="22" t="s">
        <v>152</v>
      </c>
      <c r="M20" s="20" t="s">
        <v>41</v>
      </c>
      <c r="N20" s="22" t="s">
        <v>184</v>
      </c>
      <c r="O20" s="5" t="s">
        <v>154</v>
      </c>
      <c r="P20" s="5" t="s">
        <v>44</v>
      </c>
      <c r="Q20" s="155">
        <v>15367</v>
      </c>
      <c r="R20" s="167">
        <v>1</v>
      </c>
      <c r="S20" s="169">
        <v>40000</v>
      </c>
      <c r="U20" s="155">
        <v>6146.8</v>
      </c>
      <c r="V20" s="166">
        <v>3.2200000000000002E-4</v>
      </c>
      <c r="W20" s="166">
        <v>1.3484639079328601E-2</v>
      </c>
      <c r="X20" s="166">
        <v>2.39735673959383E-3</v>
      </c>
    </row>
    <row r="21" spans="1:24" s="44" customFormat="1">
      <c r="A21" s="44">
        <v>288</v>
      </c>
      <c r="B21" s="44">
        <v>288</v>
      </c>
      <c r="C21" s="44" t="s">
        <v>438</v>
      </c>
      <c r="D21" s="44" t="s">
        <v>439</v>
      </c>
      <c r="E21" s="44" t="s">
        <v>147</v>
      </c>
      <c r="F21" s="44" t="s">
        <v>794</v>
      </c>
      <c r="G21" s="44" t="s">
        <v>795</v>
      </c>
      <c r="H21" s="44" t="s">
        <v>150</v>
      </c>
      <c r="I21" s="44" t="s">
        <v>739</v>
      </c>
      <c r="J21" s="44" t="s">
        <v>30</v>
      </c>
      <c r="K21" s="44" t="s">
        <v>30</v>
      </c>
      <c r="L21" s="44" t="s">
        <v>152</v>
      </c>
      <c r="M21" s="44" t="s">
        <v>41</v>
      </c>
      <c r="N21" s="22" t="s">
        <v>176</v>
      </c>
      <c r="O21" s="44" t="s">
        <v>154</v>
      </c>
      <c r="P21" s="44" t="s">
        <v>44</v>
      </c>
      <c r="Q21" s="155">
        <v>6077</v>
      </c>
      <c r="R21" s="167">
        <v>1</v>
      </c>
      <c r="S21" s="169">
        <v>32500</v>
      </c>
      <c r="T21" s="41"/>
      <c r="U21" s="155">
        <v>1975.0250000000001</v>
      </c>
      <c r="V21" s="166">
        <v>9.6000000000000002E-5</v>
      </c>
      <c r="W21" s="166">
        <v>4.33274212560209E-3</v>
      </c>
      <c r="X21" s="166">
        <v>7.7029340382252795E-4</v>
      </c>
    </row>
    <row r="22" spans="1:24">
      <c r="A22" s="5">
        <v>288</v>
      </c>
      <c r="B22" s="5">
        <v>288</v>
      </c>
      <c r="C22" s="5" t="s">
        <v>796</v>
      </c>
      <c r="D22" s="5" t="s">
        <v>797</v>
      </c>
      <c r="E22" s="5" t="s">
        <v>332</v>
      </c>
      <c r="F22" s="5" t="s">
        <v>798</v>
      </c>
      <c r="G22" s="5" t="s">
        <v>799</v>
      </c>
      <c r="H22" s="5" t="s">
        <v>150</v>
      </c>
      <c r="I22" s="5" t="s">
        <v>739</v>
      </c>
      <c r="J22" s="5" t="s">
        <v>30</v>
      </c>
      <c r="K22" s="5" t="s">
        <v>117</v>
      </c>
      <c r="L22" s="3" t="s">
        <v>152</v>
      </c>
      <c r="M22" s="5" t="s">
        <v>41</v>
      </c>
      <c r="N22" s="5" t="s">
        <v>335</v>
      </c>
      <c r="O22" s="5" t="s">
        <v>154</v>
      </c>
      <c r="P22" s="5" t="s">
        <v>44</v>
      </c>
      <c r="Q22" s="155">
        <v>93514</v>
      </c>
      <c r="R22" s="167">
        <v>1</v>
      </c>
      <c r="S22" s="169">
        <v>11190</v>
      </c>
      <c r="U22" s="155">
        <v>10464.217000000001</v>
      </c>
      <c r="V22" s="166">
        <v>8.0099999999999995E-4</v>
      </c>
      <c r="W22" s="166">
        <v>2.2956039581394999E-2</v>
      </c>
      <c r="X22" s="166">
        <v>4.0812227810535003E-3</v>
      </c>
    </row>
    <row r="23" spans="1:24">
      <c r="A23" s="5">
        <v>288</v>
      </c>
      <c r="B23" s="5">
        <v>288</v>
      </c>
      <c r="C23" s="5" t="s">
        <v>735</v>
      </c>
      <c r="D23" s="5" t="s">
        <v>736</v>
      </c>
      <c r="E23" s="5" t="s">
        <v>147</v>
      </c>
      <c r="F23" s="5" t="s">
        <v>800</v>
      </c>
      <c r="G23" s="5" t="s">
        <v>738</v>
      </c>
      <c r="H23" s="5" t="s">
        <v>150</v>
      </c>
      <c r="I23" s="5" t="s">
        <v>739</v>
      </c>
      <c r="J23" s="5" t="s">
        <v>30</v>
      </c>
      <c r="K23" s="5" t="s">
        <v>267</v>
      </c>
      <c r="L23" s="3" t="s">
        <v>152</v>
      </c>
      <c r="M23" s="3" t="s">
        <v>41</v>
      </c>
      <c r="N23" s="5" t="s">
        <v>741</v>
      </c>
      <c r="O23" s="5" t="s">
        <v>154</v>
      </c>
      <c r="P23" s="5" t="s">
        <v>44</v>
      </c>
      <c r="Q23" s="155">
        <v>2700</v>
      </c>
      <c r="R23" s="167">
        <v>1</v>
      </c>
      <c r="S23" s="169">
        <v>104950</v>
      </c>
      <c r="U23" s="155">
        <v>2833.65</v>
      </c>
      <c r="V23" s="166">
        <v>9.2E-5</v>
      </c>
      <c r="W23" s="166">
        <v>6.2163642101808201E-3</v>
      </c>
      <c r="X23" s="166">
        <v>1.1051717845301701E-3</v>
      </c>
    </row>
    <row r="24" spans="1:24">
      <c r="A24" s="5">
        <v>288</v>
      </c>
      <c r="B24" s="5">
        <v>288</v>
      </c>
      <c r="C24" s="5" t="s">
        <v>801</v>
      </c>
      <c r="D24" s="5" t="s">
        <v>802</v>
      </c>
      <c r="E24" s="5" t="s">
        <v>332</v>
      </c>
      <c r="F24" s="5" t="s">
        <v>803</v>
      </c>
      <c r="G24" s="5" t="s">
        <v>804</v>
      </c>
      <c r="H24" s="5" t="s">
        <v>150</v>
      </c>
      <c r="I24" s="5" t="s">
        <v>739</v>
      </c>
      <c r="J24" s="5" t="s">
        <v>30</v>
      </c>
      <c r="K24" s="5" t="s">
        <v>30</v>
      </c>
      <c r="L24" s="3" t="s">
        <v>152</v>
      </c>
      <c r="M24" s="3" t="s">
        <v>41</v>
      </c>
      <c r="N24" s="5" t="s">
        <v>335</v>
      </c>
      <c r="O24" s="5" t="s">
        <v>154</v>
      </c>
      <c r="P24" s="5" t="s">
        <v>44</v>
      </c>
      <c r="Q24" s="155">
        <v>356234.85</v>
      </c>
      <c r="R24" s="167">
        <v>1</v>
      </c>
      <c r="S24" s="169">
        <v>1744</v>
      </c>
      <c r="U24" s="155">
        <v>6212.7359999999999</v>
      </c>
      <c r="V24" s="166">
        <v>3.0299999999999999E-4</v>
      </c>
      <c r="W24" s="166">
        <v>1.3629286741470299E-2</v>
      </c>
      <c r="X24" s="166">
        <v>2.42307281887945E-3</v>
      </c>
    </row>
    <row r="25" spans="1:24">
      <c r="A25" s="5">
        <v>288</v>
      </c>
      <c r="B25" s="5">
        <v>288</v>
      </c>
      <c r="C25" s="5" t="s">
        <v>805</v>
      </c>
      <c r="D25" s="5" t="s">
        <v>806</v>
      </c>
      <c r="E25" s="5" t="s">
        <v>147</v>
      </c>
      <c r="F25" s="5" t="s">
        <v>807</v>
      </c>
      <c r="G25" s="5" t="s">
        <v>808</v>
      </c>
      <c r="H25" s="5" t="s">
        <v>150</v>
      </c>
      <c r="I25" s="5" t="s">
        <v>739</v>
      </c>
      <c r="J25" s="5" t="s">
        <v>30</v>
      </c>
      <c r="K25" s="5" t="s">
        <v>117</v>
      </c>
      <c r="L25" s="3" t="s">
        <v>152</v>
      </c>
      <c r="M25" s="3" t="s">
        <v>41</v>
      </c>
      <c r="N25" s="5" t="s">
        <v>809</v>
      </c>
      <c r="O25" s="5" t="s">
        <v>154</v>
      </c>
      <c r="P25" s="5" t="s">
        <v>44</v>
      </c>
      <c r="Q25" s="155">
        <v>8160</v>
      </c>
      <c r="R25" s="167">
        <v>1</v>
      </c>
      <c r="S25" s="169">
        <v>48800</v>
      </c>
      <c r="U25" s="155">
        <v>3982.08</v>
      </c>
      <c r="V25" s="166">
        <v>1.0900000000000001E-4</v>
      </c>
      <c r="W25" s="166">
        <v>8.7357505669637507E-3</v>
      </c>
      <c r="X25" s="166">
        <v>1.55307905342647E-3</v>
      </c>
    </row>
    <row r="26" spans="1:24">
      <c r="A26" s="5">
        <v>288</v>
      </c>
      <c r="B26" s="5">
        <v>288</v>
      </c>
      <c r="C26" s="5" t="s">
        <v>810</v>
      </c>
      <c r="D26" s="5" t="s">
        <v>811</v>
      </c>
      <c r="E26" s="5" t="s">
        <v>147</v>
      </c>
      <c r="F26" s="5" t="s">
        <v>810</v>
      </c>
      <c r="G26" s="5" t="s">
        <v>812</v>
      </c>
      <c r="H26" s="5" t="s">
        <v>150</v>
      </c>
      <c r="I26" s="5" t="s">
        <v>739</v>
      </c>
      <c r="J26" s="5" t="s">
        <v>30</v>
      </c>
      <c r="K26" s="5" t="s">
        <v>30</v>
      </c>
      <c r="L26" s="3" t="s">
        <v>152</v>
      </c>
      <c r="M26" s="3" t="s">
        <v>41</v>
      </c>
      <c r="N26" s="5" t="s">
        <v>813</v>
      </c>
      <c r="O26" s="5" t="s">
        <v>154</v>
      </c>
      <c r="P26" s="5" t="s">
        <v>44</v>
      </c>
      <c r="Q26" s="155">
        <v>67320</v>
      </c>
      <c r="R26" s="167">
        <v>1</v>
      </c>
      <c r="S26" s="169">
        <v>15000</v>
      </c>
      <c r="U26" s="155">
        <v>10098</v>
      </c>
      <c r="V26" s="166">
        <v>8.2600000000000002E-4</v>
      </c>
      <c r="W26" s="166">
        <v>2.2152646161101699E-2</v>
      </c>
      <c r="X26" s="166">
        <v>3.9383920668345403E-3</v>
      </c>
    </row>
    <row r="27" spans="1:24">
      <c r="A27" s="5">
        <v>288</v>
      </c>
      <c r="B27" s="5">
        <v>288</v>
      </c>
      <c r="C27" s="5" t="s">
        <v>453</v>
      </c>
      <c r="D27" s="5" t="s">
        <v>454</v>
      </c>
      <c r="E27" s="5" t="s">
        <v>147</v>
      </c>
      <c r="F27" s="5" t="s">
        <v>814</v>
      </c>
      <c r="G27" s="5" t="s">
        <v>815</v>
      </c>
      <c r="H27" s="5" t="s">
        <v>150</v>
      </c>
      <c r="I27" s="5" t="s">
        <v>739</v>
      </c>
      <c r="J27" s="5" t="s">
        <v>30</v>
      </c>
      <c r="K27" s="5" t="s">
        <v>30</v>
      </c>
      <c r="L27" s="3" t="s">
        <v>152</v>
      </c>
      <c r="M27" s="3" t="s">
        <v>41</v>
      </c>
      <c r="N27" s="5" t="s">
        <v>184</v>
      </c>
      <c r="O27" s="5" t="s">
        <v>154</v>
      </c>
      <c r="P27" s="5" t="s">
        <v>44</v>
      </c>
      <c r="Q27" s="155">
        <v>19582</v>
      </c>
      <c r="R27" s="167">
        <v>1</v>
      </c>
      <c r="S27" s="169">
        <v>32870</v>
      </c>
      <c r="U27" s="155">
        <v>6436.6030000000001</v>
      </c>
      <c r="V27" s="166">
        <v>1.6100000000000001E-4</v>
      </c>
      <c r="W27" s="166">
        <v>1.4120399841507701E-2</v>
      </c>
      <c r="X27" s="166">
        <v>2.5103850037552201E-3</v>
      </c>
    </row>
    <row r="28" spans="1:24">
      <c r="A28" s="5">
        <v>288</v>
      </c>
      <c r="B28" s="5">
        <v>288</v>
      </c>
      <c r="C28" s="5" t="s">
        <v>464</v>
      </c>
      <c r="D28" s="5" t="s">
        <v>465</v>
      </c>
      <c r="E28" s="5" t="s">
        <v>147</v>
      </c>
      <c r="F28" s="5" t="s">
        <v>816</v>
      </c>
      <c r="G28" s="5" t="s">
        <v>817</v>
      </c>
      <c r="H28" s="5" t="s">
        <v>150</v>
      </c>
      <c r="I28" s="5" t="s">
        <v>739</v>
      </c>
      <c r="J28" s="5" t="s">
        <v>30</v>
      </c>
      <c r="K28" s="5" t="s">
        <v>30</v>
      </c>
      <c r="L28" s="3" t="s">
        <v>152</v>
      </c>
      <c r="M28" s="3" t="s">
        <v>41</v>
      </c>
      <c r="N28" s="5" t="s">
        <v>282</v>
      </c>
      <c r="O28" s="5" t="s">
        <v>154</v>
      </c>
      <c r="P28" s="5" t="s">
        <v>44</v>
      </c>
      <c r="Q28" s="155">
        <v>330172</v>
      </c>
      <c r="R28" s="167">
        <v>1</v>
      </c>
      <c r="S28" s="169">
        <v>6732</v>
      </c>
      <c r="U28" s="155">
        <v>22227.179</v>
      </c>
      <c r="V28" s="166">
        <v>2.4699999999999999E-4</v>
      </c>
      <c r="W28" s="166">
        <v>4.8761223255355202E-2</v>
      </c>
      <c r="X28" s="166">
        <v>8.6689785699392893E-3</v>
      </c>
    </row>
    <row r="29" spans="1:24">
      <c r="A29" s="5">
        <v>288</v>
      </c>
      <c r="B29" s="5">
        <v>288</v>
      </c>
      <c r="C29" s="5" t="s">
        <v>818</v>
      </c>
      <c r="D29" s="5" t="s">
        <v>819</v>
      </c>
      <c r="E29" s="5" t="s">
        <v>147</v>
      </c>
      <c r="F29" s="5" t="s">
        <v>820</v>
      </c>
      <c r="G29" s="5" t="s">
        <v>821</v>
      </c>
      <c r="H29" s="5" t="s">
        <v>150</v>
      </c>
      <c r="I29" s="5" t="s">
        <v>739</v>
      </c>
      <c r="J29" s="5" t="s">
        <v>30</v>
      </c>
      <c r="K29" s="5" t="s">
        <v>30</v>
      </c>
      <c r="L29" s="3" t="s">
        <v>152</v>
      </c>
      <c r="M29" s="3" t="s">
        <v>41</v>
      </c>
      <c r="N29" s="5" t="s">
        <v>520</v>
      </c>
      <c r="O29" s="5" t="s">
        <v>154</v>
      </c>
      <c r="P29" s="5" t="s">
        <v>44</v>
      </c>
      <c r="Q29" s="155">
        <v>8738</v>
      </c>
      <c r="R29" s="167">
        <v>1</v>
      </c>
      <c r="S29" s="169">
        <v>35060</v>
      </c>
      <c r="U29" s="155">
        <v>3063.5430000000001</v>
      </c>
      <c r="V29" s="166">
        <v>6.3000000000000003E-4</v>
      </c>
      <c r="W29" s="166">
        <v>6.7206951522866699E-3</v>
      </c>
      <c r="X29" s="166">
        <v>1.19483389383324E-3</v>
      </c>
    </row>
    <row r="30" spans="1:24">
      <c r="A30" s="5">
        <v>288</v>
      </c>
      <c r="B30" s="5">
        <v>288</v>
      </c>
      <c r="C30" s="5" t="s">
        <v>822</v>
      </c>
      <c r="D30" s="5" t="s">
        <v>823</v>
      </c>
      <c r="E30" s="5" t="s">
        <v>147</v>
      </c>
      <c r="F30" s="5" t="s">
        <v>824</v>
      </c>
      <c r="G30" s="5" t="s">
        <v>825</v>
      </c>
      <c r="H30" s="5" t="s">
        <v>150</v>
      </c>
      <c r="I30" s="5" t="s">
        <v>739</v>
      </c>
      <c r="J30" s="5" t="s">
        <v>30</v>
      </c>
      <c r="K30" s="5" t="s">
        <v>30</v>
      </c>
      <c r="L30" s="3" t="s">
        <v>152</v>
      </c>
      <c r="M30" s="3" t="s">
        <v>41</v>
      </c>
      <c r="N30" s="5" t="s">
        <v>826</v>
      </c>
      <c r="O30" s="5" t="s">
        <v>154</v>
      </c>
      <c r="P30" s="5" t="s">
        <v>44</v>
      </c>
      <c r="Q30" s="155">
        <v>349832</v>
      </c>
      <c r="R30" s="167">
        <v>1</v>
      </c>
      <c r="S30" s="169">
        <v>875.3</v>
      </c>
      <c r="U30" s="155">
        <v>3062.0790000000002</v>
      </c>
      <c r="V30" s="166">
        <v>1.2130000000000001E-3</v>
      </c>
      <c r="W30" s="166">
        <v>6.7174850061450502E-3</v>
      </c>
      <c r="X30" s="166">
        <v>1.1942631803389899E-3</v>
      </c>
    </row>
    <row r="31" spans="1:24">
      <c r="A31" s="5">
        <v>288</v>
      </c>
      <c r="B31" s="5">
        <v>288</v>
      </c>
      <c r="C31" s="5" t="s">
        <v>827</v>
      </c>
      <c r="D31" s="5" t="s">
        <v>828</v>
      </c>
      <c r="E31" s="5" t="s">
        <v>332</v>
      </c>
      <c r="F31" s="5" t="s">
        <v>829</v>
      </c>
      <c r="G31" s="5" t="s">
        <v>830</v>
      </c>
      <c r="H31" s="5" t="s">
        <v>150</v>
      </c>
      <c r="I31" s="5" t="s">
        <v>739</v>
      </c>
      <c r="J31" s="5" t="s">
        <v>30</v>
      </c>
      <c r="K31" s="5" t="s">
        <v>30</v>
      </c>
      <c r="L31" s="3" t="s">
        <v>152</v>
      </c>
      <c r="M31" s="3" t="s">
        <v>41</v>
      </c>
      <c r="N31" s="5" t="s">
        <v>335</v>
      </c>
      <c r="O31" s="5" t="s">
        <v>154</v>
      </c>
      <c r="P31" s="5" t="s">
        <v>44</v>
      </c>
      <c r="Q31" s="155">
        <v>546732</v>
      </c>
      <c r="R31" s="167">
        <v>1</v>
      </c>
      <c r="S31" s="169">
        <v>454.7</v>
      </c>
      <c r="U31" s="155">
        <v>2485.9899999999998</v>
      </c>
      <c r="V31" s="166">
        <v>4.86E-4</v>
      </c>
      <c r="W31" s="166">
        <v>5.4536805089825998E-3</v>
      </c>
      <c r="X31" s="166">
        <v>9.6957861807688505E-4</v>
      </c>
    </row>
    <row r="32" spans="1:24">
      <c r="A32" s="5">
        <v>288</v>
      </c>
      <c r="B32" s="5">
        <v>288</v>
      </c>
      <c r="C32" s="5" t="s">
        <v>831</v>
      </c>
      <c r="D32" s="5" t="s">
        <v>832</v>
      </c>
      <c r="E32" s="5" t="s">
        <v>147</v>
      </c>
      <c r="F32" s="5" t="s">
        <v>833</v>
      </c>
      <c r="G32" s="5" t="s">
        <v>834</v>
      </c>
      <c r="H32" s="5" t="s">
        <v>150</v>
      </c>
      <c r="I32" s="5" t="s">
        <v>739</v>
      </c>
      <c r="J32" s="5" t="s">
        <v>30</v>
      </c>
      <c r="K32" s="5" t="s">
        <v>30</v>
      </c>
      <c r="L32" s="3" t="s">
        <v>152</v>
      </c>
      <c r="M32" s="3" t="s">
        <v>41</v>
      </c>
      <c r="N32" s="5" t="s">
        <v>548</v>
      </c>
      <c r="O32" s="5" t="s">
        <v>154</v>
      </c>
      <c r="P32" s="5" t="s">
        <v>44</v>
      </c>
      <c r="Q32" s="155">
        <v>71960</v>
      </c>
      <c r="R32" s="167">
        <v>1</v>
      </c>
      <c r="S32" s="169">
        <v>2070</v>
      </c>
      <c r="U32" s="155">
        <v>1489.5719999999999</v>
      </c>
      <c r="V32" s="166">
        <v>5.5000000000000002E-5</v>
      </c>
      <c r="W32" s="166">
        <v>3.2677719793508201E-3</v>
      </c>
      <c r="X32" s="166">
        <v>5.8095846185173797E-4</v>
      </c>
    </row>
    <row r="33" spans="1:24">
      <c r="A33" s="5">
        <v>288</v>
      </c>
      <c r="B33" s="5">
        <v>288</v>
      </c>
      <c r="C33" s="5" t="s">
        <v>550</v>
      </c>
      <c r="D33" s="5" t="s">
        <v>551</v>
      </c>
      <c r="E33" s="5" t="s">
        <v>147</v>
      </c>
      <c r="F33" s="5" t="s">
        <v>746</v>
      </c>
      <c r="G33" s="5" t="s">
        <v>747</v>
      </c>
      <c r="H33" s="5" t="s">
        <v>150</v>
      </c>
      <c r="I33" s="5" t="s">
        <v>739</v>
      </c>
      <c r="J33" s="5" t="s">
        <v>30</v>
      </c>
      <c r="K33" s="5" t="s">
        <v>30</v>
      </c>
      <c r="L33" s="3" t="s">
        <v>152</v>
      </c>
      <c r="M33" s="3" t="s">
        <v>41</v>
      </c>
      <c r="N33" s="5" t="s">
        <v>554</v>
      </c>
      <c r="O33" s="5" t="s">
        <v>154</v>
      </c>
      <c r="P33" s="5" t="s">
        <v>44</v>
      </c>
      <c r="Q33" s="155">
        <v>3500</v>
      </c>
      <c r="R33" s="167">
        <v>1</v>
      </c>
      <c r="S33" s="169">
        <v>167700</v>
      </c>
      <c r="U33" s="155">
        <v>5869.5</v>
      </c>
      <c r="V33" s="166">
        <v>7.6000000000000004E-5</v>
      </c>
      <c r="W33" s="166">
        <v>1.28763078473546E-2</v>
      </c>
      <c r="X33" s="166">
        <v>2.2892050144865598E-3</v>
      </c>
    </row>
    <row r="34" spans="1:24">
      <c r="A34" s="5">
        <v>288</v>
      </c>
      <c r="B34" s="5">
        <v>288</v>
      </c>
      <c r="C34" s="5" t="s">
        <v>242</v>
      </c>
      <c r="D34" s="5" t="s">
        <v>243</v>
      </c>
      <c r="E34" s="5" t="s">
        <v>147</v>
      </c>
      <c r="F34" s="5" t="s">
        <v>835</v>
      </c>
      <c r="G34" s="5" t="s">
        <v>836</v>
      </c>
      <c r="H34" s="5" t="s">
        <v>150</v>
      </c>
      <c r="I34" s="5" t="s">
        <v>739</v>
      </c>
      <c r="J34" s="5" t="s">
        <v>30</v>
      </c>
      <c r="K34" s="5" t="s">
        <v>30</v>
      </c>
      <c r="L34" s="3" t="s">
        <v>152</v>
      </c>
      <c r="M34" s="3" t="s">
        <v>41</v>
      </c>
      <c r="N34" s="5" t="s">
        <v>184</v>
      </c>
      <c r="O34" s="5" t="s">
        <v>154</v>
      </c>
      <c r="P34" s="5" t="s">
        <v>44</v>
      </c>
      <c r="Q34" s="155">
        <v>5050</v>
      </c>
      <c r="R34" s="167">
        <v>1</v>
      </c>
      <c r="S34" s="169">
        <v>68050</v>
      </c>
      <c r="U34" s="155">
        <v>3436.5250000000001</v>
      </c>
      <c r="V34" s="166">
        <v>2.03E-4</v>
      </c>
      <c r="W34" s="166">
        <v>7.5389307138819701E-3</v>
      </c>
      <c r="X34" s="166">
        <v>1.34030330733596E-3</v>
      </c>
    </row>
    <row r="35" spans="1:24">
      <c r="A35" s="5">
        <v>288</v>
      </c>
      <c r="B35" s="5">
        <v>288</v>
      </c>
      <c r="C35" s="5" t="s">
        <v>837</v>
      </c>
      <c r="D35" s="5" t="s">
        <v>838</v>
      </c>
      <c r="E35" s="5" t="s">
        <v>147</v>
      </c>
      <c r="F35" s="5" t="s">
        <v>839</v>
      </c>
      <c r="G35" s="5" t="s">
        <v>840</v>
      </c>
      <c r="H35" s="5" t="s">
        <v>150</v>
      </c>
      <c r="I35" s="5" t="s">
        <v>739</v>
      </c>
      <c r="J35" s="5" t="s">
        <v>30</v>
      </c>
      <c r="K35" s="5" t="s">
        <v>30</v>
      </c>
      <c r="L35" s="3" t="s">
        <v>152</v>
      </c>
      <c r="M35" s="3" t="s">
        <v>41</v>
      </c>
      <c r="N35" s="5" t="s">
        <v>282</v>
      </c>
      <c r="O35" s="5" t="s">
        <v>154</v>
      </c>
      <c r="P35" s="5" t="s">
        <v>44</v>
      </c>
      <c r="Q35" s="155">
        <v>6095</v>
      </c>
      <c r="R35" s="167">
        <v>1</v>
      </c>
      <c r="S35" s="169">
        <v>23710</v>
      </c>
      <c r="U35" s="155">
        <v>1445.124</v>
      </c>
      <c r="V35" s="166">
        <v>6.0999999999999999E-5</v>
      </c>
      <c r="W35" s="166">
        <v>3.1702645778608702E-3</v>
      </c>
      <c r="X35" s="166">
        <v>5.6362317947992004E-4</v>
      </c>
    </row>
    <row r="36" spans="1:24">
      <c r="A36" s="5">
        <v>288</v>
      </c>
      <c r="B36" s="5">
        <v>288</v>
      </c>
      <c r="C36" s="5" t="s">
        <v>658</v>
      </c>
      <c r="D36" s="5" t="s">
        <v>659</v>
      </c>
      <c r="E36" s="5" t="s">
        <v>147</v>
      </c>
      <c r="F36" s="5" t="s">
        <v>762</v>
      </c>
      <c r="G36" s="5" t="s">
        <v>763</v>
      </c>
      <c r="H36" s="5" t="s">
        <v>150</v>
      </c>
      <c r="I36" s="5" t="s">
        <v>739</v>
      </c>
      <c r="J36" s="5" t="s">
        <v>30</v>
      </c>
      <c r="K36" s="5" t="s">
        <v>30</v>
      </c>
      <c r="L36" s="3" t="s">
        <v>152</v>
      </c>
      <c r="M36" s="3" t="s">
        <v>41</v>
      </c>
      <c r="N36" s="5" t="s">
        <v>282</v>
      </c>
      <c r="O36" s="5" t="s">
        <v>154</v>
      </c>
      <c r="P36" s="5" t="s">
        <v>44</v>
      </c>
      <c r="Q36" s="155">
        <v>156300</v>
      </c>
      <c r="R36" s="167">
        <v>1</v>
      </c>
      <c r="S36" s="169">
        <v>3274</v>
      </c>
      <c r="U36" s="155">
        <v>5117.2619999999997</v>
      </c>
      <c r="V36" s="166">
        <v>1.26E-4</v>
      </c>
      <c r="W36" s="166">
        <v>1.12260739155924E-2</v>
      </c>
      <c r="X36" s="166">
        <v>1.99581937658089E-3</v>
      </c>
    </row>
    <row r="37" spans="1:24">
      <c r="A37" s="5">
        <v>288</v>
      </c>
      <c r="B37" s="5">
        <v>288</v>
      </c>
      <c r="C37" s="5" t="s">
        <v>588</v>
      </c>
      <c r="D37" s="5" t="s">
        <v>589</v>
      </c>
      <c r="E37" s="5" t="s">
        <v>147</v>
      </c>
      <c r="F37" s="5" t="s">
        <v>841</v>
      </c>
      <c r="G37" s="5" t="s">
        <v>842</v>
      </c>
      <c r="H37" s="5" t="s">
        <v>150</v>
      </c>
      <c r="I37" s="5" t="s">
        <v>739</v>
      </c>
      <c r="J37" s="5" t="s">
        <v>30</v>
      </c>
      <c r="K37" s="5" t="s">
        <v>30</v>
      </c>
      <c r="L37" s="3" t="s">
        <v>152</v>
      </c>
      <c r="M37" s="3" t="s">
        <v>41</v>
      </c>
      <c r="N37" s="5" t="s">
        <v>335</v>
      </c>
      <c r="O37" s="5" t="s">
        <v>154</v>
      </c>
      <c r="P37" s="5" t="s">
        <v>44</v>
      </c>
      <c r="Q37" s="155">
        <v>3270</v>
      </c>
      <c r="R37" s="167">
        <v>1</v>
      </c>
      <c r="S37" s="169">
        <v>80070</v>
      </c>
      <c r="U37" s="155">
        <v>2618.2890000000002</v>
      </c>
      <c r="V37" s="166">
        <v>1.76E-4</v>
      </c>
      <c r="W37" s="166">
        <v>5.7439126326505104E-3</v>
      </c>
      <c r="X37" s="166">
        <v>1.02117732484454E-3</v>
      </c>
    </row>
    <row r="38" spans="1:24">
      <c r="A38" s="5">
        <v>288</v>
      </c>
      <c r="B38" s="5">
        <v>288</v>
      </c>
      <c r="C38" s="5" t="s">
        <v>843</v>
      </c>
      <c r="D38" s="5" t="s">
        <v>844</v>
      </c>
      <c r="E38" s="5" t="s">
        <v>147</v>
      </c>
      <c r="F38" s="5" t="s">
        <v>845</v>
      </c>
      <c r="G38" s="5" t="s">
        <v>846</v>
      </c>
      <c r="H38" s="5" t="s">
        <v>150</v>
      </c>
      <c r="I38" s="5" t="s">
        <v>739</v>
      </c>
      <c r="J38" s="5" t="s">
        <v>30</v>
      </c>
      <c r="K38" s="5" t="s">
        <v>30</v>
      </c>
      <c r="L38" s="3" t="s">
        <v>152</v>
      </c>
      <c r="M38" s="3" t="s">
        <v>41</v>
      </c>
      <c r="N38" s="5" t="s">
        <v>353</v>
      </c>
      <c r="O38" s="5" t="s">
        <v>154</v>
      </c>
      <c r="P38" s="5" t="s">
        <v>44</v>
      </c>
      <c r="Q38" s="155">
        <v>30000</v>
      </c>
      <c r="R38" s="167">
        <v>1</v>
      </c>
      <c r="S38" s="169">
        <v>7639</v>
      </c>
      <c r="U38" s="155">
        <v>2291.6999999999998</v>
      </c>
      <c r="V38" s="166">
        <v>2.8299999999999999E-4</v>
      </c>
      <c r="W38" s="166">
        <v>5.0274528824912701E-3</v>
      </c>
      <c r="X38" s="166">
        <v>8.93802049867767E-4</v>
      </c>
    </row>
    <row r="39" spans="1:24">
      <c r="A39" s="5">
        <v>288</v>
      </c>
      <c r="B39" s="5">
        <v>288</v>
      </c>
      <c r="C39" s="5" t="s">
        <v>678</v>
      </c>
      <c r="D39" s="5" t="s">
        <v>679</v>
      </c>
      <c r="E39" s="5" t="s">
        <v>147</v>
      </c>
      <c r="F39" s="5" t="s">
        <v>847</v>
      </c>
      <c r="G39" s="5" t="s">
        <v>848</v>
      </c>
      <c r="H39" s="5" t="s">
        <v>150</v>
      </c>
      <c r="I39" s="5" t="s">
        <v>739</v>
      </c>
      <c r="J39" s="5" t="s">
        <v>30</v>
      </c>
      <c r="K39" s="5" t="s">
        <v>30</v>
      </c>
      <c r="L39" s="3" t="s">
        <v>152</v>
      </c>
      <c r="M39" s="3" t="s">
        <v>41</v>
      </c>
      <c r="N39" s="5" t="s">
        <v>176</v>
      </c>
      <c r="O39" s="5" t="s">
        <v>154</v>
      </c>
      <c r="P39" s="5" t="s">
        <v>44</v>
      </c>
      <c r="Q39" s="155">
        <v>40530</v>
      </c>
      <c r="R39" s="167">
        <v>1</v>
      </c>
      <c r="S39" s="169">
        <v>11160</v>
      </c>
      <c r="U39" s="155">
        <v>4523.1480000000001</v>
      </c>
      <c r="V39" s="166">
        <v>1.8000000000000001E-4</v>
      </c>
      <c r="W39" s="166">
        <v>9.9227269932951993E-3</v>
      </c>
      <c r="X39" s="166">
        <v>1.76410479305986E-3</v>
      </c>
    </row>
    <row r="40" spans="1:24">
      <c r="A40" s="5">
        <v>288</v>
      </c>
      <c r="B40" s="5">
        <v>288</v>
      </c>
      <c r="C40" s="5" t="s">
        <v>849</v>
      </c>
      <c r="D40" s="5" t="s">
        <v>850</v>
      </c>
      <c r="E40" s="5" t="s">
        <v>147</v>
      </c>
      <c r="F40" s="5" t="s">
        <v>851</v>
      </c>
      <c r="G40" s="5" t="s">
        <v>852</v>
      </c>
      <c r="H40" s="5" t="s">
        <v>150</v>
      </c>
      <c r="I40" s="5" t="s">
        <v>739</v>
      </c>
      <c r="J40" s="5" t="s">
        <v>30</v>
      </c>
      <c r="K40" s="5" t="s">
        <v>267</v>
      </c>
      <c r="L40" s="3" t="s">
        <v>152</v>
      </c>
      <c r="M40" s="3" t="s">
        <v>41</v>
      </c>
      <c r="N40" s="5" t="s">
        <v>741</v>
      </c>
      <c r="O40" s="5" t="s">
        <v>154</v>
      </c>
      <c r="P40" s="5" t="s">
        <v>44</v>
      </c>
      <c r="Q40" s="155">
        <v>8280</v>
      </c>
      <c r="R40" s="167">
        <v>1</v>
      </c>
      <c r="S40" s="169">
        <v>23540</v>
      </c>
      <c r="U40" s="155">
        <v>1949.1120000000001</v>
      </c>
      <c r="V40" s="166">
        <v>7.3999999999999996E-5</v>
      </c>
      <c r="W40" s="166">
        <v>4.27589507470364E-3</v>
      </c>
      <c r="X40" s="166">
        <v>7.6018689227292497E-4</v>
      </c>
    </row>
    <row r="41" spans="1:24">
      <c r="A41" s="5">
        <v>288</v>
      </c>
      <c r="B41" s="5">
        <v>288</v>
      </c>
      <c r="C41" s="5" t="s">
        <v>770</v>
      </c>
      <c r="D41" s="5" t="s">
        <v>771</v>
      </c>
      <c r="E41" s="5" t="s">
        <v>147</v>
      </c>
      <c r="F41" s="5" t="s">
        <v>772</v>
      </c>
      <c r="G41" s="5" t="s">
        <v>773</v>
      </c>
      <c r="H41" s="5" t="s">
        <v>150</v>
      </c>
      <c r="I41" s="5" t="s">
        <v>739</v>
      </c>
      <c r="J41" s="5" t="s">
        <v>30</v>
      </c>
      <c r="K41" s="5" t="s">
        <v>117</v>
      </c>
      <c r="L41" s="3" t="s">
        <v>152</v>
      </c>
      <c r="M41" s="3" t="s">
        <v>41</v>
      </c>
      <c r="N41" s="5" t="s">
        <v>774</v>
      </c>
      <c r="O41" s="5" t="s">
        <v>154</v>
      </c>
      <c r="P41" s="5" t="s">
        <v>44</v>
      </c>
      <c r="Q41" s="155">
        <v>61300</v>
      </c>
      <c r="R41" s="167">
        <v>1</v>
      </c>
      <c r="S41" s="169">
        <v>6440</v>
      </c>
      <c r="U41" s="155">
        <v>3947.72</v>
      </c>
      <c r="V41" s="166">
        <v>4.8999999999999998E-5</v>
      </c>
      <c r="W41" s="166">
        <v>8.6603727770949192E-3</v>
      </c>
      <c r="X41" s="166">
        <v>1.53967806794257E-3</v>
      </c>
    </row>
    <row r="42" spans="1:24">
      <c r="A42" s="5">
        <v>288</v>
      </c>
      <c r="B42" s="5">
        <v>288</v>
      </c>
      <c r="C42" s="5" t="s">
        <v>346</v>
      </c>
      <c r="D42" s="5" t="s">
        <v>347</v>
      </c>
      <c r="E42" s="5" t="s">
        <v>147</v>
      </c>
      <c r="F42" s="5" t="s">
        <v>779</v>
      </c>
      <c r="G42" s="5" t="s">
        <v>780</v>
      </c>
      <c r="H42" s="5" t="s">
        <v>150</v>
      </c>
      <c r="I42" s="5" t="s">
        <v>739</v>
      </c>
      <c r="J42" s="5" t="s">
        <v>30</v>
      </c>
      <c r="K42" s="5" t="s">
        <v>30</v>
      </c>
      <c r="L42" s="3" t="s">
        <v>152</v>
      </c>
      <c r="M42" s="3" t="s">
        <v>41</v>
      </c>
      <c r="N42" s="5" t="s">
        <v>176</v>
      </c>
      <c r="O42" s="5" t="s">
        <v>154</v>
      </c>
      <c r="P42" s="5" t="s">
        <v>44</v>
      </c>
      <c r="Q42" s="155">
        <v>24776</v>
      </c>
      <c r="R42" s="167">
        <v>1</v>
      </c>
      <c r="S42" s="169">
        <v>16970</v>
      </c>
      <c r="U42" s="155">
        <v>4204.4870000000001</v>
      </c>
      <c r="V42" s="166">
        <v>3.1E-4</v>
      </c>
      <c r="W42" s="166">
        <v>9.2236598564548796E-3</v>
      </c>
      <c r="X42" s="166">
        <v>1.6398216511771999E-3</v>
      </c>
    </row>
    <row r="43" spans="1:24">
      <c r="A43" s="5">
        <v>288</v>
      </c>
      <c r="B43" s="5">
        <v>288</v>
      </c>
      <c r="C43" s="5" t="s">
        <v>355</v>
      </c>
      <c r="D43" s="5" t="s">
        <v>356</v>
      </c>
      <c r="E43" s="5" t="s">
        <v>147</v>
      </c>
      <c r="F43" s="5" t="s">
        <v>781</v>
      </c>
      <c r="G43" s="5" t="s">
        <v>782</v>
      </c>
      <c r="H43" s="5" t="s">
        <v>150</v>
      </c>
      <c r="I43" s="5" t="s">
        <v>739</v>
      </c>
      <c r="J43" s="5" t="s">
        <v>30</v>
      </c>
      <c r="K43" s="5" t="s">
        <v>30</v>
      </c>
      <c r="L43" s="3" t="s">
        <v>152</v>
      </c>
      <c r="M43" s="3" t="s">
        <v>41</v>
      </c>
      <c r="N43" s="5" t="s">
        <v>282</v>
      </c>
      <c r="O43" s="5" t="s">
        <v>154</v>
      </c>
      <c r="P43" s="5" t="s">
        <v>44</v>
      </c>
      <c r="Q43" s="155">
        <v>100800</v>
      </c>
      <c r="R43" s="167">
        <v>1</v>
      </c>
      <c r="S43" s="169">
        <v>6529</v>
      </c>
      <c r="U43" s="155">
        <v>6581.232</v>
      </c>
      <c r="V43" s="166">
        <v>6.2000000000000003E-5</v>
      </c>
      <c r="W43" s="166">
        <v>1.44376811051812E-2</v>
      </c>
      <c r="X43" s="166">
        <v>2.5667926221823699E-3</v>
      </c>
    </row>
    <row r="44" spans="1:24">
      <c r="A44" s="5">
        <v>288</v>
      </c>
      <c r="B44" s="5">
        <v>288</v>
      </c>
      <c r="C44" s="5" t="s">
        <v>370</v>
      </c>
      <c r="D44" s="5" t="s">
        <v>371</v>
      </c>
      <c r="E44" s="5" t="s">
        <v>147</v>
      </c>
      <c r="F44" s="5" t="s">
        <v>853</v>
      </c>
      <c r="G44" s="5" t="s">
        <v>854</v>
      </c>
      <c r="H44" s="5" t="s">
        <v>150</v>
      </c>
      <c r="I44" s="5" t="s">
        <v>739</v>
      </c>
      <c r="J44" s="5" t="s">
        <v>30</v>
      </c>
      <c r="K44" s="5" t="s">
        <v>30</v>
      </c>
      <c r="L44" s="3" t="s">
        <v>152</v>
      </c>
      <c r="M44" s="3" t="s">
        <v>41</v>
      </c>
      <c r="N44" s="5" t="s">
        <v>184</v>
      </c>
      <c r="O44" s="5" t="s">
        <v>154</v>
      </c>
      <c r="P44" s="5" t="s">
        <v>44</v>
      </c>
      <c r="Q44" s="155">
        <v>119355</v>
      </c>
      <c r="R44" s="167">
        <v>1</v>
      </c>
      <c r="S44" s="169">
        <v>1292</v>
      </c>
      <c r="U44" s="155">
        <v>1542.067</v>
      </c>
      <c r="V44" s="166">
        <v>1.65E-4</v>
      </c>
      <c r="W44" s="166">
        <v>3.3829328329028699E-3</v>
      </c>
      <c r="X44" s="166">
        <v>6.0143225034368301E-4</v>
      </c>
    </row>
    <row r="45" spans="1:24">
      <c r="A45" s="5">
        <v>288</v>
      </c>
      <c r="B45" s="5">
        <v>288</v>
      </c>
      <c r="C45" s="5" t="s">
        <v>855</v>
      </c>
      <c r="D45" s="5" t="s">
        <v>856</v>
      </c>
      <c r="E45" s="5" t="s">
        <v>147</v>
      </c>
      <c r="F45" s="5" t="s">
        <v>857</v>
      </c>
      <c r="G45" s="5" t="s">
        <v>858</v>
      </c>
      <c r="H45" s="5" t="s">
        <v>150</v>
      </c>
      <c r="I45" s="5" t="s">
        <v>739</v>
      </c>
      <c r="J45" s="5" t="s">
        <v>30</v>
      </c>
      <c r="K45" s="5" t="s">
        <v>30</v>
      </c>
      <c r="L45" s="3" t="s">
        <v>152</v>
      </c>
      <c r="M45" s="3" t="s">
        <v>41</v>
      </c>
      <c r="N45" s="5" t="s">
        <v>176</v>
      </c>
      <c r="O45" s="5" t="s">
        <v>154</v>
      </c>
      <c r="P45" s="5" t="s">
        <v>44</v>
      </c>
      <c r="Q45" s="155">
        <v>151000</v>
      </c>
      <c r="R45" s="167">
        <v>1</v>
      </c>
      <c r="S45" s="169">
        <v>1149</v>
      </c>
      <c r="U45" s="155">
        <v>1734.99</v>
      </c>
      <c r="V45" s="166">
        <v>1.4300000000000001E-4</v>
      </c>
      <c r="W45" s="166">
        <v>3.80616157289066E-3</v>
      </c>
      <c r="X45" s="166">
        <v>6.7667566369947099E-4</v>
      </c>
    </row>
    <row r="46" spans="1:24">
      <c r="A46" s="5">
        <v>288</v>
      </c>
      <c r="B46" s="5">
        <v>288</v>
      </c>
      <c r="C46" s="5" t="s">
        <v>788</v>
      </c>
      <c r="D46" s="5" t="s">
        <v>789</v>
      </c>
      <c r="E46" s="5" t="s">
        <v>147</v>
      </c>
      <c r="F46" s="5" t="s">
        <v>790</v>
      </c>
      <c r="G46" s="5" t="s">
        <v>791</v>
      </c>
      <c r="H46" s="5" t="s">
        <v>150</v>
      </c>
      <c r="I46" s="5" t="s">
        <v>739</v>
      </c>
      <c r="J46" s="5" t="s">
        <v>30</v>
      </c>
      <c r="K46" s="5" t="s">
        <v>30</v>
      </c>
      <c r="L46" s="3" t="s">
        <v>152</v>
      </c>
      <c r="M46" s="3" t="s">
        <v>41</v>
      </c>
      <c r="N46" s="5" t="s">
        <v>282</v>
      </c>
      <c r="O46" s="5" t="s">
        <v>154</v>
      </c>
      <c r="P46" s="5" t="s">
        <v>44</v>
      </c>
      <c r="Q46" s="155">
        <v>26600</v>
      </c>
      <c r="R46" s="167">
        <v>1</v>
      </c>
      <c r="S46" s="169">
        <v>21790</v>
      </c>
      <c r="U46" s="155">
        <v>5796.14</v>
      </c>
      <c r="V46" s="166">
        <v>1.02E-4</v>
      </c>
      <c r="W46" s="166">
        <v>1.2715373194712601E-2</v>
      </c>
      <c r="X46" s="166">
        <v>2.2605933644545802E-3</v>
      </c>
    </row>
    <row r="47" spans="1:24">
      <c r="A47" s="5">
        <v>288</v>
      </c>
      <c r="B47" s="5">
        <v>288</v>
      </c>
      <c r="C47" s="5" t="s">
        <v>859</v>
      </c>
      <c r="D47" s="5" t="s">
        <v>860</v>
      </c>
      <c r="E47" s="5" t="s">
        <v>147</v>
      </c>
      <c r="F47" s="5" t="s">
        <v>861</v>
      </c>
      <c r="G47" s="5" t="s">
        <v>862</v>
      </c>
      <c r="H47" s="5" t="s">
        <v>150</v>
      </c>
      <c r="I47" s="5" t="s">
        <v>739</v>
      </c>
      <c r="J47" s="5" t="s">
        <v>30</v>
      </c>
      <c r="K47" s="5" t="s">
        <v>30</v>
      </c>
      <c r="L47" s="3" t="s">
        <v>152</v>
      </c>
      <c r="M47" s="3" t="s">
        <v>41</v>
      </c>
      <c r="N47" s="5" t="s">
        <v>484</v>
      </c>
      <c r="O47" s="5" t="s">
        <v>154</v>
      </c>
      <c r="P47" s="5" t="s">
        <v>44</v>
      </c>
      <c r="Q47" s="155">
        <v>18000</v>
      </c>
      <c r="R47" s="167">
        <v>1</v>
      </c>
      <c r="S47" s="169">
        <v>11650</v>
      </c>
      <c r="T47" s="154">
        <v>15.3</v>
      </c>
      <c r="U47" s="155">
        <v>2112.3000000000002</v>
      </c>
      <c r="V47" s="166">
        <v>2.7999999999999998E-4</v>
      </c>
      <c r="W47" s="166">
        <v>4.6338913137349202E-3</v>
      </c>
      <c r="X47" s="166">
        <v>8.2383299294658296E-4</v>
      </c>
    </row>
    <row r="48" spans="1:24">
      <c r="A48" s="5">
        <v>288</v>
      </c>
      <c r="B48" s="5">
        <v>288</v>
      </c>
      <c r="C48" s="5" t="s">
        <v>735</v>
      </c>
      <c r="D48" s="5" t="s">
        <v>736</v>
      </c>
      <c r="E48" s="5" t="s">
        <v>147</v>
      </c>
      <c r="F48" s="5" t="s">
        <v>800</v>
      </c>
      <c r="G48" s="5" t="s">
        <v>738</v>
      </c>
      <c r="H48" s="5" t="s">
        <v>150</v>
      </c>
      <c r="I48" s="5" t="s">
        <v>739</v>
      </c>
      <c r="J48" s="5" t="s">
        <v>30</v>
      </c>
      <c r="K48" s="5" t="s">
        <v>267</v>
      </c>
      <c r="L48" s="3" t="s">
        <v>152</v>
      </c>
      <c r="M48" s="3" t="s">
        <v>41</v>
      </c>
      <c r="N48" s="5" t="s">
        <v>741</v>
      </c>
      <c r="O48" s="5" t="s">
        <v>154</v>
      </c>
      <c r="P48" s="5" t="s">
        <v>44</v>
      </c>
      <c r="Q48" s="155">
        <v>5850</v>
      </c>
      <c r="R48" s="167">
        <v>1</v>
      </c>
      <c r="S48" s="169">
        <v>104950</v>
      </c>
      <c r="U48" s="155">
        <v>6139.5749999999998</v>
      </c>
      <c r="V48" s="166">
        <v>1.9900000000000001E-4</v>
      </c>
      <c r="W48" s="166">
        <v>1.34687891220584E-2</v>
      </c>
      <c r="X48" s="166">
        <v>2.3945388664820401E-3</v>
      </c>
    </row>
    <row r="49" spans="1:24">
      <c r="A49" s="5">
        <v>288</v>
      </c>
      <c r="B49" s="5">
        <v>288</v>
      </c>
      <c r="C49" s="5" t="s">
        <v>805</v>
      </c>
      <c r="D49" s="5" t="s">
        <v>806</v>
      </c>
      <c r="E49" s="5" t="s">
        <v>147</v>
      </c>
      <c r="F49" s="5" t="s">
        <v>807</v>
      </c>
      <c r="G49" s="5" t="s">
        <v>808</v>
      </c>
      <c r="H49" s="5" t="s">
        <v>150</v>
      </c>
      <c r="I49" s="5" t="s">
        <v>739</v>
      </c>
      <c r="J49" s="5" t="s">
        <v>30</v>
      </c>
      <c r="K49" s="5" t="s">
        <v>117</v>
      </c>
      <c r="L49" s="3" t="s">
        <v>152</v>
      </c>
      <c r="M49" s="3" t="s">
        <v>41</v>
      </c>
      <c r="N49" s="5" t="s">
        <v>809</v>
      </c>
      <c r="O49" s="5" t="s">
        <v>154</v>
      </c>
      <c r="P49" s="5" t="s">
        <v>44</v>
      </c>
      <c r="Q49" s="155">
        <v>5400</v>
      </c>
      <c r="R49" s="167">
        <v>1</v>
      </c>
      <c r="S49" s="169">
        <v>48800</v>
      </c>
      <c r="U49" s="155">
        <v>2635.2</v>
      </c>
      <c r="V49" s="166">
        <v>7.2000000000000002E-5</v>
      </c>
      <c r="W49" s="166">
        <v>5.7810114046083598E-3</v>
      </c>
      <c r="X49" s="166">
        <v>1.02777290300281E-3</v>
      </c>
    </row>
    <row r="50" spans="1:24">
      <c r="A50" s="5">
        <v>288</v>
      </c>
      <c r="B50" s="5">
        <v>288</v>
      </c>
      <c r="C50" s="5" t="s">
        <v>448</v>
      </c>
      <c r="D50" s="5" t="s">
        <v>449</v>
      </c>
      <c r="E50" s="5" t="s">
        <v>147</v>
      </c>
      <c r="F50" s="5" t="s">
        <v>863</v>
      </c>
      <c r="G50" s="5" t="s">
        <v>864</v>
      </c>
      <c r="H50" s="5" t="s">
        <v>150</v>
      </c>
      <c r="I50" s="5" t="s">
        <v>739</v>
      </c>
      <c r="J50" s="5" t="s">
        <v>30</v>
      </c>
      <c r="K50" s="5" t="s">
        <v>30</v>
      </c>
      <c r="L50" s="3" t="s">
        <v>152</v>
      </c>
      <c r="M50" s="3" t="s">
        <v>41</v>
      </c>
      <c r="N50" s="5" t="s">
        <v>240</v>
      </c>
      <c r="O50" s="5" t="s">
        <v>154</v>
      </c>
      <c r="P50" s="5" t="s">
        <v>44</v>
      </c>
      <c r="Q50" s="155">
        <v>43700</v>
      </c>
      <c r="R50" s="167">
        <v>1</v>
      </c>
      <c r="S50" s="169">
        <v>3298</v>
      </c>
      <c r="U50" s="155">
        <v>1441.2260000000001</v>
      </c>
      <c r="V50" s="166">
        <v>2.5999999999999998E-4</v>
      </c>
      <c r="W50" s="166">
        <v>3.1617121822321201E-3</v>
      </c>
      <c r="X50" s="166">
        <v>5.6210269805067096E-4</v>
      </c>
    </row>
    <row r="51" spans="1:24">
      <c r="A51" s="5">
        <v>288</v>
      </c>
      <c r="B51" s="5">
        <v>288</v>
      </c>
      <c r="C51" s="5" t="s">
        <v>453</v>
      </c>
      <c r="D51" s="5" t="s">
        <v>454</v>
      </c>
      <c r="E51" s="5" t="s">
        <v>147</v>
      </c>
      <c r="F51" s="5" t="s">
        <v>814</v>
      </c>
      <c r="G51" s="5" t="s">
        <v>815</v>
      </c>
      <c r="H51" s="5" t="s">
        <v>150</v>
      </c>
      <c r="I51" s="5" t="s">
        <v>739</v>
      </c>
      <c r="J51" s="5" t="s">
        <v>30</v>
      </c>
      <c r="K51" s="5" t="s">
        <v>30</v>
      </c>
      <c r="L51" s="3" t="s">
        <v>152</v>
      </c>
      <c r="M51" s="3" t="s">
        <v>41</v>
      </c>
      <c r="N51" s="5" t="s">
        <v>184</v>
      </c>
      <c r="O51" s="5" t="s">
        <v>154</v>
      </c>
      <c r="P51" s="5" t="s">
        <v>44</v>
      </c>
      <c r="Q51" s="155">
        <v>8420</v>
      </c>
      <c r="R51" s="167">
        <v>1</v>
      </c>
      <c r="S51" s="169">
        <v>32870</v>
      </c>
      <c r="U51" s="155">
        <v>2767.654</v>
      </c>
      <c r="V51" s="166">
        <v>6.8999999999999997E-5</v>
      </c>
      <c r="W51" s="166">
        <v>6.0715844482429997E-3</v>
      </c>
      <c r="X51" s="166">
        <v>1.0794322199785E-3</v>
      </c>
    </row>
    <row r="52" spans="1:24">
      <c r="A52" s="5">
        <v>288</v>
      </c>
      <c r="B52" s="5">
        <v>288</v>
      </c>
      <c r="C52" s="5" t="s">
        <v>464</v>
      </c>
      <c r="D52" s="5" t="s">
        <v>465</v>
      </c>
      <c r="E52" s="5" t="s">
        <v>147</v>
      </c>
      <c r="F52" s="5" t="s">
        <v>816</v>
      </c>
      <c r="G52" s="5" t="s">
        <v>817</v>
      </c>
      <c r="H52" s="5" t="s">
        <v>150</v>
      </c>
      <c r="I52" s="5" t="s">
        <v>739</v>
      </c>
      <c r="J52" s="5" t="s">
        <v>30</v>
      </c>
      <c r="K52" s="5" t="s">
        <v>30</v>
      </c>
      <c r="L52" s="3" t="s">
        <v>152</v>
      </c>
      <c r="M52" s="3" t="s">
        <v>41</v>
      </c>
      <c r="N52" s="5" t="s">
        <v>282</v>
      </c>
      <c r="O52" s="5" t="s">
        <v>154</v>
      </c>
      <c r="P52" s="5" t="s">
        <v>44</v>
      </c>
      <c r="Q52" s="155">
        <v>107900.4</v>
      </c>
      <c r="R52" s="167">
        <v>1</v>
      </c>
      <c r="S52" s="169">
        <v>6732</v>
      </c>
      <c r="U52" s="155">
        <v>7263.8549999999996</v>
      </c>
      <c r="V52" s="166">
        <v>8.1000000000000004E-5</v>
      </c>
      <c r="W52" s="166">
        <v>1.59351958789423E-2</v>
      </c>
      <c r="X52" s="166">
        <v>2.8330271957884901E-3</v>
      </c>
    </row>
    <row r="53" spans="1:24">
      <c r="A53" s="5">
        <v>288</v>
      </c>
      <c r="B53" s="5">
        <v>288</v>
      </c>
      <c r="C53" s="5" t="s">
        <v>865</v>
      </c>
      <c r="D53" s="5" t="s">
        <v>866</v>
      </c>
      <c r="E53" s="5" t="s">
        <v>147</v>
      </c>
      <c r="F53" s="5" t="s">
        <v>867</v>
      </c>
      <c r="G53" s="5" t="s">
        <v>868</v>
      </c>
      <c r="H53" s="5" t="s">
        <v>150</v>
      </c>
      <c r="I53" s="5" t="s">
        <v>739</v>
      </c>
      <c r="J53" s="5" t="s">
        <v>30</v>
      </c>
      <c r="K53" s="5" t="s">
        <v>30</v>
      </c>
      <c r="L53" s="3" t="s">
        <v>152</v>
      </c>
      <c r="M53" s="3" t="s">
        <v>41</v>
      </c>
      <c r="N53" s="5" t="s">
        <v>240</v>
      </c>
      <c r="O53" s="5" t="s">
        <v>154</v>
      </c>
      <c r="P53" s="5" t="s">
        <v>44</v>
      </c>
      <c r="Q53" s="155">
        <v>43000</v>
      </c>
      <c r="R53" s="167">
        <v>1</v>
      </c>
      <c r="S53" s="169">
        <v>3170</v>
      </c>
      <c r="U53" s="155">
        <v>1363.1</v>
      </c>
      <c r="V53" s="166">
        <v>2.24E-4</v>
      </c>
      <c r="W53" s="166">
        <v>2.9903220422061601E-3</v>
      </c>
      <c r="X53" s="166">
        <v>5.3163222680750201E-4</v>
      </c>
    </row>
    <row r="54" spans="1:24">
      <c r="A54" s="5">
        <v>288</v>
      </c>
      <c r="B54" s="5">
        <v>288</v>
      </c>
      <c r="C54" s="5" t="s">
        <v>869</v>
      </c>
      <c r="D54" s="5" t="s">
        <v>870</v>
      </c>
      <c r="E54" s="5" t="s">
        <v>147</v>
      </c>
      <c r="F54" s="5" t="s">
        <v>871</v>
      </c>
      <c r="G54" s="5" t="s">
        <v>872</v>
      </c>
      <c r="H54" s="5" t="s">
        <v>150</v>
      </c>
      <c r="I54" s="5" t="s">
        <v>739</v>
      </c>
      <c r="J54" s="5" t="s">
        <v>30</v>
      </c>
      <c r="K54" s="5" t="s">
        <v>267</v>
      </c>
      <c r="L54" s="3" t="s">
        <v>152</v>
      </c>
      <c r="M54" s="3" t="s">
        <v>41</v>
      </c>
      <c r="N54" s="5" t="s">
        <v>741</v>
      </c>
      <c r="O54" s="5" t="s">
        <v>154</v>
      </c>
      <c r="P54" s="5" t="s">
        <v>44</v>
      </c>
      <c r="Q54" s="155">
        <v>5300</v>
      </c>
      <c r="R54" s="167">
        <v>1</v>
      </c>
      <c r="S54" s="169">
        <v>34590</v>
      </c>
      <c r="U54" s="155">
        <v>1833.27</v>
      </c>
      <c r="V54" s="166">
        <v>1.12E-4</v>
      </c>
      <c r="W54" s="166">
        <v>4.0217648670789197E-3</v>
      </c>
      <c r="X54" s="166">
        <v>7.1500653836064102E-4</v>
      </c>
    </row>
    <row r="55" spans="1:24">
      <c r="A55" s="5">
        <v>288</v>
      </c>
      <c r="B55" s="5">
        <v>288</v>
      </c>
      <c r="C55" s="5" t="s">
        <v>504</v>
      </c>
      <c r="D55" s="5" t="s">
        <v>505</v>
      </c>
      <c r="E55" s="5" t="s">
        <v>147</v>
      </c>
      <c r="F55" s="5" t="s">
        <v>873</v>
      </c>
      <c r="G55" s="5" t="s">
        <v>874</v>
      </c>
      <c r="H55" s="5" t="s">
        <v>150</v>
      </c>
      <c r="I55" s="5" t="s">
        <v>739</v>
      </c>
      <c r="J55" s="5" t="s">
        <v>30</v>
      </c>
      <c r="K55" s="5" t="s">
        <v>30</v>
      </c>
      <c r="L55" s="3" t="s">
        <v>152</v>
      </c>
      <c r="M55" s="3" t="s">
        <v>41</v>
      </c>
      <c r="N55" s="5" t="s">
        <v>184</v>
      </c>
      <c r="O55" s="5" t="s">
        <v>154</v>
      </c>
      <c r="P55" s="5" t="s">
        <v>44</v>
      </c>
      <c r="Q55" s="155">
        <v>7335</v>
      </c>
      <c r="R55" s="167">
        <v>1</v>
      </c>
      <c r="S55" s="169">
        <v>36180</v>
      </c>
      <c r="U55" s="155">
        <v>2653.8029999999999</v>
      </c>
      <c r="V55" s="166">
        <v>5.5699999999999999E-4</v>
      </c>
      <c r="W55" s="166">
        <v>5.8218220281511402E-3</v>
      </c>
      <c r="X55" s="166">
        <v>1.03502838999225E-3</v>
      </c>
    </row>
    <row r="56" spans="1:24">
      <c r="A56" s="5">
        <v>288</v>
      </c>
      <c r="B56" s="5">
        <v>288</v>
      </c>
      <c r="C56" s="5" t="s">
        <v>875</v>
      </c>
      <c r="D56" s="5" t="s">
        <v>876</v>
      </c>
      <c r="E56" s="5" t="s">
        <v>147</v>
      </c>
      <c r="F56" s="5" t="s">
        <v>877</v>
      </c>
      <c r="G56" s="5" t="s">
        <v>878</v>
      </c>
      <c r="H56" s="5" t="s">
        <v>150</v>
      </c>
      <c r="I56" s="5" t="s">
        <v>739</v>
      </c>
      <c r="J56" s="5" t="s">
        <v>30</v>
      </c>
      <c r="K56" s="5" t="s">
        <v>30</v>
      </c>
      <c r="L56" s="3" t="s">
        <v>152</v>
      </c>
      <c r="M56" s="3" t="s">
        <v>41</v>
      </c>
      <c r="N56" s="5" t="s">
        <v>520</v>
      </c>
      <c r="O56" s="5" t="s">
        <v>154</v>
      </c>
      <c r="P56" s="5" t="s">
        <v>44</v>
      </c>
      <c r="Q56" s="155">
        <v>4260</v>
      </c>
      <c r="R56" s="167">
        <v>1</v>
      </c>
      <c r="S56" s="169">
        <v>30530</v>
      </c>
      <c r="U56" s="155">
        <v>1300.578</v>
      </c>
      <c r="V56" s="166">
        <v>3.0899999999999998E-4</v>
      </c>
      <c r="W56" s="166">
        <v>2.85316342235228E-3</v>
      </c>
      <c r="X56" s="166">
        <v>5.0724758145172602E-4</v>
      </c>
    </row>
    <row r="57" spans="1:24">
      <c r="A57" s="5">
        <v>288</v>
      </c>
      <c r="B57" s="5">
        <v>288</v>
      </c>
      <c r="C57" s="5" t="s">
        <v>879</v>
      </c>
      <c r="D57" s="5" t="s">
        <v>880</v>
      </c>
      <c r="E57" s="5" t="s">
        <v>652</v>
      </c>
      <c r="F57" s="5" t="s">
        <v>881</v>
      </c>
      <c r="G57" s="5" t="s">
        <v>882</v>
      </c>
      <c r="H57" s="5" t="s">
        <v>150</v>
      </c>
      <c r="I57" s="5" t="s">
        <v>739</v>
      </c>
      <c r="J57" s="5" t="s">
        <v>116</v>
      </c>
      <c r="K57" s="5" t="s">
        <v>117</v>
      </c>
      <c r="L57" s="3" t="s">
        <v>152</v>
      </c>
      <c r="M57" s="3" t="s">
        <v>740</v>
      </c>
      <c r="N57" s="5" t="s">
        <v>883</v>
      </c>
      <c r="O57" s="5" t="s">
        <v>154</v>
      </c>
      <c r="P57" s="5" t="s">
        <v>34</v>
      </c>
      <c r="Q57" s="155">
        <v>6050</v>
      </c>
      <c r="R57" s="167">
        <v>3.306</v>
      </c>
      <c r="S57" s="169">
        <v>16179</v>
      </c>
      <c r="U57" s="155">
        <v>3236.01</v>
      </c>
      <c r="V57" s="166">
        <v>3.9999999999999998E-6</v>
      </c>
      <c r="W57" s="166">
        <v>7.0990484994753501E-3</v>
      </c>
      <c r="X57" s="166">
        <v>1.2620991681572E-3</v>
      </c>
    </row>
    <row r="58" spans="1:24">
      <c r="A58" s="5">
        <v>288</v>
      </c>
      <c r="B58" s="5">
        <v>288</v>
      </c>
      <c r="C58" s="5" t="s">
        <v>884</v>
      </c>
      <c r="D58" s="5" t="s">
        <v>885</v>
      </c>
      <c r="E58" s="5" t="s">
        <v>652</v>
      </c>
      <c r="F58" s="5" t="s">
        <v>886</v>
      </c>
      <c r="G58" s="5" t="s">
        <v>887</v>
      </c>
      <c r="H58" s="5" t="s">
        <v>150</v>
      </c>
      <c r="I58" s="5" t="s">
        <v>739</v>
      </c>
      <c r="J58" s="5" t="s">
        <v>116</v>
      </c>
      <c r="K58" s="5" t="s">
        <v>117</v>
      </c>
      <c r="L58" s="3" t="s">
        <v>152</v>
      </c>
      <c r="M58" s="3" t="s">
        <v>740</v>
      </c>
      <c r="N58" s="5" t="s">
        <v>888</v>
      </c>
      <c r="O58" s="5" t="s">
        <v>154</v>
      </c>
      <c r="P58" s="5" t="s">
        <v>34</v>
      </c>
      <c r="Q58" s="155">
        <v>6000</v>
      </c>
      <c r="R58" s="167">
        <v>3.306</v>
      </c>
      <c r="S58" s="169">
        <v>21957</v>
      </c>
      <c r="U58" s="155">
        <v>4355.3909999999996</v>
      </c>
      <c r="V58" s="166">
        <v>9.9999999999999995E-7</v>
      </c>
      <c r="W58" s="166">
        <v>9.5547063857176501E-3</v>
      </c>
      <c r="X58" s="166">
        <v>1.6986765173236599E-3</v>
      </c>
    </row>
    <row r="59" spans="1:24">
      <c r="A59" s="5">
        <v>288</v>
      </c>
      <c r="B59" s="5">
        <v>288</v>
      </c>
      <c r="C59" s="5" t="s">
        <v>889</v>
      </c>
      <c r="D59" s="5" t="s">
        <v>890</v>
      </c>
      <c r="E59" s="5" t="s">
        <v>652</v>
      </c>
      <c r="F59" s="5" t="s">
        <v>891</v>
      </c>
      <c r="G59" s="5" t="s">
        <v>892</v>
      </c>
      <c r="H59" s="5" t="s">
        <v>150</v>
      </c>
      <c r="I59" s="5" t="s">
        <v>739</v>
      </c>
      <c r="J59" s="5" t="s">
        <v>116</v>
      </c>
      <c r="K59" s="5" t="s">
        <v>117</v>
      </c>
      <c r="L59" s="3" t="s">
        <v>152</v>
      </c>
      <c r="M59" s="3" t="s">
        <v>740</v>
      </c>
      <c r="N59" s="5" t="s">
        <v>883</v>
      </c>
      <c r="O59" s="5" t="s">
        <v>154</v>
      </c>
      <c r="P59" s="5" t="s">
        <v>34</v>
      </c>
      <c r="Q59" s="155">
        <v>3065</v>
      </c>
      <c r="R59" s="167">
        <v>3.306</v>
      </c>
      <c r="S59" s="169">
        <v>96809</v>
      </c>
      <c r="U59" s="155">
        <v>9809.5490000000009</v>
      </c>
      <c r="V59" s="166">
        <v>7.9999999999999996E-6</v>
      </c>
      <c r="W59" s="166">
        <v>2.15198533008987E-2</v>
      </c>
      <c r="X59" s="166">
        <v>3.8258914489648198E-3</v>
      </c>
    </row>
    <row r="60" spans="1:24">
      <c r="A60" s="5">
        <v>288</v>
      </c>
      <c r="B60" s="5">
        <v>288</v>
      </c>
      <c r="C60" s="5" t="s">
        <v>893</v>
      </c>
      <c r="D60" s="5" t="s">
        <v>894</v>
      </c>
      <c r="E60" s="5" t="s">
        <v>43</v>
      </c>
      <c r="F60" s="5" t="s">
        <v>893</v>
      </c>
      <c r="G60" s="5" t="s">
        <v>895</v>
      </c>
      <c r="H60" s="5" t="s">
        <v>150</v>
      </c>
      <c r="I60" s="5" t="s">
        <v>739</v>
      </c>
      <c r="J60" s="5" t="s">
        <v>116</v>
      </c>
      <c r="K60" s="5" t="s">
        <v>117</v>
      </c>
      <c r="L60" s="3" t="s">
        <v>152</v>
      </c>
      <c r="M60" s="3" t="s">
        <v>740</v>
      </c>
      <c r="N60" s="5" t="s">
        <v>888</v>
      </c>
      <c r="O60" s="5" t="s">
        <v>154</v>
      </c>
      <c r="P60" s="5" t="s">
        <v>34</v>
      </c>
      <c r="Q60" s="155">
        <v>1590</v>
      </c>
      <c r="R60" s="167">
        <v>3.306</v>
      </c>
      <c r="S60" s="169">
        <v>105</v>
      </c>
      <c r="U60" s="155">
        <v>5.5190000000000001</v>
      </c>
      <c r="V60" s="166">
        <v>2.0699999999999999E-4</v>
      </c>
      <c r="W60" s="166">
        <v>1.21081980772689E-5</v>
      </c>
      <c r="X60" s="166">
        <v>2.1526471783272302E-6</v>
      </c>
    </row>
    <row r="61" spans="1:24">
      <c r="A61" s="5">
        <v>288</v>
      </c>
      <c r="B61" s="5">
        <v>288</v>
      </c>
      <c r="C61" s="5" t="s">
        <v>896</v>
      </c>
      <c r="D61" s="5" t="s">
        <v>897</v>
      </c>
      <c r="E61" s="5" t="s">
        <v>652</v>
      </c>
      <c r="F61" s="5" t="s">
        <v>898</v>
      </c>
      <c r="G61" s="5" t="s">
        <v>899</v>
      </c>
      <c r="H61" s="5" t="s">
        <v>150</v>
      </c>
      <c r="I61" s="5" t="s">
        <v>739</v>
      </c>
      <c r="J61" s="5" t="s">
        <v>116</v>
      </c>
      <c r="K61" s="5" t="s">
        <v>117</v>
      </c>
      <c r="L61" s="3" t="s">
        <v>152</v>
      </c>
      <c r="M61" s="3" t="s">
        <v>740</v>
      </c>
      <c r="N61" s="5" t="s">
        <v>883</v>
      </c>
      <c r="O61" s="5" t="s">
        <v>154</v>
      </c>
      <c r="P61" s="5" t="s">
        <v>34</v>
      </c>
      <c r="Q61" s="155">
        <v>5100</v>
      </c>
      <c r="R61" s="167">
        <v>3.306</v>
      </c>
      <c r="S61" s="169">
        <v>32991</v>
      </c>
      <c r="U61" s="155">
        <v>5562.4809999999998</v>
      </c>
      <c r="V61" s="166">
        <v>1.1E-5</v>
      </c>
      <c r="W61" s="166">
        <v>1.2202779096212099E-2</v>
      </c>
      <c r="X61" s="166">
        <v>2.1694621959088799E-3</v>
      </c>
    </row>
    <row r="62" spans="1:24">
      <c r="A62" s="5">
        <v>288</v>
      </c>
      <c r="B62" s="5">
        <v>288</v>
      </c>
      <c r="C62" s="5" t="s">
        <v>869</v>
      </c>
      <c r="D62" s="5" t="s">
        <v>870</v>
      </c>
      <c r="E62" s="5" t="s">
        <v>147</v>
      </c>
      <c r="F62" s="5" t="s">
        <v>900</v>
      </c>
      <c r="G62" s="5" t="s">
        <v>872</v>
      </c>
      <c r="H62" s="5" t="s">
        <v>150</v>
      </c>
      <c r="I62" s="5" t="s">
        <v>739</v>
      </c>
      <c r="J62" s="5" t="s">
        <v>116</v>
      </c>
      <c r="K62" s="5" t="s">
        <v>267</v>
      </c>
      <c r="L62" s="3" t="s">
        <v>152</v>
      </c>
      <c r="M62" s="3" t="s">
        <v>740</v>
      </c>
      <c r="N62" s="5" t="s">
        <v>883</v>
      </c>
      <c r="O62" s="5" t="s">
        <v>154</v>
      </c>
      <c r="P62" s="5" t="s">
        <v>34</v>
      </c>
      <c r="Q62" s="155">
        <v>17535</v>
      </c>
      <c r="R62" s="167">
        <v>3.306</v>
      </c>
      <c r="S62" s="169">
        <v>10505</v>
      </c>
      <c r="U62" s="155">
        <v>6089.8230000000003</v>
      </c>
      <c r="V62" s="166">
        <v>4.0499999999999998E-4</v>
      </c>
      <c r="W62" s="166">
        <v>1.33596450779155E-2</v>
      </c>
      <c r="X62" s="166">
        <v>2.3751347720696201E-3</v>
      </c>
    </row>
    <row r="63" spans="1:24">
      <c r="A63" s="5">
        <v>288</v>
      </c>
      <c r="B63" s="5">
        <v>288</v>
      </c>
      <c r="C63" s="5" t="s">
        <v>901</v>
      </c>
      <c r="D63" s="5" t="s">
        <v>902</v>
      </c>
      <c r="E63" s="5" t="s">
        <v>652</v>
      </c>
      <c r="F63" s="5" t="s">
        <v>901</v>
      </c>
      <c r="G63" s="5" t="s">
        <v>903</v>
      </c>
      <c r="H63" s="5" t="s">
        <v>150</v>
      </c>
      <c r="I63" s="5" t="s">
        <v>739</v>
      </c>
      <c r="J63" s="5" t="s">
        <v>116</v>
      </c>
      <c r="K63" s="5" t="s">
        <v>267</v>
      </c>
      <c r="L63" s="3" t="s">
        <v>152</v>
      </c>
      <c r="M63" s="3" t="s">
        <v>740</v>
      </c>
      <c r="N63" s="5" t="s">
        <v>904</v>
      </c>
      <c r="O63" s="5" t="s">
        <v>154</v>
      </c>
      <c r="P63" s="5" t="s">
        <v>34</v>
      </c>
      <c r="Q63" s="155">
        <v>930</v>
      </c>
      <c r="R63" s="167">
        <v>3.306</v>
      </c>
      <c r="S63" s="169">
        <v>92563</v>
      </c>
      <c r="U63" s="155">
        <v>2845.9229999999998</v>
      </c>
      <c r="V63" s="166">
        <v>1.9999999999999999E-6</v>
      </c>
      <c r="W63" s="166">
        <v>6.2432893616196803E-3</v>
      </c>
      <c r="X63" s="166">
        <v>1.1099586529726101E-3</v>
      </c>
    </row>
    <row r="64" spans="1:24">
      <c r="A64" s="5">
        <v>288</v>
      </c>
      <c r="B64" s="5">
        <v>288</v>
      </c>
      <c r="C64" s="5" t="s">
        <v>905</v>
      </c>
      <c r="D64" s="5" t="s">
        <v>906</v>
      </c>
      <c r="E64" s="5" t="s">
        <v>652</v>
      </c>
      <c r="F64" s="5" t="s">
        <v>907</v>
      </c>
      <c r="G64" s="5" t="s">
        <v>908</v>
      </c>
      <c r="H64" s="5" t="s">
        <v>150</v>
      </c>
      <c r="I64" s="5" t="s">
        <v>739</v>
      </c>
      <c r="J64" s="5" t="s">
        <v>116</v>
      </c>
      <c r="K64" s="5" t="s">
        <v>117</v>
      </c>
      <c r="L64" s="3" t="s">
        <v>152</v>
      </c>
      <c r="M64" s="3" t="s">
        <v>740</v>
      </c>
      <c r="N64" s="5" t="s">
        <v>909</v>
      </c>
      <c r="O64" s="5" t="s">
        <v>154</v>
      </c>
      <c r="P64" s="5" t="s">
        <v>34</v>
      </c>
      <c r="Q64" s="155">
        <v>8300</v>
      </c>
      <c r="R64" s="167">
        <v>3.306</v>
      </c>
      <c r="S64" s="169">
        <v>24310</v>
      </c>
      <c r="U64" s="155">
        <v>6670.6149999999998</v>
      </c>
      <c r="V64" s="166">
        <v>2.8E-5</v>
      </c>
      <c r="W64" s="166">
        <v>1.46337672994596E-2</v>
      </c>
      <c r="X64" s="166">
        <v>2.6016536634478598E-3</v>
      </c>
    </row>
    <row r="65" spans="1:24">
      <c r="A65" s="5">
        <v>288</v>
      </c>
      <c r="B65" s="5">
        <v>288</v>
      </c>
      <c r="C65" s="5" t="s">
        <v>905</v>
      </c>
      <c r="D65" s="5" t="s">
        <v>906</v>
      </c>
      <c r="E65" s="5" t="s">
        <v>652</v>
      </c>
      <c r="F65" s="5" t="s">
        <v>910</v>
      </c>
      <c r="G65" s="5" t="s">
        <v>911</v>
      </c>
      <c r="H65" s="5" t="s">
        <v>150</v>
      </c>
      <c r="I65" s="5" t="s">
        <v>739</v>
      </c>
      <c r="J65" s="5" t="s">
        <v>116</v>
      </c>
      <c r="K65" s="5" t="s">
        <v>117</v>
      </c>
      <c r="L65" s="3" t="s">
        <v>152</v>
      </c>
      <c r="M65" s="3" t="s">
        <v>740</v>
      </c>
      <c r="N65" s="5" t="s">
        <v>909</v>
      </c>
      <c r="O65" s="5" t="s">
        <v>154</v>
      </c>
      <c r="P65" s="5" t="s">
        <v>34</v>
      </c>
      <c r="Q65" s="155">
        <v>6027</v>
      </c>
      <c r="R65" s="167">
        <v>3.306</v>
      </c>
      <c r="S65" s="169">
        <v>24355</v>
      </c>
      <c r="U65" s="155">
        <v>4852.7979999999998</v>
      </c>
      <c r="V65" s="166">
        <v>9.9999999999999995E-7</v>
      </c>
      <c r="W65" s="166">
        <v>1.06459008952617E-2</v>
      </c>
      <c r="X65" s="166">
        <v>1.89267373862664E-3</v>
      </c>
    </row>
    <row r="66" spans="1:24">
      <c r="A66" s="5">
        <v>288</v>
      </c>
      <c r="B66" s="5">
        <v>288</v>
      </c>
      <c r="C66" s="5" t="s">
        <v>912</v>
      </c>
      <c r="D66" s="5" t="s">
        <v>913</v>
      </c>
      <c r="E66" s="5" t="s">
        <v>652</v>
      </c>
      <c r="F66" s="5" t="s">
        <v>914</v>
      </c>
      <c r="G66" s="5" t="s">
        <v>915</v>
      </c>
      <c r="H66" s="5" t="s">
        <v>150</v>
      </c>
      <c r="I66" s="5" t="s">
        <v>739</v>
      </c>
      <c r="J66" s="5" t="s">
        <v>116</v>
      </c>
      <c r="K66" s="5" t="s">
        <v>916</v>
      </c>
      <c r="L66" s="3" t="s">
        <v>152</v>
      </c>
      <c r="M66" s="3" t="s">
        <v>917</v>
      </c>
      <c r="N66" s="5" t="s">
        <v>888</v>
      </c>
      <c r="O66" s="5" t="s">
        <v>154</v>
      </c>
      <c r="P66" s="5" t="s">
        <v>918</v>
      </c>
      <c r="Q66" s="155">
        <v>334</v>
      </c>
      <c r="R66" s="167">
        <v>0.42420000000000002</v>
      </c>
      <c r="S66" s="169">
        <v>13850</v>
      </c>
      <c r="U66" s="155">
        <v>19.623000000000001</v>
      </c>
      <c r="V66" s="166">
        <v>0</v>
      </c>
      <c r="W66" s="166">
        <v>4.3048413306467499E-5</v>
      </c>
      <c r="X66" s="166">
        <v>7.6533308130794508E-6</v>
      </c>
    </row>
    <row r="67" spans="1:24">
      <c r="A67" s="5">
        <v>288</v>
      </c>
      <c r="B67" s="5">
        <v>288</v>
      </c>
      <c r="C67" s="5" t="s">
        <v>919</v>
      </c>
      <c r="D67" s="5" t="s">
        <v>920</v>
      </c>
      <c r="E67" s="5" t="s">
        <v>652</v>
      </c>
      <c r="F67" s="5" t="s">
        <v>921</v>
      </c>
      <c r="G67" s="5" t="s">
        <v>922</v>
      </c>
      <c r="H67" s="5" t="s">
        <v>150</v>
      </c>
      <c r="I67" s="5" t="s">
        <v>739</v>
      </c>
      <c r="J67" s="5" t="s">
        <v>116</v>
      </c>
      <c r="K67" s="5" t="s">
        <v>117</v>
      </c>
      <c r="L67" s="3" t="s">
        <v>152</v>
      </c>
      <c r="M67" s="3" t="s">
        <v>923</v>
      </c>
      <c r="N67" s="5" t="s">
        <v>924</v>
      </c>
      <c r="O67" s="5" t="s">
        <v>154</v>
      </c>
      <c r="P67" s="5" t="s">
        <v>34</v>
      </c>
      <c r="Q67" s="155">
        <v>2130</v>
      </c>
      <c r="R67" s="167">
        <v>3.306</v>
      </c>
      <c r="S67" s="169">
        <v>56881</v>
      </c>
      <c r="U67" s="155">
        <v>4005.4349999999999</v>
      </c>
      <c r="V67" s="166">
        <v>1.9999999999999999E-6</v>
      </c>
      <c r="W67" s="166">
        <v>8.7869857058674693E-3</v>
      </c>
      <c r="X67" s="166">
        <v>1.5621878552885199E-3</v>
      </c>
    </row>
    <row r="68" spans="1:24">
      <c r="A68" s="5">
        <v>288</v>
      </c>
      <c r="B68" s="5">
        <v>288</v>
      </c>
      <c r="C68" s="5" t="s">
        <v>925</v>
      </c>
      <c r="D68" s="5" t="s">
        <v>926</v>
      </c>
      <c r="E68" s="5" t="s">
        <v>652</v>
      </c>
      <c r="F68" s="5" t="s">
        <v>927</v>
      </c>
      <c r="G68" s="5" t="s">
        <v>928</v>
      </c>
      <c r="H68" s="5" t="s">
        <v>150</v>
      </c>
      <c r="I68" s="5" t="s">
        <v>739</v>
      </c>
      <c r="J68" s="5" t="s">
        <v>116</v>
      </c>
      <c r="K68" s="5" t="s">
        <v>117</v>
      </c>
      <c r="L68" s="3" t="s">
        <v>152</v>
      </c>
      <c r="M68" s="3" t="s">
        <v>740</v>
      </c>
      <c r="N68" s="5" t="s">
        <v>929</v>
      </c>
      <c r="O68" s="5" t="s">
        <v>154</v>
      </c>
      <c r="P68" s="5" t="s">
        <v>34</v>
      </c>
      <c r="Q68" s="155">
        <v>3181</v>
      </c>
      <c r="R68" s="167">
        <v>3.306</v>
      </c>
      <c r="S68" s="169">
        <v>51795</v>
      </c>
      <c r="U68" s="155">
        <v>5446.9620000000004</v>
      </c>
      <c r="V68" s="166">
        <v>0</v>
      </c>
      <c r="W68" s="166">
        <v>1.19493587532197E-2</v>
      </c>
      <c r="X68" s="166">
        <v>2.1244080447633401E-3</v>
      </c>
    </row>
    <row r="69" spans="1:24">
      <c r="A69" s="5">
        <v>288</v>
      </c>
      <c r="B69" s="5">
        <v>288</v>
      </c>
      <c r="C69" s="5" t="s">
        <v>805</v>
      </c>
      <c r="D69" s="5" t="s">
        <v>806</v>
      </c>
      <c r="E69" s="5" t="s">
        <v>147</v>
      </c>
      <c r="F69" s="5" t="s">
        <v>930</v>
      </c>
      <c r="G69" s="5" t="s">
        <v>931</v>
      </c>
      <c r="H69" s="5" t="s">
        <v>150</v>
      </c>
      <c r="I69" s="5" t="s">
        <v>739</v>
      </c>
      <c r="J69" s="5" t="s">
        <v>116</v>
      </c>
      <c r="K69" s="5" t="s">
        <v>30</v>
      </c>
      <c r="L69" s="3" t="s">
        <v>152</v>
      </c>
      <c r="M69" s="3" t="s">
        <v>740</v>
      </c>
      <c r="N69" s="5" t="s">
        <v>929</v>
      </c>
      <c r="O69" s="5" t="s">
        <v>154</v>
      </c>
      <c r="P69" s="5" t="s">
        <v>34</v>
      </c>
      <c r="Q69" s="155">
        <v>1810</v>
      </c>
      <c r="R69" s="167">
        <v>3.306</v>
      </c>
      <c r="S69" s="169">
        <v>14478</v>
      </c>
      <c r="U69" s="155">
        <v>866.34299999999996</v>
      </c>
      <c r="V69" s="166">
        <v>3.0000000000000001E-5</v>
      </c>
      <c r="W69" s="166">
        <v>1.9005541185414E-3</v>
      </c>
      <c r="X69" s="166">
        <v>3.3788863003628101E-4</v>
      </c>
    </row>
    <row r="70" spans="1:24">
      <c r="A70" s="5">
        <v>288</v>
      </c>
      <c r="B70" s="5">
        <v>288</v>
      </c>
      <c r="C70" s="5" t="s">
        <v>932</v>
      </c>
      <c r="D70" s="5" t="s">
        <v>933</v>
      </c>
      <c r="E70" s="5" t="s">
        <v>652</v>
      </c>
      <c r="F70" s="5" t="s">
        <v>934</v>
      </c>
      <c r="G70" s="5" t="s">
        <v>935</v>
      </c>
      <c r="H70" s="5" t="s">
        <v>150</v>
      </c>
      <c r="I70" s="5" t="s">
        <v>739</v>
      </c>
      <c r="J70" s="5" t="s">
        <v>116</v>
      </c>
      <c r="K70" s="5" t="s">
        <v>117</v>
      </c>
      <c r="L70" s="3" t="s">
        <v>152</v>
      </c>
      <c r="M70" s="3" t="s">
        <v>740</v>
      </c>
      <c r="N70" s="5" t="s">
        <v>883</v>
      </c>
      <c r="O70" s="5" t="s">
        <v>154</v>
      </c>
      <c r="P70" s="5" t="s">
        <v>34</v>
      </c>
      <c r="Q70" s="155">
        <v>8440</v>
      </c>
      <c r="R70" s="167">
        <v>3.306</v>
      </c>
      <c r="S70" s="169">
        <v>18658</v>
      </c>
      <c r="T70" s="154">
        <v>8.4000000000000005E-2</v>
      </c>
      <c r="U70" s="155">
        <v>5206.3540000000003</v>
      </c>
      <c r="V70" s="166">
        <v>0</v>
      </c>
      <c r="W70" s="166">
        <v>1.1421520007646201E-2</v>
      </c>
      <c r="X70" s="166">
        <v>2.0305666177384898E-3</v>
      </c>
    </row>
    <row r="71" spans="1:24">
      <c r="A71" s="5">
        <v>288</v>
      </c>
      <c r="B71" s="5">
        <v>288</v>
      </c>
      <c r="C71" s="5" t="s">
        <v>936</v>
      </c>
      <c r="D71" s="5" t="s">
        <v>937</v>
      </c>
      <c r="E71" s="5" t="s">
        <v>652</v>
      </c>
      <c r="F71" s="5" t="s">
        <v>938</v>
      </c>
      <c r="G71" s="5" t="s">
        <v>939</v>
      </c>
      <c r="H71" s="5" t="s">
        <v>150</v>
      </c>
      <c r="I71" s="5" t="s">
        <v>739</v>
      </c>
      <c r="J71" s="5" t="s">
        <v>116</v>
      </c>
      <c r="K71" s="5" t="s">
        <v>117</v>
      </c>
      <c r="L71" s="3" t="s">
        <v>152</v>
      </c>
      <c r="M71" s="3" t="s">
        <v>923</v>
      </c>
      <c r="N71" s="5" t="s">
        <v>940</v>
      </c>
      <c r="O71" s="5" t="s">
        <v>154</v>
      </c>
      <c r="P71" s="5" t="s">
        <v>34</v>
      </c>
      <c r="Q71" s="155">
        <v>19034</v>
      </c>
      <c r="R71" s="167">
        <v>3.306</v>
      </c>
      <c r="S71" s="169">
        <v>9625</v>
      </c>
      <c r="U71" s="155">
        <v>6056.6660000000002</v>
      </c>
      <c r="V71" s="166">
        <v>3.1399999999999999E-4</v>
      </c>
      <c r="W71" s="166">
        <v>1.3286907045231101E-2</v>
      </c>
      <c r="X71" s="166">
        <v>2.3622030938945798E-3</v>
      </c>
    </row>
    <row r="72" spans="1:24">
      <c r="A72" s="5">
        <v>288</v>
      </c>
      <c r="B72" s="5">
        <v>288</v>
      </c>
      <c r="C72" s="5" t="s">
        <v>941</v>
      </c>
      <c r="D72" s="5" t="s">
        <v>942</v>
      </c>
      <c r="E72" s="5" t="s">
        <v>652</v>
      </c>
      <c r="F72" s="5" t="s">
        <v>943</v>
      </c>
      <c r="G72" s="5" t="s">
        <v>944</v>
      </c>
      <c r="H72" s="5" t="s">
        <v>150</v>
      </c>
      <c r="I72" s="5" t="s">
        <v>739</v>
      </c>
      <c r="J72" s="5" t="s">
        <v>116</v>
      </c>
      <c r="K72" s="5" t="s">
        <v>30</v>
      </c>
      <c r="L72" s="3" t="s">
        <v>31</v>
      </c>
      <c r="M72" s="3" t="s">
        <v>740</v>
      </c>
      <c r="N72" s="5" t="s">
        <v>945</v>
      </c>
      <c r="O72" s="5" t="s">
        <v>154</v>
      </c>
      <c r="P72" s="5" t="s">
        <v>34</v>
      </c>
      <c r="Q72" s="155">
        <v>15184</v>
      </c>
      <c r="R72" s="167">
        <v>3.306</v>
      </c>
      <c r="S72" s="169">
        <v>450</v>
      </c>
      <c r="U72" s="155">
        <v>225.892</v>
      </c>
      <c r="V72" s="166">
        <v>2.52E-4</v>
      </c>
      <c r="W72" s="166">
        <v>4.9555493155054205E-4</v>
      </c>
      <c r="X72" s="166">
        <v>8.8101872656928899E-5</v>
      </c>
    </row>
    <row r="73" spans="1:24">
      <c r="A73" s="5">
        <v>288</v>
      </c>
      <c r="B73" s="5">
        <v>288</v>
      </c>
      <c r="C73" s="5" t="s">
        <v>946</v>
      </c>
      <c r="D73" s="5" t="s">
        <v>947</v>
      </c>
      <c r="E73" s="5" t="s">
        <v>652</v>
      </c>
      <c r="F73" s="5" t="s">
        <v>948</v>
      </c>
      <c r="G73" s="5" t="s">
        <v>949</v>
      </c>
      <c r="H73" s="5" t="s">
        <v>150</v>
      </c>
      <c r="I73" s="5" t="s">
        <v>739</v>
      </c>
      <c r="J73" s="5" t="s">
        <v>116</v>
      </c>
      <c r="K73" s="5" t="s">
        <v>916</v>
      </c>
      <c r="L73" s="3" t="s">
        <v>152</v>
      </c>
      <c r="M73" s="3" t="s">
        <v>923</v>
      </c>
      <c r="N73" s="5" t="s">
        <v>883</v>
      </c>
      <c r="O73" s="5" t="s">
        <v>154</v>
      </c>
      <c r="P73" s="5" t="s">
        <v>34</v>
      </c>
      <c r="Q73" s="155">
        <v>6550</v>
      </c>
      <c r="R73" s="167">
        <v>3.306</v>
      </c>
      <c r="S73" s="169">
        <v>27929</v>
      </c>
      <c r="T73" s="154">
        <v>4.2210000000000001</v>
      </c>
      <c r="U73" s="155">
        <v>6061.7839999999997</v>
      </c>
      <c r="V73" s="166">
        <v>9.9999999999999995E-7</v>
      </c>
      <c r="W73" s="166">
        <v>1.3298134764471E-2</v>
      </c>
      <c r="X73" s="166">
        <v>2.3641992057839398E-3</v>
      </c>
    </row>
    <row r="74" spans="1:24">
      <c r="A74" s="5">
        <v>288</v>
      </c>
      <c r="B74" s="5">
        <v>288</v>
      </c>
      <c r="C74" s="5" t="s">
        <v>950</v>
      </c>
      <c r="D74" s="5" t="s">
        <v>951</v>
      </c>
      <c r="E74" s="5" t="s">
        <v>652</v>
      </c>
      <c r="F74" s="5" t="s">
        <v>950</v>
      </c>
      <c r="G74" s="5" t="s">
        <v>952</v>
      </c>
      <c r="H74" s="5" t="s">
        <v>150</v>
      </c>
      <c r="I74" s="5" t="s">
        <v>739</v>
      </c>
      <c r="J74" s="5" t="s">
        <v>116</v>
      </c>
      <c r="K74" s="5" t="s">
        <v>117</v>
      </c>
      <c r="L74" s="3" t="s">
        <v>152</v>
      </c>
      <c r="M74" s="3" t="s">
        <v>740</v>
      </c>
      <c r="N74" s="5" t="s">
        <v>953</v>
      </c>
      <c r="O74" s="5" t="s">
        <v>154</v>
      </c>
      <c r="P74" s="5" t="s">
        <v>34</v>
      </c>
      <c r="Q74" s="155">
        <v>1700</v>
      </c>
      <c r="R74" s="167">
        <v>3.306</v>
      </c>
      <c r="S74" s="169">
        <v>44472</v>
      </c>
      <c r="U74" s="155">
        <v>2499.415</v>
      </c>
      <c r="V74" s="166">
        <v>9.9999999999999995E-7</v>
      </c>
      <c r="W74" s="166">
        <v>5.4831316820420197E-3</v>
      </c>
      <c r="X74" s="166">
        <v>9.7481457343376104E-4</v>
      </c>
    </row>
    <row r="75" spans="1:24">
      <c r="A75" s="5">
        <v>288</v>
      </c>
      <c r="B75" s="5">
        <v>288</v>
      </c>
      <c r="C75" s="5" t="s">
        <v>954</v>
      </c>
      <c r="D75" s="5" t="s">
        <v>955</v>
      </c>
      <c r="E75" s="5" t="s">
        <v>652</v>
      </c>
      <c r="F75" s="5" t="s">
        <v>956</v>
      </c>
      <c r="G75" s="5" t="s">
        <v>957</v>
      </c>
      <c r="H75" s="5" t="s">
        <v>150</v>
      </c>
      <c r="I75" s="5" t="s">
        <v>739</v>
      </c>
      <c r="J75" s="5" t="s">
        <v>116</v>
      </c>
      <c r="K75" s="5" t="s">
        <v>117</v>
      </c>
      <c r="L75" s="3" t="s">
        <v>152</v>
      </c>
      <c r="M75" s="3" t="s">
        <v>923</v>
      </c>
      <c r="N75" s="5" t="s">
        <v>667</v>
      </c>
      <c r="O75" s="5" t="s">
        <v>154</v>
      </c>
      <c r="P75" s="5" t="s">
        <v>34</v>
      </c>
      <c r="Q75" s="155">
        <v>4119</v>
      </c>
      <c r="R75" s="167">
        <v>3.306</v>
      </c>
      <c r="S75" s="169">
        <v>34138</v>
      </c>
      <c r="U75" s="155">
        <v>4648.7129999999997</v>
      </c>
      <c r="V75" s="166">
        <v>3.0000000000000001E-6</v>
      </c>
      <c r="W75" s="166">
        <v>1.01981867271439E-2</v>
      </c>
      <c r="X75" s="166">
        <v>1.81307720126034E-3</v>
      </c>
    </row>
    <row r="76" spans="1:24">
      <c r="A76" s="5">
        <v>288</v>
      </c>
      <c r="B76" s="5">
        <v>288</v>
      </c>
      <c r="C76" s="5" t="s">
        <v>884</v>
      </c>
      <c r="D76" s="5" t="s">
        <v>885</v>
      </c>
      <c r="E76" s="5" t="s">
        <v>652</v>
      </c>
      <c r="F76" s="5" t="s">
        <v>886</v>
      </c>
      <c r="G76" s="5" t="s">
        <v>887</v>
      </c>
      <c r="H76" s="5" t="s">
        <v>150</v>
      </c>
      <c r="I76" s="5" t="s">
        <v>739</v>
      </c>
      <c r="J76" s="5" t="s">
        <v>116</v>
      </c>
      <c r="K76" s="5" t="s">
        <v>117</v>
      </c>
      <c r="L76" s="3" t="s">
        <v>152</v>
      </c>
      <c r="M76" s="3" t="s">
        <v>740</v>
      </c>
      <c r="N76" s="5" t="s">
        <v>888</v>
      </c>
      <c r="O76" s="5" t="s">
        <v>154</v>
      </c>
      <c r="P76" s="5" t="s">
        <v>34</v>
      </c>
      <c r="Q76" s="155">
        <v>9602</v>
      </c>
      <c r="R76" s="167">
        <v>3.306</v>
      </c>
      <c r="S76" s="169">
        <v>21957</v>
      </c>
      <c r="U76" s="155">
        <v>6970.0770000000002</v>
      </c>
      <c r="V76" s="166">
        <v>9.9999999999999995E-7</v>
      </c>
      <c r="W76" s="166">
        <v>1.52907151192768E-2</v>
      </c>
      <c r="X76" s="166">
        <v>2.7184486532236402E-3</v>
      </c>
    </row>
    <row r="77" spans="1:24">
      <c r="A77" s="5">
        <v>288</v>
      </c>
      <c r="B77" s="5">
        <v>288</v>
      </c>
      <c r="C77" s="5" t="s">
        <v>958</v>
      </c>
      <c r="D77" s="5" t="s">
        <v>959</v>
      </c>
      <c r="E77" s="5" t="s">
        <v>652</v>
      </c>
      <c r="F77" s="5" t="s">
        <v>960</v>
      </c>
      <c r="G77" s="5" t="s">
        <v>961</v>
      </c>
      <c r="H77" s="5" t="s">
        <v>150</v>
      </c>
      <c r="I77" s="5" t="s">
        <v>739</v>
      </c>
      <c r="J77" s="5" t="s">
        <v>116</v>
      </c>
      <c r="K77" s="5" t="s">
        <v>117</v>
      </c>
      <c r="L77" s="3" t="s">
        <v>152</v>
      </c>
      <c r="M77" s="3" t="s">
        <v>740</v>
      </c>
      <c r="N77" s="5" t="s">
        <v>945</v>
      </c>
      <c r="O77" s="5" t="s">
        <v>154</v>
      </c>
      <c r="P77" s="5" t="s">
        <v>34</v>
      </c>
      <c r="Q77" s="155">
        <v>2771</v>
      </c>
      <c r="R77" s="167">
        <v>3.306</v>
      </c>
      <c r="S77" s="169">
        <v>25463</v>
      </c>
      <c r="U77" s="155">
        <v>2332.6469999999999</v>
      </c>
      <c r="V77" s="166">
        <v>0</v>
      </c>
      <c r="W77" s="166">
        <v>5.1172801019143E-3</v>
      </c>
      <c r="X77" s="166">
        <v>9.0977191666330405E-4</v>
      </c>
    </row>
    <row r="78" spans="1:24">
      <c r="A78" s="5">
        <v>288</v>
      </c>
      <c r="B78" s="5">
        <v>288</v>
      </c>
      <c r="C78" s="5" t="s">
        <v>962</v>
      </c>
      <c r="D78" s="5" t="s">
        <v>963</v>
      </c>
      <c r="E78" s="5" t="s">
        <v>652</v>
      </c>
      <c r="F78" s="5" t="s">
        <v>964</v>
      </c>
      <c r="G78" s="5" t="s">
        <v>965</v>
      </c>
      <c r="H78" s="5" t="s">
        <v>150</v>
      </c>
      <c r="I78" s="5" t="s">
        <v>739</v>
      </c>
      <c r="J78" s="5" t="s">
        <v>116</v>
      </c>
      <c r="K78" s="5" t="s">
        <v>117</v>
      </c>
      <c r="L78" s="3" t="s">
        <v>152</v>
      </c>
      <c r="M78" s="3" t="s">
        <v>31</v>
      </c>
      <c r="N78" s="5" t="s">
        <v>883</v>
      </c>
      <c r="O78" s="5" t="s">
        <v>154</v>
      </c>
      <c r="P78" s="5" t="s">
        <v>34</v>
      </c>
      <c r="Q78" s="155">
        <v>3123</v>
      </c>
      <c r="R78" s="167">
        <v>3.306</v>
      </c>
      <c r="S78" s="169">
        <v>20474</v>
      </c>
      <c r="U78" s="155">
        <v>2113.866</v>
      </c>
      <c r="V78" s="166">
        <v>3.9999999999999998E-6</v>
      </c>
      <c r="W78" s="166">
        <v>4.6373275935093997E-3</v>
      </c>
      <c r="X78" s="166">
        <v>8.2444390944409003E-4</v>
      </c>
    </row>
    <row r="79" spans="1:24">
      <c r="A79" s="5">
        <v>288</v>
      </c>
      <c r="B79" s="5">
        <v>288</v>
      </c>
      <c r="C79" s="5" t="s">
        <v>889</v>
      </c>
      <c r="D79" s="5" t="s">
        <v>890</v>
      </c>
      <c r="E79" s="5" t="s">
        <v>652</v>
      </c>
      <c r="F79" s="5" t="s">
        <v>891</v>
      </c>
      <c r="G79" s="5" t="s">
        <v>892</v>
      </c>
      <c r="H79" s="5" t="s">
        <v>150</v>
      </c>
      <c r="I79" s="5" t="s">
        <v>739</v>
      </c>
      <c r="J79" s="5" t="s">
        <v>116</v>
      </c>
      <c r="K79" s="5" t="s">
        <v>117</v>
      </c>
      <c r="L79" s="3" t="s">
        <v>152</v>
      </c>
      <c r="M79" s="3" t="s">
        <v>740</v>
      </c>
      <c r="N79" s="5" t="s">
        <v>883</v>
      </c>
      <c r="O79" s="5" t="s">
        <v>154</v>
      </c>
      <c r="P79" s="5" t="s">
        <v>34</v>
      </c>
      <c r="Q79" s="155">
        <v>318</v>
      </c>
      <c r="R79" s="167">
        <v>3.306</v>
      </c>
      <c r="S79" s="169">
        <v>96809</v>
      </c>
      <c r="U79" s="155">
        <v>1017.761</v>
      </c>
      <c r="V79" s="166">
        <v>9.9999999999999995E-7</v>
      </c>
      <c r="W79" s="166">
        <v>2.2327286622139601E-3</v>
      </c>
      <c r="X79" s="166">
        <v>3.9694403940320101E-4</v>
      </c>
    </row>
    <row r="80" spans="1:24">
      <c r="A80" s="5">
        <v>288</v>
      </c>
      <c r="B80" s="5">
        <v>288</v>
      </c>
      <c r="C80" s="5" t="s">
        <v>966</v>
      </c>
      <c r="D80" s="5" t="s">
        <v>967</v>
      </c>
      <c r="E80" s="5" t="s">
        <v>652</v>
      </c>
      <c r="F80" s="5" t="s">
        <v>968</v>
      </c>
      <c r="G80" s="5" t="s">
        <v>969</v>
      </c>
      <c r="H80" s="5" t="s">
        <v>150</v>
      </c>
      <c r="I80" s="5" t="s">
        <v>739</v>
      </c>
      <c r="J80" s="5" t="s">
        <v>116</v>
      </c>
      <c r="K80" s="5" t="s">
        <v>117</v>
      </c>
      <c r="L80" s="3" t="s">
        <v>152</v>
      </c>
      <c r="M80" s="3" t="s">
        <v>740</v>
      </c>
      <c r="N80" s="5" t="s">
        <v>667</v>
      </c>
      <c r="O80" s="5" t="s">
        <v>154</v>
      </c>
      <c r="P80" s="5" t="s">
        <v>34</v>
      </c>
      <c r="Q80" s="155">
        <v>2271</v>
      </c>
      <c r="R80" s="167">
        <v>3.306</v>
      </c>
      <c r="S80" s="169">
        <v>50274</v>
      </c>
      <c r="U80" s="155">
        <v>3774.5349999999999</v>
      </c>
      <c r="V80" s="166">
        <v>1.9999999999999999E-6</v>
      </c>
      <c r="W80" s="166">
        <v>8.2804448419302699E-3</v>
      </c>
      <c r="X80" s="166">
        <v>1.47213285664187E-3</v>
      </c>
    </row>
    <row r="81" spans="1:24">
      <c r="A81" s="5">
        <v>288</v>
      </c>
      <c r="B81" s="5">
        <v>288</v>
      </c>
      <c r="C81" s="5" t="s">
        <v>896</v>
      </c>
      <c r="D81" s="5" t="s">
        <v>897</v>
      </c>
      <c r="E81" s="5" t="s">
        <v>652</v>
      </c>
      <c r="F81" s="5" t="s">
        <v>898</v>
      </c>
      <c r="G81" s="5" t="s">
        <v>899</v>
      </c>
      <c r="H81" s="5" t="s">
        <v>150</v>
      </c>
      <c r="I81" s="5" t="s">
        <v>739</v>
      </c>
      <c r="J81" s="5" t="s">
        <v>116</v>
      </c>
      <c r="K81" s="5" t="s">
        <v>117</v>
      </c>
      <c r="L81" s="3" t="s">
        <v>152</v>
      </c>
      <c r="M81" s="3" t="s">
        <v>740</v>
      </c>
      <c r="N81" s="5" t="s">
        <v>883</v>
      </c>
      <c r="O81" s="5" t="s">
        <v>154</v>
      </c>
      <c r="P81" s="5" t="s">
        <v>34</v>
      </c>
      <c r="Q81" s="155">
        <v>2679</v>
      </c>
      <c r="R81" s="167">
        <v>3.306</v>
      </c>
      <c r="S81" s="169">
        <v>32991</v>
      </c>
      <c r="U81" s="155">
        <v>2921.9380000000001</v>
      </c>
      <c r="V81" s="166">
        <v>6.0000000000000002E-6</v>
      </c>
      <c r="W81" s="166">
        <v>6.4100480781867199E-3</v>
      </c>
      <c r="X81" s="166">
        <v>1.1396057299686E-3</v>
      </c>
    </row>
    <row r="82" spans="1:24">
      <c r="A82" s="5">
        <v>288</v>
      </c>
      <c r="B82" s="5">
        <v>288</v>
      </c>
      <c r="C82" s="5" t="s">
        <v>901</v>
      </c>
      <c r="D82" s="5" t="s">
        <v>902</v>
      </c>
      <c r="E82" s="5" t="s">
        <v>652</v>
      </c>
      <c r="F82" s="5" t="s">
        <v>901</v>
      </c>
      <c r="G82" s="5" t="s">
        <v>903</v>
      </c>
      <c r="H82" s="5" t="s">
        <v>150</v>
      </c>
      <c r="I82" s="5" t="s">
        <v>739</v>
      </c>
      <c r="J82" s="5" t="s">
        <v>116</v>
      </c>
      <c r="K82" s="5" t="s">
        <v>267</v>
      </c>
      <c r="L82" s="3" t="s">
        <v>152</v>
      </c>
      <c r="M82" s="3" t="s">
        <v>740</v>
      </c>
      <c r="N82" s="5" t="s">
        <v>904</v>
      </c>
      <c r="O82" s="5" t="s">
        <v>154</v>
      </c>
      <c r="P82" s="5" t="s">
        <v>34</v>
      </c>
      <c r="Q82" s="155">
        <v>121</v>
      </c>
      <c r="R82" s="167">
        <v>3.306</v>
      </c>
      <c r="S82" s="169">
        <v>92563</v>
      </c>
      <c r="U82" s="155">
        <v>370.27600000000001</v>
      </c>
      <c r="V82" s="166">
        <v>0</v>
      </c>
      <c r="W82" s="166">
        <v>8.1229893844729202E-4</v>
      </c>
      <c r="X82" s="166">
        <v>1.44413975279233E-4</v>
      </c>
    </row>
    <row r="83" spans="1:24">
      <c r="A83" s="5">
        <v>288</v>
      </c>
      <c r="B83" s="5">
        <v>288</v>
      </c>
      <c r="C83" s="5" t="s">
        <v>970</v>
      </c>
      <c r="D83" s="5" t="s">
        <v>971</v>
      </c>
      <c r="E83" s="5" t="s">
        <v>652</v>
      </c>
      <c r="F83" s="5" t="s">
        <v>972</v>
      </c>
      <c r="G83" s="5" t="s">
        <v>973</v>
      </c>
      <c r="H83" s="5" t="s">
        <v>150</v>
      </c>
      <c r="I83" s="5" t="s">
        <v>739</v>
      </c>
      <c r="J83" s="5" t="s">
        <v>116</v>
      </c>
      <c r="K83" s="5" t="s">
        <v>117</v>
      </c>
      <c r="L83" s="3" t="s">
        <v>152</v>
      </c>
      <c r="M83" s="3" t="s">
        <v>31</v>
      </c>
      <c r="N83" s="5" t="s">
        <v>974</v>
      </c>
      <c r="O83" s="5" t="s">
        <v>154</v>
      </c>
      <c r="P83" s="5" t="s">
        <v>34</v>
      </c>
      <c r="Q83" s="155">
        <v>1960</v>
      </c>
      <c r="R83" s="167">
        <v>3.306</v>
      </c>
      <c r="S83" s="169">
        <v>16947</v>
      </c>
      <c r="U83" s="155">
        <v>1098.125</v>
      </c>
      <c r="V83" s="166">
        <v>0</v>
      </c>
      <c r="W83" s="166">
        <v>2.4090288129280202E-3</v>
      </c>
      <c r="X83" s="166">
        <v>4.28287433321225E-4</v>
      </c>
    </row>
    <row r="84" spans="1:24">
      <c r="A84" s="5">
        <v>288</v>
      </c>
      <c r="B84" s="5">
        <v>288</v>
      </c>
      <c r="C84" s="5" t="s">
        <v>975</v>
      </c>
      <c r="D84" s="5" t="s">
        <v>976</v>
      </c>
      <c r="E84" s="5" t="s">
        <v>652</v>
      </c>
      <c r="F84" s="5" t="s">
        <v>975</v>
      </c>
      <c r="G84" s="5" t="s">
        <v>977</v>
      </c>
      <c r="H84" s="5" t="s">
        <v>150</v>
      </c>
      <c r="I84" s="5" t="s">
        <v>739</v>
      </c>
      <c r="J84" s="5" t="s">
        <v>116</v>
      </c>
      <c r="K84" s="5" t="s">
        <v>117</v>
      </c>
      <c r="L84" s="3" t="s">
        <v>152</v>
      </c>
      <c r="M84" s="3" t="s">
        <v>923</v>
      </c>
      <c r="N84" s="5" t="s">
        <v>978</v>
      </c>
      <c r="O84" s="5" t="s">
        <v>154</v>
      </c>
      <c r="P84" s="5" t="s">
        <v>34</v>
      </c>
      <c r="Q84" s="155">
        <v>2747</v>
      </c>
      <c r="R84" s="167">
        <v>3.306</v>
      </c>
      <c r="S84" s="169">
        <v>11275</v>
      </c>
      <c r="U84" s="155">
        <v>1023.948</v>
      </c>
      <c r="V84" s="166">
        <v>0</v>
      </c>
      <c r="W84" s="166">
        <v>2.2463028261956001E-3</v>
      </c>
      <c r="X84" s="166">
        <v>3.99357312262364E-4</v>
      </c>
    </row>
    <row r="85" spans="1:24">
      <c r="A85" s="5">
        <v>288</v>
      </c>
      <c r="B85" s="5">
        <v>288</v>
      </c>
      <c r="C85" s="5" t="s">
        <v>979</v>
      </c>
      <c r="D85" s="5" t="s">
        <v>980</v>
      </c>
      <c r="E85" s="5" t="s">
        <v>652</v>
      </c>
      <c r="F85" s="5" t="s">
        <v>981</v>
      </c>
      <c r="G85" s="5" t="s">
        <v>982</v>
      </c>
      <c r="H85" s="5" t="s">
        <v>150</v>
      </c>
      <c r="I85" s="5" t="s">
        <v>739</v>
      </c>
      <c r="J85" s="5" t="s">
        <v>116</v>
      </c>
      <c r="K85" s="5" t="s">
        <v>117</v>
      </c>
      <c r="L85" s="3" t="s">
        <v>152</v>
      </c>
      <c r="M85" s="3" t="s">
        <v>923</v>
      </c>
      <c r="N85" s="5" t="s">
        <v>983</v>
      </c>
      <c r="O85" s="5" t="s">
        <v>154</v>
      </c>
      <c r="P85" s="5" t="s">
        <v>34</v>
      </c>
      <c r="Q85" s="155">
        <v>5836</v>
      </c>
      <c r="R85" s="167">
        <v>3.306</v>
      </c>
      <c r="S85" s="169">
        <v>3922</v>
      </c>
      <c r="U85" s="155">
        <v>756.70299999999997</v>
      </c>
      <c r="V85" s="166">
        <v>3.9999999999999998E-6</v>
      </c>
      <c r="W85" s="166">
        <v>1.66003011252116E-3</v>
      </c>
      <c r="X85" s="166">
        <v>2.95127244768606E-4</v>
      </c>
    </row>
    <row r="86" spans="1:24">
      <c r="A86" s="5">
        <v>288</v>
      </c>
      <c r="B86" s="5">
        <v>288</v>
      </c>
      <c r="C86" s="5" t="s">
        <v>905</v>
      </c>
      <c r="D86" s="5" t="s">
        <v>906</v>
      </c>
      <c r="E86" s="5" t="s">
        <v>652</v>
      </c>
      <c r="F86" s="5" t="s">
        <v>907</v>
      </c>
      <c r="G86" s="5" t="s">
        <v>908</v>
      </c>
      <c r="H86" s="5" t="s">
        <v>150</v>
      </c>
      <c r="I86" s="5" t="s">
        <v>739</v>
      </c>
      <c r="J86" s="5" t="s">
        <v>116</v>
      </c>
      <c r="K86" s="5" t="s">
        <v>117</v>
      </c>
      <c r="L86" s="3" t="s">
        <v>152</v>
      </c>
      <c r="M86" s="3" t="s">
        <v>740</v>
      </c>
      <c r="N86" s="5" t="s">
        <v>909</v>
      </c>
      <c r="O86" s="5" t="s">
        <v>154</v>
      </c>
      <c r="P86" s="5" t="s">
        <v>34</v>
      </c>
      <c r="Q86" s="155">
        <v>7992</v>
      </c>
      <c r="R86" s="167">
        <v>3.306</v>
      </c>
      <c r="S86" s="169">
        <v>24310</v>
      </c>
      <c r="U86" s="155">
        <v>6423.0789999999997</v>
      </c>
      <c r="V86" s="166">
        <v>2.6999999999999999E-5</v>
      </c>
      <c r="W86" s="166">
        <v>1.40907311153351E-2</v>
      </c>
      <c r="X86" s="166">
        <v>2.50511037087654E-3</v>
      </c>
    </row>
    <row r="87" spans="1:24">
      <c r="A87" s="5">
        <v>288</v>
      </c>
      <c r="B87" s="5">
        <v>288</v>
      </c>
      <c r="C87" s="5" t="s">
        <v>984</v>
      </c>
      <c r="D87" s="5" t="s">
        <v>985</v>
      </c>
      <c r="E87" s="5" t="s">
        <v>652</v>
      </c>
      <c r="F87" s="5" t="s">
        <v>986</v>
      </c>
      <c r="G87" s="5" t="s">
        <v>987</v>
      </c>
      <c r="H87" s="5" t="s">
        <v>150</v>
      </c>
      <c r="I87" s="5" t="s">
        <v>739</v>
      </c>
      <c r="J87" s="5" t="s">
        <v>116</v>
      </c>
      <c r="K87" s="5" t="s">
        <v>988</v>
      </c>
      <c r="L87" s="3" t="s">
        <v>152</v>
      </c>
      <c r="M87" s="3" t="s">
        <v>989</v>
      </c>
      <c r="N87" s="5" t="s">
        <v>990</v>
      </c>
      <c r="O87" s="5" t="s">
        <v>154</v>
      </c>
      <c r="P87" s="5" t="s">
        <v>991</v>
      </c>
      <c r="Q87" s="155">
        <v>4000000</v>
      </c>
      <c r="R87" s="167">
        <v>3.8807</v>
      </c>
      <c r="S87" s="169">
        <v>111</v>
      </c>
      <c r="U87" s="155">
        <v>17230.308000000001</v>
      </c>
      <c r="V87" s="166">
        <v>6.5323000000000006E-2</v>
      </c>
      <c r="W87" s="166">
        <v>3.7799258899861403E-2</v>
      </c>
      <c r="X87" s="166">
        <v>6.7201137191835701E-3</v>
      </c>
    </row>
    <row r="88" spans="1:24">
      <c r="A88" s="5">
        <v>288</v>
      </c>
      <c r="B88" s="5">
        <v>288</v>
      </c>
      <c r="C88" s="5" t="s">
        <v>992</v>
      </c>
      <c r="D88" s="5" t="s">
        <v>664</v>
      </c>
      <c r="E88" s="5" t="s">
        <v>652</v>
      </c>
      <c r="F88" s="5" t="s">
        <v>993</v>
      </c>
      <c r="G88" s="5" t="s">
        <v>994</v>
      </c>
      <c r="H88" s="5" t="s">
        <v>150</v>
      </c>
      <c r="I88" s="5" t="s">
        <v>739</v>
      </c>
      <c r="J88" s="5" t="s">
        <v>116</v>
      </c>
      <c r="K88" s="5" t="s">
        <v>117</v>
      </c>
      <c r="L88" s="3" t="s">
        <v>152</v>
      </c>
      <c r="M88" s="3" t="s">
        <v>923</v>
      </c>
      <c r="N88" s="5" t="s">
        <v>655</v>
      </c>
      <c r="O88" s="5" t="s">
        <v>154</v>
      </c>
      <c r="P88" s="5" t="s">
        <v>34</v>
      </c>
      <c r="Q88" s="155">
        <v>995</v>
      </c>
      <c r="R88" s="167">
        <v>3.306</v>
      </c>
      <c r="S88" s="169">
        <v>31543</v>
      </c>
      <c r="U88" s="155">
        <v>1037.598</v>
      </c>
      <c r="V88" s="166">
        <v>0</v>
      </c>
      <c r="W88" s="166">
        <v>2.2762458669753601E-3</v>
      </c>
      <c r="X88" s="166">
        <v>4.0468071396373702E-4</v>
      </c>
    </row>
    <row r="89" spans="1:24">
      <c r="A89" s="5">
        <v>288</v>
      </c>
      <c r="B89" s="5">
        <v>288</v>
      </c>
      <c r="C89" s="5" t="s">
        <v>995</v>
      </c>
      <c r="D89" s="5" t="s">
        <v>996</v>
      </c>
      <c r="E89" s="5" t="s">
        <v>652</v>
      </c>
      <c r="F89" s="5" t="s">
        <v>997</v>
      </c>
      <c r="G89" s="5" t="s">
        <v>998</v>
      </c>
      <c r="H89" s="5" t="s">
        <v>150</v>
      </c>
      <c r="I89" s="5" t="s">
        <v>739</v>
      </c>
      <c r="J89" s="5" t="s">
        <v>116</v>
      </c>
      <c r="K89" s="5" t="s">
        <v>267</v>
      </c>
      <c r="L89" s="3" t="s">
        <v>152</v>
      </c>
      <c r="M89" s="3" t="s">
        <v>31</v>
      </c>
      <c r="N89" s="5" t="s">
        <v>999</v>
      </c>
      <c r="O89" s="5" t="s">
        <v>154</v>
      </c>
      <c r="P89" s="5" t="s">
        <v>34</v>
      </c>
      <c r="Q89" s="155">
        <v>425</v>
      </c>
      <c r="R89" s="167">
        <v>3.306</v>
      </c>
      <c r="S89" s="169">
        <v>47500</v>
      </c>
      <c r="U89" s="155">
        <v>667.399</v>
      </c>
      <c r="V89" s="166">
        <v>9.9999999999999995E-7</v>
      </c>
      <c r="W89" s="166">
        <v>1.46411649406928E-3</v>
      </c>
      <c r="X89" s="166">
        <v>2.6029688477077501E-4</v>
      </c>
    </row>
    <row r="90" spans="1:24">
      <c r="A90" s="5">
        <v>288</v>
      </c>
      <c r="B90" s="5">
        <v>288</v>
      </c>
      <c r="C90" s="5" t="s">
        <v>984</v>
      </c>
      <c r="D90" s="5" t="s">
        <v>985</v>
      </c>
      <c r="E90" s="5" t="s">
        <v>652</v>
      </c>
      <c r="F90" s="5" t="s">
        <v>1000</v>
      </c>
      <c r="G90" s="5" t="s">
        <v>1001</v>
      </c>
      <c r="H90" s="5" t="s">
        <v>150</v>
      </c>
      <c r="I90" s="5" t="s">
        <v>739</v>
      </c>
      <c r="J90" s="5" t="s">
        <v>116</v>
      </c>
      <c r="K90" s="5" t="s">
        <v>988</v>
      </c>
      <c r="L90" s="3" t="s">
        <v>152</v>
      </c>
      <c r="M90" s="3" t="s">
        <v>31</v>
      </c>
      <c r="N90" s="5" t="s">
        <v>990</v>
      </c>
      <c r="O90" s="5" t="s">
        <v>154</v>
      </c>
      <c r="P90" s="5" t="s">
        <v>991</v>
      </c>
      <c r="Q90" s="155">
        <v>4000000</v>
      </c>
      <c r="R90" s="167">
        <v>3.8807</v>
      </c>
      <c r="S90" s="169">
        <v>0</v>
      </c>
      <c r="U90" s="155">
        <v>1.6E-2</v>
      </c>
      <c r="V90" s="166">
        <v>0</v>
      </c>
      <c r="W90" s="166">
        <v>3.4053386396271498E-8</v>
      </c>
      <c r="X90" s="166">
        <v>6.0541565037689809E-9</v>
      </c>
    </row>
    <row r="91" spans="1:24">
      <c r="A91" s="5">
        <v>288</v>
      </c>
      <c r="B91" s="5">
        <v>288</v>
      </c>
      <c r="C91" s="5" t="s">
        <v>1002</v>
      </c>
      <c r="D91" s="5" t="s">
        <v>1003</v>
      </c>
      <c r="E91" s="5" t="s">
        <v>652</v>
      </c>
      <c r="F91" s="5" t="s">
        <v>1004</v>
      </c>
      <c r="G91" s="5" t="s">
        <v>1005</v>
      </c>
      <c r="H91" s="5" t="s">
        <v>150</v>
      </c>
      <c r="I91" s="5" t="s">
        <v>739</v>
      </c>
      <c r="J91" s="5" t="s">
        <v>116</v>
      </c>
      <c r="K91" s="5" t="s">
        <v>117</v>
      </c>
      <c r="L91" s="3" t="s">
        <v>152</v>
      </c>
      <c r="M91" s="3" t="s">
        <v>740</v>
      </c>
      <c r="N91" s="5" t="s">
        <v>883</v>
      </c>
      <c r="O91" s="5" t="s">
        <v>154</v>
      </c>
      <c r="P91" s="5" t="s">
        <v>34</v>
      </c>
      <c r="Q91" s="155">
        <v>3853</v>
      </c>
      <c r="R91" s="167">
        <v>3.306</v>
      </c>
      <c r="S91" s="169">
        <v>8407</v>
      </c>
      <c r="U91" s="155">
        <v>1070.885</v>
      </c>
      <c r="V91" s="166">
        <v>6.0000000000000002E-6</v>
      </c>
      <c r="W91" s="166">
        <v>2.3492711747275601E-3</v>
      </c>
      <c r="X91" s="166">
        <v>4.1766346512754198E-4</v>
      </c>
    </row>
    <row r="92" spans="1:24">
      <c r="A92" s="5">
        <v>288</v>
      </c>
      <c r="B92" s="5">
        <v>288</v>
      </c>
      <c r="C92" s="5" t="s">
        <v>919</v>
      </c>
      <c r="D92" s="5" t="s">
        <v>920</v>
      </c>
      <c r="E92" s="5" t="s">
        <v>652</v>
      </c>
      <c r="F92" s="5" t="s">
        <v>921</v>
      </c>
      <c r="G92" s="5" t="s">
        <v>922</v>
      </c>
      <c r="H92" s="5" t="s">
        <v>150</v>
      </c>
      <c r="I92" s="5" t="s">
        <v>739</v>
      </c>
      <c r="J92" s="5" t="s">
        <v>116</v>
      </c>
      <c r="K92" s="5" t="s">
        <v>117</v>
      </c>
      <c r="L92" s="3" t="s">
        <v>152</v>
      </c>
      <c r="M92" s="3" t="s">
        <v>923</v>
      </c>
      <c r="N92" s="5" t="s">
        <v>924</v>
      </c>
      <c r="O92" s="5" t="s">
        <v>154</v>
      </c>
      <c r="P92" s="5" t="s">
        <v>34</v>
      </c>
      <c r="Q92" s="155">
        <v>1265</v>
      </c>
      <c r="R92" s="167">
        <v>3.306</v>
      </c>
      <c r="S92" s="169">
        <v>56881</v>
      </c>
      <c r="U92" s="155">
        <v>2378.8150000000001</v>
      </c>
      <c r="V92" s="166">
        <v>9.9999999999999995E-7</v>
      </c>
      <c r="W92" s="166">
        <v>5.2185619332968799E-3</v>
      </c>
      <c r="X92" s="166">
        <v>9.2777823330515295E-4</v>
      </c>
    </row>
    <row r="93" spans="1:24">
      <c r="A93" s="5">
        <v>288</v>
      </c>
      <c r="B93" s="5">
        <v>288</v>
      </c>
      <c r="C93" s="5" t="s">
        <v>1006</v>
      </c>
      <c r="D93" s="5" t="s">
        <v>1007</v>
      </c>
      <c r="E93" s="5" t="s">
        <v>652</v>
      </c>
      <c r="F93" s="5" t="s">
        <v>1006</v>
      </c>
      <c r="G93" s="5" t="s">
        <v>1008</v>
      </c>
      <c r="H93" s="5" t="s">
        <v>150</v>
      </c>
      <c r="I93" s="5" t="s">
        <v>739</v>
      </c>
      <c r="J93" s="5" t="s">
        <v>116</v>
      </c>
      <c r="K93" s="5" t="s">
        <v>117</v>
      </c>
      <c r="L93" s="3" t="s">
        <v>152</v>
      </c>
      <c r="M93" s="3" t="s">
        <v>740</v>
      </c>
      <c r="N93" s="5" t="s">
        <v>1009</v>
      </c>
      <c r="O93" s="5" t="s">
        <v>154</v>
      </c>
      <c r="P93" s="5" t="s">
        <v>34</v>
      </c>
      <c r="Q93" s="155">
        <v>2407</v>
      </c>
      <c r="R93" s="167">
        <v>3.306</v>
      </c>
      <c r="S93" s="169">
        <v>73438</v>
      </c>
      <c r="U93" s="155">
        <v>5843.86</v>
      </c>
      <c r="V93" s="166">
        <v>9.9999999999999995E-7</v>
      </c>
      <c r="W93" s="166">
        <v>1.2820059023115501E-2</v>
      </c>
      <c r="X93" s="166">
        <v>2.27920485822798E-3</v>
      </c>
    </row>
    <row r="94" spans="1:24">
      <c r="A94" s="5">
        <v>288</v>
      </c>
      <c r="B94" s="5">
        <v>288</v>
      </c>
      <c r="C94" s="5" t="s">
        <v>925</v>
      </c>
      <c r="D94" s="5" t="s">
        <v>926</v>
      </c>
      <c r="E94" s="5" t="s">
        <v>652</v>
      </c>
      <c r="F94" s="5" t="s">
        <v>927</v>
      </c>
      <c r="G94" s="5" t="s">
        <v>928</v>
      </c>
      <c r="H94" s="5" t="s">
        <v>150</v>
      </c>
      <c r="I94" s="5" t="s">
        <v>739</v>
      </c>
      <c r="J94" s="5" t="s">
        <v>116</v>
      </c>
      <c r="K94" s="5" t="s">
        <v>117</v>
      </c>
      <c r="L94" s="3" t="s">
        <v>152</v>
      </c>
      <c r="M94" s="3" t="s">
        <v>740</v>
      </c>
      <c r="N94" s="5" t="s">
        <v>929</v>
      </c>
      <c r="O94" s="5" t="s">
        <v>154</v>
      </c>
      <c r="P94" s="5" t="s">
        <v>34</v>
      </c>
      <c r="Q94" s="155">
        <v>2898</v>
      </c>
      <c r="R94" s="167">
        <v>3.306</v>
      </c>
      <c r="S94" s="169">
        <v>51795</v>
      </c>
      <c r="U94" s="155">
        <v>4962.3689999999997</v>
      </c>
      <c r="V94" s="166">
        <v>0</v>
      </c>
      <c r="W94" s="166">
        <v>1.08862752803617E-2</v>
      </c>
      <c r="X94" s="166">
        <v>1.9354085236479601E-3</v>
      </c>
    </row>
    <row r="95" spans="1:24">
      <c r="A95" s="5">
        <v>288</v>
      </c>
      <c r="B95" s="5">
        <v>288</v>
      </c>
      <c r="C95" s="5" t="s">
        <v>1010</v>
      </c>
      <c r="D95" s="5" t="s">
        <v>1011</v>
      </c>
      <c r="E95" s="5" t="s">
        <v>652</v>
      </c>
      <c r="F95" s="5" t="s">
        <v>1010</v>
      </c>
      <c r="G95" s="5" t="s">
        <v>1012</v>
      </c>
      <c r="H95" s="5" t="s">
        <v>150</v>
      </c>
      <c r="I95" s="5" t="s">
        <v>739</v>
      </c>
      <c r="J95" s="5" t="s">
        <v>116</v>
      </c>
      <c r="K95" s="5" t="s">
        <v>117</v>
      </c>
      <c r="L95" s="3" t="s">
        <v>152</v>
      </c>
      <c r="M95" s="3" t="s">
        <v>923</v>
      </c>
      <c r="N95" s="5" t="s">
        <v>888</v>
      </c>
      <c r="O95" s="5" t="s">
        <v>154</v>
      </c>
      <c r="P95" s="5" t="s">
        <v>34</v>
      </c>
      <c r="Q95" s="155">
        <v>4267</v>
      </c>
      <c r="R95" s="167">
        <v>3.306</v>
      </c>
      <c r="S95" s="169">
        <v>6973</v>
      </c>
      <c r="T95" s="154">
        <v>1.7070000000000001</v>
      </c>
      <c r="U95" s="155">
        <v>989.303</v>
      </c>
      <c r="V95" s="166">
        <v>3.9999999999999998E-6</v>
      </c>
      <c r="W95" s="166">
        <v>2.17029902501042E-3</v>
      </c>
      <c r="X95" s="166">
        <v>3.8584503181242802E-4</v>
      </c>
    </row>
    <row r="96" spans="1:24">
      <c r="A96" s="5">
        <v>288</v>
      </c>
      <c r="B96" s="5">
        <v>288</v>
      </c>
      <c r="C96" s="5" t="s">
        <v>932</v>
      </c>
      <c r="D96" s="5" t="s">
        <v>933</v>
      </c>
      <c r="E96" s="5" t="s">
        <v>652</v>
      </c>
      <c r="F96" s="5" t="s">
        <v>934</v>
      </c>
      <c r="G96" s="5" t="s">
        <v>935</v>
      </c>
      <c r="H96" s="5" t="s">
        <v>150</v>
      </c>
      <c r="I96" s="5" t="s">
        <v>739</v>
      </c>
      <c r="J96" s="5" t="s">
        <v>116</v>
      </c>
      <c r="K96" s="5" t="s">
        <v>117</v>
      </c>
      <c r="L96" s="3" t="s">
        <v>152</v>
      </c>
      <c r="M96" s="3" t="s">
        <v>740</v>
      </c>
      <c r="N96" s="5" t="s">
        <v>883</v>
      </c>
      <c r="O96" s="5" t="s">
        <v>154</v>
      </c>
      <c r="P96" s="5" t="s">
        <v>34</v>
      </c>
      <c r="Q96" s="155">
        <v>9015</v>
      </c>
      <c r="R96" s="167">
        <v>3.306</v>
      </c>
      <c r="S96" s="169">
        <v>18658</v>
      </c>
      <c r="T96" s="154">
        <v>0.09</v>
      </c>
      <c r="U96" s="155">
        <v>5561.0519999999997</v>
      </c>
      <c r="V96" s="166">
        <v>0</v>
      </c>
      <c r="W96" s="166">
        <v>1.21996448896838E-2</v>
      </c>
      <c r="X96" s="166">
        <v>2.16890498328347E-3</v>
      </c>
    </row>
    <row r="97" spans="1:24">
      <c r="A97" s="5">
        <v>288</v>
      </c>
      <c r="B97" s="5">
        <v>288</v>
      </c>
      <c r="C97" s="5" t="s">
        <v>1013</v>
      </c>
      <c r="D97" s="5" t="s">
        <v>1014</v>
      </c>
      <c r="E97" s="5" t="s">
        <v>652</v>
      </c>
      <c r="F97" s="5" t="s">
        <v>1013</v>
      </c>
      <c r="G97" s="5" t="s">
        <v>1015</v>
      </c>
      <c r="H97" s="5" t="s">
        <v>150</v>
      </c>
      <c r="I97" s="5" t="s">
        <v>739</v>
      </c>
      <c r="J97" s="5" t="s">
        <v>116</v>
      </c>
      <c r="K97" s="5" t="s">
        <v>117</v>
      </c>
      <c r="L97" s="3" t="s">
        <v>152</v>
      </c>
      <c r="M97" s="3" t="s">
        <v>923</v>
      </c>
      <c r="N97" s="5" t="s">
        <v>1016</v>
      </c>
      <c r="O97" s="5" t="s">
        <v>154</v>
      </c>
      <c r="P97" s="5" t="s">
        <v>34</v>
      </c>
      <c r="Q97" s="155">
        <v>1508</v>
      </c>
      <c r="R97" s="167">
        <v>3.306</v>
      </c>
      <c r="S97" s="169">
        <v>28124</v>
      </c>
      <c r="U97" s="155">
        <v>1402.107</v>
      </c>
      <c r="V97" s="166">
        <v>9.9999999999999995E-7</v>
      </c>
      <c r="W97" s="166">
        <v>3.0758951290174798E-3</v>
      </c>
      <c r="X97" s="166">
        <v>5.4684577573440305E-4</v>
      </c>
    </row>
    <row r="98" spans="1:24">
      <c r="A98" s="5">
        <v>288</v>
      </c>
      <c r="B98" s="5">
        <v>288</v>
      </c>
      <c r="C98" s="5" t="s">
        <v>1017</v>
      </c>
      <c r="D98" s="5" t="s">
        <v>1018</v>
      </c>
      <c r="E98" s="5" t="s">
        <v>652</v>
      </c>
      <c r="F98" s="5" t="s">
        <v>1019</v>
      </c>
      <c r="G98" s="5" t="s">
        <v>1020</v>
      </c>
      <c r="H98" s="5" t="s">
        <v>150</v>
      </c>
      <c r="I98" s="5" t="s">
        <v>739</v>
      </c>
      <c r="J98" s="5" t="s">
        <v>116</v>
      </c>
      <c r="K98" s="5" t="s">
        <v>117</v>
      </c>
      <c r="L98" s="3" t="s">
        <v>152</v>
      </c>
      <c r="M98" s="3" t="s">
        <v>740</v>
      </c>
      <c r="N98" s="5" t="s">
        <v>929</v>
      </c>
      <c r="O98" s="5" t="s">
        <v>154</v>
      </c>
      <c r="P98" s="5" t="s">
        <v>34</v>
      </c>
      <c r="Q98" s="155">
        <v>2776</v>
      </c>
      <c r="R98" s="167">
        <v>3.306</v>
      </c>
      <c r="S98" s="169">
        <v>20362</v>
      </c>
      <c r="U98" s="155">
        <v>1868.7139999999999</v>
      </c>
      <c r="V98" s="166">
        <v>9.0000000000000002E-6</v>
      </c>
      <c r="W98" s="166">
        <v>4.0995198011152699E-3</v>
      </c>
      <c r="X98" s="166">
        <v>7.2883014268939695E-4</v>
      </c>
    </row>
    <row r="99" spans="1:24">
      <c r="A99" s="5">
        <v>288</v>
      </c>
      <c r="B99" s="5">
        <v>288</v>
      </c>
      <c r="C99" s="5" t="s">
        <v>1021</v>
      </c>
      <c r="D99" s="5" t="s">
        <v>1022</v>
      </c>
      <c r="E99" s="5" t="s">
        <v>652</v>
      </c>
      <c r="F99" s="5" t="s">
        <v>1023</v>
      </c>
      <c r="G99" s="5" t="s">
        <v>1024</v>
      </c>
      <c r="H99" s="5" t="s">
        <v>150</v>
      </c>
      <c r="I99" s="5" t="s">
        <v>739</v>
      </c>
      <c r="J99" s="5" t="s">
        <v>116</v>
      </c>
      <c r="K99" s="5" t="s">
        <v>117</v>
      </c>
      <c r="L99" s="3" t="s">
        <v>152</v>
      </c>
      <c r="M99" s="3" t="s">
        <v>31</v>
      </c>
      <c r="N99" s="5" t="s">
        <v>1025</v>
      </c>
      <c r="O99" s="5" t="s">
        <v>154</v>
      </c>
      <c r="P99" s="5" t="s">
        <v>34</v>
      </c>
      <c r="Q99" s="155">
        <v>980</v>
      </c>
      <c r="R99" s="167">
        <v>3.306</v>
      </c>
      <c r="S99" s="169">
        <v>24695</v>
      </c>
      <c r="U99" s="155">
        <v>800.08799999999997</v>
      </c>
      <c r="V99" s="166">
        <v>1.9999999999999999E-6</v>
      </c>
      <c r="W99" s="166">
        <v>1.75520642400595E-3</v>
      </c>
      <c r="X99" s="166">
        <v>3.1204809600128802E-4</v>
      </c>
    </row>
    <row r="100" spans="1:24">
      <c r="A100" s="5">
        <v>288</v>
      </c>
      <c r="B100" s="5">
        <v>288</v>
      </c>
      <c r="C100" s="5" t="s">
        <v>1026</v>
      </c>
      <c r="D100" s="5" t="s">
        <v>1027</v>
      </c>
      <c r="E100" s="5" t="s">
        <v>652</v>
      </c>
      <c r="F100" s="5" t="s">
        <v>1028</v>
      </c>
      <c r="G100" s="5" t="s">
        <v>1029</v>
      </c>
      <c r="H100" s="5" t="s">
        <v>150</v>
      </c>
      <c r="I100" s="5" t="s">
        <v>739</v>
      </c>
      <c r="J100" s="5" t="s">
        <v>116</v>
      </c>
      <c r="K100" s="5" t="s">
        <v>1030</v>
      </c>
      <c r="L100" s="3" t="s">
        <v>152</v>
      </c>
      <c r="M100" s="3" t="s">
        <v>1031</v>
      </c>
      <c r="N100" s="5" t="s">
        <v>978</v>
      </c>
      <c r="O100" s="5" t="s">
        <v>154</v>
      </c>
      <c r="P100" s="5" t="s">
        <v>1032</v>
      </c>
      <c r="Q100" s="155">
        <v>7833</v>
      </c>
      <c r="R100" s="167">
        <v>4.4409000000000001</v>
      </c>
      <c r="S100" s="169">
        <v>2646.5</v>
      </c>
      <c r="U100" s="155">
        <v>920.6</v>
      </c>
      <c r="V100" s="166">
        <v>9.9999999999999995E-7</v>
      </c>
      <c r="W100" s="166">
        <v>2.0195809385945801E-3</v>
      </c>
      <c r="X100" s="166">
        <v>3.5904972656754399E-4</v>
      </c>
    </row>
    <row r="101" spans="1:24">
      <c r="A101" s="5">
        <v>288</v>
      </c>
      <c r="B101" s="5">
        <v>288</v>
      </c>
      <c r="C101" s="5" t="s">
        <v>946</v>
      </c>
      <c r="D101" s="5" t="s">
        <v>947</v>
      </c>
      <c r="E101" s="5" t="s">
        <v>652</v>
      </c>
      <c r="F101" s="5" t="s">
        <v>948</v>
      </c>
      <c r="G101" s="5" t="s">
        <v>949</v>
      </c>
      <c r="H101" s="5" t="s">
        <v>150</v>
      </c>
      <c r="I101" s="5" t="s">
        <v>739</v>
      </c>
      <c r="J101" s="5" t="s">
        <v>116</v>
      </c>
      <c r="K101" s="5" t="s">
        <v>916</v>
      </c>
      <c r="L101" s="3" t="s">
        <v>152</v>
      </c>
      <c r="M101" s="3" t="s">
        <v>923</v>
      </c>
      <c r="N101" s="5" t="s">
        <v>883</v>
      </c>
      <c r="O101" s="5" t="s">
        <v>154</v>
      </c>
      <c r="P101" s="5" t="s">
        <v>34</v>
      </c>
      <c r="Q101" s="155">
        <v>2714</v>
      </c>
      <c r="R101" s="167">
        <v>3.306</v>
      </c>
      <c r="S101" s="169">
        <v>27929</v>
      </c>
      <c r="T101" s="154">
        <v>1.7490000000000001</v>
      </c>
      <c r="U101" s="155">
        <v>2511.7069999999999</v>
      </c>
      <c r="V101" s="166">
        <v>9.9999999999999995E-7</v>
      </c>
      <c r="W101" s="166">
        <v>5.5100973456645398E-3</v>
      </c>
      <c r="X101" s="166">
        <v>9.7960864430527306E-4</v>
      </c>
    </row>
    <row r="102" spans="1:24">
      <c r="A102" s="5">
        <v>288</v>
      </c>
      <c r="B102" s="5">
        <v>288</v>
      </c>
      <c r="C102" s="5" t="s">
        <v>950</v>
      </c>
      <c r="D102" s="5" t="s">
        <v>951</v>
      </c>
      <c r="E102" s="5" t="s">
        <v>652</v>
      </c>
      <c r="F102" s="5" t="s">
        <v>950</v>
      </c>
      <c r="G102" s="5" t="s">
        <v>952</v>
      </c>
      <c r="H102" s="5" t="s">
        <v>150</v>
      </c>
      <c r="I102" s="5" t="s">
        <v>739</v>
      </c>
      <c r="J102" s="5" t="s">
        <v>116</v>
      </c>
      <c r="K102" s="5" t="s">
        <v>117</v>
      </c>
      <c r="L102" s="3" t="s">
        <v>152</v>
      </c>
      <c r="M102" s="3" t="s">
        <v>740</v>
      </c>
      <c r="N102" s="5" t="s">
        <v>953</v>
      </c>
      <c r="O102" s="5" t="s">
        <v>154</v>
      </c>
      <c r="P102" s="5" t="s">
        <v>34</v>
      </c>
      <c r="Q102" s="155">
        <v>585</v>
      </c>
      <c r="R102" s="167">
        <v>3.306</v>
      </c>
      <c r="S102" s="169">
        <v>44472</v>
      </c>
      <c r="U102" s="155">
        <v>860.09299999999996</v>
      </c>
      <c r="V102" s="166">
        <v>0</v>
      </c>
      <c r="W102" s="166">
        <v>1.8868423729379901E-3</v>
      </c>
      <c r="X102" s="166">
        <v>3.3545089732867702E-4</v>
      </c>
    </row>
    <row r="103" spans="1:24">
      <c r="A103" s="5">
        <v>288</v>
      </c>
      <c r="B103" s="5">
        <v>288</v>
      </c>
      <c r="C103" s="5" t="s">
        <v>1033</v>
      </c>
      <c r="D103" s="5" t="s">
        <v>1034</v>
      </c>
      <c r="E103" s="5" t="s">
        <v>652</v>
      </c>
      <c r="F103" s="5" t="s">
        <v>1035</v>
      </c>
      <c r="G103" s="5" t="s">
        <v>1036</v>
      </c>
      <c r="H103" s="5" t="s">
        <v>150</v>
      </c>
      <c r="I103" s="5" t="s">
        <v>739</v>
      </c>
      <c r="J103" s="5" t="s">
        <v>116</v>
      </c>
      <c r="K103" s="5" t="s">
        <v>117</v>
      </c>
      <c r="L103" s="3" t="s">
        <v>152</v>
      </c>
      <c r="M103" s="3" t="s">
        <v>923</v>
      </c>
      <c r="N103" s="5" t="s">
        <v>1037</v>
      </c>
      <c r="O103" s="5" t="s">
        <v>154</v>
      </c>
      <c r="P103" s="5" t="s">
        <v>34</v>
      </c>
      <c r="Q103" s="155">
        <v>7630</v>
      </c>
      <c r="R103" s="167">
        <v>3.306</v>
      </c>
      <c r="S103" s="169">
        <v>9797</v>
      </c>
      <c r="U103" s="155">
        <v>2471.2719999999999</v>
      </c>
      <c r="V103" s="166">
        <v>3.9999999999999998E-6</v>
      </c>
      <c r="W103" s="166">
        <v>5.4213911133615903E-3</v>
      </c>
      <c r="X103" s="166">
        <v>9.6383807138860798E-4</v>
      </c>
    </row>
    <row r="104" spans="1:24">
      <c r="A104" s="5">
        <v>288</v>
      </c>
      <c r="B104" s="5">
        <v>288</v>
      </c>
      <c r="C104" s="5" t="s">
        <v>1038</v>
      </c>
      <c r="D104" s="5" t="s">
        <v>1039</v>
      </c>
      <c r="E104" s="5" t="s">
        <v>652</v>
      </c>
      <c r="F104" s="5" t="s">
        <v>1040</v>
      </c>
      <c r="G104" s="5" t="s">
        <v>1041</v>
      </c>
      <c r="H104" s="5" t="s">
        <v>150</v>
      </c>
      <c r="I104" s="5" t="s">
        <v>739</v>
      </c>
      <c r="J104" s="5" t="s">
        <v>116</v>
      </c>
      <c r="K104" s="5" t="s">
        <v>117</v>
      </c>
      <c r="L104" s="3" t="s">
        <v>152</v>
      </c>
      <c r="M104" s="3" t="s">
        <v>923</v>
      </c>
      <c r="N104" s="5" t="s">
        <v>1042</v>
      </c>
      <c r="O104" s="5" t="s">
        <v>154</v>
      </c>
      <c r="P104" s="5" t="s">
        <v>34</v>
      </c>
      <c r="Q104" s="155">
        <v>1520</v>
      </c>
      <c r="R104" s="167">
        <v>3.306</v>
      </c>
      <c r="S104" s="169">
        <v>34530</v>
      </c>
      <c r="U104" s="155">
        <v>1735.174</v>
      </c>
      <c r="V104" s="166">
        <v>1.9999999999999999E-6</v>
      </c>
      <c r="W104" s="166">
        <v>3.80656508538069E-3</v>
      </c>
      <c r="X104" s="166">
        <v>6.7674740187368397E-4</v>
      </c>
    </row>
    <row r="105" spans="1:24">
      <c r="A105" s="5">
        <v>288</v>
      </c>
      <c r="B105" s="5">
        <v>288</v>
      </c>
      <c r="C105" s="5" t="s">
        <v>954</v>
      </c>
      <c r="D105" s="5" t="s">
        <v>955</v>
      </c>
      <c r="E105" s="5" t="s">
        <v>652</v>
      </c>
      <c r="F105" s="5" t="s">
        <v>956</v>
      </c>
      <c r="G105" s="5" t="s">
        <v>957</v>
      </c>
      <c r="H105" s="5" t="s">
        <v>150</v>
      </c>
      <c r="I105" s="5" t="s">
        <v>739</v>
      </c>
      <c r="J105" s="5" t="s">
        <v>116</v>
      </c>
      <c r="K105" s="5" t="s">
        <v>117</v>
      </c>
      <c r="L105" s="3" t="s">
        <v>152</v>
      </c>
      <c r="M105" s="3" t="s">
        <v>923</v>
      </c>
      <c r="N105" s="5" t="s">
        <v>667</v>
      </c>
      <c r="O105" s="5" t="s">
        <v>154</v>
      </c>
      <c r="P105" s="5" t="s">
        <v>34</v>
      </c>
      <c r="Q105" s="155">
        <v>2978</v>
      </c>
      <c r="R105" s="167">
        <v>3.306</v>
      </c>
      <c r="S105" s="169">
        <v>34138</v>
      </c>
      <c r="U105" s="155">
        <v>3360.9780000000001</v>
      </c>
      <c r="V105" s="166">
        <v>1.9999999999999999E-6</v>
      </c>
      <c r="W105" s="166">
        <v>7.3731973958326398E-3</v>
      </c>
      <c r="X105" s="166">
        <v>1.31083853006878E-3</v>
      </c>
    </row>
    <row r="106" spans="1:24">
      <c r="A106" s="5">
        <v>288</v>
      </c>
      <c r="B106" s="5">
        <v>288</v>
      </c>
      <c r="C106" s="5" t="s">
        <v>1043</v>
      </c>
      <c r="D106" s="5" t="s">
        <v>1044</v>
      </c>
      <c r="E106" s="5" t="s">
        <v>652</v>
      </c>
      <c r="F106" s="5" t="s">
        <v>1045</v>
      </c>
      <c r="G106" s="5" t="s">
        <v>1046</v>
      </c>
      <c r="H106" s="5" t="s">
        <v>150</v>
      </c>
      <c r="I106" s="5" t="s">
        <v>739</v>
      </c>
      <c r="J106" s="5" t="s">
        <v>116</v>
      </c>
      <c r="K106" s="5" t="s">
        <v>117</v>
      </c>
      <c r="L106" s="3" t="s">
        <v>152</v>
      </c>
      <c r="M106" s="3" t="s">
        <v>923</v>
      </c>
      <c r="N106" s="5" t="s">
        <v>655</v>
      </c>
      <c r="O106" s="5" t="s">
        <v>154</v>
      </c>
      <c r="P106" s="5" t="s">
        <v>34</v>
      </c>
      <c r="Q106" s="155">
        <v>4200</v>
      </c>
      <c r="R106" s="167">
        <v>3.306</v>
      </c>
      <c r="S106" s="169">
        <v>8382</v>
      </c>
      <c r="U106" s="155">
        <v>1163.857</v>
      </c>
      <c r="V106" s="166">
        <v>9.9999999999999995E-7</v>
      </c>
      <c r="W106" s="166">
        <v>2.55323059833127E-3</v>
      </c>
      <c r="X106" s="166">
        <v>4.53924242735568E-4</v>
      </c>
    </row>
    <row r="107" spans="1:24">
      <c r="A107" s="5">
        <v>288</v>
      </c>
      <c r="B107" s="5">
        <v>288</v>
      </c>
      <c r="C107" s="5" t="s">
        <v>1047</v>
      </c>
      <c r="D107" s="5" t="s">
        <v>1048</v>
      </c>
      <c r="E107" s="5" t="s">
        <v>652</v>
      </c>
      <c r="F107" s="5" t="s">
        <v>1049</v>
      </c>
      <c r="G107" s="5" t="s">
        <v>1050</v>
      </c>
      <c r="H107" s="5" t="s">
        <v>150</v>
      </c>
      <c r="I107" s="5" t="s">
        <v>739</v>
      </c>
      <c r="J107" s="5" t="s">
        <v>116</v>
      </c>
      <c r="K107" s="5" t="s">
        <v>117</v>
      </c>
      <c r="L107" s="3" t="s">
        <v>152</v>
      </c>
      <c r="M107" s="3" t="s">
        <v>923</v>
      </c>
      <c r="N107" s="5" t="s">
        <v>1051</v>
      </c>
      <c r="O107" s="5" t="s">
        <v>154</v>
      </c>
      <c r="P107" s="5" t="s">
        <v>34</v>
      </c>
      <c r="Q107" s="155">
        <v>2109</v>
      </c>
      <c r="R107" s="167">
        <v>3.306</v>
      </c>
      <c r="S107" s="169">
        <v>10306</v>
      </c>
      <c r="U107" s="155">
        <v>718.57100000000003</v>
      </c>
      <c r="V107" s="166">
        <v>0</v>
      </c>
      <c r="W107" s="166">
        <v>1.57637598988655E-3</v>
      </c>
      <c r="X107" s="166">
        <v>2.8025485749052701E-4</v>
      </c>
    </row>
    <row r="108" spans="1:24">
      <c r="A108" s="5">
        <v>288</v>
      </c>
      <c r="B108" s="5">
        <v>1452</v>
      </c>
      <c r="C108" s="5" t="s">
        <v>735</v>
      </c>
      <c r="D108" s="5" t="s">
        <v>736</v>
      </c>
      <c r="E108" s="5" t="s">
        <v>147</v>
      </c>
      <c r="F108" s="5" t="s">
        <v>737</v>
      </c>
      <c r="G108" s="5" t="s">
        <v>738</v>
      </c>
      <c r="H108" s="5" t="s">
        <v>150</v>
      </c>
      <c r="I108" s="5" t="s">
        <v>739</v>
      </c>
      <c r="J108" s="5" t="s">
        <v>30</v>
      </c>
      <c r="K108" s="5" t="s">
        <v>267</v>
      </c>
      <c r="L108" s="3" t="s">
        <v>152</v>
      </c>
      <c r="M108" s="3" t="s">
        <v>740</v>
      </c>
      <c r="N108" s="5" t="s">
        <v>741</v>
      </c>
      <c r="O108" s="5" t="s">
        <v>154</v>
      </c>
      <c r="P108" s="5" t="s">
        <v>34</v>
      </c>
      <c r="Q108" s="155">
        <v>220</v>
      </c>
      <c r="R108" s="167">
        <v>3.306</v>
      </c>
      <c r="S108" s="169">
        <v>31966</v>
      </c>
      <c r="U108" s="155">
        <v>232.495</v>
      </c>
      <c r="V108" s="166">
        <v>7.9999999999999996E-6</v>
      </c>
      <c r="W108" s="166">
        <v>1.14069686669912E-2</v>
      </c>
      <c r="X108" s="166">
        <v>2.63545547561611E-3</v>
      </c>
    </row>
    <row r="109" spans="1:24">
      <c r="A109" s="5">
        <v>288</v>
      </c>
      <c r="B109" s="5">
        <v>1452</v>
      </c>
      <c r="C109" s="5" t="s">
        <v>742</v>
      </c>
      <c r="D109" s="5" t="s">
        <v>743</v>
      </c>
      <c r="E109" s="5" t="s">
        <v>147</v>
      </c>
      <c r="F109" s="5" t="s">
        <v>744</v>
      </c>
      <c r="G109" s="5" t="s">
        <v>745</v>
      </c>
      <c r="H109" s="5" t="s">
        <v>150</v>
      </c>
      <c r="I109" s="5" t="s">
        <v>739</v>
      </c>
      <c r="J109" s="5" t="s">
        <v>30</v>
      </c>
      <c r="K109" s="5" t="s">
        <v>30</v>
      </c>
      <c r="L109" s="3" t="s">
        <v>152</v>
      </c>
      <c r="M109" s="3" t="s">
        <v>41</v>
      </c>
      <c r="N109" s="5" t="s">
        <v>193</v>
      </c>
      <c r="O109" s="5" t="s">
        <v>154</v>
      </c>
      <c r="P109" s="5" t="s">
        <v>44</v>
      </c>
      <c r="Q109" s="155">
        <v>14500</v>
      </c>
      <c r="R109" s="167">
        <v>1</v>
      </c>
      <c r="S109" s="169">
        <v>1509</v>
      </c>
      <c r="U109" s="155">
        <v>218.80500000000001</v>
      </c>
      <c r="V109" s="166">
        <v>2.5999999999999998E-5</v>
      </c>
      <c r="W109" s="166">
        <v>1.0735287147754E-2</v>
      </c>
      <c r="X109" s="166">
        <v>2.4802707995271798E-3</v>
      </c>
    </row>
    <row r="110" spans="1:24">
      <c r="A110" s="5">
        <v>288</v>
      </c>
      <c r="B110" s="5">
        <v>1452</v>
      </c>
      <c r="C110" s="5" t="s">
        <v>550</v>
      </c>
      <c r="D110" s="5" t="s">
        <v>551</v>
      </c>
      <c r="E110" s="5" t="s">
        <v>147</v>
      </c>
      <c r="F110" s="5" t="s">
        <v>746</v>
      </c>
      <c r="G110" s="5" t="s">
        <v>747</v>
      </c>
      <c r="H110" s="5" t="s">
        <v>150</v>
      </c>
      <c r="I110" s="5" t="s">
        <v>739</v>
      </c>
      <c r="J110" s="5" t="s">
        <v>30</v>
      </c>
      <c r="K110" s="5" t="s">
        <v>30</v>
      </c>
      <c r="L110" s="3" t="s">
        <v>152</v>
      </c>
      <c r="M110" s="3" t="s">
        <v>41</v>
      </c>
      <c r="N110" s="5" t="s">
        <v>554</v>
      </c>
      <c r="O110" s="5" t="s">
        <v>154</v>
      </c>
      <c r="P110" s="5" t="s">
        <v>44</v>
      </c>
      <c r="Q110" s="155">
        <v>430</v>
      </c>
      <c r="R110" s="167">
        <v>1</v>
      </c>
      <c r="S110" s="169">
        <v>167700</v>
      </c>
      <c r="U110" s="155">
        <v>721.11</v>
      </c>
      <c r="V110" s="166">
        <v>9.0000000000000002E-6</v>
      </c>
      <c r="W110" s="166">
        <v>3.5380009209647498E-2</v>
      </c>
      <c r="X110" s="166">
        <v>8.1741645586117396E-3</v>
      </c>
    </row>
    <row r="111" spans="1:24">
      <c r="A111" s="5">
        <v>288</v>
      </c>
      <c r="B111" s="5">
        <v>1452</v>
      </c>
      <c r="C111" s="5" t="s">
        <v>195</v>
      </c>
      <c r="D111" s="5" t="s">
        <v>196</v>
      </c>
      <c r="E111" s="5" t="s">
        <v>147</v>
      </c>
      <c r="F111" s="5" t="s">
        <v>748</v>
      </c>
      <c r="G111" s="5" t="s">
        <v>749</v>
      </c>
      <c r="H111" s="5" t="s">
        <v>150</v>
      </c>
      <c r="I111" s="5" t="s">
        <v>739</v>
      </c>
      <c r="J111" s="5" t="s">
        <v>30</v>
      </c>
      <c r="K111" s="5" t="s">
        <v>30</v>
      </c>
      <c r="L111" s="3" t="s">
        <v>152</v>
      </c>
      <c r="M111" s="3" t="s">
        <v>41</v>
      </c>
      <c r="N111" s="5" t="s">
        <v>184</v>
      </c>
      <c r="O111" s="5" t="s">
        <v>154</v>
      </c>
      <c r="P111" s="5" t="s">
        <v>44</v>
      </c>
      <c r="Q111" s="155">
        <v>10367</v>
      </c>
      <c r="R111" s="167">
        <v>1</v>
      </c>
      <c r="S111" s="169">
        <v>3926</v>
      </c>
      <c r="U111" s="155">
        <v>407.00799999999998</v>
      </c>
      <c r="V111" s="166">
        <v>4.8000000000000001E-5</v>
      </c>
      <c r="W111" s="166">
        <v>1.9969160943551001E-2</v>
      </c>
      <c r="X111" s="166">
        <v>4.6136564488365997E-3</v>
      </c>
    </row>
    <row r="112" spans="1:24">
      <c r="A112" s="5">
        <v>288</v>
      </c>
      <c r="B112" s="5">
        <v>1452</v>
      </c>
      <c r="C112" s="5" t="s">
        <v>210</v>
      </c>
      <c r="D112" s="5" t="s">
        <v>211</v>
      </c>
      <c r="E112" s="5" t="s">
        <v>147</v>
      </c>
      <c r="F112" s="5" t="s">
        <v>750</v>
      </c>
      <c r="G112" s="5" t="s">
        <v>751</v>
      </c>
      <c r="H112" s="5" t="s">
        <v>150</v>
      </c>
      <c r="I112" s="5" t="s">
        <v>739</v>
      </c>
      <c r="J112" s="5" t="s">
        <v>30</v>
      </c>
      <c r="K112" s="5" t="s">
        <v>30</v>
      </c>
      <c r="L112" s="3" t="s">
        <v>152</v>
      </c>
      <c r="M112" s="3" t="s">
        <v>41</v>
      </c>
      <c r="N112" s="5" t="s">
        <v>184</v>
      </c>
      <c r="O112" s="5" t="s">
        <v>154</v>
      </c>
      <c r="P112" s="5" t="s">
        <v>44</v>
      </c>
      <c r="Q112" s="155">
        <v>11863</v>
      </c>
      <c r="R112" s="167">
        <v>1</v>
      </c>
      <c r="S112" s="169">
        <v>2476</v>
      </c>
      <c r="U112" s="155">
        <v>293.72800000000001</v>
      </c>
      <c r="V112" s="166">
        <v>2.4000000000000001E-5</v>
      </c>
      <c r="W112" s="166">
        <v>1.44112480752316E-2</v>
      </c>
      <c r="X112" s="166">
        <v>3.32956140751364E-3</v>
      </c>
    </row>
    <row r="113" spans="1:24">
      <c r="A113" s="5">
        <v>288</v>
      </c>
      <c r="B113" s="5">
        <v>1452</v>
      </c>
      <c r="C113" s="5" t="s">
        <v>218</v>
      </c>
      <c r="D113" s="5" t="s">
        <v>219</v>
      </c>
      <c r="E113" s="5" t="s">
        <v>147</v>
      </c>
      <c r="F113" s="5" t="s">
        <v>752</v>
      </c>
      <c r="G113" s="5" t="s">
        <v>753</v>
      </c>
      <c r="H113" s="5" t="s">
        <v>150</v>
      </c>
      <c r="I113" s="5" t="s">
        <v>739</v>
      </c>
      <c r="J113" s="5" t="s">
        <v>30</v>
      </c>
      <c r="K113" s="5" t="s">
        <v>117</v>
      </c>
      <c r="L113" s="3" t="s">
        <v>152</v>
      </c>
      <c r="M113" s="3" t="s">
        <v>41</v>
      </c>
      <c r="N113" s="5" t="s">
        <v>222</v>
      </c>
      <c r="O113" s="5" t="s">
        <v>154</v>
      </c>
      <c r="P113" s="5" t="s">
        <v>44</v>
      </c>
      <c r="Q113" s="155">
        <v>5314.6</v>
      </c>
      <c r="R113" s="167">
        <v>1</v>
      </c>
      <c r="S113" s="169">
        <v>10190</v>
      </c>
      <c r="U113" s="155">
        <v>541.55799999999999</v>
      </c>
      <c r="V113" s="166">
        <v>4.0000000000000003E-5</v>
      </c>
      <c r="W113" s="166">
        <v>2.6570589547719299E-2</v>
      </c>
      <c r="X113" s="166">
        <v>6.1388443992593002E-3</v>
      </c>
    </row>
    <row r="114" spans="1:24">
      <c r="A114" s="5">
        <v>288</v>
      </c>
      <c r="B114" s="5">
        <v>1452</v>
      </c>
      <c r="C114" s="5" t="s">
        <v>224</v>
      </c>
      <c r="D114" s="5" t="s">
        <v>225</v>
      </c>
      <c r="E114" s="5" t="s">
        <v>147</v>
      </c>
      <c r="F114" s="5" t="s">
        <v>754</v>
      </c>
      <c r="G114" s="5" t="s">
        <v>755</v>
      </c>
      <c r="H114" s="5" t="s">
        <v>150</v>
      </c>
      <c r="I114" s="5" t="s">
        <v>739</v>
      </c>
      <c r="J114" s="5" t="s">
        <v>30</v>
      </c>
      <c r="K114" s="5" t="s">
        <v>30</v>
      </c>
      <c r="L114" s="3" t="s">
        <v>152</v>
      </c>
      <c r="M114" s="3" t="s">
        <v>41</v>
      </c>
      <c r="N114" s="5" t="s">
        <v>222</v>
      </c>
      <c r="O114" s="5" t="s">
        <v>154</v>
      </c>
      <c r="P114" s="5" t="s">
        <v>44</v>
      </c>
      <c r="Q114" s="155">
        <v>20000</v>
      </c>
      <c r="R114" s="167">
        <v>1</v>
      </c>
      <c r="S114" s="169">
        <v>1428</v>
      </c>
      <c r="U114" s="155">
        <v>285.60000000000002</v>
      </c>
      <c r="V114" s="166">
        <v>3.6000000000000001E-5</v>
      </c>
      <c r="W114" s="166">
        <v>1.40124677653552E-2</v>
      </c>
      <c r="X114" s="166">
        <v>3.2374275740726299E-3</v>
      </c>
    </row>
    <row r="115" spans="1:24">
      <c r="A115" s="5">
        <v>288</v>
      </c>
      <c r="B115" s="5">
        <v>1452</v>
      </c>
      <c r="C115" s="5" t="s">
        <v>236</v>
      </c>
      <c r="D115" s="5" t="s">
        <v>237</v>
      </c>
      <c r="E115" s="5" t="s">
        <v>147</v>
      </c>
      <c r="F115" s="5" t="s">
        <v>756</v>
      </c>
      <c r="G115" s="5" t="s">
        <v>757</v>
      </c>
      <c r="H115" s="5" t="s">
        <v>150</v>
      </c>
      <c r="I115" s="5" t="s">
        <v>739</v>
      </c>
      <c r="J115" s="5" t="s">
        <v>30</v>
      </c>
      <c r="K115" s="5" t="s">
        <v>30</v>
      </c>
      <c r="L115" s="3" t="s">
        <v>152</v>
      </c>
      <c r="M115" s="3" t="s">
        <v>41</v>
      </c>
      <c r="N115" s="5" t="s">
        <v>240</v>
      </c>
      <c r="O115" s="5" t="s">
        <v>154</v>
      </c>
      <c r="P115" s="5" t="s">
        <v>44</v>
      </c>
      <c r="Q115" s="155">
        <v>81427</v>
      </c>
      <c r="R115" s="167">
        <v>1</v>
      </c>
      <c r="S115" s="169">
        <v>634.70000000000005</v>
      </c>
      <c r="T115" s="154">
        <v>17.12</v>
      </c>
      <c r="U115" s="155">
        <v>533.93700000000001</v>
      </c>
      <c r="V115" s="166">
        <v>2.9E-5</v>
      </c>
      <c r="W115" s="166">
        <v>2.61966793565328E-2</v>
      </c>
      <c r="X115" s="166">
        <v>6.0524565350055003E-3</v>
      </c>
    </row>
    <row r="116" spans="1:24">
      <c r="A116" s="5">
        <v>288</v>
      </c>
      <c r="B116" s="5">
        <v>1452</v>
      </c>
      <c r="C116" s="5" t="s">
        <v>758</v>
      </c>
      <c r="D116" s="5" t="s">
        <v>759</v>
      </c>
      <c r="E116" s="5" t="s">
        <v>147</v>
      </c>
      <c r="F116" s="5" t="s">
        <v>760</v>
      </c>
      <c r="G116" s="5" t="s">
        <v>761</v>
      </c>
      <c r="H116" s="5" t="s">
        <v>150</v>
      </c>
      <c r="I116" s="5" t="s">
        <v>739</v>
      </c>
      <c r="J116" s="5" t="s">
        <v>30</v>
      </c>
      <c r="K116" s="5" t="s">
        <v>30</v>
      </c>
      <c r="L116" s="3" t="s">
        <v>152</v>
      </c>
      <c r="M116" s="3" t="s">
        <v>41</v>
      </c>
      <c r="N116" s="5" t="s">
        <v>645</v>
      </c>
      <c r="O116" s="5" t="s">
        <v>154</v>
      </c>
      <c r="P116" s="5" t="s">
        <v>44</v>
      </c>
      <c r="Q116" s="155">
        <v>256</v>
      </c>
      <c r="R116" s="167">
        <v>1</v>
      </c>
      <c r="S116" s="169">
        <v>24800</v>
      </c>
      <c r="U116" s="155">
        <v>63.488</v>
      </c>
      <c r="V116" s="166">
        <v>2.8E-5</v>
      </c>
      <c r="W116" s="166">
        <v>3.1149284085674901E-3</v>
      </c>
      <c r="X116" s="166">
        <v>7.1967017444930998E-4</v>
      </c>
    </row>
    <row r="117" spans="1:24">
      <c r="A117" s="5">
        <v>288</v>
      </c>
      <c r="B117" s="5">
        <v>1452</v>
      </c>
      <c r="C117" s="5" t="s">
        <v>658</v>
      </c>
      <c r="D117" s="5" t="s">
        <v>659</v>
      </c>
      <c r="E117" s="5" t="s">
        <v>147</v>
      </c>
      <c r="F117" s="5" t="s">
        <v>762</v>
      </c>
      <c r="G117" s="5" t="s">
        <v>763</v>
      </c>
      <c r="H117" s="5" t="s">
        <v>150</v>
      </c>
      <c r="I117" s="5" t="s">
        <v>739</v>
      </c>
      <c r="J117" s="5" t="s">
        <v>30</v>
      </c>
      <c r="K117" s="5" t="s">
        <v>30</v>
      </c>
      <c r="L117" s="3" t="s">
        <v>152</v>
      </c>
      <c r="M117" s="3" t="s">
        <v>41</v>
      </c>
      <c r="N117" s="5" t="s">
        <v>282</v>
      </c>
      <c r="O117" s="5" t="s">
        <v>154</v>
      </c>
      <c r="P117" s="5" t="s">
        <v>44</v>
      </c>
      <c r="Q117" s="155">
        <v>35075</v>
      </c>
      <c r="R117" s="167">
        <v>1</v>
      </c>
      <c r="S117" s="169">
        <v>3274</v>
      </c>
      <c r="U117" s="155">
        <v>1148.355</v>
      </c>
      <c r="V117" s="166">
        <v>2.8E-5</v>
      </c>
      <c r="W117" s="166">
        <v>5.63420673211429E-2</v>
      </c>
      <c r="X117" s="166">
        <v>1.3017219049502701E-2</v>
      </c>
    </row>
    <row r="118" spans="1:24">
      <c r="A118" s="5">
        <v>288</v>
      </c>
      <c r="B118" s="5">
        <v>1452</v>
      </c>
      <c r="C118" s="5" t="s">
        <v>764</v>
      </c>
      <c r="D118" s="5" t="s">
        <v>765</v>
      </c>
      <c r="E118" s="5" t="s">
        <v>147</v>
      </c>
      <c r="F118" s="5" t="s">
        <v>766</v>
      </c>
      <c r="G118" s="5" t="s">
        <v>767</v>
      </c>
      <c r="H118" s="5" t="s">
        <v>150</v>
      </c>
      <c r="I118" s="5" t="s">
        <v>739</v>
      </c>
      <c r="J118" s="5" t="s">
        <v>30</v>
      </c>
      <c r="K118" s="5" t="s">
        <v>30</v>
      </c>
      <c r="L118" s="3" t="s">
        <v>152</v>
      </c>
      <c r="M118" s="3" t="s">
        <v>41</v>
      </c>
      <c r="N118" s="5" t="s">
        <v>645</v>
      </c>
      <c r="O118" s="5" t="s">
        <v>154</v>
      </c>
      <c r="P118" s="5" t="s">
        <v>44</v>
      </c>
      <c r="Q118" s="155">
        <v>610</v>
      </c>
      <c r="R118" s="167">
        <v>1</v>
      </c>
      <c r="S118" s="169">
        <v>38150</v>
      </c>
      <c r="U118" s="155">
        <v>232.715</v>
      </c>
      <c r="V118" s="166">
        <v>2.9E-5</v>
      </c>
      <c r="W118" s="166">
        <v>1.14177571289028E-2</v>
      </c>
      <c r="X118" s="166">
        <v>2.6379480318638399E-3</v>
      </c>
    </row>
    <row r="119" spans="1:24">
      <c r="A119" s="5">
        <v>288</v>
      </c>
      <c r="B119" s="5">
        <v>1452</v>
      </c>
      <c r="C119" s="5" t="s">
        <v>301</v>
      </c>
      <c r="D119" s="5" t="s">
        <v>302</v>
      </c>
      <c r="E119" s="5" t="s">
        <v>147</v>
      </c>
      <c r="F119" s="5" t="s">
        <v>768</v>
      </c>
      <c r="G119" s="5" t="s">
        <v>769</v>
      </c>
      <c r="H119" s="5" t="s">
        <v>150</v>
      </c>
      <c r="I119" s="5" t="s">
        <v>739</v>
      </c>
      <c r="J119" s="5" t="s">
        <v>30</v>
      </c>
      <c r="K119" s="5" t="s">
        <v>30</v>
      </c>
      <c r="L119" s="3" t="s">
        <v>152</v>
      </c>
      <c r="M119" s="3" t="s">
        <v>41</v>
      </c>
      <c r="N119" s="5" t="s">
        <v>176</v>
      </c>
      <c r="O119" s="5" t="s">
        <v>154</v>
      </c>
      <c r="P119" s="5" t="s">
        <v>44</v>
      </c>
      <c r="Q119" s="155">
        <v>4510</v>
      </c>
      <c r="R119" s="167">
        <v>1</v>
      </c>
      <c r="S119" s="169">
        <v>12400</v>
      </c>
      <c r="U119" s="155">
        <v>559.24</v>
      </c>
      <c r="V119" s="166">
        <v>1.7E-5</v>
      </c>
      <c r="W119" s="166">
        <v>2.7438138911405001E-2</v>
      </c>
      <c r="X119" s="166">
        <v>6.3392822007156003E-3</v>
      </c>
    </row>
    <row r="120" spans="1:24">
      <c r="A120" s="5">
        <v>288</v>
      </c>
      <c r="B120" s="5">
        <v>1452</v>
      </c>
      <c r="C120" s="5" t="s">
        <v>1052</v>
      </c>
      <c r="D120" s="5" t="s">
        <v>1053</v>
      </c>
      <c r="E120" s="5" t="s">
        <v>147</v>
      </c>
      <c r="F120" s="5" t="s">
        <v>1054</v>
      </c>
      <c r="G120" s="5" t="s">
        <v>1055</v>
      </c>
      <c r="H120" s="5" t="s">
        <v>150</v>
      </c>
      <c r="I120" s="5" t="s">
        <v>739</v>
      </c>
      <c r="J120" s="5" t="s">
        <v>30</v>
      </c>
      <c r="K120" s="5" t="s">
        <v>30</v>
      </c>
      <c r="L120" s="3" t="s">
        <v>152</v>
      </c>
      <c r="M120" s="3" t="s">
        <v>41</v>
      </c>
      <c r="N120" s="5" t="s">
        <v>645</v>
      </c>
      <c r="O120" s="5" t="s">
        <v>154</v>
      </c>
      <c r="P120" s="5" t="s">
        <v>44</v>
      </c>
      <c r="Q120" s="155">
        <v>9800</v>
      </c>
      <c r="R120" s="167">
        <v>1</v>
      </c>
      <c r="S120" s="169">
        <v>2153</v>
      </c>
      <c r="U120" s="155">
        <v>210.994</v>
      </c>
      <c r="V120" s="166">
        <v>1.5799999999999999E-4</v>
      </c>
      <c r="W120" s="166">
        <v>1.0352054004493599E-2</v>
      </c>
      <c r="X120" s="166">
        <v>2.3917289690611999E-3</v>
      </c>
    </row>
    <row r="121" spans="1:24">
      <c r="A121" s="5">
        <v>288</v>
      </c>
      <c r="B121" s="5">
        <v>1452</v>
      </c>
      <c r="C121" s="5" t="s">
        <v>770</v>
      </c>
      <c r="D121" s="5" t="s">
        <v>771</v>
      </c>
      <c r="E121" s="5" t="s">
        <v>147</v>
      </c>
      <c r="F121" s="5" t="s">
        <v>772</v>
      </c>
      <c r="G121" s="5" t="s">
        <v>773</v>
      </c>
      <c r="H121" s="5" t="s">
        <v>150</v>
      </c>
      <c r="I121" s="5" t="s">
        <v>739</v>
      </c>
      <c r="J121" s="5" t="s">
        <v>30</v>
      </c>
      <c r="K121" s="5" t="s">
        <v>117</v>
      </c>
      <c r="L121" s="3" t="s">
        <v>152</v>
      </c>
      <c r="M121" s="3" t="s">
        <v>41</v>
      </c>
      <c r="N121" s="5" t="s">
        <v>774</v>
      </c>
      <c r="O121" s="5" t="s">
        <v>154</v>
      </c>
      <c r="P121" s="5" t="s">
        <v>44</v>
      </c>
      <c r="Q121" s="155">
        <v>9510</v>
      </c>
      <c r="R121" s="167">
        <v>1</v>
      </c>
      <c r="S121" s="169">
        <v>6440</v>
      </c>
      <c r="U121" s="155">
        <v>612.44399999999996</v>
      </c>
      <c r="V121" s="166">
        <v>7.9999999999999996E-6</v>
      </c>
      <c r="W121" s="166">
        <v>3.0048500728589701E-2</v>
      </c>
      <c r="X121" s="166">
        <v>6.9423777772245699E-3</v>
      </c>
    </row>
    <row r="122" spans="1:24">
      <c r="A122" s="5">
        <v>288</v>
      </c>
      <c r="B122" s="5">
        <v>1452</v>
      </c>
      <c r="C122" s="5" t="s">
        <v>775</v>
      </c>
      <c r="D122" s="5" t="s">
        <v>776</v>
      </c>
      <c r="E122" s="5" t="s">
        <v>147</v>
      </c>
      <c r="F122" s="5" t="s">
        <v>777</v>
      </c>
      <c r="G122" s="5" t="s">
        <v>778</v>
      </c>
      <c r="H122" s="5" t="s">
        <v>150</v>
      </c>
      <c r="I122" s="5" t="s">
        <v>739</v>
      </c>
      <c r="J122" s="5" t="s">
        <v>30</v>
      </c>
      <c r="K122" s="5" t="s">
        <v>30</v>
      </c>
      <c r="L122" s="3" t="s">
        <v>152</v>
      </c>
      <c r="M122" s="3" t="s">
        <v>41</v>
      </c>
      <c r="N122" s="5" t="s">
        <v>645</v>
      </c>
      <c r="O122" s="5" t="s">
        <v>154</v>
      </c>
      <c r="P122" s="5" t="s">
        <v>44</v>
      </c>
      <c r="Q122" s="155">
        <v>17699</v>
      </c>
      <c r="R122" s="167">
        <v>1</v>
      </c>
      <c r="S122" s="169">
        <v>1463</v>
      </c>
      <c r="U122" s="155">
        <v>258.93599999999998</v>
      </c>
      <c r="V122" s="166">
        <v>5.3000000000000001E-5</v>
      </c>
      <c r="W122" s="166">
        <v>1.2704263087896E-2</v>
      </c>
      <c r="X122" s="166">
        <v>2.9351811770597798E-3</v>
      </c>
    </row>
    <row r="123" spans="1:24">
      <c r="A123" s="5">
        <v>288</v>
      </c>
      <c r="B123" s="5">
        <v>1452</v>
      </c>
      <c r="C123" s="5" t="s">
        <v>346</v>
      </c>
      <c r="D123" s="5" t="s">
        <v>347</v>
      </c>
      <c r="E123" s="5" t="s">
        <v>147</v>
      </c>
      <c r="F123" s="5" t="s">
        <v>779</v>
      </c>
      <c r="G123" s="5" t="s">
        <v>780</v>
      </c>
      <c r="H123" s="5" t="s">
        <v>150</v>
      </c>
      <c r="I123" s="5" t="s">
        <v>739</v>
      </c>
      <c r="J123" s="5" t="s">
        <v>30</v>
      </c>
      <c r="K123" s="5" t="s">
        <v>30</v>
      </c>
      <c r="L123" s="3" t="s">
        <v>152</v>
      </c>
      <c r="M123" s="3" t="s">
        <v>41</v>
      </c>
      <c r="N123" s="5" t="s">
        <v>176</v>
      </c>
      <c r="O123" s="5" t="s">
        <v>154</v>
      </c>
      <c r="P123" s="5" t="s">
        <v>44</v>
      </c>
      <c r="Q123" s="155">
        <v>2900</v>
      </c>
      <c r="R123" s="167">
        <v>1</v>
      </c>
      <c r="S123" s="169">
        <v>16970</v>
      </c>
      <c r="U123" s="155">
        <v>492.13</v>
      </c>
      <c r="V123" s="166">
        <v>3.6000000000000001E-5</v>
      </c>
      <c r="W123" s="166">
        <v>2.4145503366121399E-2</v>
      </c>
      <c r="X123" s="166">
        <v>5.5785547339928599E-3</v>
      </c>
    </row>
    <row r="124" spans="1:24">
      <c r="A124" s="5">
        <v>288</v>
      </c>
      <c r="B124" s="5">
        <v>1452</v>
      </c>
      <c r="C124" s="5" t="s">
        <v>355</v>
      </c>
      <c r="D124" s="5" t="s">
        <v>356</v>
      </c>
      <c r="E124" s="5" t="s">
        <v>147</v>
      </c>
      <c r="F124" s="5" t="s">
        <v>781</v>
      </c>
      <c r="G124" s="5" t="s">
        <v>782</v>
      </c>
      <c r="H124" s="5" t="s">
        <v>150</v>
      </c>
      <c r="I124" s="5" t="s">
        <v>739</v>
      </c>
      <c r="J124" s="5" t="s">
        <v>30</v>
      </c>
      <c r="K124" s="5" t="s">
        <v>30</v>
      </c>
      <c r="L124" s="3" t="s">
        <v>152</v>
      </c>
      <c r="M124" s="3" t="s">
        <v>41</v>
      </c>
      <c r="N124" s="5" t="s">
        <v>282</v>
      </c>
      <c r="O124" s="5" t="s">
        <v>154</v>
      </c>
      <c r="P124" s="5" t="s">
        <v>44</v>
      </c>
      <c r="Q124" s="155">
        <v>25400</v>
      </c>
      <c r="R124" s="167">
        <v>1</v>
      </c>
      <c r="S124" s="169">
        <v>6529</v>
      </c>
      <c r="U124" s="155">
        <v>1658.366</v>
      </c>
      <c r="V124" s="166">
        <v>1.5999999999999999E-5</v>
      </c>
      <c r="W124" s="166">
        <v>8.1364846352104794E-2</v>
      </c>
      <c r="X124" s="166">
        <v>1.8798458740562098E-2</v>
      </c>
    </row>
    <row r="125" spans="1:24">
      <c r="A125" s="5">
        <v>288</v>
      </c>
      <c r="B125" s="5">
        <v>1452</v>
      </c>
      <c r="C125" s="5" t="s">
        <v>783</v>
      </c>
      <c r="D125" s="5" t="s">
        <v>784</v>
      </c>
      <c r="E125" s="5" t="s">
        <v>147</v>
      </c>
      <c r="F125" s="5" t="s">
        <v>785</v>
      </c>
      <c r="G125" s="5" t="s">
        <v>786</v>
      </c>
      <c r="H125" s="5" t="s">
        <v>150</v>
      </c>
      <c r="I125" s="5" t="s">
        <v>739</v>
      </c>
      <c r="J125" s="5" t="s">
        <v>30</v>
      </c>
      <c r="K125" s="5" t="s">
        <v>30</v>
      </c>
      <c r="L125" s="3" t="s">
        <v>152</v>
      </c>
      <c r="M125" s="3" t="s">
        <v>41</v>
      </c>
      <c r="N125" s="5" t="s">
        <v>353</v>
      </c>
      <c r="O125" s="5" t="s">
        <v>787</v>
      </c>
      <c r="P125" s="5" t="s">
        <v>44</v>
      </c>
      <c r="Q125" s="155">
        <v>12200</v>
      </c>
      <c r="R125" s="167">
        <v>1</v>
      </c>
      <c r="S125" s="169">
        <v>4523</v>
      </c>
      <c r="U125" s="155">
        <v>551.80600000000004</v>
      </c>
      <c r="V125" s="166">
        <v>1.65E-4</v>
      </c>
      <c r="W125" s="166">
        <v>2.70734026181009E-2</v>
      </c>
      <c r="X125" s="166">
        <v>6.2550138653316503E-3</v>
      </c>
    </row>
    <row r="126" spans="1:24">
      <c r="A126" s="5">
        <v>288</v>
      </c>
      <c r="B126" s="5">
        <v>1452</v>
      </c>
      <c r="C126" s="5" t="s">
        <v>788</v>
      </c>
      <c r="D126" s="5" t="s">
        <v>789</v>
      </c>
      <c r="E126" s="5" t="s">
        <v>147</v>
      </c>
      <c r="F126" s="5" t="s">
        <v>790</v>
      </c>
      <c r="G126" s="5" t="s">
        <v>791</v>
      </c>
      <c r="H126" s="5" t="s">
        <v>150</v>
      </c>
      <c r="I126" s="5" t="s">
        <v>739</v>
      </c>
      <c r="J126" s="5" t="s">
        <v>30</v>
      </c>
      <c r="K126" s="5" t="s">
        <v>30</v>
      </c>
      <c r="L126" s="3" t="s">
        <v>152</v>
      </c>
      <c r="M126" s="3" t="s">
        <v>41</v>
      </c>
      <c r="N126" s="5" t="s">
        <v>282</v>
      </c>
      <c r="O126" s="5" t="s">
        <v>154</v>
      </c>
      <c r="P126" s="5" t="s">
        <v>44</v>
      </c>
      <c r="Q126" s="155">
        <v>3581</v>
      </c>
      <c r="R126" s="167">
        <v>1</v>
      </c>
      <c r="S126" s="169">
        <v>21790</v>
      </c>
      <c r="U126" s="155">
        <v>780.3</v>
      </c>
      <c r="V126" s="166">
        <v>1.4E-5</v>
      </c>
      <c r="W126" s="166">
        <v>3.8284058809733602E-2</v>
      </c>
      <c r="X126" s="166">
        <v>8.8451134884667808E-3</v>
      </c>
    </row>
    <row r="127" spans="1:24">
      <c r="A127" s="5">
        <v>288</v>
      </c>
      <c r="B127" s="5">
        <v>1452</v>
      </c>
      <c r="C127" s="5" t="s">
        <v>431</v>
      </c>
      <c r="D127" s="5" t="s">
        <v>432</v>
      </c>
      <c r="E127" s="5" t="s">
        <v>147</v>
      </c>
      <c r="F127" s="5" t="s">
        <v>792</v>
      </c>
      <c r="G127" s="5" t="s">
        <v>793</v>
      </c>
      <c r="H127" s="5" t="s">
        <v>150</v>
      </c>
      <c r="I127" s="5" t="s">
        <v>739</v>
      </c>
      <c r="J127" s="5" t="s">
        <v>30</v>
      </c>
      <c r="K127" s="5" t="s">
        <v>30</v>
      </c>
      <c r="L127" s="3" t="s">
        <v>152</v>
      </c>
      <c r="M127" s="3" t="s">
        <v>41</v>
      </c>
      <c r="N127" s="5" t="s">
        <v>184</v>
      </c>
      <c r="O127" s="5" t="s">
        <v>154</v>
      </c>
      <c r="P127" s="5" t="s">
        <v>44</v>
      </c>
      <c r="Q127" s="155">
        <v>1082</v>
      </c>
      <c r="R127" s="167">
        <v>1</v>
      </c>
      <c r="S127" s="169">
        <v>40000</v>
      </c>
      <c r="U127" s="155">
        <v>432.8</v>
      </c>
      <c r="V127" s="166">
        <v>2.3E-5</v>
      </c>
      <c r="W127" s="166">
        <v>2.1234580002961301E-2</v>
      </c>
      <c r="X127" s="166">
        <v>4.9060176962837298E-3</v>
      </c>
    </row>
    <row r="128" spans="1:24">
      <c r="A128" s="5">
        <v>288</v>
      </c>
      <c r="B128" s="5">
        <v>1452</v>
      </c>
      <c r="C128" s="5" t="s">
        <v>438</v>
      </c>
      <c r="D128" s="5" t="s">
        <v>439</v>
      </c>
      <c r="E128" s="5" t="s">
        <v>147</v>
      </c>
      <c r="F128" s="5" t="s">
        <v>794</v>
      </c>
      <c r="G128" s="5" t="s">
        <v>795</v>
      </c>
      <c r="H128" s="5" t="s">
        <v>150</v>
      </c>
      <c r="I128" s="5" t="s">
        <v>739</v>
      </c>
      <c r="J128" s="5" t="s">
        <v>30</v>
      </c>
      <c r="K128" s="5" t="s">
        <v>30</v>
      </c>
      <c r="L128" s="3" t="s">
        <v>152</v>
      </c>
      <c r="M128" s="3" t="s">
        <v>41</v>
      </c>
      <c r="N128" s="5" t="s">
        <v>176</v>
      </c>
      <c r="O128" s="5" t="s">
        <v>154</v>
      </c>
      <c r="P128" s="5" t="s">
        <v>44</v>
      </c>
      <c r="Q128" s="155">
        <v>770</v>
      </c>
      <c r="R128" s="167">
        <v>1</v>
      </c>
      <c r="S128" s="169">
        <v>32500</v>
      </c>
      <c r="U128" s="155">
        <v>250.25</v>
      </c>
      <c r="V128" s="166">
        <v>1.2E-5</v>
      </c>
      <c r="W128" s="166">
        <v>1.22780814365552E-2</v>
      </c>
      <c r="X128" s="166">
        <v>2.8367165630660898E-3</v>
      </c>
    </row>
    <row r="129" spans="1:24">
      <c r="A129" s="5">
        <v>288</v>
      </c>
      <c r="B129" s="5">
        <v>1452</v>
      </c>
      <c r="C129" s="5" t="s">
        <v>796</v>
      </c>
      <c r="D129" s="5" t="s">
        <v>797</v>
      </c>
      <c r="E129" s="5" t="s">
        <v>332</v>
      </c>
      <c r="F129" s="5" t="s">
        <v>798</v>
      </c>
      <c r="G129" s="5" t="s">
        <v>799</v>
      </c>
      <c r="H129" s="5" t="s">
        <v>150</v>
      </c>
      <c r="I129" s="5" t="s">
        <v>739</v>
      </c>
      <c r="J129" s="5" t="s">
        <v>30</v>
      </c>
      <c r="K129" s="5" t="s">
        <v>117</v>
      </c>
      <c r="L129" s="3" t="s">
        <v>152</v>
      </c>
      <c r="M129" s="3" t="s">
        <v>41</v>
      </c>
      <c r="N129" s="5" t="s">
        <v>335</v>
      </c>
      <c r="O129" s="5" t="s">
        <v>154</v>
      </c>
      <c r="P129" s="5" t="s">
        <v>44</v>
      </c>
      <c r="Q129" s="155">
        <v>7302</v>
      </c>
      <c r="R129" s="167">
        <v>1</v>
      </c>
      <c r="S129" s="169">
        <v>11190</v>
      </c>
      <c r="U129" s="155">
        <v>817.09400000000005</v>
      </c>
      <c r="V129" s="166">
        <v>6.3E-5</v>
      </c>
      <c r="W129" s="166">
        <v>4.0089287583233997E-2</v>
      </c>
      <c r="X129" s="166">
        <v>9.2621918722821592E-3</v>
      </c>
    </row>
    <row r="130" spans="1:24">
      <c r="A130" s="5">
        <v>288</v>
      </c>
      <c r="B130" s="5">
        <v>1452</v>
      </c>
      <c r="C130" s="5" t="s">
        <v>735</v>
      </c>
      <c r="D130" s="5" t="s">
        <v>736</v>
      </c>
      <c r="E130" s="5" t="s">
        <v>147</v>
      </c>
      <c r="F130" s="5" t="s">
        <v>800</v>
      </c>
      <c r="G130" s="5" t="s">
        <v>738</v>
      </c>
      <c r="H130" s="5" t="s">
        <v>150</v>
      </c>
      <c r="I130" s="5" t="s">
        <v>739</v>
      </c>
      <c r="J130" s="5" t="s">
        <v>30</v>
      </c>
      <c r="K130" s="5" t="s">
        <v>267</v>
      </c>
      <c r="L130" s="3" t="s">
        <v>152</v>
      </c>
      <c r="M130" s="3" t="s">
        <v>41</v>
      </c>
      <c r="N130" s="5" t="s">
        <v>741</v>
      </c>
      <c r="O130" s="5" t="s">
        <v>154</v>
      </c>
      <c r="P130" s="5" t="s">
        <v>44</v>
      </c>
      <c r="Q130" s="155">
        <v>186</v>
      </c>
      <c r="R130" s="167">
        <v>1</v>
      </c>
      <c r="S130" s="169">
        <v>104950</v>
      </c>
      <c r="U130" s="155">
        <v>195.20699999999999</v>
      </c>
      <c r="V130" s="166">
        <v>6.0000000000000002E-6</v>
      </c>
      <c r="W130" s="166">
        <v>9.5774922796628206E-3</v>
      </c>
      <c r="X130" s="166">
        <v>2.2127749455602098E-3</v>
      </c>
    </row>
    <row r="131" spans="1:24">
      <c r="A131" s="5">
        <v>288</v>
      </c>
      <c r="B131" s="5">
        <v>1452</v>
      </c>
      <c r="C131" s="5" t="s">
        <v>801</v>
      </c>
      <c r="D131" s="5" t="s">
        <v>802</v>
      </c>
      <c r="E131" s="5" t="s">
        <v>332</v>
      </c>
      <c r="F131" s="5" t="s">
        <v>803</v>
      </c>
      <c r="G131" s="5" t="s">
        <v>804</v>
      </c>
      <c r="H131" s="5" t="s">
        <v>150</v>
      </c>
      <c r="I131" s="5" t="s">
        <v>739</v>
      </c>
      <c r="J131" s="5" t="s">
        <v>30</v>
      </c>
      <c r="K131" s="5" t="s">
        <v>30</v>
      </c>
      <c r="L131" s="3" t="s">
        <v>152</v>
      </c>
      <c r="M131" s="3" t="s">
        <v>41</v>
      </c>
      <c r="N131" s="5" t="s">
        <v>335</v>
      </c>
      <c r="O131" s="5" t="s">
        <v>154</v>
      </c>
      <c r="P131" s="5" t="s">
        <v>44</v>
      </c>
      <c r="Q131" s="155">
        <v>21722</v>
      </c>
      <c r="R131" s="167">
        <v>1</v>
      </c>
      <c r="S131" s="169">
        <v>1744</v>
      </c>
      <c r="U131" s="155">
        <v>378.83199999999999</v>
      </c>
      <c r="V131" s="166">
        <v>1.9000000000000001E-5</v>
      </c>
      <c r="W131" s="166">
        <v>1.8586718152995001E-2</v>
      </c>
      <c r="X131" s="166">
        <v>4.2942581469336801E-3</v>
      </c>
    </row>
    <row r="132" spans="1:24">
      <c r="A132" s="5">
        <v>288</v>
      </c>
      <c r="B132" s="5">
        <v>1452</v>
      </c>
      <c r="C132" s="5" t="s">
        <v>805</v>
      </c>
      <c r="D132" s="5" t="s">
        <v>806</v>
      </c>
      <c r="E132" s="5" t="s">
        <v>147</v>
      </c>
      <c r="F132" s="5" t="s">
        <v>807</v>
      </c>
      <c r="G132" s="5" t="s">
        <v>808</v>
      </c>
      <c r="H132" s="5" t="s">
        <v>150</v>
      </c>
      <c r="I132" s="5" t="s">
        <v>739</v>
      </c>
      <c r="J132" s="5" t="s">
        <v>30</v>
      </c>
      <c r="K132" s="5" t="s">
        <v>117</v>
      </c>
      <c r="L132" s="3" t="s">
        <v>152</v>
      </c>
      <c r="M132" s="3" t="s">
        <v>41</v>
      </c>
      <c r="N132" s="5" t="s">
        <v>809</v>
      </c>
      <c r="O132" s="5" t="s">
        <v>154</v>
      </c>
      <c r="P132" s="5" t="s">
        <v>44</v>
      </c>
      <c r="Q132" s="155">
        <v>492</v>
      </c>
      <c r="R132" s="167">
        <v>1</v>
      </c>
      <c r="S132" s="169">
        <v>48800</v>
      </c>
      <c r="U132" s="155">
        <v>240.096</v>
      </c>
      <c r="V132" s="166">
        <v>6.9999999999999999E-6</v>
      </c>
      <c r="W132" s="166">
        <v>1.17798930692953E-2</v>
      </c>
      <c r="X132" s="166">
        <v>2.7216155841195402E-3</v>
      </c>
    </row>
    <row r="133" spans="1:24">
      <c r="A133" s="5">
        <v>288</v>
      </c>
      <c r="B133" s="5">
        <v>1452</v>
      </c>
      <c r="C133" s="5" t="s">
        <v>810</v>
      </c>
      <c r="D133" s="5" t="s">
        <v>811</v>
      </c>
      <c r="E133" s="5" t="s">
        <v>147</v>
      </c>
      <c r="F133" s="5" t="s">
        <v>810</v>
      </c>
      <c r="G133" s="5" t="s">
        <v>812</v>
      </c>
      <c r="H133" s="5" t="s">
        <v>150</v>
      </c>
      <c r="I133" s="5" t="s">
        <v>739</v>
      </c>
      <c r="J133" s="5" t="s">
        <v>30</v>
      </c>
      <c r="K133" s="5" t="s">
        <v>30</v>
      </c>
      <c r="L133" s="3" t="s">
        <v>152</v>
      </c>
      <c r="M133" s="3" t="s">
        <v>41</v>
      </c>
      <c r="N133" s="5" t="s">
        <v>813</v>
      </c>
      <c r="O133" s="5" t="s">
        <v>154</v>
      </c>
      <c r="P133" s="5" t="s">
        <v>44</v>
      </c>
      <c r="Q133" s="155">
        <v>5500</v>
      </c>
      <c r="R133" s="167">
        <v>1</v>
      </c>
      <c r="S133" s="169">
        <v>15000</v>
      </c>
      <c r="U133" s="155">
        <v>825</v>
      </c>
      <c r="V133" s="166">
        <v>6.7999999999999999E-5</v>
      </c>
      <c r="W133" s="166">
        <v>4.04771915490829E-2</v>
      </c>
      <c r="X133" s="166">
        <v>9.3518128452728198E-3</v>
      </c>
    </row>
    <row r="134" spans="1:24">
      <c r="A134" s="5">
        <v>288</v>
      </c>
      <c r="B134" s="5">
        <v>1452</v>
      </c>
      <c r="C134" s="5" t="s">
        <v>453</v>
      </c>
      <c r="D134" s="5" t="s">
        <v>454</v>
      </c>
      <c r="E134" s="5" t="s">
        <v>147</v>
      </c>
      <c r="F134" s="5" t="s">
        <v>814</v>
      </c>
      <c r="G134" s="5" t="s">
        <v>815</v>
      </c>
      <c r="H134" s="5" t="s">
        <v>150</v>
      </c>
      <c r="I134" s="5" t="s">
        <v>739</v>
      </c>
      <c r="J134" s="5" t="s">
        <v>30</v>
      </c>
      <c r="K134" s="5" t="s">
        <v>30</v>
      </c>
      <c r="L134" s="3" t="s">
        <v>152</v>
      </c>
      <c r="M134" s="3" t="s">
        <v>41</v>
      </c>
      <c r="N134" s="5" t="s">
        <v>184</v>
      </c>
      <c r="O134" s="5" t="s">
        <v>154</v>
      </c>
      <c r="P134" s="5" t="s">
        <v>44</v>
      </c>
      <c r="Q134" s="155">
        <v>1667</v>
      </c>
      <c r="R134" s="167">
        <v>1</v>
      </c>
      <c r="S134" s="169">
        <v>32870</v>
      </c>
      <c r="U134" s="155">
        <v>547.94299999999998</v>
      </c>
      <c r="V134" s="166">
        <v>1.4E-5</v>
      </c>
      <c r="W134" s="166">
        <v>2.68838663288E-2</v>
      </c>
      <c r="X134" s="166">
        <v>6.2112235766012599E-3</v>
      </c>
    </row>
    <row r="135" spans="1:24">
      <c r="A135" s="5">
        <v>288</v>
      </c>
      <c r="B135" s="5">
        <v>1452</v>
      </c>
      <c r="C135" s="5" t="s">
        <v>464</v>
      </c>
      <c r="D135" s="5" t="s">
        <v>465</v>
      </c>
      <c r="E135" s="5" t="s">
        <v>147</v>
      </c>
      <c r="F135" s="5" t="s">
        <v>816</v>
      </c>
      <c r="G135" s="5" t="s">
        <v>817</v>
      </c>
      <c r="H135" s="5" t="s">
        <v>150</v>
      </c>
      <c r="I135" s="5" t="s">
        <v>739</v>
      </c>
      <c r="J135" s="5" t="s">
        <v>30</v>
      </c>
      <c r="K135" s="5" t="s">
        <v>30</v>
      </c>
      <c r="L135" s="3" t="s">
        <v>152</v>
      </c>
      <c r="M135" s="3" t="s">
        <v>41</v>
      </c>
      <c r="N135" s="5" t="s">
        <v>282</v>
      </c>
      <c r="O135" s="5" t="s">
        <v>154</v>
      </c>
      <c r="P135" s="5" t="s">
        <v>44</v>
      </c>
      <c r="Q135" s="155">
        <v>20790</v>
      </c>
      <c r="R135" s="167">
        <v>1</v>
      </c>
      <c r="S135" s="169">
        <v>6732</v>
      </c>
      <c r="U135" s="155">
        <v>1399.5830000000001</v>
      </c>
      <c r="V135" s="166">
        <v>1.5999999999999999E-5</v>
      </c>
      <c r="W135" s="166">
        <v>6.8668098284123402E-2</v>
      </c>
      <c r="X135" s="166">
        <v>1.5865013826742901E-2</v>
      </c>
    </row>
    <row r="136" spans="1:24">
      <c r="A136" s="5">
        <v>288</v>
      </c>
      <c r="B136" s="5">
        <v>1452</v>
      </c>
      <c r="C136" s="5" t="s">
        <v>818</v>
      </c>
      <c r="D136" s="5" t="s">
        <v>819</v>
      </c>
      <c r="E136" s="5" t="s">
        <v>147</v>
      </c>
      <c r="F136" s="5" t="s">
        <v>820</v>
      </c>
      <c r="G136" s="5" t="s">
        <v>821</v>
      </c>
      <c r="H136" s="5" t="s">
        <v>150</v>
      </c>
      <c r="I136" s="5" t="s">
        <v>739</v>
      </c>
      <c r="J136" s="5" t="s">
        <v>30</v>
      </c>
      <c r="K136" s="5" t="s">
        <v>30</v>
      </c>
      <c r="L136" s="3" t="s">
        <v>152</v>
      </c>
      <c r="M136" s="3" t="s">
        <v>41</v>
      </c>
      <c r="N136" s="5" t="s">
        <v>520</v>
      </c>
      <c r="O136" s="5" t="s">
        <v>154</v>
      </c>
      <c r="P136" s="5" t="s">
        <v>44</v>
      </c>
      <c r="Q136" s="155">
        <v>589</v>
      </c>
      <c r="R136" s="167">
        <v>1</v>
      </c>
      <c r="S136" s="169">
        <v>35060</v>
      </c>
      <c r="U136" s="155">
        <v>206.50299999999999</v>
      </c>
      <c r="V136" s="166">
        <v>4.1999999999999998E-5</v>
      </c>
      <c r="W136" s="166">
        <v>1.01317305179841E-2</v>
      </c>
      <c r="X136" s="166">
        <v>2.3408256348030399E-3</v>
      </c>
    </row>
    <row r="137" spans="1:24">
      <c r="A137" s="5">
        <v>288</v>
      </c>
      <c r="B137" s="5">
        <v>1452</v>
      </c>
      <c r="C137" s="5" t="s">
        <v>822</v>
      </c>
      <c r="D137" s="5" t="s">
        <v>823</v>
      </c>
      <c r="E137" s="5" t="s">
        <v>147</v>
      </c>
      <c r="F137" s="5" t="s">
        <v>824</v>
      </c>
      <c r="G137" s="5" t="s">
        <v>825</v>
      </c>
      <c r="H137" s="5" t="s">
        <v>150</v>
      </c>
      <c r="I137" s="5" t="s">
        <v>739</v>
      </c>
      <c r="J137" s="5" t="s">
        <v>30</v>
      </c>
      <c r="K137" s="5" t="s">
        <v>30</v>
      </c>
      <c r="L137" s="3" t="s">
        <v>152</v>
      </c>
      <c r="M137" s="3" t="s">
        <v>41</v>
      </c>
      <c r="N137" s="5" t="s">
        <v>826</v>
      </c>
      <c r="O137" s="5" t="s">
        <v>154</v>
      </c>
      <c r="P137" s="5" t="s">
        <v>44</v>
      </c>
      <c r="Q137" s="155">
        <v>26237</v>
      </c>
      <c r="R137" s="167">
        <v>1</v>
      </c>
      <c r="S137" s="169">
        <v>875.3</v>
      </c>
      <c r="U137" s="155">
        <v>229.65199999999999</v>
      </c>
      <c r="V137" s="166">
        <v>9.1000000000000003E-5</v>
      </c>
      <c r="W137" s="166">
        <v>1.1267498974079099E-2</v>
      </c>
      <c r="X137" s="166">
        <v>2.6032325269434099E-3</v>
      </c>
    </row>
    <row r="138" spans="1:24">
      <c r="A138" s="5">
        <v>288</v>
      </c>
      <c r="B138" s="5">
        <v>1452</v>
      </c>
      <c r="C138" s="5" t="s">
        <v>869</v>
      </c>
      <c r="D138" s="5" t="s">
        <v>870</v>
      </c>
      <c r="E138" s="5" t="s">
        <v>147</v>
      </c>
      <c r="F138" s="5" t="s">
        <v>871</v>
      </c>
      <c r="G138" s="5" t="s">
        <v>872</v>
      </c>
      <c r="H138" s="5" t="s">
        <v>150</v>
      </c>
      <c r="I138" s="5" t="s">
        <v>739</v>
      </c>
      <c r="J138" s="5" t="s">
        <v>30</v>
      </c>
      <c r="K138" s="5" t="s">
        <v>267</v>
      </c>
      <c r="L138" s="3" t="s">
        <v>152</v>
      </c>
      <c r="M138" s="3" t="s">
        <v>41</v>
      </c>
      <c r="N138" s="5" t="s">
        <v>741</v>
      </c>
      <c r="O138" s="5" t="s">
        <v>154</v>
      </c>
      <c r="P138" s="5" t="s">
        <v>44</v>
      </c>
      <c r="Q138" s="155">
        <v>594</v>
      </c>
      <c r="R138" s="167">
        <v>1</v>
      </c>
      <c r="S138" s="169">
        <v>34590</v>
      </c>
      <c r="U138" s="155">
        <v>205.465</v>
      </c>
      <c r="V138" s="166">
        <v>1.2999999999999999E-5</v>
      </c>
      <c r="W138" s="166">
        <v>1.0080763600916001E-2</v>
      </c>
      <c r="X138" s="166">
        <v>2.3290502854895101E-3</v>
      </c>
    </row>
    <row r="139" spans="1:24">
      <c r="A139" s="5">
        <v>288</v>
      </c>
      <c r="B139" s="5">
        <v>1452</v>
      </c>
      <c r="C139" s="5" t="s">
        <v>827</v>
      </c>
      <c r="D139" s="5" t="s">
        <v>828</v>
      </c>
      <c r="E139" s="5" t="s">
        <v>332</v>
      </c>
      <c r="F139" s="5" t="s">
        <v>829</v>
      </c>
      <c r="G139" s="5" t="s">
        <v>830</v>
      </c>
      <c r="H139" s="5" t="s">
        <v>150</v>
      </c>
      <c r="I139" s="5" t="s">
        <v>739</v>
      </c>
      <c r="J139" s="5" t="s">
        <v>30</v>
      </c>
      <c r="K139" s="5" t="s">
        <v>30</v>
      </c>
      <c r="L139" s="3" t="s">
        <v>152</v>
      </c>
      <c r="M139" s="3" t="s">
        <v>41</v>
      </c>
      <c r="N139" s="5" t="s">
        <v>335</v>
      </c>
      <c r="O139" s="5" t="s">
        <v>154</v>
      </c>
      <c r="P139" s="5" t="s">
        <v>44</v>
      </c>
      <c r="Q139" s="155">
        <v>62035</v>
      </c>
      <c r="R139" s="167">
        <v>1</v>
      </c>
      <c r="S139" s="169">
        <v>454.7</v>
      </c>
      <c r="U139" s="155">
        <v>282.07299999999998</v>
      </c>
      <c r="V139" s="166">
        <v>5.5000000000000002E-5</v>
      </c>
      <c r="W139" s="166">
        <v>1.38394287527482E-2</v>
      </c>
      <c r="X139" s="166">
        <v>3.1974488008696999E-3</v>
      </c>
    </row>
    <row r="140" spans="1:24">
      <c r="A140" s="5">
        <v>288</v>
      </c>
      <c r="B140" s="5">
        <v>1452</v>
      </c>
      <c r="C140" s="5" t="s">
        <v>879</v>
      </c>
      <c r="D140" s="5" t="s">
        <v>880</v>
      </c>
      <c r="E140" s="5" t="s">
        <v>652</v>
      </c>
      <c r="F140" s="5" t="s">
        <v>881</v>
      </c>
      <c r="G140" s="5" t="s">
        <v>882</v>
      </c>
      <c r="H140" s="5" t="s">
        <v>150</v>
      </c>
      <c r="I140" s="5" t="s">
        <v>739</v>
      </c>
      <c r="J140" s="5" t="s">
        <v>116</v>
      </c>
      <c r="K140" s="5" t="s">
        <v>117</v>
      </c>
      <c r="L140" s="3" t="s">
        <v>152</v>
      </c>
      <c r="M140" s="3" t="s">
        <v>740</v>
      </c>
      <c r="N140" s="5" t="s">
        <v>883</v>
      </c>
      <c r="O140" s="5" t="s">
        <v>154</v>
      </c>
      <c r="P140" s="5" t="s">
        <v>34</v>
      </c>
      <c r="Q140" s="155">
        <v>330</v>
      </c>
      <c r="R140" s="167">
        <v>3.306</v>
      </c>
      <c r="S140" s="169">
        <v>16179</v>
      </c>
      <c r="U140" s="155">
        <v>176.51</v>
      </c>
      <c r="V140" s="166">
        <v>0</v>
      </c>
      <c r="W140" s="166">
        <v>8.6601394949282293E-3</v>
      </c>
      <c r="X140" s="166">
        <v>2.000830607833E-3</v>
      </c>
    </row>
    <row r="141" spans="1:24">
      <c r="A141" s="5">
        <v>288</v>
      </c>
      <c r="B141" s="5">
        <v>1452</v>
      </c>
      <c r="C141" s="5" t="s">
        <v>884</v>
      </c>
      <c r="D141" s="5" t="s">
        <v>885</v>
      </c>
      <c r="E141" s="5" t="s">
        <v>652</v>
      </c>
      <c r="F141" s="5" t="s">
        <v>886</v>
      </c>
      <c r="G141" s="5" t="s">
        <v>887</v>
      </c>
      <c r="H141" s="5" t="s">
        <v>150</v>
      </c>
      <c r="I141" s="5" t="s">
        <v>739</v>
      </c>
      <c r="J141" s="5" t="s">
        <v>116</v>
      </c>
      <c r="K141" s="5" t="s">
        <v>117</v>
      </c>
      <c r="L141" s="3" t="s">
        <v>152</v>
      </c>
      <c r="M141" s="3" t="s">
        <v>740</v>
      </c>
      <c r="N141" s="5" t="s">
        <v>888</v>
      </c>
      <c r="O141" s="5" t="s">
        <v>154</v>
      </c>
      <c r="P141" s="5" t="s">
        <v>34</v>
      </c>
      <c r="Q141" s="155">
        <v>330</v>
      </c>
      <c r="R141" s="167">
        <v>3.306</v>
      </c>
      <c r="S141" s="169">
        <v>21957</v>
      </c>
      <c r="U141" s="155">
        <v>239.54599999999999</v>
      </c>
      <c r="V141" s="166">
        <v>0</v>
      </c>
      <c r="W141" s="166">
        <v>1.17529317566067E-2</v>
      </c>
      <c r="X141" s="166">
        <v>2.7153864674077E-3</v>
      </c>
    </row>
    <row r="142" spans="1:24">
      <c r="A142" s="5">
        <v>288</v>
      </c>
      <c r="B142" s="5">
        <v>1452</v>
      </c>
      <c r="C142" s="5" t="s">
        <v>889</v>
      </c>
      <c r="D142" s="5" t="s">
        <v>890</v>
      </c>
      <c r="E142" s="5" t="s">
        <v>652</v>
      </c>
      <c r="F142" s="5" t="s">
        <v>891</v>
      </c>
      <c r="G142" s="5" t="s">
        <v>892</v>
      </c>
      <c r="H142" s="5" t="s">
        <v>150</v>
      </c>
      <c r="I142" s="5" t="s">
        <v>739</v>
      </c>
      <c r="J142" s="5" t="s">
        <v>116</v>
      </c>
      <c r="K142" s="5" t="s">
        <v>117</v>
      </c>
      <c r="L142" s="3" t="s">
        <v>152</v>
      </c>
      <c r="M142" s="3" t="s">
        <v>740</v>
      </c>
      <c r="N142" s="5" t="s">
        <v>883</v>
      </c>
      <c r="O142" s="5" t="s">
        <v>154</v>
      </c>
      <c r="P142" s="5" t="s">
        <v>34</v>
      </c>
      <c r="Q142" s="155">
        <v>227</v>
      </c>
      <c r="R142" s="167">
        <v>3.306</v>
      </c>
      <c r="S142" s="169">
        <v>96809</v>
      </c>
      <c r="U142" s="155">
        <v>726.51499999999999</v>
      </c>
      <c r="V142" s="166">
        <v>9.9999999999999995E-7</v>
      </c>
      <c r="W142" s="166">
        <v>3.5645184249456001E-2</v>
      </c>
      <c r="X142" s="166">
        <v>8.2354303542023204E-3</v>
      </c>
    </row>
    <row r="143" spans="1:24">
      <c r="A143" s="5">
        <v>288</v>
      </c>
      <c r="B143" s="5">
        <v>1452</v>
      </c>
      <c r="C143" s="5" t="s">
        <v>896</v>
      </c>
      <c r="D143" s="5" t="s">
        <v>897</v>
      </c>
      <c r="E143" s="5" t="s">
        <v>652</v>
      </c>
      <c r="F143" s="5" t="s">
        <v>898</v>
      </c>
      <c r="G143" s="5" t="s">
        <v>899</v>
      </c>
      <c r="H143" s="5" t="s">
        <v>150</v>
      </c>
      <c r="I143" s="5" t="s">
        <v>739</v>
      </c>
      <c r="J143" s="5" t="s">
        <v>116</v>
      </c>
      <c r="K143" s="5" t="s">
        <v>117</v>
      </c>
      <c r="L143" s="3" t="s">
        <v>152</v>
      </c>
      <c r="M143" s="3" t="s">
        <v>740</v>
      </c>
      <c r="N143" s="5" t="s">
        <v>883</v>
      </c>
      <c r="O143" s="5" t="s">
        <v>154</v>
      </c>
      <c r="P143" s="5" t="s">
        <v>34</v>
      </c>
      <c r="Q143" s="155">
        <v>360</v>
      </c>
      <c r="R143" s="167">
        <v>3.306</v>
      </c>
      <c r="S143" s="169">
        <v>32991</v>
      </c>
      <c r="U143" s="155">
        <v>392.64600000000002</v>
      </c>
      <c r="V143" s="166">
        <v>9.9999999999999995E-7</v>
      </c>
      <c r="W143" s="166">
        <v>1.9264478335699602E-2</v>
      </c>
      <c r="X143" s="166">
        <v>4.4508472318000401E-3</v>
      </c>
    </row>
    <row r="144" spans="1:24">
      <c r="A144" s="5">
        <v>288</v>
      </c>
      <c r="B144" s="5">
        <v>1452</v>
      </c>
      <c r="C144" s="5" t="s">
        <v>869</v>
      </c>
      <c r="D144" s="5" t="s">
        <v>870</v>
      </c>
      <c r="E144" s="5" t="s">
        <v>147</v>
      </c>
      <c r="F144" s="5" t="s">
        <v>900</v>
      </c>
      <c r="G144" s="5" t="s">
        <v>872</v>
      </c>
      <c r="H144" s="5" t="s">
        <v>150</v>
      </c>
      <c r="I144" s="5" t="s">
        <v>739</v>
      </c>
      <c r="J144" s="5" t="s">
        <v>116</v>
      </c>
      <c r="K144" s="5" t="s">
        <v>267</v>
      </c>
      <c r="L144" s="3" t="s">
        <v>152</v>
      </c>
      <c r="M144" s="3" t="s">
        <v>740</v>
      </c>
      <c r="N144" s="5" t="s">
        <v>883</v>
      </c>
      <c r="O144" s="5" t="s">
        <v>154</v>
      </c>
      <c r="P144" s="5" t="s">
        <v>34</v>
      </c>
      <c r="Q144" s="155">
        <v>750</v>
      </c>
      <c r="R144" s="167">
        <v>3.306</v>
      </c>
      <c r="S144" s="169">
        <v>10505</v>
      </c>
      <c r="U144" s="155">
        <v>260.471</v>
      </c>
      <c r="V144" s="166">
        <v>1.7E-5</v>
      </c>
      <c r="W144" s="166">
        <v>1.27795803474511E-2</v>
      </c>
      <c r="X144" s="166">
        <v>2.9525824069480699E-3</v>
      </c>
    </row>
    <row r="145" spans="1:24">
      <c r="A145" s="5">
        <v>288</v>
      </c>
      <c r="B145" s="5">
        <v>1452</v>
      </c>
      <c r="C145" s="5" t="s">
        <v>901</v>
      </c>
      <c r="D145" s="5" t="s">
        <v>902</v>
      </c>
      <c r="E145" s="5" t="s">
        <v>652</v>
      </c>
      <c r="F145" s="5" t="s">
        <v>901</v>
      </c>
      <c r="G145" s="5" t="s">
        <v>903</v>
      </c>
      <c r="H145" s="5" t="s">
        <v>150</v>
      </c>
      <c r="I145" s="5" t="s">
        <v>739</v>
      </c>
      <c r="J145" s="5" t="s">
        <v>116</v>
      </c>
      <c r="K145" s="5" t="s">
        <v>267</v>
      </c>
      <c r="L145" s="3" t="s">
        <v>152</v>
      </c>
      <c r="M145" s="3" t="s">
        <v>740</v>
      </c>
      <c r="N145" s="5" t="s">
        <v>904</v>
      </c>
      <c r="O145" s="5" t="s">
        <v>154</v>
      </c>
      <c r="P145" s="5" t="s">
        <v>34</v>
      </c>
      <c r="Q145" s="155">
        <v>75</v>
      </c>
      <c r="R145" s="167">
        <v>3.306</v>
      </c>
      <c r="S145" s="169">
        <v>92563</v>
      </c>
      <c r="U145" s="155">
        <v>229.51</v>
      </c>
      <c r="V145" s="166">
        <v>0</v>
      </c>
      <c r="W145" s="166">
        <v>1.12605073365171E-2</v>
      </c>
      <c r="X145" s="166">
        <v>2.6016171854767699E-3</v>
      </c>
    </row>
    <row r="146" spans="1:24">
      <c r="A146" s="5">
        <v>288</v>
      </c>
      <c r="B146" s="5">
        <v>1452</v>
      </c>
      <c r="C146" s="5" t="s">
        <v>905</v>
      </c>
      <c r="D146" s="5" t="s">
        <v>906</v>
      </c>
      <c r="E146" s="5" t="s">
        <v>652</v>
      </c>
      <c r="F146" s="5" t="s">
        <v>907</v>
      </c>
      <c r="G146" s="5" t="s">
        <v>908</v>
      </c>
      <c r="H146" s="5" t="s">
        <v>150</v>
      </c>
      <c r="I146" s="5" t="s">
        <v>739</v>
      </c>
      <c r="J146" s="5" t="s">
        <v>116</v>
      </c>
      <c r="K146" s="5" t="s">
        <v>117</v>
      </c>
      <c r="L146" s="3" t="s">
        <v>152</v>
      </c>
      <c r="M146" s="3" t="s">
        <v>740</v>
      </c>
      <c r="N146" s="5" t="s">
        <v>909</v>
      </c>
      <c r="O146" s="5" t="s">
        <v>154</v>
      </c>
      <c r="P146" s="5" t="s">
        <v>34</v>
      </c>
      <c r="Q146" s="155">
        <v>480</v>
      </c>
      <c r="R146" s="167">
        <v>3.306</v>
      </c>
      <c r="S146" s="169">
        <v>24310</v>
      </c>
      <c r="U146" s="155">
        <v>385.77100000000002</v>
      </c>
      <c r="V146" s="166">
        <v>1.9999999999999999E-6</v>
      </c>
      <c r="W146" s="166">
        <v>1.8927160673753801E-2</v>
      </c>
      <c r="X146" s="166">
        <v>4.3729136716097903E-3</v>
      </c>
    </row>
    <row r="147" spans="1:24">
      <c r="A147" s="5">
        <v>288</v>
      </c>
      <c r="B147" s="5">
        <v>1452</v>
      </c>
      <c r="C147" s="5" t="s">
        <v>905</v>
      </c>
      <c r="D147" s="5" t="s">
        <v>906</v>
      </c>
      <c r="E147" s="5" t="s">
        <v>652</v>
      </c>
      <c r="F147" s="5" t="s">
        <v>910</v>
      </c>
      <c r="G147" s="5" t="s">
        <v>911</v>
      </c>
      <c r="H147" s="5" t="s">
        <v>150</v>
      </c>
      <c r="I147" s="5" t="s">
        <v>739</v>
      </c>
      <c r="J147" s="5" t="s">
        <v>116</v>
      </c>
      <c r="K147" s="5" t="s">
        <v>117</v>
      </c>
      <c r="L147" s="3" t="s">
        <v>152</v>
      </c>
      <c r="M147" s="3" t="s">
        <v>740</v>
      </c>
      <c r="N147" s="5" t="s">
        <v>909</v>
      </c>
      <c r="O147" s="5" t="s">
        <v>154</v>
      </c>
      <c r="P147" s="5" t="s">
        <v>34</v>
      </c>
      <c r="Q147" s="155">
        <v>122</v>
      </c>
      <c r="R147" s="167">
        <v>3.306</v>
      </c>
      <c r="S147" s="169">
        <v>24355</v>
      </c>
      <c r="U147" s="155">
        <v>98.231999999999999</v>
      </c>
      <c r="V147" s="166">
        <v>0</v>
      </c>
      <c r="W147" s="166">
        <v>4.81955829061526E-3</v>
      </c>
      <c r="X147" s="166">
        <v>1.1135062835587999E-3</v>
      </c>
    </row>
    <row r="148" spans="1:24">
      <c r="A148" s="5">
        <v>288</v>
      </c>
      <c r="B148" s="5">
        <v>1452</v>
      </c>
      <c r="C148" s="5" t="s">
        <v>919</v>
      </c>
      <c r="D148" s="5" t="s">
        <v>920</v>
      </c>
      <c r="E148" s="5" t="s">
        <v>652</v>
      </c>
      <c r="F148" s="5" t="s">
        <v>921</v>
      </c>
      <c r="G148" s="5" t="s">
        <v>922</v>
      </c>
      <c r="H148" s="5" t="s">
        <v>150</v>
      </c>
      <c r="I148" s="5" t="s">
        <v>739</v>
      </c>
      <c r="J148" s="5" t="s">
        <v>116</v>
      </c>
      <c r="K148" s="5" t="s">
        <v>117</v>
      </c>
      <c r="L148" s="3" t="s">
        <v>152</v>
      </c>
      <c r="M148" s="3" t="s">
        <v>923</v>
      </c>
      <c r="N148" s="5" t="s">
        <v>924</v>
      </c>
      <c r="O148" s="5" t="s">
        <v>154</v>
      </c>
      <c r="P148" s="5" t="s">
        <v>34</v>
      </c>
      <c r="Q148" s="155">
        <v>140</v>
      </c>
      <c r="R148" s="167">
        <v>3.306</v>
      </c>
      <c r="S148" s="169">
        <v>56881</v>
      </c>
      <c r="U148" s="155">
        <v>263.26799999999997</v>
      </c>
      <c r="V148" s="166">
        <v>0</v>
      </c>
      <c r="W148" s="166">
        <v>1.2916787988458999E-2</v>
      </c>
      <c r="X148" s="166">
        <v>2.9842827332439599E-3</v>
      </c>
    </row>
    <row r="149" spans="1:24">
      <c r="A149" s="5">
        <v>288</v>
      </c>
      <c r="B149" s="5">
        <v>1452</v>
      </c>
      <c r="C149" s="5" t="s">
        <v>925</v>
      </c>
      <c r="D149" s="5" t="s">
        <v>926</v>
      </c>
      <c r="E149" s="5" t="s">
        <v>652</v>
      </c>
      <c r="F149" s="5" t="s">
        <v>927</v>
      </c>
      <c r="G149" s="5" t="s">
        <v>928</v>
      </c>
      <c r="H149" s="5" t="s">
        <v>150</v>
      </c>
      <c r="I149" s="5" t="s">
        <v>739</v>
      </c>
      <c r="J149" s="5" t="s">
        <v>116</v>
      </c>
      <c r="K149" s="5" t="s">
        <v>117</v>
      </c>
      <c r="L149" s="3" t="s">
        <v>152</v>
      </c>
      <c r="M149" s="3" t="s">
        <v>740</v>
      </c>
      <c r="N149" s="5" t="s">
        <v>929</v>
      </c>
      <c r="O149" s="5" t="s">
        <v>154</v>
      </c>
      <c r="P149" s="5" t="s">
        <v>34</v>
      </c>
      <c r="Q149" s="155">
        <v>161</v>
      </c>
      <c r="R149" s="167">
        <v>3.306</v>
      </c>
      <c r="S149" s="169">
        <v>51795</v>
      </c>
      <c r="U149" s="155">
        <v>275.68700000000001</v>
      </c>
      <c r="V149" s="166">
        <v>0</v>
      </c>
      <c r="W149" s="166">
        <v>1.3526112215705899E-2</v>
      </c>
      <c r="X149" s="166">
        <v>3.12506043834719E-3</v>
      </c>
    </row>
    <row r="150" spans="1:24">
      <c r="A150" s="5">
        <v>288</v>
      </c>
      <c r="B150" s="5">
        <v>1452</v>
      </c>
      <c r="C150" s="5" t="s">
        <v>805</v>
      </c>
      <c r="D150" s="5" t="s">
        <v>806</v>
      </c>
      <c r="E150" s="5" t="s">
        <v>147</v>
      </c>
      <c r="F150" s="5" t="s">
        <v>930</v>
      </c>
      <c r="G150" s="5" t="s">
        <v>931</v>
      </c>
      <c r="H150" s="5" t="s">
        <v>150</v>
      </c>
      <c r="I150" s="5" t="s">
        <v>739</v>
      </c>
      <c r="J150" s="5" t="s">
        <v>116</v>
      </c>
      <c r="K150" s="5" t="s">
        <v>30</v>
      </c>
      <c r="L150" s="3" t="s">
        <v>152</v>
      </c>
      <c r="M150" s="3" t="s">
        <v>740</v>
      </c>
      <c r="N150" s="5" t="s">
        <v>929</v>
      </c>
      <c r="O150" s="5" t="s">
        <v>154</v>
      </c>
      <c r="P150" s="5" t="s">
        <v>34</v>
      </c>
      <c r="Q150" s="155">
        <v>105</v>
      </c>
      <c r="R150" s="167">
        <v>3.306</v>
      </c>
      <c r="S150" s="169">
        <v>14478</v>
      </c>
      <c r="U150" s="155">
        <v>50.256999999999998</v>
      </c>
      <c r="V150" s="166">
        <v>1.9999999999999999E-6</v>
      </c>
      <c r="W150" s="166">
        <v>2.4657960016997199E-3</v>
      </c>
      <c r="X150" s="166">
        <v>5.6969522439706598E-4</v>
      </c>
    </row>
    <row r="151" spans="1:24">
      <c r="A151" s="5">
        <v>288</v>
      </c>
      <c r="B151" s="5">
        <v>1452</v>
      </c>
      <c r="C151" s="5" t="s">
        <v>932</v>
      </c>
      <c r="D151" s="5" t="s">
        <v>933</v>
      </c>
      <c r="E151" s="5" t="s">
        <v>652</v>
      </c>
      <c r="F151" s="5" t="s">
        <v>934</v>
      </c>
      <c r="G151" s="5" t="s">
        <v>935</v>
      </c>
      <c r="H151" s="5" t="s">
        <v>150</v>
      </c>
      <c r="I151" s="5" t="s">
        <v>739</v>
      </c>
      <c r="J151" s="5" t="s">
        <v>116</v>
      </c>
      <c r="K151" s="5" t="s">
        <v>117</v>
      </c>
      <c r="L151" s="3" t="s">
        <v>152</v>
      </c>
      <c r="M151" s="3" t="s">
        <v>740</v>
      </c>
      <c r="N151" s="5" t="s">
        <v>883</v>
      </c>
      <c r="O151" s="5" t="s">
        <v>154</v>
      </c>
      <c r="P151" s="5" t="s">
        <v>34</v>
      </c>
      <c r="Q151" s="155">
        <v>570</v>
      </c>
      <c r="R151" s="167">
        <v>3.306</v>
      </c>
      <c r="S151" s="169">
        <v>18658</v>
      </c>
      <c r="T151" s="154">
        <v>6.0000000000000001E-3</v>
      </c>
      <c r="U151" s="155">
        <v>351.61399999999998</v>
      </c>
      <c r="V151" s="166">
        <v>0</v>
      </c>
      <c r="W151" s="166">
        <v>1.7251326432589101E-2</v>
      </c>
      <c r="X151" s="166">
        <v>3.9857304806992398E-3</v>
      </c>
    </row>
    <row r="152" spans="1:24">
      <c r="A152" s="5">
        <v>288</v>
      </c>
      <c r="B152" s="5">
        <v>1452</v>
      </c>
      <c r="C152" s="5" t="s">
        <v>936</v>
      </c>
      <c r="D152" s="5" t="s">
        <v>937</v>
      </c>
      <c r="E152" s="5" t="s">
        <v>652</v>
      </c>
      <c r="F152" s="5" t="s">
        <v>938</v>
      </c>
      <c r="G152" s="5" t="s">
        <v>939</v>
      </c>
      <c r="H152" s="5" t="s">
        <v>150</v>
      </c>
      <c r="I152" s="5" t="s">
        <v>739</v>
      </c>
      <c r="J152" s="5" t="s">
        <v>116</v>
      </c>
      <c r="K152" s="5" t="s">
        <v>117</v>
      </c>
      <c r="L152" s="3" t="s">
        <v>152</v>
      </c>
      <c r="M152" s="3" t="s">
        <v>923</v>
      </c>
      <c r="N152" s="5" t="s">
        <v>940</v>
      </c>
      <c r="O152" s="5" t="s">
        <v>154</v>
      </c>
      <c r="P152" s="5" t="s">
        <v>34</v>
      </c>
      <c r="Q152" s="155">
        <v>1333</v>
      </c>
      <c r="R152" s="167">
        <v>3.306</v>
      </c>
      <c r="S152" s="169">
        <v>9625</v>
      </c>
      <c r="U152" s="155">
        <v>424.16399999999999</v>
      </c>
      <c r="V152" s="166">
        <v>2.1999999999999999E-5</v>
      </c>
      <c r="W152" s="166">
        <v>2.0810866356381501E-2</v>
      </c>
      <c r="X152" s="166">
        <v>4.8081232878241604E-3</v>
      </c>
    </row>
    <row r="153" spans="1:24">
      <c r="A153" s="5">
        <v>288</v>
      </c>
      <c r="B153" s="5">
        <v>1452</v>
      </c>
      <c r="C153" s="5" t="s">
        <v>946</v>
      </c>
      <c r="D153" s="5" t="s">
        <v>947</v>
      </c>
      <c r="E153" s="5" t="s">
        <v>652</v>
      </c>
      <c r="F153" s="5" t="s">
        <v>948</v>
      </c>
      <c r="G153" s="5" t="s">
        <v>949</v>
      </c>
      <c r="H153" s="5" t="s">
        <v>150</v>
      </c>
      <c r="I153" s="5" t="s">
        <v>739</v>
      </c>
      <c r="J153" s="5" t="s">
        <v>116</v>
      </c>
      <c r="K153" s="5" t="s">
        <v>916</v>
      </c>
      <c r="L153" s="3" t="s">
        <v>152</v>
      </c>
      <c r="M153" s="3" t="s">
        <v>923</v>
      </c>
      <c r="N153" s="5" t="s">
        <v>883</v>
      </c>
      <c r="O153" s="5" t="s">
        <v>154</v>
      </c>
      <c r="P153" s="5" t="s">
        <v>34</v>
      </c>
      <c r="Q153" s="155">
        <v>490</v>
      </c>
      <c r="R153" s="167">
        <v>3.306</v>
      </c>
      <c r="S153" s="169">
        <v>27929</v>
      </c>
      <c r="T153" s="154">
        <v>0.316</v>
      </c>
      <c r="U153" s="155">
        <v>453.47699999999998</v>
      </c>
      <c r="V153" s="166">
        <v>0</v>
      </c>
      <c r="W153" s="166">
        <v>2.22490607182694E-2</v>
      </c>
      <c r="X153" s="166">
        <v>5.1404023811301401E-3</v>
      </c>
    </row>
    <row r="154" spans="1:24">
      <c r="A154" s="5">
        <v>288</v>
      </c>
      <c r="B154" s="5">
        <v>1452</v>
      </c>
      <c r="C154" s="5" t="s">
        <v>950</v>
      </c>
      <c r="D154" s="5" t="s">
        <v>951</v>
      </c>
      <c r="E154" s="5" t="s">
        <v>652</v>
      </c>
      <c r="F154" s="5" t="s">
        <v>950</v>
      </c>
      <c r="G154" s="5" t="s">
        <v>952</v>
      </c>
      <c r="H154" s="5" t="s">
        <v>150</v>
      </c>
      <c r="I154" s="5" t="s">
        <v>739</v>
      </c>
      <c r="J154" s="5" t="s">
        <v>116</v>
      </c>
      <c r="K154" s="5" t="s">
        <v>117</v>
      </c>
      <c r="L154" s="3" t="s">
        <v>152</v>
      </c>
      <c r="M154" s="3" t="s">
        <v>740</v>
      </c>
      <c r="N154" s="5" t="s">
        <v>953</v>
      </c>
      <c r="O154" s="5" t="s">
        <v>154</v>
      </c>
      <c r="P154" s="5" t="s">
        <v>34</v>
      </c>
      <c r="Q154" s="155">
        <v>90</v>
      </c>
      <c r="R154" s="167">
        <v>3.306</v>
      </c>
      <c r="S154" s="169">
        <v>44472</v>
      </c>
      <c r="U154" s="155">
        <v>132.322</v>
      </c>
      <c r="V154" s="166">
        <v>0</v>
      </c>
      <c r="W154" s="166">
        <v>6.4921484688644903E-3</v>
      </c>
      <c r="X154" s="166">
        <v>1.49993996917804E-3</v>
      </c>
    </row>
    <row r="155" spans="1:24">
      <c r="A155" s="5">
        <v>288</v>
      </c>
      <c r="B155" s="5">
        <v>1452</v>
      </c>
      <c r="C155" s="5" t="s">
        <v>954</v>
      </c>
      <c r="D155" s="5" t="s">
        <v>955</v>
      </c>
      <c r="E155" s="5" t="s">
        <v>652</v>
      </c>
      <c r="F155" s="5" t="s">
        <v>956</v>
      </c>
      <c r="G155" s="5" t="s">
        <v>957</v>
      </c>
      <c r="H155" s="5" t="s">
        <v>150</v>
      </c>
      <c r="I155" s="5" t="s">
        <v>739</v>
      </c>
      <c r="J155" s="5" t="s">
        <v>116</v>
      </c>
      <c r="K155" s="5" t="s">
        <v>117</v>
      </c>
      <c r="L155" s="3" t="s">
        <v>152</v>
      </c>
      <c r="M155" s="3" t="s">
        <v>923</v>
      </c>
      <c r="N155" s="5" t="s">
        <v>667</v>
      </c>
      <c r="O155" s="5" t="s">
        <v>154</v>
      </c>
      <c r="P155" s="5" t="s">
        <v>34</v>
      </c>
      <c r="Q155" s="155">
        <v>96</v>
      </c>
      <c r="R155" s="167">
        <v>3.306</v>
      </c>
      <c r="S155" s="169">
        <v>34138</v>
      </c>
      <c r="U155" s="155">
        <v>108.346</v>
      </c>
      <c r="V155" s="166">
        <v>0</v>
      </c>
      <c r="W155" s="166">
        <v>5.3157993507248497E-3</v>
      </c>
      <c r="X155" s="166">
        <v>1.2281573584649499E-3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21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1056</v>
      </c>
      <c r="N1" s="21" t="s">
        <v>138</v>
      </c>
      <c r="O1" s="21" t="s">
        <v>11</v>
      </c>
      <c r="P1" s="21" t="s">
        <v>17</v>
      </c>
      <c r="Q1" s="162" t="s">
        <v>18</v>
      </c>
      <c r="R1" s="168" t="s">
        <v>19</v>
      </c>
      <c r="S1" s="21" t="s">
        <v>16</v>
      </c>
      <c r="T1" s="21" t="s">
        <v>20</v>
      </c>
      <c r="U1" s="164" t="s">
        <v>23</v>
      </c>
      <c r="V1" s="164" t="s">
        <v>24</v>
      </c>
      <c r="W1" s="164" t="s">
        <v>25</v>
      </c>
    </row>
    <row r="2" spans="1:23">
      <c r="A2" s="22">
        <v>288</v>
      </c>
      <c r="B2" s="22">
        <v>288</v>
      </c>
      <c r="C2" s="22" t="s">
        <v>1057</v>
      </c>
      <c r="D2" s="22" t="s">
        <v>1058</v>
      </c>
      <c r="E2" s="20" t="s">
        <v>652</v>
      </c>
      <c r="F2" s="22" t="s">
        <v>1059</v>
      </c>
      <c r="G2" s="22" t="s">
        <v>1060</v>
      </c>
      <c r="H2" s="20" t="s">
        <v>150</v>
      </c>
      <c r="I2" s="22" t="s">
        <v>1061</v>
      </c>
      <c r="J2" s="20" t="s">
        <v>116</v>
      </c>
      <c r="K2" s="20" t="s">
        <v>117</v>
      </c>
      <c r="L2" s="20" t="s">
        <v>923</v>
      </c>
      <c r="M2" s="22" t="s">
        <v>1062</v>
      </c>
      <c r="N2" s="22" t="s">
        <v>154</v>
      </c>
      <c r="O2" s="20" t="s">
        <v>34</v>
      </c>
      <c r="P2" s="157">
        <v>18000</v>
      </c>
      <c r="Q2" s="171">
        <v>3.306</v>
      </c>
      <c r="R2" s="172">
        <v>10725</v>
      </c>
      <c r="S2" s="22"/>
      <c r="T2" s="156">
        <v>6382.2330000000002</v>
      </c>
      <c r="U2" s="170">
        <v>4.8799999999999999E-4</v>
      </c>
      <c r="V2" s="170">
        <v>9.1904524686970603E-3</v>
      </c>
      <c r="W2" s="170">
        <v>2.4891796213002198E-3</v>
      </c>
    </row>
    <row r="3" spans="1:23">
      <c r="A3" s="22">
        <v>288</v>
      </c>
      <c r="B3" s="22">
        <v>288</v>
      </c>
      <c r="C3" s="22" t="s">
        <v>1063</v>
      </c>
      <c r="D3" s="22" t="s">
        <v>1064</v>
      </c>
      <c r="E3" s="20" t="s">
        <v>147</v>
      </c>
      <c r="F3" s="22" t="s">
        <v>1065</v>
      </c>
      <c r="G3" s="22" t="s">
        <v>1066</v>
      </c>
      <c r="H3" s="20" t="s">
        <v>150</v>
      </c>
      <c r="I3" s="22" t="s">
        <v>1061</v>
      </c>
      <c r="J3" s="20" t="s">
        <v>30</v>
      </c>
      <c r="K3" s="20" t="s">
        <v>916</v>
      </c>
      <c r="L3" s="20" t="s">
        <v>41</v>
      </c>
      <c r="M3" s="22" t="s">
        <v>1062</v>
      </c>
      <c r="N3" s="22" t="s">
        <v>154</v>
      </c>
      <c r="O3" s="20" t="s">
        <v>44</v>
      </c>
      <c r="P3" s="157">
        <v>8100</v>
      </c>
      <c r="Q3" s="171">
        <v>1</v>
      </c>
      <c r="R3" s="172">
        <v>27300</v>
      </c>
      <c r="S3" s="22"/>
      <c r="T3" s="156">
        <v>2211.3000000000002</v>
      </c>
      <c r="U3" s="170">
        <v>2.8189999999999999E-3</v>
      </c>
      <c r="V3" s="170">
        <v>3.1842848018914099E-3</v>
      </c>
      <c r="W3" s="170">
        <v>8.6244467987633305E-4</v>
      </c>
    </row>
    <row r="4" spans="1:23">
      <c r="A4" s="22">
        <v>288</v>
      </c>
      <c r="B4" s="22">
        <v>288</v>
      </c>
      <c r="C4" s="22" t="s">
        <v>1067</v>
      </c>
      <c r="D4" s="22" t="s">
        <v>1068</v>
      </c>
      <c r="E4" s="20" t="s">
        <v>147</v>
      </c>
      <c r="F4" s="22" t="s">
        <v>1069</v>
      </c>
      <c r="G4" s="22" t="s">
        <v>1070</v>
      </c>
      <c r="H4" s="20" t="s">
        <v>150</v>
      </c>
      <c r="I4" s="22" t="s">
        <v>1071</v>
      </c>
      <c r="J4" s="20" t="s">
        <v>30</v>
      </c>
      <c r="K4" s="20" t="s">
        <v>30</v>
      </c>
      <c r="L4" s="20" t="s">
        <v>41</v>
      </c>
      <c r="M4" s="22" t="s">
        <v>1072</v>
      </c>
      <c r="N4" s="22" t="s">
        <v>154</v>
      </c>
      <c r="O4" s="20" t="s">
        <v>44</v>
      </c>
      <c r="P4" s="157">
        <v>385820</v>
      </c>
      <c r="Q4" s="171">
        <v>1</v>
      </c>
      <c r="R4" s="172">
        <v>5003</v>
      </c>
      <c r="S4" s="22"/>
      <c r="T4" s="156">
        <v>19302.575000000001</v>
      </c>
      <c r="U4" s="170">
        <v>4.0610000000000004E-3</v>
      </c>
      <c r="V4" s="170">
        <v>2.7795819172502699E-2</v>
      </c>
      <c r="W4" s="170">
        <v>7.5283330039732496E-3</v>
      </c>
    </row>
    <row r="5" spans="1:23">
      <c r="A5" s="22">
        <v>288</v>
      </c>
      <c r="B5" s="22">
        <v>288</v>
      </c>
      <c r="C5" s="22" t="s">
        <v>1067</v>
      </c>
      <c r="D5" s="22" t="s">
        <v>1068</v>
      </c>
      <c r="E5" s="20" t="s">
        <v>147</v>
      </c>
      <c r="F5" s="22" t="s">
        <v>1073</v>
      </c>
      <c r="G5" s="22" t="s">
        <v>1074</v>
      </c>
      <c r="H5" s="20" t="s">
        <v>150</v>
      </c>
      <c r="I5" s="22" t="s">
        <v>1071</v>
      </c>
      <c r="J5" s="20" t="s">
        <v>30</v>
      </c>
      <c r="K5" s="20" t="s">
        <v>30</v>
      </c>
      <c r="L5" s="20" t="s">
        <v>41</v>
      </c>
      <c r="M5" s="22" t="s">
        <v>1075</v>
      </c>
      <c r="N5" s="22" t="s">
        <v>154</v>
      </c>
      <c r="O5" s="20" t="s">
        <v>44</v>
      </c>
      <c r="P5" s="157">
        <v>284800</v>
      </c>
      <c r="Q5" s="171">
        <v>1</v>
      </c>
      <c r="R5" s="172">
        <v>4757</v>
      </c>
      <c r="S5" s="22"/>
      <c r="T5" s="156">
        <v>13547.936</v>
      </c>
      <c r="U5" s="170">
        <v>4.7470000000000004E-3</v>
      </c>
      <c r="V5" s="170">
        <v>1.95091062731414E-2</v>
      </c>
      <c r="W5" s="170">
        <v>5.2839258926898397E-3</v>
      </c>
    </row>
    <row r="6" spans="1:23">
      <c r="A6" s="22">
        <v>288</v>
      </c>
      <c r="B6" s="22">
        <v>288</v>
      </c>
      <c r="C6" s="22" t="s">
        <v>1067</v>
      </c>
      <c r="D6" s="22" t="s">
        <v>1068</v>
      </c>
      <c r="E6" s="20" t="s">
        <v>147</v>
      </c>
      <c r="F6" s="22" t="s">
        <v>1076</v>
      </c>
      <c r="G6" s="22" t="s">
        <v>1077</v>
      </c>
      <c r="H6" s="20" t="s">
        <v>150</v>
      </c>
      <c r="I6" s="22" t="s">
        <v>1061</v>
      </c>
      <c r="J6" s="20" t="s">
        <v>30</v>
      </c>
      <c r="K6" s="20" t="s">
        <v>1078</v>
      </c>
      <c r="L6" s="20" t="s">
        <v>41</v>
      </c>
      <c r="M6" s="22" t="s">
        <v>1079</v>
      </c>
      <c r="N6" s="22" t="s">
        <v>154</v>
      </c>
      <c r="O6" s="20" t="s">
        <v>44</v>
      </c>
      <c r="P6" s="157">
        <v>260000</v>
      </c>
      <c r="Q6" s="171">
        <v>1</v>
      </c>
      <c r="R6" s="172">
        <v>5331</v>
      </c>
      <c r="S6" s="22"/>
      <c r="T6" s="156">
        <v>13860.6</v>
      </c>
      <c r="U6" s="170">
        <v>4.1376000000000003E-2</v>
      </c>
      <c r="V6" s="170">
        <v>1.99593442432488E-2</v>
      </c>
      <c r="W6" s="170">
        <v>5.4058701803888698E-3</v>
      </c>
    </row>
    <row r="7" spans="1:23">
      <c r="A7" s="22">
        <v>288</v>
      </c>
      <c r="B7" s="22">
        <v>288</v>
      </c>
      <c r="C7" s="22" t="s">
        <v>1080</v>
      </c>
      <c r="D7" s="22" t="s">
        <v>1081</v>
      </c>
      <c r="E7" s="20" t="s">
        <v>147</v>
      </c>
      <c r="F7" s="22" t="s">
        <v>1082</v>
      </c>
      <c r="G7" s="22" t="s">
        <v>1083</v>
      </c>
      <c r="H7" s="20" t="s">
        <v>150</v>
      </c>
      <c r="I7" s="22" t="s">
        <v>1061</v>
      </c>
      <c r="J7" s="20" t="s">
        <v>30</v>
      </c>
      <c r="K7" s="20" t="s">
        <v>117</v>
      </c>
      <c r="L7" s="20" t="s">
        <v>41</v>
      </c>
      <c r="M7" s="22" t="s">
        <v>1084</v>
      </c>
      <c r="N7" s="22" t="s">
        <v>154</v>
      </c>
      <c r="O7" s="20" t="s">
        <v>44</v>
      </c>
      <c r="P7" s="157">
        <v>634000</v>
      </c>
      <c r="Q7" s="171">
        <v>1</v>
      </c>
      <c r="R7" s="172">
        <v>2569</v>
      </c>
      <c r="S7" s="22"/>
      <c r="T7" s="156">
        <v>16287.46</v>
      </c>
      <c r="U7" s="170">
        <v>1.6739999999999999E-3</v>
      </c>
      <c r="V7" s="170">
        <v>2.3454036693082901E-2</v>
      </c>
      <c r="W7" s="170">
        <v>6.3523869333417396E-3</v>
      </c>
    </row>
    <row r="8" spans="1:23">
      <c r="A8" s="22">
        <v>288</v>
      </c>
      <c r="B8" s="22">
        <v>288</v>
      </c>
      <c r="C8" s="22" t="s">
        <v>1080</v>
      </c>
      <c r="D8" s="22" t="s">
        <v>1081</v>
      </c>
      <c r="E8" s="20" t="s">
        <v>147</v>
      </c>
      <c r="F8" s="22" t="s">
        <v>1085</v>
      </c>
      <c r="G8" s="22" t="s">
        <v>1086</v>
      </c>
      <c r="H8" s="20" t="s">
        <v>150</v>
      </c>
      <c r="I8" s="22" t="s">
        <v>1071</v>
      </c>
      <c r="J8" s="20" t="s">
        <v>30</v>
      </c>
      <c r="K8" s="20" t="s">
        <v>30</v>
      </c>
      <c r="L8" s="20" t="s">
        <v>41</v>
      </c>
      <c r="M8" s="22" t="s">
        <v>1075</v>
      </c>
      <c r="N8" s="22" t="s">
        <v>154</v>
      </c>
      <c r="O8" s="20" t="s">
        <v>44</v>
      </c>
      <c r="P8" s="157">
        <v>600000</v>
      </c>
      <c r="Q8" s="171">
        <v>1</v>
      </c>
      <c r="R8" s="172">
        <v>3165</v>
      </c>
      <c r="S8" s="22"/>
      <c r="T8" s="156">
        <v>18990</v>
      </c>
      <c r="U8" s="170">
        <v>2.3990000000000001E-3</v>
      </c>
      <c r="V8" s="170">
        <v>2.7345709938912801E-2</v>
      </c>
      <c r="W8" s="170">
        <v>7.4064235837975698E-3</v>
      </c>
    </row>
    <row r="9" spans="1:23">
      <c r="A9" s="22">
        <v>288</v>
      </c>
      <c r="B9" s="22">
        <v>288</v>
      </c>
      <c r="C9" s="22" t="s">
        <v>1080</v>
      </c>
      <c r="D9" s="22" t="s">
        <v>1081</v>
      </c>
      <c r="E9" s="20" t="s">
        <v>147</v>
      </c>
      <c r="F9" s="22" t="s">
        <v>1087</v>
      </c>
      <c r="G9" s="22" t="s">
        <v>1088</v>
      </c>
      <c r="H9" s="20" t="s">
        <v>150</v>
      </c>
      <c r="I9" s="22" t="s">
        <v>1089</v>
      </c>
      <c r="J9" s="20" t="s">
        <v>30</v>
      </c>
      <c r="K9" s="20" t="s">
        <v>30</v>
      </c>
      <c r="L9" s="20" t="s">
        <v>41</v>
      </c>
      <c r="M9" s="22" t="s">
        <v>1090</v>
      </c>
      <c r="N9" s="22" t="s">
        <v>154</v>
      </c>
      <c r="O9" s="20" t="s">
        <v>44</v>
      </c>
      <c r="P9" s="157">
        <v>4000000</v>
      </c>
      <c r="Q9" s="171">
        <v>1</v>
      </c>
      <c r="R9" s="172">
        <v>419.81</v>
      </c>
      <c r="S9" s="22"/>
      <c r="T9" s="156">
        <v>16792.400000000001</v>
      </c>
      <c r="U9" s="170">
        <v>1.4655E-2</v>
      </c>
      <c r="V9" s="170">
        <v>2.4181153216334898E-2</v>
      </c>
      <c r="W9" s="170">
        <v>6.5493221373650497E-3</v>
      </c>
    </row>
    <row r="10" spans="1:23">
      <c r="A10" s="22">
        <v>288</v>
      </c>
      <c r="B10" s="22">
        <v>288</v>
      </c>
      <c r="C10" s="22" t="s">
        <v>1080</v>
      </c>
      <c r="D10" s="22" t="s">
        <v>1081</v>
      </c>
      <c r="E10" s="20" t="s">
        <v>147</v>
      </c>
      <c r="F10" s="22" t="s">
        <v>1091</v>
      </c>
      <c r="G10" s="22" t="s">
        <v>1092</v>
      </c>
      <c r="H10" s="20" t="s">
        <v>150</v>
      </c>
      <c r="I10" s="22" t="s">
        <v>1071</v>
      </c>
      <c r="J10" s="20" t="s">
        <v>30</v>
      </c>
      <c r="K10" s="20" t="s">
        <v>30</v>
      </c>
      <c r="L10" s="20" t="s">
        <v>41</v>
      </c>
      <c r="M10" s="22" t="s">
        <v>1072</v>
      </c>
      <c r="N10" s="22" t="s">
        <v>154</v>
      </c>
      <c r="O10" s="20" t="s">
        <v>44</v>
      </c>
      <c r="P10" s="157">
        <v>862041</v>
      </c>
      <c r="Q10" s="171">
        <v>1</v>
      </c>
      <c r="R10" s="172">
        <v>3192</v>
      </c>
      <c r="S10" s="22"/>
      <c r="T10" s="156">
        <v>27516.348999999998</v>
      </c>
      <c r="U10" s="170">
        <v>4.1749999999999999E-3</v>
      </c>
      <c r="V10" s="170">
        <v>3.9623701457350897E-2</v>
      </c>
      <c r="W10" s="170">
        <v>1.07318448709745E-2</v>
      </c>
    </row>
    <row r="11" spans="1:23">
      <c r="A11" s="22">
        <v>288</v>
      </c>
      <c r="B11" s="22">
        <v>288</v>
      </c>
      <c r="C11" s="22" t="s">
        <v>1093</v>
      </c>
      <c r="D11" s="22" t="s">
        <v>1094</v>
      </c>
      <c r="E11" s="20" t="s">
        <v>147</v>
      </c>
      <c r="F11" s="22" t="s">
        <v>1095</v>
      </c>
      <c r="G11" s="22" t="s">
        <v>1096</v>
      </c>
      <c r="H11" s="20" t="s">
        <v>150</v>
      </c>
      <c r="I11" s="22" t="s">
        <v>1071</v>
      </c>
      <c r="J11" s="20" t="s">
        <v>30</v>
      </c>
      <c r="K11" s="20" t="s">
        <v>30</v>
      </c>
      <c r="L11" s="20" t="s">
        <v>41</v>
      </c>
      <c r="M11" s="22" t="s">
        <v>1072</v>
      </c>
      <c r="N11" s="22" t="s">
        <v>154</v>
      </c>
      <c r="O11" s="20" t="s">
        <v>44</v>
      </c>
      <c r="P11" s="157">
        <v>58000</v>
      </c>
      <c r="Q11" s="171">
        <v>1</v>
      </c>
      <c r="R11" s="172">
        <v>8821</v>
      </c>
      <c r="S11" s="22"/>
      <c r="T11" s="156">
        <v>5116.18</v>
      </c>
      <c r="U11" s="170">
        <v>4.0000000000000001E-3</v>
      </c>
      <c r="V11" s="170">
        <v>7.36732881912938E-3</v>
      </c>
      <c r="W11" s="170">
        <v>1.9953973781439401E-3</v>
      </c>
    </row>
    <row r="12" spans="1:23">
      <c r="A12" s="22">
        <v>288</v>
      </c>
      <c r="B12" s="22">
        <v>288</v>
      </c>
      <c r="C12" s="22" t="s">
        <v>1093</v>
      </c>
      <c r="D12" s="22" t="s">
        <v>1094</v>
      </c>
      <c r="E12" s="20" t="s">
        <v>147</v>
      </c>
      <c r="F12" s="22" t="s">
        <v>1097</v>
      </c>
      <c r="G12" s="22" t="s">
        <v>1098</v>
      </c>
      <c r="H12" s="20" t="s">
        <v>150</v>
      </c>
      <c r="I12" s="22" t="s">
        <v>1061</v>
      </c>
      <c r="J12" s="20" t="s">
        <v>30</v>
      </c>
      <c r="K12" s="20" t="s">
        <v>117</v>
      </c>
      <c r="L12" s="20" t="s">
        <v>41</v>
      </c>
      <c r="M12" s="22" t="s">
        <v>1099</v>
      </c>
      <c r="N12" s="22" t="s">
        <v>154</v>
      </c>
      <c r="O12" s="20" t="s">
        <v>44</v>
      </c>
      <c r="P12" s="157">
        <v>70000</v>
      </c>
      <c r="Q12" s="171">
        <v>1</v>
      </c>
      <c r="R12" s="172">
        <v>12290</v>
      </c>
      <c r="S12" s="22"/>
      <c r="T12" s="156">
        <v>8603</v>
      </c>
      <c r="U12" s="170">
        <v>7.3680000000000004E-3</v>
      </c>
      <c r="V12" s="170">
        <v>1.23883698053958E-2</v>
      </c>
      <c r="W12" s="170">
        <v>3.35531659249134E-3</v>
      </c>
    </row>
    <row r="13" spans="1:23">
      <c r="A13" s="22">
        <v>288</v>
      </c>
      <c r="B13" s="22">
        <v>288</v>
      </c>
      <c r="C13" s="22" t="s">
        <v>1063</v>
      </c>
      <c r="D13" s="22" t="s">
        <v>1064</v>
      </c>
      <c r="E13" s="20" t="s">
        <v>147</v>
      </c>
      <c r="F13" s="22" t="s">
        <v>1100</v>
      </c>
      <c r="G13" s="22" t="s">
        <v>1101</v>
      </c>
      <c r="H13" s="20" t="s">
        <v>150</v>
      </c>
      <c r="I13" s="22" t="s">
        <v>1071</v>
      </c>
      <c r="J13" s="20" t="s">
        <v>30</v>
      </c>
      <c r="K13" s="20" t="s">
        <v>30</v>
      </c>
      <c r="L13" s="20" t="s">
        <v>41</v>
      </c>
      <c r="M13" s="22" t="s">
        <v>1072</v>
      </c>
      <c r="N13" s="22" t="s">
        <v>154</v>
      </c>
      <c r="O13" s="20" t="s">
        <v>44</v>
      </c>
      <c r="P13" s="157">
        <v>11400</v>
      </c>
      <c r="Q13" s="171">
        <v>1</v>
      </c>
      <c r="R13" s="172">
        <v>31750</v>
      </c>
      <c r="S13" s="22"/>
      <c r="T13" s="156">
        <v>3619.5</v>
      </c>
      <c r="U13" s="170">
        <v>3.2200000000000002E-4</v>
      </c>
      <c r="V13" s="170">
        <v>5.2121009543915197E-3</v>
      </c>
      <c r="W13" s="170">
        <v>1.4116666751740599E-3</v>
      </c>
    </row>
    <row r="14" spans="1:23">
      <c r="A14" s="22">
        <v>288</v>
      </c>
      <c r="B14" s="22">
        <v>288</v>
      </c>
      <c r="C14" s="22" t="s">
        <v>1102</v>
      </c>
      <c r="D14" s="22" t="s">
        <v>1103</v>
      </c>
      <c r="E14" s="20" t="s">
        <v>147</v>
      </c>
      <c r="F14" s="22" t="s">
        <v>1104</v>
      </c>
      <c r="G14" s="22" t="s">
        <v>1105</v>
      </c>
      <c r="H14" s="20" t="s">
        <v>150</v>
      </c>
      <c r="I14" s="22" t="s">
        <v>1071</v>
      </c>
      <c r="J14" s="20" t="s">
        <v>30</v>
      </c>
      <c r="K14" s="20" t="s">
        <v>30</v>
      </c>
      <c r="L14" s="20" t="s">
        <v>41</v>
      </c>
      <c r="M14" s="22" t="s">
        <v>1075</v>
      </c>
      <c r="N14" s="22" t="s">
        <v>154</v>
      </c>
      <c r="O14" s="20" t="s">
        <v>44</v>
      </c>
      <c r="P14" s="157">
        <v>402275</v>
      </c>
      <c r="Q14" s="171">
        <v>1</v>
      </c>
      <c r="R14" s="172">
        <v>3146</v>
      </c>
      <c r="S14" s="22"/>
      <c r="T14" s="156">
        <v>12655.572</v>
      </c>
      <c r="U14" s="170">
        <v>9.8700000000000003E-4</v>
      </c>
      <c r="V14" s="170">
        <v>1.8224096226970601E-2</v>
      </c>
      <c r="W14" s="170">
        <v>4.9358885320714297E-3</v>
      </c>
    </row>
    <row r="15" spans="1:23">
      <c r="A15" s="22">
        <v>288</v>
      </c>
      <c r="B15" s="22">
        <v>288</v>
      </c>
      <c r="C15" s="22" t="s">
        <v>1102</v>
      </c>
      <c r="D15" s="22" t="s">
        <v>1103</v>
      </c>
      <c r="E15" s="20" t="s">
        <v>147</v>
      </c>
      <c r="F15" s="22" t="s">
        <v>1106</v>
      </c>
      <c r="G15" s="22" t="s">
        <v>1107</v>
      </c>
      <c r="H15" s="20" t="s">
        <v>150</v>
      </c>
      <c r="I15" s="22" t="s">
        <v>1089</v>
      </c>
      <c r="J15" s="20" t="s">
        <v>30</v>
      </c>
      <c r="K15" s="20" t="s">
        <v>30</v>
      </c>
      <c r="L15" s="20" t="s">
        <v>41</v>
      </c>
      <c r="M15" s="22" t="s">
        <v>1108</v>
      </c>
      <c r="N15" s="22" t="s">
        <v>154</v>
      </c>
      <c r="O15" s="20" t="s">
        <v>44</v>
      </c>
      <c r="P15" s="157">
        <v>4400000</v>
      </c>
      <c r="Q15" s="171">
        <v>1</v>
      </c>
      <c r="R15" s="172">
        <v>392.09</v>
      </c>
      <c r="S15" s="22"/>
      <c r="T15" s="156">
        <v>17251.96</v>
      </c>
      <c r="U15" s="170">
        <v>3.2309999999999999E-3</v>
      </c>
      <c r="V15" s="170">
        <v>2.4842922276868101E-2</v>
      </c>
      <c r="W15" s="170">
        <v>6.7285583681270297E-3</v>
      </c>
    </row>
    <row r="16" spans="1:23">
      <c r="A16" s="22">
        <v>288</v>
      </c>
      <c r="B16" s="22">
        <v>288</v>
      </c>
      <c r="C16" s="22" t="s">
        <v>1067</v>
      </c>
      <c r="D16" s="22" t="s">
        <v>1068</v>
      </c>
      <c r="E16" s="20" t="s">
        <v>147</v>
      </c>
      <c r="F16" s="22" t="s">
        <v>1109</v>
      </c>
      <c r="G16" s="22" t="s">
        <v>1110</v>
      </c>
      <c r="H16" s="20" t="s">
        <v>150</v>
      </c>
      <c r="I16" s="22" t="s">
        <v>1061</v>
      </c>
      <c r="J16" s="20" t="s">
        <v>30</v>
      </c>
      <c r="K16" s="20" t="s">
        <v>117</v>
      </c>
      <c r="L16" s="20" t="s">
        <v>31</v>
      </c>
      <c r="M16" s="22" t="s">
        <v>1062</v>
      </c>
      <c r="N16" s="22" t="s">
        <v>154</v>
      </c>
      <c r="O16" s="20" t="s">
        <v>44</v>
      </c>
      <c r="P16" s="157">
        <v>111300</v>
      </c>
      <c r="Q16" s="171">
        <v>1</v>
      </c>
      <c r="R16" s="172">
        <v>4861</v>
      </c>
      <c r="S16" s="22"/>
      <c r="T16" s="156">
        <v>5410.2929999999997</v>
      </c>
      <c r="U16" s="170">
        <v>1.6892999999999998E-2</v>
      </c>
      <c r="V16" s="170">
        <v>7.79085324183941E-3</v>
      </c>
      <c r="W16" s="170">
        <v>2.1101064597396002E-3</v>
      </c>
    </row>
    <row r="17" spans="1:23">
      <c r="A17" s="22">
        <v>288</v>
      </c>
      <c r="B17" s="22">
        <v>288</v>
      </c>
      <c r="C17" s="22" t="s">
        <v>1067</v>
      </c>
      <c r="D17" s="22" t="s">
        <v>1068</v>
      </c>
      <c r="E17" s="20" t="s">
        <v>147</v>
      </c>
      <c r="F17" s="22" t="s">
        <v>1111</v>
      </c>
      <c r="G17" s="22" t="s">
        <v>1112</v>
      </c>
      <c r="H17" s="20" t="s">
        <v>150</v>
      </c>
      <c r="I17" s="22" t="s">
        <v>1061</v>
      </c>
      <c r="J17" s="20" t="s">
        <v>30</v>
      </c>
      <c r="K17" s="20" t="s">
        <v>117</v>
      </c>
      <c r="L17" s="20" t="s">
        <v>41</v>
      </c>
      <c r="M17" s="22" t="s">
        <v>1062</v>
      </c>
      <c r="N17" s="22" t="s">
        <v>154</v>
      </c>
      <c r="O17" s="20" t="s">
        <v>44</v>
      </c>
      <c r="P17" s="157">
        <v>168869</v>
      </c>
      <c r="Q17" s="171">
        <v>1</v>
      </c>
      <c r="R17" s="172">
        <v>3257</v>
      </c>
      <c r="S17" s="22"/>
      <c r="T17" s="156">
        <v>5500.0630000000001</v>
      </c>
      <c r="U17" s="170">
        <v>3.2858999999999999E-2</v>
      </c>
      <c r="V17" s="170">
        <v>7.92012303674728E-3</v>
      </c>
      <c r="W17" s="170">
        <v>2.1451184180985901E-3</v>
      </c>
    </row>
    <row r="18" spans="1:23">
      <c r="A18" s="22">
        <v>288</v>
      </c>
      <c r="B18" s="22">
        <v>288</v>
      </c>
      <c r="C18" s="22" t="s">
        <v>1067</v>
      </c>
      <c r="D18" s="22" t="s">
        <v>1068</v>
      </c>
      <c r="E18" s="20" t="s">
        <v>147</v>
      </c>
      <c r="F18" s="22" t="s">
        <v>1113</v>
      </c>
      <c r="G18" s="22" t="s">
        <v>1114</v>
      </c>
      <c r="H18" s="20" t="s">
        <v>150</v>
      </c>
      <c r="I18" s="22" t="s">
        <v>1061</v>
      </c>
      <c r="J18" s="20" t="s">
        <v>30</v>
      </c>
      <c r="K18" s="20" t="s">
        <v>117</v>
      </c>
      <c r="L18" s="20" t="s">
        <v>41</v>
      </c>
      <c r="M18" s="22" t="s">
        <v>1062</v>
      </c>
      <c r="N18" s="22" t="s">
        <v>154</v>
      </c>
      <c r="O18" s="20" t="s">
        <v>44</v>
      </c>
      <c r="P18" s="157">
        <v>116582</v>
      </c>
      <c r="Q18" s="171">
        <v>1</v>
      </c>
      <c r="R18" s="172">
        <v>4803</v>
      </c>
      <c r="S18" s="22"/>
      <c r="T18" s="156">
        <v>5599.433</v>
      </c>
      <c r="U18" s="170">
        <v>1.5037E-2</v>
      </c>
      <c r="V18" s="170">
        <v>8.0632165992313293E-3</v>
      </c>
      <c r="W18" s="170">
        <v>2.1838744620352401E-3</v>
      </c>
    </row>
    <row r="19" spans="1:23">
      <c r="A19" s="22">
        <v>288</v>
      </c>
      <c r="B19" s="22">
        <v>288</v>
      </c>
      <c r="C19" s="22" t="s">
        <v>1067</v>
      </c>
      <c r="D19" s="22" t="s">
        <v>1068</v>
      </c>
      <c r="E19" s="20" t="s">
        <v>147</v>
      </c>
      <c r="F19" s="22" t="s">
        <v>1115</v>
      </c>
      <c r="G19" s="22" t="s">
        <v>1116</v>
      </c>
      <c r="H19" s="20" t="s">
        <v>150</v>
      </c>
      <c r="I19" s="22" t="s">
        <v>1061</v>
      </c>
      <c r="J19" s="20" t="s">
        <v>30</v>
      </c>
      <c r="K19" s="20" t="s">
        <v>117</v>
      </c>
      <c r="L19" s="20" t="s">
        <v>41</v>
      </c>
      <c r="M19" s="22" t="s">
        <v>1117</v>
      </c>
      <c r="N19" s="22" t="s">
        <v>154</v>
      </c>
      <c r="O19" s="20" t="s">
        <v>44</v>
      </c>
      <c r="P19" s="157">
        <v>141565</v>
      </c>
      <c r="Q19" s="171">
        <v>1</v>
      </c>
      <c r="R19" s="172">
        <v>4212</v>
      </c>
      <c r="S19" s="22"/>
      <c r="T19" s="156">
        <v>5962.7179999999998</v>
      </c>
      <c r="U19" s="170">
        <v>3.0377000000000001E-2</v>
      </c>
      <c r="V19" s="170">
        <v>8.5863481519953804E-3</v>
      </c>
      <c r="W19" s="170">
        <v>2.32556154488939E-3</v>
      </c>
    </row>
    <row r="20" spans="1:23">
      <c r="A20" s="3">
        <v>288</v>
      </c>
      <c r="B20" s="3">
        <v>288</v>
      </c>
      <c r="C20" s="3" t="s">
        <v>1067</v>
      </c>
      <c r="D20" s="3" t="s">
        <v>1068</v>
      </c>
      <c r="E20" s="20" t="s">
        <v>147</v>
      </c>
      <c r="F20" s="3" t="s">
        <v>1118</v>
      </c>
      <c r="G20" s="3" t="s">
        <v>1119</v>
      </c>
      <c r="H20" s="20" t="s">
        <v>150</v>
      </c>
      <c r="I20" s="22" t="s">
        <v>1061</v>
      </c>
      <c r="J20" s="20" t="s">
        <v>30</v>
      </c>
      <c r="K20" s="20" t="s">
        <v>1078</v>
      </c>
      <c r="L20" s="20" t="s">
        <v>41</v>
      </c>
      <c r="M20" s="22" t="s">
        <v>1079</v>
      </c>
      <c r="N20" s="22" t="s">
        <v>154</v>
      </c>
      <c r="O20" s="3" t="s">
        <v>44</v>
      </c>
      <c r="P20" s="157">
        <v>86120</v>
      </c>
      <c r="Q20" s="163">
        <v>1</v>
      </c>
      <c r="R20" s="173">
        <v>8348</v>
      </c>
      <c r="T20" s="154">
        <v>7189.2979999999998</v>
      </c>
      <c r="U20" s="165">
        <v>2.1072E-2</v>
      </c>
      <c r="V20" s="165">
        <v>1.03526301650407E-2</v>
      </c>
      <c r="W20" s="165">
        <v>2.8039485674343999E-3</v>
      </c>
    </row>
    <row r="21" spans="1:23" s="41" customFormat="1">
      <c r="A21" s="41">
        <v>288</v>
      </c>
      <c r="B21" s="41">
        <v>288</v>
      </c>
      <c r="C21" s="41" t="s">
        <v>1067</v>
      </c>
      <c r="D21" s="41" t="s">
        <v>1068</v>
      </c>
      <c r="E21" s="44" t="s">
        <v>147</v>
      </c>
      <c r="F21" s="41" t="s">
        <v>1120</v>
      </c>
      <c r="G21" s="41" t="s">
        <v>1121</v>
      </c>
      <c r="H21" s="44" t="s">
        <v>150</v>
      </c>
      <c r="I21" s="41" t="s">
        <v>1061</v>
      </c>
      <c r="J21" s="41" t="s">
        <v>30</v>
      </c>
      <c r="K21" s="41" t="s">
        <v>1122</v>
      </c>
      <c r="L21" s="44" t="s">
        <v>31</v>
      </c>
      <c r="M21" s="40" t="s">
        <v>1123</v>
      </c>
      <c r="N21" s="41" t="s">
        <v>154</v>
      </c>
      <c r="O21" s="41" t="s">
        <v>44</v>
      </c>
      <c r="P21" s="155">
        <v>148300</v>
      </c>
      <c r="Q21" s="163">
        <v>1</v>
      </c>
      <c r="R21" s="173">
        <v>4835</v>
      </c>
      <c r="T21" s="154">
        <v>7170.3050000000003</v>
      </c>
      <c r="U21" s="165">
        <v>1.7417999999999999E-2</v>
      </c>
      <c r="V21" s="165">
        <v>1.0325280711086701E-2</v>
      </c>
      <c r="W21" s="165">
        <v>2.7965411298062999E-3</v>
      </c>
    </row>
    <row r="22" spans="1:23">
      <c r="A22" s="3">
        <v>288</v>
      </c>
      <c r="B22" s="3">
        <v>288</v>
      </c>
      <c r="C22" s="3" t="s">
        <v>1067</v>
      </c>
      <c r="D22" s="3" t="s">
        <v>1068</v>
      </c>
      <c r="E22" s="5" t="s">
        <v>147</v>
      </c>
      <c r="F22" s="3" t="s">
        <v>1124</v>
      </c>
      <c r="G22" s="3" t="s">
        <v>1125</v>
      </c>
      <c r="H22" s="3" t="s">
        <v>150</v>
      </c>
      <c r="I22" s="3" t="s">
        <v>1061</v>
      </c>
      <c r="J22" s="3" t="s">
        <v>30</v>
      </c>
      <c r="K22" s="3" t="s">
        <v>117</v>
      </c>
      <c r="L22" s="5" t="s">
        <v>41</v>
      </c>
      <c r="M22" s="3" t="s">
        <v>1062</v>
      </c>
      <c r="N22" s="3" t="s">
        <v>154</v>
      </c>
      <c r="O22" s="3" t="s">
        <v>44</v>
      </c>
      <c r="P22" s="155">
        <v>36100</v>
      </c>
      <c r="Q22" s="163">
        <v>1</v>
      </c>
      <c r="R22" s="173">
        <v>3494</v>
      </c>
      <c r="T22" s="154">
        <v>1261.3340000000001</v>
      </c>
      <c r="U22" s="165">
        <v>9.025E-3</v>
      </c>
      <c r="V22" s="165">
        <v>1.81632826224795E-3</v>
      </c>
      <c r="W22" s="165">
        <v>4.9194175274595701E-4</v>
      </c>
    </row>
    <row r="23" spans="1:23">
      <c r="A23" s="3">
        <v>288</v>
      </c>
      <c r="B23" s="3">
        <v>288</v>
      </c>
      <c r="C23" s="3" t="s">
        <v>1067</v>
      </c>
      <c r="D23" s="3" t="s">
        <v>1068</v>
      </c>
      <c r="E23" s="5" t="s">
        <v>147</v>
      </c>
      <c r="F23" s="3" t="s">
        <v>1126</v>
      </c>
      <c r="G23" s="3" t="s">
        <v>1127</v>
      </c>
      <c r="H23" s="3" t="s">
        <v>150</v>
      </c>
      <c r="I23" s="3" t="s">
        <v>1061</v>
      </c>
      <c r="J23" s="3" t="s">
        <v>30</v>
      </c>
      <c r="K23" s="3" t="s">
        <v>117</v>
      </c>
      <c r="L23" s="3" t="s">
        <v>41</v>
      </c>
      <c r="M23" s="3" t="s">
        <v>1128</v>
      </c>
      <c r="N23" s="3" t="s">
        <v>154</v>
      </c>
      <c r="O23" s="3" t="s">
        <v>34</v>
      </c>
      <c r="P23" s="155">
        <v>122000</v>
      </c>
      <c r="Q23" s="163">
        <v>3.306</v>
      </c>
      <c r="R23" s="173">
        <v>3499.6979999999999</v>
      </c>
      <c r="T23" s="154">
        <v>14115.4</v>
      </c>
      <c r="U23" s="165">
        <v>7.1929999999999997E-3</v>
      </c>
      <c r="V23" s="165">
        <v>2.03262577183639E-2</v>
      </c>
      <c r="W23" s="165">
        <v>5.5052465221030102E-3</v>
      </c>
    </row>
    <row r="24" spans="1:23">
      <c r="A24" s="3">
        <v>288</v>
      </c>
      <c r="B24" s="3">
        <v>288</v>
      </c>
      <c r="C24" s="3" t="s">
        <v>1129</v>
      </c>
      <c r="D24" s="3" t="s">
        <v>1130</v>
      </c>
      <c r="E24" s="5" t="s">
        <v>147</v>
      </c>
      <c r="F24" s="3" t="s">
        <v>1131</v>
      </c>
      <c r="G24" s="3" t="s">
        <v>1132</v>
      </c>
      <c r="H24" s="3" t="s">
        <v>150</v>
      </c>
      <c r="I24" s="3" t="s">
        <v>1061</v>
      </c>
      <c r="J24" s="3" t="s">
        <v>30</v>
      </c>
      <c r="K24" s="3" t="s">
        <v>117</v>
      </c>
      <c r="L24" s="3" t="s">
        <v>41</v>
      </c>
      <c r="M24" s="3" t="s">
        <v>1133</v>
      </c>
      <c r="N24" s="3" t="s">
        <v>154</v>
      </c>
      <c r="O24" s="3" t="s">
        <v>44</v>
      </c>
      <c r="P24" s="155">
        <v>263083</v>
      </c>
      <c r="Q24" s="163">
        <v>1</v>
      </c>
      <c r="R24" s="173">
        <v>4039</v>
      </c>
      <c r="T24" s="154">
        <v>10625.922</v>
      </c>
      <c r="U24" s="165">
        <v>1.1906E-2</v>
      </c>
      <c r="V24" s="165">
        <v>1.5301389729511601E-2</v>
      </c>
      <c r="W24" s="165">
        <v>4.1442907867704102E-3</v>
      </c>
    </row>
    <row r="25" spans="1:23">
      <c r="A25" s="3">
        <v>288</v>
      </c>
      <c r="B25" s="3">
        <v>288</v>
      </c>
      <c r="C25" s="3" t="s">
        <v>1134</v>
      </c>
      <c r="D25" s="3" t="s">
        <v>1135</v>
      </c>
      <c r="E25" s="5" t="s">
        <v>332</v>
      </c>
      <c r="F25" s="3" t="s">
        <v>1136</v>
      </c>
      <c r="G25" s="3" t="s">
        <v>1137</v>
      </c>
      <c r="H25" s="3" t="s">
        <v>150</v>
      </c>
      <c r="I25" s="3" t="s">
        <v>1071</v>
      </c>
      <c r="J25" s="3" t="s">
        <v>30</v>
      </c>
      <c r="K25" s="3" t="s">
        <v>30</v>
      </c>
      <c r="L25" s="3" t="s">
        <v>41</v>
      </c>
      <c r="M25" s="3" t="s">
        <v>1138</v>
      </c>
      <c r="N25" s="3" t="s">
        <v>787</v>
      </c>
      <c r="O25" s="3" t="s">
        <v>44</v>
      </c>
      <c r="P25" s="155">
        <v>91700</v>
      </c>
      <c r="Q25" s="163">
        <v>1</v>
      </c>
      <c r="R25" s="173">
        <v>6734</v>
      </c>
      <c r="T25" s="154">
        <v>6175.0780000000004</v>
      </c>
      <c r="U25" s="165">
        <v>4.0099999999999999E-4</v>
      </c>
      <c r="V25" s="165">
        <v>8.8921480694134705E-3</v>
      </c>
      <c r="W25" s="165">
        <v>2.4083856414423102E-3</v>
      </c>
    </row>
    <row r="26" spans="1:23">
      <c r="A26" s="3">
        <v>288</v>
      </c>
      <c r="B26" s="3">
        <v>288</v>
      </c>
      <c r="C26" s="3" t="s">
        <v>1080</v>
      </c>
      <c r="D26" s="3" t="s">
        <v>1081</v>
      </c>
      <c r="E26" s="5" t="s">
        <v>147</v>
      </c>
      <c r="F26" s="3" t="s">
        <v>1139</v>
      </c>
      <c r="G26" s="9" t="s">
        <v>1140</v>
      </c>
      <c r="H26" s="3" t="s">
        <v>150</v>
      </c>
      <c r="I26" s="3" t="s">
        <v>1061</v>
      </c>
      <c r="J26" s="3" t="s">
        <v>30</v>
      </c>
      <c r="K26" s="3" t="s">
        <v>117</v>
      </c>
      <c r="L26" s="3" t="s">
        <v>41</v>
      </c>
      <c r="M26" s="3" t="s">
        <v>1062</v>
      </c>
      <c r="N26" s="3" t="s">
        <v>154</v>
      </c>
      <c r="O26" s="3" t="s">
        <v>44</v>
      </c>
      <c r="P26" s="155">
        <v>3039000</v>
      </c>
      <c r="Q26" s="163">
        <v>1</v>
      </c>
      <c r="R26" s="173">
        <v>617.20000000000005</v>
      </c>
      <c r="T26" s="154">
        <v>18756.707999999999</v>
      </c>
      <c r="U26" s="165">
        <v>1.8977000000000001E-2</v>
      </c>
      <c r="V26" s="165">
        <v>2.7009768108314101E-2</v>
      </c>
      <c r="W26" s="165">
        <v>7.31543572857317E-3</v>
      </c>
    </row>
    <row r="27" spans="1:23">
      <c r="A27" s="3">
        <v>288</v>
      </c>
      <c r="B27" s="3">
        <v>288</v>
      </c>
      <c r="C27" s="3" t="s">
        <v>1080</v>
      </c>
      <c r="D27" s="3" t="s">
        <v>1081</v>
      </c>
      <c r="E27" s="5" t="s">
        <v>147</v>
      </c>
      <c r="F27" s="3" t="s">
        <v>1141</v>
      </c>
      <c r="G27" s="3" t="s">
        <v>1142</v>
      </c>
      <c r="H27" s="3" t="s">
        <v>150</v>
      </c>
      <c r="I27" s="3" t="s">
        <v>1089</v>
      </c>
      <c r="J27" s="3" t="s">
        <v>30</v>
      </c>
      <c r="K27" s="3" t="s">
        <v>30</v>
      </c>
      <c r="L27" s="3" t="s">
        <v>41</v>
      </c>
      <c r="M27" s="3" t="s">
        <v>1090</v>
      </c>
      <c r="N27" s="3" t="s">
        <v>154</v>
      </c>
      <c r="O27" s="3" t="s">
        <v>44</v>
      </c>
      <c r="P27" s="155">
        <v>2665292</v>
      </c>
      <c r="Q27" s="163">
        <v>1</v>
      </c>
      <c r="R27" s="173">
        <v>422.22</v>
      </c>
      <c r="T27" s="154">
        <v>11253.396000000001</v>
      </c>
      <c r="U27" s="165">
        <v>1.5368E-2</v>
      </c>
      <c r="V27" s="165">
        <v>1.6204955220003502E-2</v>
      </c>
      <c r="W27" s="165">
        <v>4.3890161485633404E-3</v>
      </c>
    </row>
    <row r="28" spans="1:23">
      <c r="A28" s="3">
        <v>288</v>
      </c>
      <c r="B28" s="3">
        <v>288</v>
      </c>
      <c r="C28" s="3" t="s">
        <v>1093</v>
      </c>
      <c r="D28" s="3" t="s">
        <v>1094</v>
      </c>
      <c r="E28" s="5" t="s">
        <v>147</v>
      </c>
      <c r="F28" s="3" t="s">
        <v>1143</v>
      </c>
      <c r="G28" s="3" t="s">
        <v>1144</v>
      </c>
      <c r="H28" s="3" t="s">
        <v>150</v>
      </c>
      <c r="I28" s="3" t="s">
        <v>1061</v>
      </c>
      <c r="J28" s="3" t="s">
        <v>30</v>
      </c>
      <c r="K28" s="3" t="s">
        <v>117</v>
      </c>
      <c r="L28" s="3" t="s">
        <v>41</v>
      </c>
      <c r="M28" s="3" t="s">
        <v>1099</v>
      </c>
      <c r="N28" s="3" t="s">
        <v>154</v>
      </c>
      <c r="O28" s="3" t="s">
        <v>44</v>
      </c>
      <c r="P28" s="155">
        <v>135864</v>
      </c>
      <c r="Q28" s="163">
        <v>1</v>
      </c>
      <c r="R28" s="173">
        <v>11380</v>
      </c>
      <c r="T28" s="154">
        <v>15461.323</v>
      </c>
      <c r="U28" s="165">
        <v>1.0215E-2</v>
      </c>
      <c r="V28" s="165">
        <v>2.22643949183245E-2</v>
      </c>
      <c r="W28" s="165">
        <v>6.0301795042230896E-3</v>
      </c>
    </row>
    <row r="29" spans="1:23">
      <c r="A29" s="3">
        <v>288</v>
      </c>
      <c r="B29" s="3">
        <v>288</v>
      </c>
      <c r="C29" s="3" t="s">
        <v>1093</v>
      </c>
      <c r="D29" s="3" t="s">
        <v>1094</v>
      </c>
      <c r="E29" s="5" t="s">
        <v>147</v>
      </c>
      <c r="F29" s="3" t="s">
        <v>1145</v>
      </c>
      <c r="G29" s="3" t="s">
        <v>1146</v>
      </c>
      <c r="H29" s="3" t="s">
        <v>150</v>
      </c>
      <c r="I29" s="3" t="s">
        <v>1061</v>
      </c>
      <c r="J29" s="3" t="s">
        <v>30</v>
      </c>
      <c r="K29" s="3" t="s">
        <v>117</v>
      </c>
      <c r="L29" s="3" t="s">
        <v>41</v>
      </c>
      <c r="M29" s="3" t="s">
        <v>1084</v>
      </c>
      <c r="N29" s="3" t="s">
        <v>154</v>
      </c>
      <c r="O29" s="3" t="s">
        <v>44</v>
      </c>
      <c r="P29" s="155">
        <v>243433</v>
      </c>
      <c r="Q29" s="163">
        <v>1</v>
      </c>
      <c r="R29" s="173">
        <v>10340</v>
      </c>
      <c r="T29" s="154">
        <v>25170.972000000002</v>
      </c>
      <c r="U29" s="165">
        <v>1.8031999999999999E-2</v>
      </c>
      <c r="V29" s="165">
        <v>3.62463456904496E-2</v>
      </c>
      <c r="W29" s="165">
        <v>9.8171080636752506E-3</v>
      </c>
    </row>
    <row r="30" spans="1:23">
      <c r="A30" s="3">
        <v>288</v>
      </c>
      <c r="B30" s="3">
        <v>288</v>
      </c>
      <c r="C30" s="3" t="s">
        <v>1102</v>
      </c>
      <c r="D30" s="3" t="s">
        <v>1103</v>
      </c>
      <c r="E30" s="5" t="s">
        <v>147</v>
      </c>
      <c r="F30" s="3" t="s">
        <v>1147</v>
      </c>
      <c r="G30" s="3" t="s">
        <v>1148</v>
      </c>
      <c r="H30" s="3" t="s">
        <v>150</v>
      </c>
      <c r="I30" s="3" t="s">
        <v>1061</v>
      </c>
      <c r="J30" s="3" t="s">
        <v>30</v>
      </c>
      <c r="K30" s="3" t="s">
        <v>1078</v>
      </c>
      <c r="L30" s="3" t="s">
        <v>31</v>
      </c>
      <c r="M30" s="3" t="s">
        <v>1149</v>
      </c>
      <c r="N30" s="3" t="s">
        <v>154</v>
      </c>
      <c r="O30" s="3" t="s">
        <v>44</v>
      </c>
      <c r="P30" s="155">
        <v>95700</v>
      </c>
      <c r="Q30" s="163">
        <v>1</v>
      </c>
      <c r="R30" s="173">
        <v>6220</v>
      </c>
      <c r="T30" s="154">
        <v>5952.54</v>
      </c>
      <c r="U30" s="165">
        <v>4.3899999999999998E-3</v>
      </c>
      <c r="V30" s="165">
        <v>8.5716920610729892E-3</v>
      </c>
      <c r="W30" s="165">
        <v>2.3215920294627902E-3</v>
      </c>
    </row>
    <row r="31" spans="1:23">
      <c r="A31" s="3">
        <v>288</v>
      </c>
      <c r="B31" s="3">
        <v>288</v>
      </c>
      <c r="C31" s="3" t="s">
        <v>1102</v>
      </c>
      <c r="D31" s="3" t="s">
        <v>1103</v>
      </c>
      <c r="E31" s="5" t="s">
        <v>147</v>
      </c>
      <c r="F31" s="3" t="s">
        <v>1150</v>
      </c>
      <c r="G31" s="3" t="s">
        <v>1151</v>
      </c>
      <c r="H31" s="3" t="s">
        <v>150</v>
      </c>
      <c r="I31" s="3" t="s">
        <v>1061</v>
      </c>
      <c r="J31" s="3" t="s">
        <v>30</v>
      </c>
      <c r="K31" s="3" t="s">
        <v>117</v>
      </c>
      <c r="L31" s="3" t="s">
        <v>41</v>
      </c>
      <c r="M31" s="3" t="s">
        <v>1062</v>
      </c>
      <c r="N31" s="3" t="s">
        <v>154</v>
      </c>
      <c r="O31" s="3" t="s">
        <v>44</v>
      </c>
      <c r="P31" s="155">
        <v>79800</v>
      </c>
      <c r="Q31" s="163">
        <v>1</v>
      </c>
      <c r="R31" s="173">
        <v>3659</v>
      </c>
      <c r="T31" s="154">
        <v>2919.8820000000001</v>
      </c>
      <c r="U31" s="165">
        <v>3.4970000000000001E-3</v>
      </c>
      <c r="V31" s="165">
        <v>4.2046469840891299E-3</v>
      </c>
      <c r="W31" s="165">
        <v>1.1388037338971001E-3</v>
      </c>
    </row>
    <row r="32" spans="1:23">
      <c r="A32" s="3">
        <v>288</v>
      </c>
      <c r="B32" s="3">
        <v>288</v>
      </c>
      <c r="C32" s="3" t="s">
        <v>1102</v>
      </c>
      <c r="D32" s="3" t="s">
        <v>1103</v>
      </c>
      <c r="E32" s="5" t="s">
        <v>147</v>
      </c>
      <c r="F32" s="3" t="s">
        <v>1152</v>
      </c>
      <c r="G32" s="3" t="s">
        <v>1153</v>
      </c>
      <c r="H32" s="3" t="s">
        <v>150</v>
      </c>
      <c r="I32" s="3" t="s">
        <v>1071</v>
      </c>
      <c r="J32" s="3" t="s">
        <v>30</v>
      </c>
      <c r="K32" s="3" t="s">
        <v>30</v>
      </c>
      <c r="L32" s="3" t="s">
        <v>41</v>
      </c>
      <c r="M32" s="3" t="s">
        <v>1154</v>
      </c>
      <c r="N32" s="3" t="s">
        <v>154</v>
      </c>
      <c r="O32" s="3" t="s">
        <v>44</v>
      </c>
      <c r="P32" s="155">
        <v>102785</v>
      </c>
      <c r="Q32" s="163">
        <v>1</v>
      </c>
      <c r="R32" s="173">
        <v>3039</v>
      </c>
      <c r="T32" s="154">
        <v>3123.636</v>
      </c>
      <c r="U32" s="165">
        <v>5.9329999999999999E-3</v>
      </c>
      <c r="V32" s="165">
        <v>4.4980541396841701E-3</v>
      </c>
      <c r="W32" s="165">
        <v>1.21827132430556E-3</v>
      </c>
    </row>
    <row r="33" spans="1:23">
      <c r="A33" s="3">
        <v>288</v>
      </c>
      <c r="B33" s="3">
        <v>288</v>
      </c>
      <c r="C33" s="3" t="s">
        <v>1102</v>
      </c>
      <c r="D33" s="3" t="s">
        <v>1103</v>
      </c>
      <c r="E33" s="5" t="s">
        <v>147</v>
      </c>
      <c r="F33" s="3" t="s">
        <v>1155</v>
      </c>
      <c r="G33" s="3" t="s">
        <v>1156</v>
      </c>
      <c r="H33" s="3" t="s">
        <v>150</v>
      </c>
      <c r="I33" s="3" t="s">
        <v>1061</v>
      </c>
      <c r="J33" s="3" t="s">
        <v>30</v>
      </c>
      <c r="K33" s="3" t="s">
        <v>1157</v>
      </c>
      <c r="L33" s="3" t="s">
        <v>41</v>
      </c>
      <c r="M33" s="3" t="s">
        <v>1158</v>
      </c>
      <c r="N33" s="3" t="s">
        <v>154</v>
      </c>
      <c r="O33" s="3" t="s">
        <v>44</v>
      </c>
      <c r="P33" s="155">
        <v>28420</v>
      </c>
      <c r="Q33" s="163">
        <v>1</v>
      </c>
      <c r="R33" s="173">
        <v>10160</v>
      </c>
      <c r="T33" s="154">
        <v>2887.4720000000002</v>
      </c>
      <c r="U33" s="165">
        <v>2.7569999999999999E-3</v>
      </c>
      <c r="V33" s="165">
        <v>4.1579763964577398E-3</v>
      </c>
      <c r="W33" s="165">
        <v>1.12616328164061E-3</v>
      </c>
    </row>
    <row r="34" spans="1:23">
      <c r="A34" s="3">
        <v>288</v>
      </c>
      <c r="B34" s="3">
        <v>288</v>
      </c>
      <c r="C34" s="3" t="s">
        <v>1102</v>
      </c>
      <c r="D34" s="3" t="s">
        <v>1103</v>
      </c>
      <c r="E34" s="5" t="s">
        <v>147</v>
      </c>
      <c r="F34" s="3" t="s">
        <v>1106</v>
      </c>
      <c r="G34" s="3" t="s">
        <v>1107</v>
      </c>
      <c r="H34" s="3" t="s">
        <v>150</v>
      </c>
      <c r="I34" s="3" t="s">
        <v>1089</v>
      </c>
      <c r="J34" s="3" t="s">
        <v>30</v>
      </c>
      <c r="K34" s="3" t="s">
        <v>30</v>
      </c>
      <c r="L34" s="3" t="s">
        <v>41</v>
      </c>
      <c r="M34" s="3" t="s">
        <v>1108</v>
      </c>
      <c r="N34" s="3" t="s">
        <v>154</v>
      </c>
      <c r="O34" s="3" t="s">
        <v>44</v>
      </c>
      <c r="P34" s="155">
        <v>2090000</v>
      </c>
      <c r="Q34" s="163">
        <v>1</v>
      </c>
      <c r="R34" s="173">
        <v>392.09</v>
      </c>
      <c r="T34" s="154">
        <v>8194.6810000000005</v>
      </c>
      <c r="U34" s="165">
        <v>1.5349999999999999E-3</v>
      </c>
      <c r="V34" s="165">
        <v>1.1800388081512399E-2</v>
      </c>
      <c r="W34" s="165">
        <v>3.1960652248603401E-3</v>
      </c>
    </row>
    <row r="35" spans="1:23">
      <c r="A35" s="3">
        <v>288</v>
      </c>
      <c r="B35" s="3">
        <v>288</v>
      </c>
      <c r="C35" s="3" t="s">
        <v>1159</v>
      </c>
      <c r="D35" s="3" t="s">
        <v>1160</v>
      </c>
      <c r="E35" s="5" t="s">
        <v>652</v>
      </c>
      <c r="F35" s="3" t="s">
        <v>1161</v>
      </c>
      <c r="G35" s="3" t="s">
        <v>1162</v>
      </c>
      <c r="H35" s="3" t="s">
        <v>150</v>
      </c>
      <c r="I35" s="3" t="s">
        <v>1061</v>
      </c>
      <c r="J35" s="3" t="s">
        <v>116</v>
      </c>
      <c r="K35" s="3" t="s">
        <v>117</v>
      </c>
      <c r="L35" s="3" t="s">
        <v>1163</v>
      </c>
      <c r="M35" s="3" t="s">
        <v>1084</v>
      </c>
      <c r="N35" s="3" t="s">
        <v>154</v>
      </c>
      <c r="O35" s="3" t="s">
        <v>34</v>
      </c>
      <c r="P35" s="155">
        <v>64747</v>
      </c>
      <c r="Q35" s="163">
        <v>3.306</v>
      </c>
      <c r="R35" s="173">
        <v>13170.84</v>
      </c>
      <c r="T35" s="154">
        <v>28192.654999999999</v>
      </c>
      <c r="U35" s="165">
        <v>0</v>
      </c>
      <c r="V35" s="165">
        <v>4.0597586127157401E-2</v>
      </c>
      <c r="W35" s="165">
        <v>1.09956157660241E-2</v>
      </c>
    </row>
    <row r="36" spans="1:23">
      <c r="A36" s="3">
        <v>288</v>
      </c>
      <c r="B36" s="3">
        <v>288</v>
      </c>
      <c r="C36" s="3" t="s">
        <v>1057</v>
      </c>
      <c r="D36" s="3" t="s">
        <v>1058</v>
      </c>
      <c r="E36" s="5" t="s">
        <v>652</v>
      </c>
      <c r="F36" s="3" t="s">
        <v>1164</v>
      </c>
      <c r="G36" s="3" t="s">
        <v>1165</v>
      </c>
      <c r="H36" s="3" t="s">
        <v>150</v>
      </c>
      <c r="I36" s="3" t="s">
        <v>1061</v>
      </c>
      <c r="J36" s="3" t="s">
        <v>116</v>
      </c>
      <c r="K36" s="3" t="s">
        <v>117</v>
      </c>
      <c r="L36" s="3" t="s">
        <v>31</v>
      </c>
      <c r="M36" s="3" t="s">
        <v>1099</v>
      </c>
      <c r="N36" s="3" t="s">
        <v>154</v>
      </c>
      <c r="O36" s="3" t="s">
        <v>34</v>
      </c>
      <c r="P36" s="155">
        <v>1110</v>
      </c>
      <c r="Q36" s="163">
        <v>3.306</v>
      </c>
      <c r="R36" s="173">
        <v>140840</v>
      </c>
      <c r="T36" s="154">
        <v>5168.3490000000002</v>
      </c>
      <c r="U36" s="165">
        <v>8.3999999999999995E-5</v>
      </c>
      <c r="V36" s="165">
        <v>7.4424526885125001E-3</v>
      </c>
      <c r="W36" s="165">
        <v>2.0157442332502198E-3</v>
      </c>
    </row>
    <row r="37" spans="1:23">
      <c r="A37" s="3">
        <v>288</v>
      </c>
      <c r="B37" s="3">
        <v>288</v>
      </c>
      <c r="C37" s="3" t="s">
        <v>1166</v>
      </c>
      <c r="D37" s="3" t="s">
        <v>1167</v>
      </c>
      <c r="E37" s="5" t="s">
        <v>652</v>
      </c>
      <c r="F37" s="3" t="s">
        <v>1168</v>
      </c>
      <c r="G37" s="3" t="s">
        <v>1169</v>
      </c>
      <c r="H37" s="3" t="s">
        <v>150</v>
      </c>
      <c r="I37" s="3" t="s">
        <v>1061</v>
      </c>
      <c r="J37" s="3" t="s">
        <v>116</v>
      </c>
      <c r="K37" s="3" t="s">
        <v>117</v>
      </c>
      <c r="L37" s="3" t="s">
        <v>923</v>
      </c>
      <c r="M37" s="3" t="s">
        <v>1170</v>
      </c>
      <c r="N37" s="3" t="s">
        <v>154</v>
      </c>
      <c r="O37" s="3" t="s">
        <v>34</v>
      </c>
      <c r="P37" s="155">
        <v>26900</v>
      </c>
      <c r="Q37" s="163">
        <v>3.306</v>
      </c>
      <c r="R37" s="173">
        <v>5387</v>
      </c>
      <c r="T37" s="154">
        <v>4790.7349999999997</v>
      </c>
      <c r="U37" s="165">
        <v>3.0000000000000001E-5</v>
      </c>
      <c r="V37" s="165">
        <v>6.89868544094604E-3</v>
      </c>
      <c r="W37" s="165">
        <v>1.8684680946723701E-3</v>
      </c>
    </row>
    <row r="38" spans="1:23">
      <c r="A38" s="3">
        <v>288</v>
      </c>
      <c r="B38" s="3">
        <v>288</v>
      </c>
      <c r="C38" s="3" t="s">
        <v>1057</v>
      </c>
      <c r="D38" s="3" t="s">
        <v>1058</v>
      </c>
      <c r="E38" s="5" t="s">
        <v>652</v>
      </c>
      <c r="F38" s="3" t="s">
        <v>1171</v>
      </c>
      <c r="G38" s="3" t="s">
        <v>1172</v>
      </c>
      <c r="H38" s="3" t="s">
        <v>150</v>
      </c>
      <c r="I38" s="3" t="s">
        <v>1061</v>
      </c>
      <c r="J38" s="3" t="s">
        <v>116</v>
      </c>
      <c r="K38" s="3" t="s">
        <v>1078</v>
      </c>
      <c r="L38" s="3" t="s">
        <v>1173</v>
      </c>
      <c r="M38" s="3" t="s">
        <v>1149</v>
      </c>
      <c r="N38" s="3" t="s">
        <v>154</v>
      </c>
      <c r="O38" s="3" t="s">
        <v>991</v>
      </c>
      <c r="P38" s="155">
        <v>79300</v>
      </c>
      <c r="Q38" s="163">
        <v>3.8807</v>
      </c>
      <c r="R38" s="173">
        <v>5559</v>
      </c>
      <c r="T38" s="154">
        <v>17107.239000000001</v>
      </c>
      <c r="U38" s="165">
        <v>8.1300000000000003E-4</v>
      </c>
      <c r="V38" s="165">
        <v>2.46345237187321E-2</v>
      </c>
      <c r="W38" s="165">
        <v>6.6721148528825604E-3</v>
      </c>
    </row>
    <row r="39" spans="1:23">
      <c r="A39" s="3">
        <v>288</v>
      </c>
      <c r="B39" s="3">
        <v>288</v>
      </c>
      <c r="C39" s="3" t="s">
        <v>1057</v>
      </c>
      <c r="D39" s="3" t="s">
        <v>1058</v>
      </c>
      <c r="E39" s="5" t="s">
        <v>652</v>
      </c>
      <c r="F39" s="3" t="s">
        <v>1174</v>
      </c>
      <c r="G39" s="3" t="s">
        <v>1175</v>
      </c>
      <c r="H39" s="3" t="s">
        <v>150</v>
      </c>
      <c r="I39" s="3" t="s">
        <v>1061</v>
      </c>
      <c r="J39" s="3" t="s">
        <v>116</v>
      </c>
      <c r="K39" s="3" t="s">
        <v>117</v>
      </c>
      <c r="L39" s="3" t="s">
        <v>31</v>
      </c>
      <c r="M39" s="3" t="s">
        <v>1176</v>
      </c>
      <c r="N39" s="3" t="s">
        <v>154</v>
      </c>
      <c r="O39" s="3" t="s">
        <v>34</v>
      </c>
      <c r="P39" s="155">
        <v>306840</v>
      </c>
      <c r="Q39" s="163">
        <v>3.306</v>
      </c>
      <c r="R39" s="173">
        <v>711.4</v>
      </c>
      <c r="T39" s="154">
        <v>7216.5339999999997</v>
      </c>
      <c r="U39" s="165">
        <v>0</v>
      </c>
      <c r="V39" s="165">
        <v>1.0391851266569E-2</v>
      </c>
      <c r="W39" s="165">
        <v>2.8145713704989801E-3</v>
      </c>
    </row>
    <row r="40" spans="1:23">
      <c r="A40" s="3">
        <v>288</v>
      </c>
      <c r="B40" s="3">
        <v>288</v>
      </c>
      <c r="C40" s="3" t="s">
        <v>1057</v>
      </c>
      <c r="D40" s="3" t="s">
        <v>1058</v>
      </c>
      <c r="E40" s="5" t="s">
        <v>652</v>
      </c>
      <c r="F40" s="3" t="s">
        <v>1177</v>
      </c>
      <c r="G40" s="3" t="s">
        <v>1178</v>
      </c>
      <c r="H40" s="3" t="s">
        <v>150</v>
      </c>
      <c r="I40" s="3" t="s">
        <v>1179</v>
      </c>
      <c r="J40" s="3" t="s">
        <v>116</v>
      </c>
      <c r="K40" s="3" t="s">
        <v>117</v>
      </c>
      <c r="L40" s="3" t="s">
        <v>1031</v>
      </c>
      <c r="M40" s="3" t="s">
        <v>1180</v>
      </c>
      <c r="N40" s="3" t="s">
        <v>154</v>
      </c>
      <c r="O40" s="3" t="s">
        <v>34</v>
      </c>
      <c r="P40" s="155">
        <v>811300</v>
      </c>
      <c r="Q40" s="163">
        <v>3.306</v>
      </c>
      <c r="R40" s="173">
        <v>627.5</v>
      </c>
      <c r="T40" s="154">
        <v>16830.54</v>
      </c>
      <c r="U40" s="165">
        <v>0</v>
      </c>
      <c r="V40" s="165">
        <v>2.4236075317940101E-2</v>
      </c>
      <c r="W40" s="165">
        <v>6.5641974633123198E-3</v>
      </c>
    </row>
    <row r="41" spans="1:23">
      <c r="A41" s="3">
        <v>288</v>
      </c>
      <c r="B41" s="3">
        <v>288</v>
      </c>
      <c r="C41" s="3" t="s">
        <v>1181</v>
      </c>
      <c r="D41" s="3" t="s">
        <v>1182</v>
      </c>
      <c r="E41" s="5" t="s">
        <v>652</v>
      </c>
      <c r="F41" s="3" t="s">
        <v>1183</v>
      </c>
      <c r="G41" s="3" t="s">
        <v>1184</v>
      </c>
      <c r="H41" s="3" t="s">
        <v>150</v>
      </c>
      <c r="I41" s="3" t="s">
        <v>1061</v>
      </c>
      <c r="J41" s="3" t="s">
        <v>116</v>
      </c>
      <c r="K41" s="3" t="s">
        <v>916</v>
      </c>
      <c r="L41" s="3" t="s">
        <v>1031</v>
      </c>
      <c r="M41" s="3" t="s">
        <v>1185</v>
      </c>
      <c r="N41" s="3" t="s">
        <v>154</v>
      </c>
      <c r="O41" s="3" t="s">
        <v>34</v>
      </c>
      <c r="P41" s="155">
        <v>30000</v>
      </c>
      <c r="Q41" s="163">
        <v>3.306</v>
      </c>
      <c r="R41" s="173">
        <v>2990</v>
      </c>
      <c r="T41" s="154">
        <v>2965.482</v>
      </c>
      <c r="U41" s="165">
        <v>0</v>
      </c>
      <c r="V41" s="165">
        <v>4.2703112480814596E-3</v>
      </c>
      <c r="W41" s="165">
        <v>1.1565885109071699E-3</v>
      </c>
    </row>
    <row r="42" spans="1:23">
      <c r="A42" s="3">
        <v>288</v>
      </c>
      <c r="B42" s="3">
        <v>288</v>
      </c>
      <c r="C42" s="3" t="s">
        <v>1186</v>
      </c>
      <c r="D42" s="3" t="s">
        <v>1187</v>
      </c>
      <c r="E42" s="5" t="s">
        <v>652</v>
      </c>
      <c r="F42" s="3" t="s">
        <v>1188</v>
      </c>
      <c r="G42" s="3" t="s">
        <v>1189</v>
      </c>
      <c r="H42" s="3" t="s">
        <v>150</v>
      </c>
      <c r="I42" s="3" t="s">
        <v>1061</v>
      </c>
      <c r="J42" s="3" t="s">
        <v>116</v>
      </c>
      <c r="K42" s="3" t="s">
        <v>916</v>
      </c>
      <c r="L42" s="3" t="s">
        <v>923</v>
      </c>
      <c r="M42" s="3" t="s">
        <v>1185</v>
      </c>
      <c r="N42" s="3" t="s">
        <v>154</v>
      </c>
      <c r="O42" s="3" t="s">
        <v>34</v>
      </c>
      <c r="P42" s="155">
        <v>22000</v>
      </c>
      <c r="Q42" s="163">
        <v>3.306</v>
      </c>
      <c r="R42" s="173">
        <v>4201</v>
      </c>
      <c r="T42" s="154">
        <v>3055.471</v>
      </c>
      <c r="U42" s="165">
        <v>8.8999999999999995E-5</v>
      </c>
      <c r="V42" s="165">
        <v>4.39989638985714E-3</v>
      </c>
      <c r="W42" s="165">
        <v>1.1916858790976901E-3</v>
      </c>
    </row>
    <row r="43" spans="1:23">
      <c r="A43" s="3">
        <v>288</v>
      </c>
      <c r="B43" s="3">
        <v>288</v>
      </c>
      <c r="C43" s="3" t="s">
        <v>1159</v>
      </c>
      <c r="D43" s="3" t="s">
        <v>1160</v>
      </c>
      <c r="E43" s="5" t="s">
        <v>652</v>
      </c>
      <c r="F43" s="3" t="s">
        <v>1190</v>
      </c>
      <c r="G43" s="3" t="s">
        <v>1191</v>
      </c>
      <c r="H43" s="3" t="s">
        <v>150</v>
      </c>
      <c r="I43" s="3" t="s">
        <v>1061</v>
      </c>
      <c r="J43" s="3" t="s">
        <v>116</v>
      </c>
      <c r="K43" s="3" t="s">
        <v>1078</v>
      </c>
      <c r="L43" s="3" t="s">
        <v>31</v>
      </c>
      <c r="M43" s="3" t="s">
        <v>1192</v>
      </c>
      <c r="N43" s="3" t="s">
        <v>154</v>
      </c>
      <c r="O43" s="3" t="s">
        <v>991</v>
      </c>
      <c r="P43" s="155">
        <v>9540</v>
      </c>
      <c r="Q43" s="163">
        <v>3.8807</v>
      </c>
      <c r="R43" s="173">
        <v>21790</v>
      </c>
      <c r="T43" s="154">
        <v>8067.067</v>
      </c>
      <c r="U43" s="165">
        <v>1.97E-3</v>
      </c>
      <c r="V43" s="165">
        <v>1.16166234940452E-2</v>
      </c>
      <c r="W43" s="165">
        <v>3.1462936746784599E-3</v>
      </c>
    </row>
    <row r="44" spans="1:23">
      <c r="A44" s="3">
        <v>288</v>
      </c>
      <c r="B44" s="3">
        <v>288</v>
      </c>
      <c r="C44" s="3" t="s">
        <v>1193</v>
      </c>
      <c r="D44" s="3" t="s">
        <v>1160</v>
      </c>
      <c r="E44" s="5" t="s">
        <v>652</v>
      </c>
      <c r="F44" s="3" t="s">
        <v>1194</v>
      </c>
      <c r="G44" s="3" t="s">
        <v>1195</v>
      </c>
      <c r="H44" s="3" t="s">
        <v>150</v>
      </c>
      <c r="I44" s="3" t="s">
        <v>1061</v>
      </c>
      <c r="J44" s="3" t="s">
        <v>116</v>
      </c>
      <c r="K44" s="3" t="s">
        <v>117</v>
      </c>
      <c r="L44" s="3" t="s">
        <v>1031</v>
      </c>
      <c r="M44" s="3" t="s">
        <v>1084</v>
      </c>
      <c r="N44" s="3" t="s">
        <v>154</v>
      </c>
      <c r="O44" s="3" t="s">
        <v>34</v>
      </c>
      <c r="P44" s="155">
        <v>18984</v>
      </c>
      <c r="Q44" s="163">
        <v>3.306</v>
      </c>
      <c r="R44" s="173">
        <v>47917</v>
      </c>
      <c r="T44" s="154">
        <v>30073.238000000001</v>
      </c>
      <c r="U44" s="165">
        <v>2.14E-3</v>
      </c>
      <c r="V44" s="165">
        <v>4.33056371164647E-2</v>
      </c>
      <c r="W44" s="165">
        <v>1.17290753382253E-2</v>
      </c>
    </row>
    <row r="45" spans="1:23">
      <c r="A45" s="3">
        <v>288</v>
      </c>
      <c r="B45" s="3">
        <v>288</v>
      </c>
      <c r="C45" s="3" t="s">
        <v>1196</v>
      </c>
      <c r="D45" s="3" t="s">
        <v>1197</v>
      </c>
      <c r="E45" s="5" t="s">
        <v>652</v>
      </c>
      <c r="F45" s="3" t="s">
        <v>1198</v>
      </c>
      <c r="G45" s="3" t="s">
        <v>1199</v>
      </c>
      <c r="H45" s="3" t="s">
        <v>150</v>
      </c>
      <c r="I45" s="3" t="s">
        <v>1061</v>
      </c>
      <c r="J45" s="3" t="s">
        <v>116</v>
      </c>
      <c r="K45" s="3" t="s">
        <v>1122</v>
      </c>
      <c r="L45" s="3" t="s">
        <v>1200</v>
      </c>
      <c r="M45" s="3" t="s">
        <v>1123</v>
      </c>
      <c r="N45" s="3" t="s">
        <v>154</v>
      </c>
      <c r="O45" s="3" t="s">
        <v>1201</v>
      </c>
      <c r="P45" s="155">
        <v>121300</v>
      </c>
      <c r="Q45" s="163">
        <v>2.2332000000000001</v>
      </c>
      <c r="R45" s="173">
        <v>3283</v>
      </c>
      <c r="T45" s="154">
        <v>8893.2250000000004</v>
      </c>
      <c r="U45" s="165">
        <v>0</v>
      </c>
      <c r="V45" s="165">
        <v>1.28062961520317E-2</v>
      </c>
      <c r="W45" s="165">
        <v>3.46850946833654E-3</v>
      </c>
    </row>
    <row r="46" spans="1:23">
      <c r="A46" s="3">
        <v>288</v>
      </c>
      <c r="B46" s="3">
        <v>288</v>
      </c>
      <c r="C46" s="3" t="s">
        <v>1202</v>
      </c>
      <c r="D46" s="3" t="s">
        <v>1203</v>
      </c>
      <c r="E46" s="5" t="s">
        <v>652</v>
      </c>
      <c r="F46" s="3" t="s">
        <v>1204</v>
      </c>
      <c r="G46" s="3" t="s">
        <v>1205</v>
      </c>
      <c r="H46" s="3" t="s">
        <v>150</v>
      </c>
      <c r="I46" s="3" t="s">
        <v>1061</v>
      </c>
      <c r="J46" s="3" t="s">
        <v>116</v>
      </c>
      <c r="K46" s="3" t="s">
        <v>117</v>
      </c>
      <c r="L46" s="3" t="s">
        <v>1031</v>
      </c>
      <c r="M46" s="3" t="s">
        <v>1084</v>
      </c>
      <c r="N46" s="3" t="s">
        <v>154</v>
      </c>
      <c r="O46" s="3" t="s">
        <v>34</v>
      </c>
      <c r="P46" s="155">
        <v>8675</v>
      </c>
      <c r="Q46" s="163">
        <v>3.306</v>
      </c>
      <c r="R46" s="173">
        <v>132232</v>
      </c>
      <c r="T46" s="154">
        <v>37923.542999999998</v>
      </c>
      <c r="U46" s="165">
        <v>1.709E-3</v>
      </c>
      <c r="V46" s="165">
        <v>5.4610120831616198E-2</v>
      </c>
      <c r="W46" s="165">
        <v>1.47908278024175E-2</v>
      </c>
    </row>
    <row r="47" spans="1:23">
      <c r="A47" s="3">
        <v>288</v>
      </c>
      <c r="B47" s="3">
        <v>288</v>
      </c>
      <c r="C47" s="3" t="s">
        <v>1166</v>
      </c>
      <c r="D47" s="3" t="s">
        <v>1167</v>
      </c>
      <c r="E47" s="5" t="s">
        <v>652</v>
      </c>
      <c r="F47" s="3" t="s">
        <v>1206</v>
      </c>
      <c r="G47" s="3" t="s">
        <v>1207</v>
      </c>
      <c r="H47" s="3" t="s">
        <v>150</v>
      </c>
      <c r="I47" s="3" t="s">
        <v>1179</v>
      </c>
      <c r="J47" s="3" t="s">
        <v>116</v>
      </c>
      <c r="K47" s="3" t="s">
        <v>117</v>
      </c>
      <c r="L47" s="3" t="s">
        <v>1031</v>
      </c>
      <c r="M47" s="3" t="s">
        <v>1180</v>
      </c>
      <c r="N47" s="3" t="s">
        <v>154</v>
      </c>
      <c r="O47" s="3" t="s">
        <v>34</v>
      </c>
      <c r="P47" s="155">
        <v>37200</v>
      </c>
      <c r="Q47" s="163">
        <v>3.306</v>
      </c>
      <c r="R47" s="173">
        <v>3013.5</v>
      </c>
      <c r="T47" s="154">
        <v>3706.0990000000002</v>
      </c>
      <c r="U47" s="165">
        <v>0</v>
      </c>
      <c r="V47" s="165">
        <v>5.3368036298180399E-3</v>
      </c>
      <c r="W47" s="165">
        <v>1.44544165626999E-3</v>
      </c>
    </row>
    <row r="48" spans="1:23">
      <c r="A48" s="3">
        <v>288</v>
      </c>
      <c r="B48" s="3">
        <v>288</v>
      </c>
      <c r="C48" s="3" t="s">
        <v>1166</v>
      </c>
      <c r="D48" s="3" t="s">
        <v>1167</v>
      </c>
      <c r="E48" s="5" t="s">
        <v>652</v>
      </c>
      <c r="F48" s="3" t="s">
        <v>1208</v>
      </c>
      <c r="G48" s="3" t="s">
        <v>1209</v>
      </c>
      <c r="H48" s="3" t="s">
        <v>150</v>
      </c>
      <c r="I48" s="3" t="s">
        <v>1061</v>
      </c>
      <c r="J48" s="3" t="s">
        <v>116</v>
      </c>
      <c r="K48" s="3" t="s">
        <v>117</v>
      </c>
      <c r="L48" s="3" t="s">
        <v>1031</v>
      </c>
      <c r="M48" s="3" t="s">
        <v>1084</v>
      </c>
      <c r="N48" s="3" t="s">
        <v>154</v>
      </c>
      <c r="O48" s="3" t="s">
        <v>34</v>
      </c>
      <c r="P48" s="155">
        <v>973390</v>
      </c>
      <c r="Q48" s="163">
        <v>3.306</v>
      </c>
      <c r="R48" s="173">
        <v>1631</v>
      </c>
      <c r="T48" s="154">
        <v>52486.025999999998</v>
      </c>
      <c r="U48" s="165">
        <v>0</v>
      </c>
      <c r="V48" s="165">
        <v>7.5580181175818301E-2</v>
      </c>
      <c r="W48" s="165">
        <v>2.04704444528504E-2</v>
      </c>
    </row>
    <row r="49" spans="1:23">
      <c r="A49" s="3">
        <v>288</v>
      </c>
      <c r="B49" s="3">
        <v>288</v>
      </c>
      <c r="C49" s="3" t="s">
        <v>1166</v>
      </c>
      <c r="D49" s="3" t="s">
        <v>1167</v>
      </c>
      <c r="E49" s="5" t="s">
        <v>652</v>
      </c>
      <c r="F49" s="3" t="s">
        <v>1210</v>
      </c>
      <c r="G49" s="3" t="s">
        <v>1211</v>
      </c>
      <c r="H49" s="3" t="s">
        <v>150</v>
      </c>
      <c r="I49" s="3" t="s">
        <v>1061</v>
      </c>
      <c r="J49" s="3" t="s">
        <v>116</v>
      </c>
      <c r="K49" s="3" t="s">
        <v>117</v>
      </c>
      <c r="L49" s="3" t="s">
        <v>1031</v>
      </c>
      <c r="M49" s="3" t="s">
        <v>1062</v>
      </c>
      <c r="N49" s="3" t="s">
        <v>154</v>
      </c>
      <c r="O49" s="3" t="s">
        <v>34</v>
      </c>
      <c r="P49" s="155">
        <v>53200</v>
      </c>
      <c r="Q49" s="163">
        <v>3.306</v>
      </c>
      <c r="R49" s="173">
        <v>3513</v>
      </c>
      <c r="T49" s="154">
        <v>6178.6360000000004</v>
      </c>
      <c r="U49" s="165">
        <v>0</v>
      </c>
      <c r="V49" s="165">
        <v>8.8972720362535292E-3</v>
      </c>
      <c r="W49" s="165">
        <v>2.4097734375145901E-3</v>
      </c>
    </row>
    <row r="50" spans="1:23">
      <c r="A50" s="3">
        <v>288</v>
      </c>
      <c r="B50" s="3">
        <v>288</v>
      </c>
      <c r="C50" s="3" t="s">
        <v>1166</v>
      </c>
      <c r="D50" s="3" t="s">
        <v>1167</v>
      </c>
      <c r="E50" s="5" t="s">
        <v>652</v>
      </c>
      <c r="F50" s="3" t="s">
        <v>1212</v>
      </c>
      <c r="G50" s="3" t="s">
        <v>1213</v>
      </c>
      <c r="H50" s="3" t="s">
        <v>150</v>
      </c>
      <c r="I50" s="3" t="s">
        <v>1061</v>
      </c>
      <c r="J50" s="3" t="s">
        <v>116</v>
      </c>
      <c r="K50" s="3" t="s">
        <v>117</v>
      </c>
      <c r="L50" s="3" t="s">
        <v>1031</v>
      </c>
      <c r="M50" s="3" t="s">
        <v>1170</v>
      </c>
      <c r="N50" s="3" t="s">
        <v>154</v>
      </c>
      <c r="O50" s="3" t="s">
        <v>34</v>
      </c>
      <c r="P50" s="155">
        <v>14700</v>
      </c>
      <c r="Q50" s="163">
        <v>3.306</v>
      </c>
      <c r="R50" s="173">
        <v>6304</v>
      </c>
      <c r="T50" s="154">
        <v>3063.6309999999999</v>
      </c>
      <c r="U50" s="165">
        <v>0</v>
      </c>
      <c r="V50" s="165">
        <v>4.4116456966132797E-3</v>
      </c>
      <c r="W50" s="165">
        <v>1.1948681092480999E-3</v>
      </c>
    </row>
    <row r="51" spans="1:23">
      <c r="A51" s="3">
        <v>288</v>
      </c>
      <c r="B51" s="3">
        <v>288</v>
      </c>
      <c r="C51" s="3" t="s">
        <v>1214</v>
      </c>
      <c r="D51" s="3" t="s">
        <v>1215</v>
      </c>
      <c r="E51" s="5" t="s">
        <v>652</v>
      </c>
      <c r="F51" s="3" t="s">
        <v>1216</v>
      </c>
      <c r="G51" s="3" t="s">
        <v>1217</v>
      </c>
      <c r="H51" s="3" t="s">
        <v>150</v>
      </c>
      <c r="I51" s="3" t="s">
        <v>1061</v>
      </c>
      <c r="J51" s="3" t="s">
        <v>116</v>
      </c>
      <c r="K51" s="3" t="s">
        <v>267</v>
      </c>
      <c r="L51" s="3" t="s">
        <v>31</v>
      </c>
      <c r="M51" s="3" t="s">
        <v>1218</v>
      </c>
      <c r="N51" s="3" t="s">
        <v>154</v>
      </c>
      <c r="O51" s="3" t="s">
        <v>34</v>
      </c>
      <c r="P51" s="155">
        <v>78065</v>
      </c>
      <c r="Q51" s="163">
        <v>3.306</v>
      </c>
      <c r="R51" s="173">
        <v>7792</v>
      </c>
      <c r="T51" s="154">
        <v>20109.819</v>
      </c>
      <c r="U51" s="165">
        <v>0</v>
      </c>
      <c r="V51" s="165">
        <v>2.8958255477757999E-2</v>
      </c>
      <c r="W51" s="165">
        <v>7.8431719927995695E-3</v>
      </c>
    </row>
    <row r="52" spans="1:23">
      <c r="A52" s="3">
        <v>288</v>
      </c>
      <c r="B52" s="3">
        <v>288</v>
      </c>
      <c r="C52" s="3" t="s">
        <v>1214</v>
      </c>
      <c r="D52" s="3" t="s">
        <v>1215</v>
      </c>
      <c r="E52" s="5" t="s">
        <v>652</v>
      </c>
      <c r="F52" s="3" t="s">
        <v>1216</v>
      </c>
      <c r="G52" s="3" t="s">
        <v>1217</v>
      </c>
      <c r="H52" s="3" t="s">
        <v>150</v>
      </c>
      <c r="I52" s="3" t="s">
        <v>1061</v>
      </c>
      <c r="J52" s="3" t="s">
        <v>116</v>
      </c>
      <c r="K52" s="3" t="s">
        <v>267</v>
      </c>
      <c r="L52" s="3" t="s">
        <v>31</v>
      </c>
      <c r="M52" s="3" t="s">
        <v>1218</v>
      </c>
      <c r="N52" s="3" t="s">
        <v>154</v>
      </c>
      <c r="O52" s="3" t="s">
        <v>991</v>
      </c>
      <c r="P52" s="155">
        <v>4160</v>
      </c>
      <c r="Q52" s="163">
        <v>3.8807</v>
      </c>
      <c r="R52" s="173">
        <v>6640</v>
      </c>
      <c r="T52" s="154">
        <v>1071.942</v>
      </c>
      <c r="U52" s="165">
        <v>0</v>
      </c>
      <c r="V52" s="165">
        <v>1.54360337239455E-3</v>
      </c>
      <c r="W52" s="165">
        <v>4.18075831524271E-4</v>
      </c>
    </row>
    <row r="53" spans="1:23">
      <c r="A53" s="3">
        <v>288</v>
      </c>
      <c r="B53" s="3">
        <v>288</v>
      </c>
      <c r="C53" s="3" t="s">
        <v>1214</v>
      </c>
      <c r="D53" s="3" t="s">
        <v>1215</v>
      </c>
      <c r="E53" s="5" t="s">
        <v>652</v>
      </c>
      <c r="F53" s="3" t="s">
        <v>1219</v>
      </c>
      <c r="G53" s="3" t="s">
        <v>1220</v>
      </c>
      <c r="H53" s="3" t="s">
        <v>150</v>
      </c>
      <c r="I53" s="3" t="s">
        <v>1061</v>
      </c>
      <c r="J53" s="3" t="s">
        <v>116</v>
      </c>
      <c r="K53" s="3" t="s">
        <v>117</v>
      </c>
      <c r="L53" s="3" t="s">
        <v>923</v>
      </c>
      <c r="M53" s="3" t="s">
        <v>1084</v>
      </c>
      <c r="N53" s="3" t="s">
        <v>154</v>
      </c>
      <c r="O53" s="3" t="s">
        <v>34</v>
      </c>
      <c r="P53" s="155">
        <v>2649</v>
      </c>
      <c r="Q53" s="163">
        <v>3.306</v>
      </c>
      <c r="R53" s="173">
        <v>61238</v>
      </c>
      <c r="S53" s="154">
        <v>4.609</v>
      </c>
      <c r="T53" s="154">
        <v>5378.2139999999999</v>
      </c>
      <c r="U53" s="165">
        <v>3.9999999999999998E-6</v>
      </c>
      <c r="V53" s="165">
        <v>7.7446587594053196E-3</v>
      </c>
      <c r="W53" s="165">
        <v>2.0975949577560901E-3</v>
      </c>
    </row>
    <row r="54" spans="1:23">
      <c r="A54" s="3">
        <v>288</v>
      </c>
      <c r="B54" s="3">
        <v>288</v>
      </c>
      <c r="C54" s="3" t="s">
        <v>1214</v>
      </c>
      <c r="D54" s="3" t="s">
        <v>1215</v>
      </c>
      <c r="E54" s="5" t="s">
        <v>652</v>
      </c>
      <c r="F54" s="3" t="s">
        <v>1221</v>
      </c>
      <c r="G54" s="3" t="s">
        <v>1222</v>
      </c>
      <c r="H54" s="3" t="s">
        <v>150</v>
      </c>
      <c r="I54" s="3" t="s">
        <v>1179</v>
      </c>
      <c r="J54" s="3" t="s">
        <v>116</v>
      </c>
      <c r="K54" s="3" t="s">
        <v>117</v>
      </c>
      <c r="L54" s="3" t="s">
        <v>1031</v>
      </c>
      <c r="M54" s="3" t="s">
        <v>1180</v>
      </c>
      <c r="N54" s="3" t="s">
        <v>154</v>
      </c>
      <c r="O54" s="3" t="s">
        <v>34</v>
      </c>
      <c r="P54" s="155">
        <v>138300</v>
      </c>
      <c r="Q54" s="163">
        <v>3.306</v>
      </c>
      <c r="R54" s="173">
        <v>6073</v>
      </c>
      <c r="T54" s="154">
        <v>27766.957999999999</v>
      </c>
      <c r="U54" s="165">
        <v>0</v>
      </c>
      <c r="V54" s="165">
        <v>3.9984580925167303E-2</v>
      </c>
      <c r="W54" s="165">
        <v>1.08295869375478E-2</v>
      </c>
    </row>
    <row r="55" spans="1:23">
      <c r="A55" s="3">
        <v>288</v>
      </c>
      <c r="B55" s="3">
        <v>288</v>
      </c>
      <c r="C55" s="3" t="s">
        <v>1223</v>
      </c>
      <c r="D55" s="3" t="s">
        <v>1224</v>
      </c>
      <c r="E55" s="5" t="s">
        <v>652</v>
      </c>
      <c r="F55" s="3" t="s">
        <v>1225</v>
      </c>
      <c r="G55" s="3" t="s">
        <v>1226</v>
      </c>
      <c r="H55" s="3" t="s">
        <v>150</v>
      </c>
      <c r="I55" s="3" t="s">
        <v>1061</v>
      </c>
      <c r="J55" s="3" t="s">
        <v>116</v>
      </c>
      <c r="K55" s="3" t="s">
        <v>1122</v>
      </c>
      <c r="L55" s="3" t="s">
        <v>923</v>
      </c>
      <c r="M55" s="3" t="s">
        <v>1123</v>
      </c>
      <c r="N55" s="3" t="s">
        <v>154</v>
      </c>
      <c r="O55" s="3" t="s">
        <v>34</v>
      </c>
      <c r="P55" s="155">
        <v>38000</v>
      </c>
      <c r="Q55" s="163">
        <v>3.306</v>
      </c>
      <c r="R55" s="173">
        <v>12803</v>
      </c>
      <c r="T55" s="154">
        <v>16084.153</v>
      </c>
      <c r="U55" s="165">
        <v>1.2620000000000001E-3</v>
      </c>
      <c r="V55" s="165">
        <v>2.3161273205675601E-2</v>
      </c>
      <c r="W55" s="165">
        <v>6.2730936766498503E-3</v>
      </c>
    </row>
    <row r="56" spans="1:23">
      <c r="A56" s="3">
        <v>288</v>
      </c>
      <c r="B56" s="3">
        <v>288</v>
      </c>
      <c r="C56" s="3" t="s">
        <v>1166</v>
      </c>
      <c r="D56" s="3" t="s">
        <v>1167</v>
      </c>
      <c r="E56" s="5" t="s">
        <v>652</v>
      </c>
      <c r="F56" s="3" t="s">
        <v>1227</v>
      </c>
      <c r="G56" s="3" t="s">
        <v>1228</v>
      </c>
      <c r="H56" s="3" t="s">
        <v>150</v>
      </c>
      <c r="I56" s="3" t="s">
        <v>1061</v>
      </c>
      <c r="J56" s="3" t="s">
        <v>116</v>
      </c>
      <c r="K56" s="3" t="s">
        <v>267</v>
      </c>
      <c r="L56" s="3" t="s">
        <v>31</v>
      </c>
      <c r="M56" s="3" t="s">
        <v>1149</v>
      </c>
      <c r="N56" s="3" t="s">
        <v>154</v>
      </c>
      <c r="O56" s="3" t="s">
        <v>34</v>
      </c>
      <c r="P56" s="155">
        <v>6791</v>
      </c>
      <c r="Q56" s="163">
        <v>3.306</v>
      </c>
      <c r="R56" s="173">
        <v>6212</v>
      </c>
      <c r="T56" s="154">
        <v>1394.6590000000001</v>
      </c>
      <c r="U56" s="165">
        <v>9.0000000000000006E-5</v>
      </c>
      <c r="V56" s="165">
        <v>2.0083170017357898E-3</v>
      </c>
      <c r="W56" s="165">
        <v>5.4394076579563602E-4</v>
      </c>
    </row>
    <row r="57" spans="1:23">
      <c r="A57" s="3">
        <v>288</v>
      </c>
      <c r="B57" s="3">
        <v>288</v>
      </c>
      <c r="C57" s="3" t="s">
        <v>1229</v>
      </c>
      <c r="D57" s="3" t="s">
        <v>1230</v>
      </c>
      <c r="E57" s="5" t="s">
        <v>652</v>
      </c>
      <c r="F57" s="3" t="s">
        <v>1231</v>
      </c>
      <c r="G57" s="3" t="s">
        <v>1232</v>
      </c>
      <c r="H57" s="3" t="s">
        <v>150</v>
      </c>
      <c r="I57" s="3" t="s">
        <v>1061</v>
      </c>
      <c r="J57" s="3" t="s">
        <v>116</v>
      </c>
      <c r="K57" s="3" t="s">
        <v>117</v>
      </c>
      <c r="L57" s="3" t="s">
        <v>31</v>
      </c>
      <c r="M57" s="3" t="s">
        <v>1128</v>
      </c>
      <c r="N57" s="3" t="s">
        <v>154</v>
      </c>
      <c r="O57" s="3" t="s">
        <v>34</v>
      </c>
      <c r="P57" s="155">
        <v>18000</v>
      </c>
      <c r="Q57" s="163">
        <v>3.306</v>
      </c>
      <c r="R57" s="173">
        <v>7024</v>
      </c>
      <c r="T57" s="154">
        <v>4179.8419999999996</v>
      </c>
      <c r="U57" s="165">
        <v>0</v>
      </c>
      <c r="V57" s="165">
        <v>6.0189965631821203E-3</v>
      </c>
      <c r="W57" s="165">
        <v>1.63020957202916E-3</v>
      </c>
    </row>
    <row r="58" spans="1:23">
      <c r="A58" s="3">
        <v>288</v>
      </c>
      <c r="B58" s="3">
        <v>288</v>
      </c>
      <c r="C58" s="3" t="s">
        <v>1057</v>
      </c>
      <c r="D58" s="3" t="s">
        <v>1058</v>
      </c>
      <c r="E58" s="5" t="s">
        <v>652</v>
      </c>
      <c r="F58" s="3" t="s">
        <v>1233</v>
      </c>
      <c r="G58" s="3" t="s">
        <v>1234</v>
      </c>
      <c r="H58" s="3" t="s">
        <v>150</v>
      </c>
      <c r="I58" s="3" t="s">
        <v>1179</v>
      </c>
      <c r="J58" s="3" t="s">
        <v>116</v>
      </c>
      <c r="K58" s="3" t="s">
        <v>117</v>
      </c>
      <c r="L58" s="3" t="s">
        <v>740</v>
      </c>
      <c r="M58" s="3" t="s">
        <v>1180</v>
      </c>
      <c r="N58" s="3" t="s">
        <v>154</v>
      </c>
      <c r="O58" s="3" t="s">
        <v>34</v>
      </c>
      <c r="P58" s="155">
        <v>26200</v>
      </c>
      <c r="Q58" s="163">
        <v>3.306</v>
      </c>
      <c r="R58" s="173">
        <v>5409</v>
      </c>
      <c r="T58" s="154">
        <v>4685.1239999999998</v>
      </c>
      <c r="U58" s="165">
        <v>0</v>
      </c>
      <c r="V58" s="165">
        <v>6.7466061847364896E-3</v>
      </c>
      <c r="W58" s="165">
        <v>1.82727832880734E-3</v>
      </c>
    </row>
    <row r="59" spans="1:23">
      <c r="A59" s="3">
        <v>288</v>
      </c>
      <c r="B59" s="3">
        <v>288</v>
      </c>
      <c r="C59" s="3" t="s">
        <v>1057</v>
      </c>
      <c r="D59" s="3" t="s">
        <v>1058</v>
      </c>
      <c r="E59" s="5" t="s">
        <v>652</v>
      </c>
      <c r="F59" s="3" t="s">
        <v>1235</v>
      </c>
      <c r="G59" s="3" t="s">
        <v>1236</v>
      </c>
      <c r="H59" s="3" t="s">
        <v>150</v>
      </c>
      <c r="I59" s="3" t="s">
        <v>1061</v>
      </c>
      <c r="J59" s="3" t="s">
        <v>116</v>
      </c>
      <c r="K59" s="3" t="s">
        <v>267</v>
      </c>
      <c r="L59" s="3" t="s">
        <v>740</v>
      </c>
      <c r="M59" s="3" t="s">
        <v>1237</v>
      </c>
      <c r="N59" s="3" t="s">
        <v>154</v>
      </c>
      <c r="O59" s="3" t="s">
        <v>34</v>
      </c>
      <c r="P59" s="155">
        <v>4085</v>
      </c>
      <c r="Q59" s="163">
        <v>3.306</v>
      </c>
      <c r="R59" s="173">
        <v>13824</v>
      </c>
      <c r="T59" s="154">
        <v>1866.933</v>
      </c>
      <c r="U59" s="165">
        <v>2.0000000000000002E-5</v>
      </c>
      <c r="V59" s="165">
        <v>2.6883937268992E-3</v>
      </c>
      <c r="W59" s="165">
        <v>7.2813551909676002E-4</v>
      </c>
    </row>
    <row r="60" spans="1:23">
      <c r="A60" s="3">
        <v>288</v>
      </c>
      <c r="B60" s="3">
        <v>288</v>
      </c>
      <c r="C60" s="3" t="s">
        <v>1057</v>
      </c>
      <c r="D60" s="3" t="s">
        <v>1058</v>
      </c>
      <c r="E60" s="5" t="s">
        <v>652</v>
      </c>
      <c r="F60" s="3" t="s">
        <v>1238</v>
      </c>
      <c r="G60" s="3" t="s">
        <v>1239</v>
      </c>
      <c r="H60" s="3" t="s">
        <v>150</v>
      </c>
      <c r="I60" s="3" t="s">
        <v>1061</v>
      </c>
      <c r="J60" s="3" t="s">
        <v>116</v>
      </c>
      <c r="K60" s="3" t="s">
        <v>1240</v>
      </c>
      <c r="L60" s="3" t="s">
        <v>923</v>
      </c>
      <c r="M60" s="3" t="s">
        <v>1241</v>
      </c>
      <c r="N60" s="3" t="s">
        <v>154</v>
      </c>
      <c r="O60" s="3" t="s">
        <v>34</v>
      </c>
      <c r="P60" s="155">
        <v>29286</v>
      </c>
      <c r="Q60" s="163">
        <v>3.306</v>
      </c>
      <c r="R60" s="173">
        <v>5206</v>
      </c>
      <c r="T60" s="154">
        <v>5040.424</v>
      </c>
      <c r="U60" s="165">
        <v>3.1E-4</v>
      </c>
      <c r="V60" s="165">
        <v>7.2582397448171599E-3</v>
      </c>
      <c r="W60" s="165">
        <v>1.9658512484393002E-3</v>
      </c>
    </row>
    <row r="61" spans="1:23">
      <c r="A61" s="3">
        <v>288</v>
      </c>
      <c r="B61" s="3">
        <v>288</v>
      </c>
      <c r="C61" s="3" t="s">
        <v>1057</v>
      </c>
      <c r="D61" s="3" t="s">
        <v>1058</v>
      </c>
      <c r="E61" s="5" t="s">
        <v>652</v>
      </c>
      <c r="F61" s="3" t="s">
        <v>1242</v>
      </c>
      <c r="G61" s="3" t="s">
        <v>1243</v>
      </c>
      <c r="H61" s="3" t="s">
        <v>150</v>
      </c>
      <c r="I61" s="3" t="s">
        <v>1061</v>
      </c>
      <c r="J61" s="3" t="s">
        <v>116</v>
      </c>
      <c r="K61" s="3" t="s">
        <v>916</v>
      </c>
      <c r="L61" s="3" t="s">
        <v>923</v>
      </c>
      <c r="M61" s="3" t="s">
        <v>1062</v>
      </c>
      <c r="N61" s="3" t="s">
        <v>154</v>
      </c>
      <c r="O61" s="3" t="s">
        <v>34</v>
      </c>
      <c r="P61" s="155">
        <v>5750</v>
      </c>
      <c r="Q61" s="163">
        <v>3.306</v>
      </c>
      <c r="R61" s="173">
        <v>6362</v>
      </c>
      <c r="T61" s="154">
        <v>1209.384</v>
      </c>
      <c r="U61" s="165">
        <v>0</v>
      </c>
      <c r="V61" s="165">
        <v>1.7415205230957901E-3</v>
      </c>
      <c r="W61" s="165">
        <v>4.7168051964047598E-4</v>
      </c>
    </row>
    <row r="62" spans="1:23">
      <c r="A62" s="3">
        <v>288</v>
      </c>
      <c r="B62" s="3">
        <v>288</v>
      </c>
      <c r="C62" s="3" t="s">
        <v>1057</v>
      </c>
      <c r="D62" s="3" t="s">
        <v>1058</v>
      </c>
      <c r="E62" s="5" t="s">
        <v>652</v>
      </c>
      <c r="F62" s="3" t="s">
        <v>1244</v>
      </c>
      <c r="G62" s="3" t="s">
        <v>1245</v>
      </c>
      <c r="H62" s="3" t="s">
        <v>150</v>
      </c>
      <c r="I62" s="3" t="s">
        <v>1179</v>
      </c>
      <c r="J62" s="3" t="s">
        <v>116</v>
      </c>
      <c r="K62" s="3" t="s">
        <v>117</v>
      </c>
      <c r="L62" s="3" t="s">
        <v>1031</v>
      </c>
      <c r="M62" s="3" t="s">
        <v>1180</v>
      </c>
      <c r="N62" s="3" t="s">
        <v>154</v>
      </c>
      <c r="O62" s="3" t="s">
        <v>34</v>
      </c>
      <c r="P62" s="155">
        <v>76600</v>
      </c>
      <c r="Q62" s="163">
        <v>3.306</v>
      </c>
      <c r="R62" s="173">
        <v>624.1</v>
      </c>
      <c r="T62" s="154">
        <v>1580.4680000000001</v>
      </c>
      <c r="U62" s="165">
        <v>0</v>
      </c>
      <c r="V62" s="165">
        <v>2.2758835645981901E-3</v>
      </c>
      <c r="W62" s="165">
        <v>6.1640958470165997E-4</v>
      </c>
    </row>
    <row r="63" spans="1:23">
      <c r="A63" s="3">
        <v>288</v>
      </c>
      <c r="B63" s="3">
        <v>288</v>
      </c>
      <c r="C63" s="3" t="s">
        <v>1186</v>
      </c>
      <c r="D63" s="3" t="s">
        <v>1187</v>
      </c>
      <c r="E63" s="5" t="s">
        <v>652</v>
      </c>
      <c r="F63" s="3" t="s">
        <v>1188</v>
      </c>
      <c r="G63" s="3" t="s">
        <v>1189</v>
      </c>
      <c r="H63" s="3" t="s">
        <v>150</v>
      </c>
      <c r="I63" s="3" t="s">
        <v>1061</v>
      </c>
      <c r="J63" s="3" t="s">
        <v>116</v>
      </c>
      <c r="K63" s="3" t="s">
        <v>916</v>
      </c>
      <c r="L63" s="3" t="s">
        <v>923</v>
      </c>
      <c r="M63" s="3" t="s">
        <v>1185</v>
      </c>
      <c r="N63" s="3" t="s">
        <v>154</v>
      </c>
      <c r="O63" s="3" t="s">
        <v>34</v>
      </c>
      <c r="P63" s="155">
        <v>47130</v>
      </c>
      <c r="Q63" s="163">
        <v>3.306</v>
      </c>
      <c r="R63" s="173">
        <v>4201</v>
      </c>
      <c r="T63" s="154">
        <v>6545.6530000000002</v>
      </c>
      <c r="U63" s="165">
        <v>1.9100000000000001E-4</v>
      </c>
      <c r="V63" s="165">
        <v>9.42577803881668E-3</v>
      </c>
      <c r="W63" s="165">
        <v>2.5529161582669999E-3</v>
      </c>
    </row>
    <row r="64" spans="1:23">
      <c r="A64" s="3">
        <v>288</v>
      </c>
      <c r="B64" s="3">
        <v>288</v>
      </c>
      <c r="C64" s="3" t="s">
        <v>1166</v>
      </c>
      <c r="D64" s="3" t="s">
        <v>1167</v>
      </c>
      <c r="E64" s="5" t="s">
        <v>652</v>
      </c>
      <c r="F64" s="3" t="s">
        <v>1246</v>
      </c>
      <c r="G64" s="3" t="s">
        <v>1247</v>
      </c>
      <c r="H64" s="3" t="s">
        <v>150</v>
      </c>
      <c r="I64" s="3" t="s">
        <v>1061</v>
      </c>
      <c r="J64" s="3" t="s">
        <v>116</v>
      </c>
      <c r="K64" s="3" t="s">
        <v>117</v>
      </c>
      <c r="L64" s="3" t="s">
        <v>923</v>
      </c>
      <c r="M64" s="3" t="s">
        <v>1062</v>
      </c>
      <c r="N64" s="3" t="s">
        <v>154</v>
      </c>
      <c r="O64" s="3" t="s">
        <v>34</v>
      </c>
      <c r="P64" s="155">
        <v>3854</v>
      </c>
      <c r="Q64" s="163">
        <v>3.306</v>
      </c>
      <c r="R64" s="173">
        <v>8934</v>
      </c>
      <c r="T64" s="154">
        <v>1138.31</v>
      </c>
      <c r="U64" s="165">
        <v>7.9999999999999996E-6</v>
      </c>
      <c r="V64" s="165">
        <v>1.63917282609417E-3</v>
      </c>
      <c r="W64" s="165">
        <v>4.4396025205504797E-4</v>
      </c>
    </row>
    <row r="65" spans="1:23">
      <c r="A65" s="3">
        <v>288</v>
      </c>
      <c r="B65" s="3">
        <v>288</v>
      </c>
      <c r="C65" s="3" t="s">
        <v>1166</v>
      </c>
      <c r="D65" s="3" t="s">
        <v>1167</v>
      </c>
      <c r="E65" s="5" t="s">
        <v>652</v>
      </c>
      <c r="F65" s="3" t="s">
        <v>1248</v>
      </c>
      <c r="G65" s="3" t="s">
        <v>1249</v>
      </c>
      <c r="H65" s="3" t="s">
        <v>150</v>
      </c>
      <c r="I65" s="3" t="s">
        <v>1179</v>
      </c>
      <c r="J65" s="3" t="s">
        <v>116</v>
      </c>
      <c r="K65" s="3" t="s">
        <v>117</v>
      </c>
      <c r="L65" s="3" t="s">
        <v>31</v>
      </c>
      <c r="M65" s="3" t="s">
        <v>1180</v>
      </c>
      <c r="N65" s="3" t="s">
        <v>154</v>
      </c>
      <c r="O65" s="3" t="s">
        <v>34</v>
      </c>
      <c r="P65" s="155">
        <v>41300</v>
      </c>
      <c r="Q65" s="163">
        <v>3.306</v>
      </c>
      <c r="R65" s="173">
        <v>3389</v>
      </c>
      <c r="T65" s="154">
        <v>4627.2659999999996</v>
      </c>
      <c r="U65" s="165">
        <v>2.3699999999999999E-4</v>
      </c>
      <c r="V65" s="165">
        <v>6.6632898891370801E-3</v>
      </c>
      <c r="W65" s="165">
        <v>1.80471260357949E-3</v>
      </c>
    </row>
    <row r="66" spans="1:23">
      <c r="A66" s="3">
        <v>288</v>
      </c>
      <c r="B66" s="3">
        <v>288</v>
      </c>
      <c r="C66" s="3" t="s">
        <v>1166</v>
      </c>
      <c r="D66" s="3" t="s">
        <v>1167</v>
      </c>
      <c r="E66" s="5" t="s">
        <v>652</v>
      </c>
      <c r="F66" s="3" t="s">
        <v>1250</v>
      </c>
      <c r="G66" s="3" t="s">
        <v>1251</v>
      </c>
      <c r="H66" s="3" t="s">
        <v>150</v>
      </c>
      <c r="I66" s="3" t="s">
        <v>1061</v>
      </c>
      <c r="J66" s="3" t="s">
        <v>116</v>
      </c>
      <c r="K66" s="3" t="s">
        <v>1078</v>
      </c>
      <c r="L66" s="3" t="s">
        <v>1163</v>
      </c>
      <c r="M66" s="3" t="s">
        <v>1133</v>
      </c>
      <c r="N66" s="3" t="s">
        <v>154</v>
      </c>
      <c r="O66" s="3" t="s">
        <v>991</v>
      </c>
      <c r="P66" s="155">
        <v>1508</v>
      </c>
      <c r="Q66" s="163">
        <v>3.8807</v>
      </c>
      <c r="R66" s="173">
        <v>20220</v>
      </c>
      <c r="T66" s="154">
        <v>1183.2940000000001</v>
      </c>
      <c r="U66" s="165">
        <v>0</v>
      </c>
      <c r="V66" s="165">
        <v>1.7039498221097899E-3</v>
      </c>
      <c r="W66" s="165">
        <v>4.61504717788407E-4</v>
      </c>
    </row>
    <row r="67" spans="1:23">
      <c r="A67" s="3">
        <v>288</v>
      </c>
      <c r="B67" s="3">
        <v>288</v>
      </c>
      <c r="C67" s="3" t="s">
        <v>1166</v>
      </c>
      <c r="D67" s="3" t="s">
        <v>1167</v>
      </c>
      <c r="E67" s="5" t="s">
        <v>652</v>
      </c>
      <c r="F67" s="3" t="s">
        <v>1252</v>
      </c>
      <c r="G67" s="3" t="s">
        <v>1253</v>
      </c>
      <c r="H67" s="3" t="s">
        <v>150</v>
      </c>
      <c r="I67" s="3" t="s">
        <v>1061</v>
      </c>
      <c r="J67" s="3" t="s">
        <v>116</v>
      </c>
      <c r="K67" s="3" t="s">
        <v>117</v>
      </c>
      <c r="L67" s="3" t="s">
        <v>923</v>
      </c>
      <c r="M67" s="3" t="s">
        <v>1062</v>
      </c>
      <c r="N67" s="3" t="s">
        <v>154</v>
      </c>
      <c r="O67" s="3" t="s">
        <v>34</v>
      </c>
      <c r="P67" s="155">
        <v>3271</v>
      </c>
      <c r="Q67" s="163">
        <v>3.306</v>
      </c>
      <c r="R67" s="173">
        <v>11080</v>
      </c>
      <c r="T67" s="154">
        <v>1198.183</v>
      </c>
      <c r="U67" s="165">
        <v>1.76E-4</v>
      </c>
      <c r="V67" s="165">
        <v>1.7253904577995199E-3</v>
      </c>
      <c r="W67" s="165">
        <v>4.6731178698422701E-4</v>
      </c>
    </row>
    <row r="68" spans="1:23">
      <c r="A68" s="3">
        <v>288</v>
      </c>
      <c r="B68" s="3">
        <v>288</v>
      </c>
      <c r="C68" s="3" t="s">
        <v>1254</v>
      </c>
      <c r="D68" s="3" t="s">
        <v>1255</v>
      </c>
      <c r="E68" s="5" t="s">
        <v>652</v>
      </c>
      <c r="F68" s="3" t="s">
        <v>1256</v>
      </c>
      <c r="G68" s="3" t="s">
        <v>1257</v>
      </c>
      <c r="H68" s="3" t="s">
        <v>150</v>
      </c>
      <c r="I68" s="3" t="s">
        <v>1061</v>
      </c>
      <c r="J68" s="3" t="s">
        <v>116</v>
      </c>
      <c r="K68" s="3" t="s">
        <v>117</v>
      </c>
      <c r="L68" s="3" t="s">
        <v>740</v>
      </c>
      <c r="M68" s="3" t="s">
        <v>1062</v>
      </c>
      <c r="N68" s="3" t="s">
        <v>154</v>
      </c>
      <c r="O68" s="3" t="s">
        <v>34</v>
      </c>
      <c r="P68" s="155">
        <v>4386</v>
      </c>
      <c r="Q68" s="163">
        <v>3.306</v>
      </c>
      <c r="R68" s="173">
        <v>32636</v>
      </c>
      <c r="T68" s="154">
        <v>4732.2579999999998</v>
      </c>
      <c r="U68" s="165">
        <v>1.92E-4</v>
      </c>
      <c r="V68" s="165">
        <v>6.8144787116611802E-3</v>
      </c>
      <c r="W68" s="165">
        <v>1.84566120075435E-3</v>
      </c>
    </row>
    <row r="69" spans="1:23">
      <c r="A69" s="3">
        <v>288</v>
      </c>
      <c r="B69" s="3">
        <v>288</v>
      </c>
      <c r="C69" s="3" t="s">
        <v>1214</v>
      </c>
      <c r="D69" s="3" t="s">
        <v>1215</v>
      </c>
      <c r="E69" s="5" t="s">
        <v>652</v>
      </c>
      <c r="F69" s="3" t="s">
        <v>1258</v>
      </c>
      <c r="G69" s="3" t="s">
        <v>1259</v>
      </c>
      <c r="H69" s="3" t="s">
        <v>150</v>
      </c>
      <c r="I69" s="3" t="s">
        <v>1061</v>
      </c>
      <c r="J69" s="3" t="s">
        <v>116</v>
      </c>
      <c r="K69" s="3" t="s">
        <v>1260</v>
      </c>
      <c r="L69" s="3" t="s">
        <v>31</v>
      </c>
      <c r="M69" s="3" t="s">
        <v>1218</v>
      </c>
      <c r="N69" s="3" t="s">
        <v>154</v>
      </c>
      <c r="O69" s="3" t="s">
        <v>34</v>
      </c>
      <c r="P69" s="155">
        <v>22682</v>
      </c>
      <c r="Q69" s="163">
        <v>3.306</v>
      </c>
      <c r="R69" s="173">
        <v>5418</v>
      </c>
      <c r="T69" s="154">
        <v>4062.779</v>
      </c>
      <c r="U69" s="165">
        <v>1.2999999999999999E-5</v>
      </c>
      <c r="V69" s="165">
        <v>5.8504252411553399E-3</v>
      </c>
      <c r="W69" s="165">
        <v>1.5845530278107E-3</v>
      </c>
    </row>
    <row r="70" spans="1:23">
      <c r="A70" s="3">
        <v>288</v>
      </c>
      <c r="B70" s="3">
        <v>1451</v>
      </c>
      <c r="C70" s="3" t="s">
        <v>1080</v>
      </c>
      <c r="D70" s="3" t="s">
        <v>1081</v>
      </c>
      <c r="E70" s="5" t="s">
        <v>147</v>
      </c>
      <c r="F70" s="3" t="s">
        <v>1087</v>
      </c>
      <c r="G70" s="3" t="s">
        <v>1088</v>
      </c>
      <c r="H70" s="3" t="s">
        <v>150</v>
      </c>
      <c r="I70" s="3" t="s">
        <v>1089</v>
      </c>
      <c r="J70" s="3" t="s">
        <v>30</v>
      </c>
      <c r="K70" s="3" t="s">
        <v>30</v>
      </c>
      <c r="L70" s="3" t="s">
        <v>41</v>
      </c>
      <c r="M70" s="3" t="s">
        <v>1090</v>
      </c>
      <c r="N70" s="3" t="s">
        <v>154</v>
      </c>
      <c r="O70" s="3" t="s">
        <v>44</v>
      </c>
      <c r="P70" s="155">
        <v>180000</v>
      </c>
      <c r="Q70" s="163">
        <v>1</v>
      </c>
      <c r="R70" s="173">
        <v>419.81</v>
      </c>
      <c r="T70" s="154">
        <v>755.65800000000002</v>
      </c>
      <c r="U70" s="165">
        <v>6.5899999999999997E-4</v>
      </c>
      <c r="V70" s="165">
        <v>9.9819722612754597E-2</v>
      </c>
      <c r="W70" s="165">
        <v>1.5215217520748101E-2</v>
      </c>
    </row>
    <row r="71" spans="1:23">
      <c r="A71" s="3">
        <v>288</v>
      </c>
      <c r="B71" s="3">
        <v>1451</v>
      </c>
      <c r="C71" s="3" t="s">
        <v>1080</v>
      </c>
      <c r="D71" s="3" t="s">
        <v>1081</v>
      </c>
      <c r="E71" s="5" t="s">
        <v>147</v>
      </c>
      <c r="F71" s="3" t="s">
        <v>1091</v>
      </c>
      <c r="G71" s="3" t="s">
        <v>1092</v>
      </c>
      <c r="H71" s="3" t="s">
        <v>150</v>
      </c>
      <c r="I71" s="3" t="s">
        <v>1071</v>
      </c>
      <c r="J71" s="3" t="s">
        <v>30</v>
      </c>
      <c r="K71" s="3" t="s">
        <v>30</v>
      </c>
      <c r="L71" s="3" t="s">
        <v>41</v>
      </c>
      <c r="M71" s="3" t="s">
        <v>1072</v>
      </c>
      <c r="N71" s="3" t="s">
        <v>154</v>
      </c>
      <c r="O71" s="3" t="s">
        <v>44</v>
      </c>
      <c r="P71" s="155">
        <v>28200</v>
      </c>
      <c r="Q71" s="163">
        <v>1</v>
      </c>
      <c r="R71" s="173">
        <v>3192</v>
      </c>
      <c r="T71" s="154">
        <v>900.14400000000001</v>
      </c>
      <c r="U71" s="165">
        <v>1.37E-4</v>
      </c>
      <c r="V71" s="165">
        <v>0.11890580711318501</v>
      </c>
      <c r="W71" s="165">
        <v>1.8124451484661502E-2</v>
      </c>
    </row>
    <row r="72" spans="1:23">
      <c r="A72" s="3">
        <v>288</v>
      </c>
      <c r="B72" s="3">
        <v>1451</v>
      </c>
      <c r="C72" s="3" t="s">
        <v>1063</v>
      </c>
      <c r="D72" s="3" t="s">
        <v>1064</v>
      </c>
      <c r="E72" s="5" t="s">
        <v>147</v>
      </c>
      <c r="F72" s="3" t="s">
        <v>1261</v>
      </c>
      <c r="G72" s="3" t="s">
        <v>1262</v>
      </c>
      <c r="H72" s="3" t="s">
        <v>150</v>
      </c>
      <c r="I72" s="3" t="s">
        <v>1061</v>
      </c>
      <c r="J72" s="3" t="s">
        <v>30</v>
      </c>
      <c r="K72" s="3" t="s">
        <v>117</v>
      </c>
      <c r="L72" s="3" t="s">
        <v>41</v>
      </c>
      <c r="M72" s="3" t="s">
        <v>1084</v>
      </c>
      <c r="N72" s="3" t="s">
        <v>154</v>
      </c>
      <c r="O72" s="3" t="s">
        <v>44</v>
      </c>
      <c r="P72" s="155">
        <v>21200</v>
      </c>
      <c r="Q72" s="163">
        <v>1</v>
      </c>
      <c r="R72" s="173">
        <v>6309</v>
      </c>
      <c r="T72" s="154">
        <v>1337.508</v>
      </c>
      <c r="U72" s="165">
        <v>3.0499999999999999E-4</v>
      </c>
      <c r="V72" s="165">
        <v>0.17668002926236501</v>
      </c>
      <c r="W72" s="165">
        <v>2.6930800912239199E-2</v>
      </c>
    </row>
    <row r="73" spans="1:23">
      <c r="A73" s="3">
        <v>288</v>
      </c>
      <c r="B73" s="3">
        <v>1451</v>
      </c>
      <c r="C73" s="3" t="s">
        <v>1063</v>
      </c>
      <c r="D73" s="3" t="s">
        <v>1064</v>
      </c>
      <c r="E73" s="5" t="s">
        <v>147</v>
      </c>
      <c r="F73" s="3" t="s">
        <v>1263</v>
      </c>
      <c r="G73" s="3" t="s">
        <v>1264</v>
      </c>
      <c r="H73" s="3" t="s">
        <v>150</v>
      </c>
      <c r="I73" s="3" t="s">
        <v>1061</v>
      </c>
      <c r="J73" s="3" t="s">
        <v>30</v>
      </c>
      <c r="K73" s="3" t="s">
        <v>117</v>
      </c>
      <c r="L73" s="3" t="s">
        <v>41</v>
      </c>
      <c r="M73" s="3" t="s">
        <v>1099</v>
      </c>
      <c r="N73" s="3" t="s">
        <v>154</v>
      </c>
      <c r="O73" s="3" t="s">
        <v>44</v>
      </c>
      <c r="P73" s="155">
        <v>1300</v>
      </c>
      <c r="Q73" s="163">
        <v>1</v>
      </c>
      <c r="R73" s="173">
        <v>20130</v>
      </c>
      <c r="T73" s="154">
        <v>261.69</v>
      </c>
      <c r="U73" s="165">
        <v>1.6000000000000001E-4</v>
      </c>
      <c r="V73" s="165">
        <v>3.45683142513303E-2</v>
      </c>
      <c r="W73" s="165">
        <v>5.26914328043187E-3</v>
      </c>
    </row>
    <row r="74" spans="1:23">
      <c r="A74" s="3">
        <v>288</v>
      </c>
      <c r="B74" s="3">
        <v>1451</v>
      </c>
      <c r="C74" s="3" t="s">
        <v>1063</v>
      </c>
      <c r="D74" s="3" t="s">
        <v>1064</v>
      </c>
      <c r="E74" s="5" t="s">
        <v>147</v>
      </c>
      <c r="F74" s="3" t="s">
        <v>1265</v>
      </c>
      <c r="G74" s="3" t="s">
        <v>1266</v>
      </c>
      <c r="H74" s="3" t="s">
        <v>150</v>
      </c>
      <c r="I74" s="3" t="s">
        <v>1089</v>
      </c>
      <c r="J74" s="3" t="s">
        <v>30</v>
      </c>
      <c r="K74" s="3" t="s">
        <v>30</v>
      </c>
      <c r="L74" s="3" t="s">
        <v>41</v>
      </c>
      <c r="M74" s="3" t="s">
        <v>1090</v>
      </c>
      <c r="N74" s="3" t="s">
        <v>154</v>
      </c>
      <c r="O74" s="3" t="s">
        <v>44</v>
      </c>
      <c r="P74" s="155">
        <v>21300</v>
      </c>
      <c r="Q74" s="163">
        <v>1</v>
      </c>
      <c r="R74" s="173">
        <v>4241.12</v>
      </c>
      <c r="T74" s="154">
        <v>903.35900000000004</v>
      </c>
      <c r="U74" s="165">
        <v>5.4600000000000004E-4</v>
      </c>
      <c r="V74" s="165">
        <v>0.119330439006875</v>
      </c>
      <c r="W74" s="165">
        <v>1.8189176836121399E-2</v>
      </c>
    </row>
    <row r="75" spans="1:23">
      <c r="A75" s="3">
        <v>288</v>
      </c>
      <c r="B75" s="3">
        <v>1451</v>
      </c>
      <c r="C75" s="3" t="s">
        <v>1102</v>
      </c>
      <c r="D75" s="3" t="s">
        <v>1103</v>
      </c>
      <c r="E75" s="5" t="s">
        <v>147</v>
      </c>
      <c r="F75" s="3" t="s">
        <v>1267</v>
      </c>
      <c r="G75" s="3" t="s">
        <v>1268</v>
      </c>
      <c r="H75" s="3" t="s">
        <v>150</v>
      </c>
      <c r="I75" s="3" t="s">
        <v>1089</v>
      </c>
      <c r="J75" s="3" t="s">
        <v>30</v>
      </c>
      <c r="K75" s="3" t="s">
        <v>30</v>
      </c>
      <c r="L75" s="3" t="s">
        <v>41</v>
      </c>
      <c r="M75" s="3" t="s">
        <v>1090</v>
      </c>
      <c r="N75" s="3" t="s">
        <v>154</v>
      </c>
      <c r="O75" s="3" t="s">
        <v>44</v>
      </c>
      <c r="P75" s="155">
        <v>19800</v>
      </c>
      <c r="Q75" s="163">
        <v>1</v>
      </c>
      <c r="R75" s="173">
        <v>4181.43</v>
      </c>
      <c r="T75" s="154">
        <v>827.923</v>
      </c>
      <c r="U75" s="165">
        <v>9.4700000000000003E-4</v>
      </c>
      <c r="V75" s="165">
        <v>0.109365689477887</v>
      </c>
      <c r="W75" s="165">
        <v>1.6670280292884899E-2</v>
      </c>
    </row>
    <row r="76" spans="1:23">
      <c r="A76" s="3">
        <v>288</v>
      </c>
      <c r="B76" s="3">
        <v>1451</v>
      </c>
      <c r="C76" s="3" t="s">
        <v>1102</v>
      </c>
      <c r="D76" s="3" t="s">
        <v>1103</v>
      </c>
      <c r="E76" s="5" t="s">
        <v>147</v>
      </c>
      <c r="F76" s="3" t="s">
        <v>1106</v>
      </c>
      <c r="G76" s="3" t="s">
        <v>1107</v>
      </c>
      <c r="H76" s="3" t="s">
        <v>150</v>
      </c>
      <c r="I76" s="3" t="s">
        <v>1089</v>
      </c>
      <c r="J76" s="3" t="s">
        <v>30</v>
      </c>
      <c r="K76" s="3" t="s">
        <v>30</v>
      </c>
      <c r="L76" s="3" t="s">
        <v>41</v>
      </c>
      <c r="M76" s="3" t="s">
        <v>1108</v>
      </c>
      <c r="N76" s="3" t="s">
        <v>154</v>
      </c>
      <c r="O76" s="3" t="s">
        <v>44</v>
      </c>
      <c r="P76" s="155">
        <v>363000</v>
      </c>
      <c r="Q76" s="163">
        <v>1</v>
      </c>
      <c r="R76" s="173">
        <v>392.09</v>
      </c>
      <c r="T76" s="154">
        <v>1423.287</v>
      </c>
      <c r="U76" s="165">
        <v>2.6699999999999998E-4</v>
      </c>
      <c r="V76" s="165">
        <v>0.188011089133474</v>
      </c>
      <c r="W76" s="165">
        <v>2.8657959996305001E-2</v>
      </c>
    </row>
    <row r="77" spans="1:23">
      <c r="A77" s="3">
        <v>288</v>
      </c>
      <c r="B77" s="3">
        <v>1451</v>
      </c>
      <c r="C77" s="3" t="s">
        <v>1057</v>
      </c>
      <c r="D77" s="3" t="s">
        <v>1058</v>
      </c>
      <c r="E77" s="5" t="s">
        <v>652</v>
      </c>
      <c r="F77" s="3" t="s">
        <v>1244</v>
      </c>
      <c r="G77" s="3" t="s">
        <v>1245</v>
      </c>
      <c r="H77" s="3" t="s">
        <v>150</v>
      </c>
      <c r="I77" s="3" t="s">
        <v>1179</v>
      </c>
      <c r="J77" s="3" t="s">
        <v>116</v>
      </c>
      <c r="K77" s="3" t="s">
        <v>117</v>
      </c>
      <c r="L77" s="3" t="s">
        <v>1031</v>
      </c>
      <c r="M77" s="3" t="s">
        <v>1180</v>
      </c>
      <c r="N77" s="3" t="s">
        <v>154</v>
      </c>
      <c r="O77" s="3" t="s">
        <v>34</v>
      </c>
      <c r="P77" s="155">
        <v>17330</v>
      </c>
      <c r="Q77" s="163">
        <v>3.306</v>
      </c>
      <c r="R77" s="173">
        <v>624.1</v>
      </c>
      <c r="T77" s="154">
        <v>357.565</v>
      </c>
      <c r="U77" s="165">
        <v>0</v>
      </c>
      <c r="V77" s="165">
        <v>4.7233123775599302E-2</v>
      </c>
      <c r="W77" s="165">
        <v>7.19960177827959E-3</v>
      </c>
    </row>
    <row r="78" spans="1:23">
      <c r="A78" s="3">
        <v>288</v>
      </c>
      <c r="B78" s="3">
        <v>1451</v>
      </c>
      <c r="C78" s="3" t="s">
        <v>1214</v>
      </c>
      <c r="D78" s="3" t="s">
        <v>1215</v>
      </c>
      <c r="E78" s="5" t="s">
        <v>652</v>
      </c>
      <c r="F78" s="3" t="s">
        <v>1221</v>
      </c>
      <c r="G78" s="3" t="s">
        <v>1222</v>
      </c>
      <c r="H78" s="3" t="s">
        <v>150</v>
      </c>
      <c r="I78" s="3" t="s">
        <v>1179</v>
      </c>
      <c r="J78" s="3" t="s">
        <v>116</v>
      </c>
      <c r="K78" s="3" t="s">
        <v>117</v>
      </c>
      <c r="L78" s="3" t="s">
        <v>1031</v>
      </c>
      <c r="M78" s="3" t="s">
        <v>1180</v>
      </c>
      <c r="N78" s="3" t="s">
        <v>154</v>
      </c>
      <c r="O78" s="3" t="s">
        <v>34</v>
      </c>
      <c r="P78" s="155">
        <v>4000</v>
      </c>
      <c r="Q78" s="163">
        <v>3.306</v>
      </c>
      <c r="R78" s="173">
        <v>6073</v>
      </c>
      <c r="T78" s="154">
        <v>803.09400000000005</v>
      </c>
      <c r="U78" s="165">
        <v>0</v>
      </c>
      <c r="V78" s="165">
        <v>0.106085785366529</v>
      </c>
      <c r="W78" s="165">
        <v>1.6170334458582201E-2</v>
      </c>
    </row>
    <row r="79" spans="1:23">
      <c r="A79" s="3">
        <v>288</v>
      </c>
      <c r="B79" s="3">
        <v>1452</v>
      </c>
      <c r="C79" s="3" t="s">
        <v>1057</v>
      </c>
      <c r="D79" s="3" t="s">
        <v>1058</v>
      </c>
      <c r="E79" s="5" t="s">
        <v>652</v>
      </c>
      <c r="F79" s="3" t="s">
        <v>1059</v>
      </c>
      <c r="G79" s="3" t="s">
        <v>1060</v>
      </c>
      <c r="H79" s="3" t="s">
        <v>150</v>
      </c>
      <c r="I79" s="3" t="s">
        <v>1061</v>
      </c>
      <c r="J79" s="3" t="s">
        <v>116</v>
      </c>
      <c r="K79" s="3" t="s">
        <v>117</v>
      </c>
      <c r="L79" s="3" t="s">
        <v>923</v>
      </c>
      <c r="M79" s="3" t="s">
        <v>1062</v>
      </c>
      <c r="N79" s="3" t="s">
        <v>154</v>
      </c>
      <c r="O79" s="3" t="s">
        <v>34</v>
      </c>
      <c r="P79" s="155">
        <v>1080</v>
      </c>
      <c r="Q79" s="163">
        <v>3.306</v>
      </c>
      <c r="R79" s="173">
        <v>10725</v>
      </c>
      <c r="T79" s="154">
        <v>382.93400000000003</v>
      </c>
      <c r="U79" s="165">
        <v>2.9E-5</v>
      </c>
      <c r="V79" s="165">
        <v>7.9993085928152206E-3</v>
      </c>
      <c r="W79" s="165">
        <v>4.3407598946126596E-3</v>
      </c>
    </row>
    <row r="80" spans="1:23">
      <c r="A80" s="3">
        <v>288</v>
      </c>
      <c r="B80" s="3">
        <v>1452</v>
      </c>
      <c r="C80" s="3" t="s">
        <v>1067</v>
      </c>
      <c r="D80" s="3" t="s">
        <v>1068</v>
      </c>
      <c r="E80" s="5" t="s">
        <v>147</v>
      </c>
      <c r="F80" s="3" t="s">
        <v>1069</v>
      </c>
      <c r="G80" s="3" t="s">
        <v>1070</v>
      </c>
      <c r="H80" s="3" t="s">
        <v>150</v>
      </c>
      <c r="I80" s="3" t="s">
        <v>1071</v>
      </c>
      <c r="J80" s="3" t="s">
        <v>30</v>
      </c>
      <c r="K80" s="3" t="s">
        <v>30</v>
      </c>
      <c r="L80" s="3" t="s">
        <v>41</v>
      </c>
      <c r="M80" s="3" t="s">
        <v>1072</v>
      </c>
      <c r="N80" s="3" t="s">
        <v>154</v>
      </c>
      <c r="O80" s="3" t="s">
        <v>44</v>
      </c>
      <c r="P80" s="155">
        <v>23780</v>
      </c>
      <c r="Q80" s="163">
        <v>1</v>
      </c>
      <c r="R80" s="173">
        <v>5003</v>
      </c>
      <c r="T80" s="154">
        <v>1189.713</v>
      </c>
      <c r="U80" s="165">
        <v>2.5000000000000001E-4</v>
      </c>
      <c r="V80" s="165">
        <v>2.4852546706895601E-2</v>
      </c>
      <c r="W80" s="165">
        <v>1.34860327955312E-2</v>
      </c>
    </row>
    <row r="81" spans="1:23">
      <c r="A81" s="3">
        <v>288</v>
      </c>
      <c r="B81" s="3">
        <v>1452</v>
      </c>
      <c r="C81" s="3" t="s">
        <v>1067</v>
      </c>
      <c r="D81" s="3" t="s">
        <v>1068</v>
      </c>
      <c r="E81" s="5" t="s">
        <v>147</v>
      </c>
      <c r="F81" s="3" t="s">
        <v>1073</v>
      </c>
      <c r="G81" s="3" t="s">
        <v>1074</v>
      </c>
      <c r="H81" s="3" t="s">
        <v>150</v>
      </c>
      <c r="I81" s="3" t="s">
        <v>1071</v>
      </c>
      <c r="J81" s="3" t="s">
        <v>30</v>
      </c>
      <c r="K81" s="3" t="s">
        <v>30</v>
      </c>
      <c r="L81" s="3" t="s">
        <v>41</v>
      </c>
      <c r="M81" s="3" t="s">
        <v>1075</v>
      </c>
      <c r="N81" s="3" t="s">
        <v>154</v>
      </c>
      <c r="O81" s="3" t="s">
        <v>44</v>
      </c>
      <c r="P81" s="155">
        <v>56200</v>
      </c>
      <c r="Q81" s="163">
        <v>1</v>
      </c>
      <c r="R81" s="173">
        <v>4757</v>
      </c>
      <c r="T81" s="154">
        <v>2673.4340000000002</v>
      </c>
      <c r="U81" s="165">
        <v>9.3700000000000001E-4</v>
      </c>
      <c r="V81" s="165">
        <v>5.5846763895239501E-2</v>
      </c>
      <c r="W81" s="165">
        <v>3.0304793239017101E-2</v>
      </c>
    </row>
    <row r="82" spans="1:23">
      <c r="A82" s="3">
        <v>288</v>
      </c>
      <c r="B82" s="3">
        <v>1452</v>
      </c>
      <c r="C82" s="3" t="s">
        <v>1067</v>
      </c>
      <c r="D82" s="3" t="s">
        <v>1068</v>
      </c>
      <c r="E82" s="5" t="s">
        <v>147</v>
      </c>
      <c r="F82" s="3" t="s">
        <v>1269</v>
      </c>
      <c r="G82" s="3" t="s">
        <v>1270</v>
      </c>
      <c r="H82" s="3" t="s">
        <v>150</v>
      </c>
      <c r="I82" s="3" t="s">
        <v>1061</v>
      </c>
      <c r="J82" s="3" t="s">
        <v>30</v>
      </c>
      <c r="K82" s="3" t="s">
        <v>117</v>
      </c>
      <c r="L82" s="3" t="s">
        <v>41</v>
      </c>
      <c r="M82" s="3" t="s">
        <v>1084</v>
      </c>
      <c r="N82" s="3" t="s">
        <v>154</v>
      </c>
      <c r="O82" s="3" t="s">
        <v>44</v>
      </c>
      <c r="P82" s="155">
        <v>43800</v>
      </c>
      <c r="Q82" s="163">
        <v>1</v>
      </c>
      <c r="R82" s="173">
        <v>8410</v>
      </c>
      <c r="T82" s="154">
        <v>3683.58</v>
      </c>
      <c r="U82" s="165">
        <v>1.797E-3</v>
      </c>
      <c r="V82" s="165">
        <v>7.6948233077467496E-2</v>
      </c>
      <c r="W82" s="165">
        <v>4.17553342552607E-2</v>
      </c>
    </row>
    <row r="83" spans="1:23">
      <c r="A83" s="3">
        <v>288</v>
      </c>
      <c r="B83" s="3">
        <v>1452</v>
      </c>
      <c r="C83" s="3" t="s">
        <v>1067</v>
      </c>
      <c r="D83" s="3" t="s">
        <v>1068</v>
      </c>
      <c r="E83" s="5" t="s">
        <v>147</v>
      </c>
      <c r="F83" s="3" t="s">
        <v>1076</v>
      </c>
      <c r="G83" s="3" t="s">
        <v>1077</v>
      </c>
      <c r="H83" s="3" t="s">
        <v>150</v>
      </c>
      <c r="I83" s="3" t="s">
        <v>1061</v>
      </c>
      <c r="J83" s="3" t="s">
        <v>30</v>
      </c>
      <c r="K83" s="3" t="s">
        <v>1078</v>
      </c>
      <c r="L83" s="3" t="s">
        <v>41</v>
      </c>
      <c r="M83" s="3" t="s">
        <v>1079</v>
      </c>
      <c r="N83" s="3" t="s">
        <v>154</v>
      </c>
      <c r="O83" s="3" t="s">
        <v>44</v>
      </c>
      <c r="P83" s="155">
        <v>10200</v>
      </c>
      <c r="Q83" s="163">
        <v>1</v>
      </c>
      <c r="R83" s="173">
        <v>5331</v>
      </c>
      <c r="T83" s="154">
        <v>543.76199999999994</v>
      </c>
      <c r="U83" s="165">
        <v>1.6230000000000001E-3</v>
      </c>
      <c r="V83" s="165">
        <v>1.13589293878971E-2</v>
      </c>
      <c r="W83" s="165">
        <v>6.1638308562075601E-3</v>
      </c>
    </row>
    <row r="84" spans="1:23">
      <c r="A84" s="3">
        <v>288</v>
      </c>
      <c r="B84" s="3">
        <v>1452</v>
      </c>
      <c r="C84" s="3" t="s">
        <v>1080</v>
      </c>
      <c r="D84" s="3" t="s">
        <v>1081</v>
      </c>
      <c r="E84" s="5" t="s">
        <v>147</v>
      </c>
      <c r="F84" s="3" t="s">
        <v>1085</v>
      </c>
      <c r="G84" s="3" t="s">
        <v>1086</v>
      </c>
      <c r="H84" s="3" t="s">
        <v>150</v>
      </c>
      <c r="I84" s="3" t="s">
        <v>1071</v>
      </c>
      <c r="J84" s="3" t="s">
        <v>30</v>
      </c>
      <c r="K84" s="3" t="s">
        <v>30</v>
      </c>
      <c r="L84" s="3" t="s">
        <v>41</v>
      </c>
      <c r="M84" s="3" t="s">
        <v>1075</v>
      </c>
      <c r="N84" s="3" t="s">
        <v>154</v>
      </c>
      <c r="O84" s="3" t="s">
        <v>44</v>
      </c>
      <c r="P84" s="155">
        <v>16300</v>
      </c>
      <c r="Q84" s="163">
        <v>1</v>
      </c>
      <c r="R84" s="173">
        <v>3165</v>
      </c>
      <c r="T84" s="154">
        <v>515.89499999999998</v>
      </c>
      <c r="U84" s="165">
        <v>6.4999999999999994E-5</v>
      </c>
      <c r="V84" s="165">
        <v>1.07768010206104E-2</v>
      </c>
      <c r="W84" s="165">
        <v>5.84794362159033E-3</v>
      </c>
    </row>
    <row r="85" spans="1:23">
      <c r="A85" s="3">
        <v>288</v>
      </c>
      <c r="B85" s="3">
        <v>1452</v>
      </c>
      <c r="C85" s="3" t="s">
        <v>1080</v>
      </c>
      <c r="D85" s="3" t="s">
        <v>1081</v>
      </c>
      <c r="E85" s="5" t="s">
        <v>147</v>
      </c>
      <c r="F85" s="3" t="s">
        <v>1091</v>
      </c>
      <c r="G85" s="3" t="s">
        <v>1092</v>
      </c>
      <c r="H85" s="3" t="s">
        <v>150</v>
      </c>
      <c r="I85" s="3" t="s">
        <v>1071</v>
      </c>
      <c r="J85" s="3" t="s">
        <v>30</v>
      </c>
      <c r="K85" s="3" t="s">
        <v>30</v>
      </c>
      <c r="L85" s="3" t="s">
        <v>41</v>
      </c>
      <c r="M85" s="3" t="s">
        <v>1072</v>
      </c>
      <c r="N85" s="3" t="s">
        <v>154</v>
      </c>
      <c r="O85" s="3" t="s">
        <v>44</v>
      </c>
      <c r="P85" s="155">
        <v>79200</v>
      </c>
      <c r="Q85" s="163">
        <v>1</v>
      </c>
      <c r="R85" s="173">
        <v>3192</v>
      </c>
      <c r="T85" s="154">
        <v>2528.0639999999999</v>
      </c>
      <c r="U85" s="165">
        <v>3.8400000000000001E-4</v>
      </c>
      <c r="V85" s="165">
        <v>5.2810053781037702E-2</v>
      </c>
      <c r="W85" s="165">
        <v>2.8656947138026401E-2</v>
      </c>
    </row>
    <row r="86" spans="1:23">
      <c r="A86" s="3">
        <v>288</v>
      </c>
      <c r="B86" s="3">
        <v>1452</v>
      </c>
      <c r="C86" s="3" t="s">
        <v>1093</v>
      </c>
      <c r="D86" s="3" t="s">
        <v>1094</v>
      </c>
      <c r="E86" s="5" t="s">
        <v>147</v>
      </c>
      <c r="F86" s="3" t="s">
        <v>1095</v>
      </c>
      <c r="G86" s="3" t="s">
        <v>1096</v>
      </c>
      <c r="H86" s="3" t="s">
        <v>150</v>
      </c>
      <c r="I86" s="3" t="s">
        <v>1071</v>
      </c>
      <c r="J86" s="3" t="s">
        <v>30</v>
      </c>
      <c r="K86" s="3" t="s">
        <v>30</v>
      </c>
      <c r="L86" s="3" t="s">
        <v>41</v>
      </c>
      <c r="M86" s="3" t="s">
        <v>1072</v>
      </c>
      <c r="N86" s="3" t="s">
        <v>154</v>
      </c>
      <c r="O86" s="3" t="s">
        <v>44</v>
      </c>
      <c r="P86" s="155">
        <v>35800</v>
      </c>
      <c r="Q86" s="163">
        <v>1</v>
      </c>
      <c r="R86" s="173">
        <v>8821</v>
      </c>
      <c r="T86" s="154">
        <v>3157.9180000000001</v>
      </c>
      <c r="U86" s="165">
        <v>2.4689999999999998E-3</v>
      </c>
      <c r="V86" s="165">
        <v>6.5967404075255601E-2</v>
      </c>
      <c r="W86" s="165">
        <v>3.5796676505113E-2</v>
      </c>
    </row>
    <row r="87" spans="1:23">
      <c r="A87" s="3">
        <v>288</v>
      </c>
      <c r="B87" s="3">
        <v>1452</v>
      </c>
      <c r="C87" s="3" t="s">
        <v>1093</v>
      </c>
      <c r="D87" s="3" t="s">
        <v>1094</v>
      </c>
      <c r="E87" s="5" t="s">
        <v>147</v>
      </c>
      <c r="F87" s="3" t="s">
        <v>1271</v>
      </c>
      <c r="G87" s="3" t="s">
        <v>1272</v>
      </c>
      <c r="H87" s="3" t="s">
        <v>150</v>
      </c>
      <c r="I87" s="3" t="s">
        <v>1061</v>
      </c>
      <c r="J87" s="3" t="s">
        <v>30</v>
      </c>
      <c r="K87" s="3" t="s">
        <v>117</v>
      </c>
      <c r="L87" s="3" t="s">
        <v>41</v>
      </c>
      <c r="M87" s="3" t="s">
        <v>1084</v>
      </c>
      <c r="N87" s="3" t="s">
        <v>154</v>
      </c>
      <c r="O87" s="3" t="s">
        <v>44</v>
      </c>
      <c r="P87" s="155">
        <v>22950</v>
      </c>
      <c r="Q87" s="163">
        <v>1</v>
      </c>
      <c r="R87" s="173">
        <v>10950</v>
      </c>
      <c r="T87" s="154">
        <v>2513.0250000000001</v>
      </c>
      <c r="U87" s="165">
        <v>3.3500000000000001E-4</v>
      </c>
      <c r="V87" s="165">
        <v>5.24958962285339E-2</v>
      </c>
      <c r="W87" s="165">
        <v>2.8486472091505101E-2</v>
      </c>
    </row>
    <row r="88" spans="1:23">
      <c r="A88" s="3">
        <v>288</v>
      </c>
      <c r="B88" s="3">
        <v>1452</v>
      </c>
      <c r="C88" s="3" t="s">
        <v>1063</v>
      </c>
      <c r="D88" s="3" t="s">
        <v>1064</v>
      </c>
      <c r="E88" s="5" t="s">
        <v>147</v>
      </c>
      <c r="F88" s="3" t="s">
        <v>1273</v>
      </c>
      <c r="G88" s="3" t="s">
        <v>1274</v>
      </c>
      <c r="H88" s="3" t="s">
        <v>150</v>
      </c>
      <c r="I88" s="3" t="s">
        <v>1061</v>
      </c>
      <c r="J88" s="3" t="s">
        <v>30</v>
      </c>
      <c r="K88" s="3" t="s">
        <v>117</v>
      </c>
      <c r="L88" s="3" t="s">
        <v>41</v>
      </c>
      <c r="M88" s="3" t="s">
        <v>1099</v>
      </c>
      <c r="N88" s="3" t="s">
        <v>154</v>
      </c>
      <c r="O88" s="3" t="s">
        <v>44</v>
      </c>
      <c r="P88" s="155">
        <v>900</v>
      </c>
      <c r="Q88" s="163">
        <v>1</v>
      </c>
      <c r="R88" s="173">
        <v>77790</v>
      </c>
      <c r="T88" s="154">
        <v>700.11</v>
      </c>
      <c r="U88" s="165">
        <v>2.13E-4</v>
      </c>
      <c r="V88" s="165">
        <v>1.46249646973503E-2</v>
      </c>
      <c r="W88" s="165">
        <v>7.9361184134593404E-3</v>
      </c>
    </row>
    <row r="89" spans="1:23">
      <c r="A89" s="3">
        <v>288</v>
      </c>
      <c r="B89" s="3">
        <v>1452</v>
      </c>
      <c r="C89" s="3" t="s">
        <v>1063</v>
      </c>
      <c r="D89" s="3" t="s">
        <v>1064</v>
      </c>
      <c r="E89" s="5" t="s">
        <v>147</v>
      </c>
      <c r="F89" s="3" t="s">
        <v>1100</v>
      </c>
      <c r="G89" s="3" t="s">
        <v>1101</v>
      </c>
      <c r="H89" s="3" t="s">
        <v>150</v>
      </c>
      <c r="I89" s="3" t="s">
        <v>1071</v>
      </c>
      <c r="J89" s="3" t="s">
        <v>30</v>
      </c>
      <c r="K89" s="3" t="s">
        <v>30</v>
      </c>
      <c r="L89" s="3" t="s">
        <v>41</v>
      </c>
      <c r="M89" s="3" t="s">
        <v>1072</v>
      </c>
      <c r="N89" s="3" t="s">
        <v>154</v>
      </c>
      <c r="O89" s="3" t="s">
        <v>44</v>
      </c>
      <c r="P89" s="155">
        <v>5550</v>
      </c>
      <c r="Q89" s="163">
        <v>1</v>
      </c>
      <c r="R89" s="173">
        <v>31750</v>
      </c>
      <c r="T89" s="154">
        <v>1762.125</v>
      </c>
      <c r="U89" s="165">
        <v>1.5699999999999999E-4</v>
      </c>
      <c r="V89" s="165">
        <v>3.6809952603617302E-2</v>
      </c>
      <c r="W89" s="165">
        <v>1.9974622072698602E-2</v>
      </c>
    </row>
    <row r="90" spans="1:23">
      <c r="A90" s="3">
        <v>288</v>
      </c>
      <c r="B90" s="3">
        <v>1452</v>
      </c>
      <c r="C90" s="3" t="s">
        <v>1063</v>
      </c>
      <c r="D90" s="3" t="s">
        <v>1064</v>
      </c>
      <c r="E90" s="5" t="s">
        <v>147</v>
      </c>
      <c r="F90" s="3" t="s">
        <v>1275</v>
      </c>
      <c r="G90" s="3" t="s">
        <v>1276</v>
      </c>
      <c r="H90" s="3" t="s">
        <v>150</v>
      </c>
      <c r="I90" s="3" t="s">
        <v>1071</v>
      </c>
      <c r="J90" s="3" t="s">
        <v>30</v>
      </c>
      <c r="K90" s="3" t="s">
        <v>30</v>
      </c>
      <c r="L90" s="3" t="s">
        <v>41</v>
      </c>
      <c r="M90" s="3" t="s">
        <v>1075</v>
      </c>
      <c r="N90" s="3" t="s">
        <v>154</v>
      </c>
      <c r="O90" s="3" t="s">
        <v>44</v>
      </c>
      <c r="P90" s="155">
        <v>4179</v>
      </c>
      <c r="Q90" s="163">
        <v>1</v>
      </c>
      <c r="R90" s="173">
        <v>30420</v>
      </c>
      <c r="T90" s="154">
        <v>1271.252</v>
      </c>
      <c r="U90" s="165">
        <v>1.3799999999999999E-4</v>
      </c>
      <c r="V90" s="165">
        <v>2.6555845076406698E-2</v>
      </c>
      <c r="W90" s="165">
        <v>1.44103138337166E-2</v>
      </c>
    </row>
    <row r="91" spans="1:23">
      <c r="A91" s="3">
        <v>288</v>
      </c>
      <c r="B91" s="3">
        <v>1452</v>
      </c>
      <c r="C91" s="3" t="s">
        <v>1102</v>
      </c>
      <c r="D91" s="3" t="s">
        <v>1103</v>
      </c>
      <c r="E91" s="5" t="s">
        <v>147</v>
      </c>
      <c r="F91" s="3" t="s">
        <v>1104</v>
      </c>
      <c r="G91" s="3" t="s">
        <v>1105</v>
      </c>
      <c r="H91" s="3" t="s">
        <v>150</v>
      </c>
      <c r="I91" s="3" t="s">
        <v>1071</v>
      </c>
      <c r="J91" s="3" t="s">
        <v>30</v>
      </c>
      <c r="K91" s="3" t="s">
        <v>30</v>
      </c>
      <c r="L91" s="3" t="s">
        <v>41</v>
      </c>
      <c r="M91" s="3" t="s">
        <v>1075</v>
      </c>
      <c r="N91" s="3" t="s">
        <v>154</v>
      </c>
      <c r="O91" s="3" t="s">
        <v>44</v>
      </c>
      <c r="P91" s="155">
        <v>53775</v>
      </c>
      <c r="Q91" s="163">
        <v>1</v>
      </c>
      <c r="R91" s="173">
        <v>3146</v>
      </c>
      <c r="T91" s="154">
        <v>1691.7619999999999</v>
      </c>
      <c r="U91" s="165">
        <v>1.3200000000000001E-4</v>
      </c>
      <c r="V91" s="165">
        <v>3.5340092576647199E-2</v>
      </c>
      <c r="W91" s="165">
        <v>1.91770144567734E-2</v>
      </c>
    </row>
    <row r="92" spans="1:23">
      <c r="A92" s="3">
        <v>288</v>
      </c>
      <c r="B92" s="3">
        <v>1452</v>
      </c>
      <c r="C92" s="3" t="s">
        <v>1159</v>
      </c>
      <c r="D92" s="3" t="s">
        <v>1160</v>
      </c>
      <c r="E92" s="5" t="s">
        <v>652</v>
      </c>
      <c r="F92" s="3" t="s">
        <v>1161</v>
      </c>
      <c r="G92" s="3" t="s">
        <v>1162</v>
      </c>
      <c r="H92" s="3" t="s">
        <v>150</v>
      </c>
      <c r="I92" s="3" t="s">
        <v>1061</v>
      </c>
      <c r="J92" s="3" t="s">
        <v>116</v>
      </c>
      <c r="K92" s="3" t="s">
        <v>117</v>
      </c>
      <c r="L92" s="3" t="s">
        <v>1163</v>
      </c>
      <c r="M92" s="3" t="s">
        <v>1084</v>
      </c>
      <c r="N92" s="3" t="s">
        <v>154</v>
      </c>
      <c r="O92" s="3" t="s">
        <v>34</v>
      </c>
      <c r="P92" s="155">
        <v>7438</v>
      </c>
      <c r="Q92" s="163">
        <v>3.306</v>
      </c>
      <c r="R92" s="173">
        <v>13170.84</v>
      </c>
      <c r="T92" s="154">
        <v>3238.7130000000002</v>
      </c>
      <c r="U92" s="165">
        <v>0</v>
      </c>
      <c r="V92" s="165">
        <v>6.7655178266173593E-2</v>
      </c>
      <c r="W92" s="165">
        <v>3.6712533473761501E-2</v>
      </c>
    </row>
    <row r="93" spans="1:23">
      <c r="A93" s="3">
        <v>288</v>
      </c>
      <c r="B93" s="3">
        <v>1452</v>
      </c>
      <c r="C93" s="3" t="s">
        <v>1057</v>
      </c>
      <c r="D93" s="3" t="s">
        <v>1058</v>
      </c>
      <c r="E93" s="5" t="s">
        <v>652</v>
      </c>
      <c r="F93" s="3" t="s">
        <v>1164</v>
      </c>
      <c r="G93" s="3" t="s">
        <v>1165</v>
      </c>
      <c r="H93" s="3" t="s">
        <v>150</v>
      </c>
      <c r="I93" s="3" t="s">
        <v>1061</v>
      </c>
      <c r="J93" s="3" t="s">
        <v>116</v>
      </c>
      <c r="K93" s="3" t="s">
        <v>117</v>
      </c>
      <c r="L93" s="3" t="s">
        <v>31</v>
      </c>
      <c r="M93" s="3" t="s">
        <v>1099</v>
      </c>
      <c r="N93" s="3" t="s">
        <v>154</v>
      </c>
      <c r="O93" s="3" t="s">
        <v>34</v>
      </c>
      <c r="P93" s="155">
        <v>57</v>
      </c>
      <c r="Q93" s="163">
        <v>3.306</v>
      </c>
      <c r="R93" s="173">
        <v>140840</v>
      </c>
      <c r="T93" s="154">
        <v>265.40199999999999</v>
      </c>
      <c r="U93" s="165">
        <v>3.9999999999999998E-6</v>
      </c>
      <c r="V93" s="165">
        <v>5.54411546802119E-3</v>
      </c>
      <c r="W93" s="165">
        <v>3.0084692689944801E-3</v>
      </c>
    </row>
    <row r="94" spans="1:23">
      <c r="A94" s="3">
        <v>288</v>
      </c>
      <c r="B94" s="3">
        <v>1452</v>
      </c>
      <c r="C94" s="3" t="s">
        <v>1166</v>
      </c>
      <c r="D94" s="3" t="s">
        <v>1167</v>
      </c>
      <c r="E94" s="5" t="s">
        <v>652</v>
      </c>
      <c r="F94" s="3" t="s">
        <v>1168</v>
      </c>
      <c r="G94" s="3" t="s">
        <v>1169</v>
      </c>
      <c r="H94" s="3" t="s">
        <v>150</v>
      </c>
      <c r="I94" s="3" t="s">
        <v>1061</v>
      </c>
      <c r="J94" s="3" t="s">
        <v>116</v>
      </c>
      <c r="K94" s="3" t="s">
        <v>117</v>
      </c>
      <c r="L94" s="3" t="s">
        <v>923</v>
      </c>
      <c r="M94" s="3" t="s">
        <v>1170</v>
      </c>
      <c r="N94" s="3" t="s">
        <v>154</v>
      </c>
      <c r="O94" s="3" t="s">
        <v>34</v>
      </c>
      <c r="P94" s="155">
        <v>1700</v>
      </c>
      <c r="Q94" s="163">
        <v>3.306</v>
      </c>
      <c r="R94" s="173">
        <v>5387</v>
      </c>
      <c r="T94" s="154">
        <v>302.76</v>
      </c>
      <c r="U94" s="165">
        <v>1.9999999999999999E-6</v>
      </c>
      <c r="V94" s="165">
        <v>6.3245159425142396E-3</v>
      </c>
      <c r="W94" s="165">
        <v>3.4319472536366502E-3</v>
      </c>
    </row>
    <row r="95" spans="1:23">
      <c r="A95" s="3">
        <v>288</v>
      </c>
      <c r="B95" s="3">
        <v>1452</v>
      </c>
      <c r="C95" s="3" t="s">
        <v>1202</v>
      </c>
      <c r="D95" s="3" t="s">
        <v>1203</v>
      </c>
      <c r="E95" s="5" t="s">
        <v>652</v>
      </c>
      <c r="F95" s="3" t="s">
        <v>1277</v>
      </c>
      <c r="G95" s="3" t="s">
        <v>1278</v>
      </c>
      <c r="H95" s="3" t="s">
        <v>150</v>
      </c>
      <c r="I95" s="3" t="s">
        <v>1061</v>
      </c>
      <c r="J95" s="3" t="s">
        <v>116</v>
      </c>
      <c r="K95" s="3" t="s">
        <v>117</v>
      </c>
      <c r="L95" s="3" t="s">
        <v>740</v>
      </c>
      <c r="M95" s="3" t="s">
        <v>1176</v>
      </c>
      <c r="N95" s="3" t="s">
        <v>154</v>
      </c>
      <c r="O95" s="3" t="s">
        <v>34</v>
      </c>
      <c r="P95" s="155">
        <v>1774</v>
      </c>
      <c r="Q95" s="163">
        <v>3.306</v>
      </c>
      <c r="R95" s="173">
        <v>7821</v>
      </c>
      <c r="T95" s="154">
        <v>458.68900000000002</v>
      </c>
      <c r="U95" s="165">
        <v>5.3999999999999998E-5</v>
      </c>
      <c r="V95" s="165">
        <v>9.5818042910143699E-3</v>
      </c>
      <c r="W95" s="165">
        <v>5.19948834350757E-3</v>
      </c>
    </row>
    <row r="96" spans="1:23">
      <c r="A96" s="3">
        <v>288</v>
      </c>
      <c r="B96" s="3">
        <v>1452</v>
      </c>
      <c r="C96" s="3" t="s">
        <v>1057</v>
      </c>
      <c r="D96" s="3" t="s">
        <v>1058</v>
      </c>
      <c r="E96" s="5" t="s">
        <v>652</v>
      </c>
      <c r="F96" s="3" t="s">
        <v>1171</v>
      </c>
      <c r="G96" s="3" t="s">
        <v>1172</v>
      </c>
      <c r="H96" s="3" t="s">
        <v>150</v>
      </c>
      <c r="I96" s="3" t="s">
        <v>1061</v>
      </c>
      <c r="J96" s="3" t="s">
        <v>116</v>
      </c>
      <c r="K96" s="3" t="s">
        <v>1078</v>
      </c>
      <c r="L96" s="3" t="s">
        <v>1173</v>
      </c>
      <c r="M96" s="3" t="s">
        <v>1149</v>
      </c>
      <c r="N96" s="3" t="s">
        <v>154</v>
      </c>
      <c r="O96" s="3" t="s">
        <v>991</v>
      </c>
      <c r="P96" s="155">
        <v>17515</v>
      </c>
      <c r="Q96" s="163">
        <v>3.8807</v>
      </c>
      <c r="R96" s="173">
        <v>5559</v>
      </c>
      <c r="T96" s="154">
        <v>3778.4780000000001</v>
      </c>
      <c r="U96" s="165">
        <v>1.7899999999999999E-4</v>
      </c>
      <c r="V96" s="165">
        <v>7.8930605026989106E-2</v>
      </c>
      <c r="W96" s="165">
        <v>4.28310523069955E-2</v>
      </c>
    </row>
    <row r="97" spans="1:23">
      <c r="A97" s="3">
        <v>288</v>
      </c>
      <c r="B97" s="3">
        <v>1452</v>
      </c>
      <c r="C97" s="3" t="s">
        <v>1057</v>
      </c>
      <c r="D97" s="3" t="s">
        <v>1058</v>
      </c>
      <c r="E97" s="5" t="s">
        <v>652</v>
      </c>
      <c r="F97" s="3" t="s">
        <v>1174</v>
      </c>
      <c r="G97" s="3" t="s">
        <v>1175</v>
      </c>
      <c r="H97" s="3" t="s">
        <v>150</v>
      </c>
      <c r="I97" s="3" t="s">
        <v>1061</v>
      </c>
      <c r="J97" s="3" t="s">
        <v>116</v>
      </c>
      <c r="K97" s="3" t="s">
        <v>117</v>
      </c>
      <c r="L97" s="3" t="s">
        <v>31</v>
      </c>
      <c r="M97" s="3" t="s">
        <v>1176</v>
      </c>
      <c r="N97" s="3" t="s">
        <v>154</v>
      </c>
      <c r="O97" s="3" t="s">
        <v>34</v>
      </c>
      <c r="P97" s="155">
        <v>21500</v>
      </c>
      <c r="Q97" s="163">
        <v>3.306</v>
      </c>
      <c r="R97" s="173">
        <v>711.4</v>
      </c>
      <c r="T97" s="154">
        <v>505.65600000000001</v>
      </c>
      <c r="U97" s="165">
        <v>0</v>
      </c>
      <c r="V97" s="165">
        <v>1.05629133089846E-2</v>
      </c>
      <c r="W97" s="165">
        <v>5.7318791905456397E-3</v>
      </c>
    </row>
    <row r="98" spans="1:23">
      <c r="A98" s="3">
        <v>288</v>
      </c>
      <c r="B98" s="3">
        <v>1452</v>
      </c>
      <c r="C98" s="3" t="s">
        <v>1057</v>
      </c>
      <c r="D98" s="3" t="s">
        <v>1058</v>
      </c>
      <c r="E98" s="5" t="s">
        <v>652</v>
      </c>
      <c r="F98" s="3" t="s">
        <v>1279</v>
      </c>
      <c r="G98" s="3" t="s">
        <v>1280</v>
      </c>
      <c r="H98" s="3" t="s">
        <v>150</v>
      </c>
      <c r="I98" s="3" t="s">
        <v>1061</v>
      </c>
      <c r="J98" s="3" t="s">
        <v>116</v>
      </c>
      <c r="K98" s="3" t="s">
        <v>117</v>
      </c>
      <c r="L98" s="3" t="s">
        <v>923</v>
      </c>
      <c r="M98" s="3" t="s">
        <v>1084</v>
      </c>
      <c r="N98" s="3" t="s">
        <v>154</v>
      </c>
      <c r="O98" s="3" t="s">
        <v>34</v>
      </c>
      <c r="P98" s="155">
        <v>930</v>
      </c>
      <c r="Q98" s="163">
        <v>3.306</v>
      </c>
      <c r="R98" s="173">
        <v>66930</v>
      </c>
      <c r="T98" s="154">
        <v>2057.8159999999998</v>
      </c>
      <c r="U98" s="165">
        <v>9.9999999999999995E-7</v>
      </c>
      <c r="V98" s="165">
        <v>4.2986805096168902E-2</v>
      </c>
      <c r="W98" s="165">
        <v>2.3326440953481398E-2</v>
      </c>
    </row>
    <row r="99" spans="1:23">
      <c r="A99" s="3">
        <v>288</v>
      </c>
      <c r="B99" s="3">
        <v>1452</v>
      </c>
      <c r="C99" s="3" t="s">
        <v>1181</v>
      </c>
      <c r="D99" s="3" t="s">
        <v>1182</v>
      </c>
      <c r="E99" s="5" t="s">
        <v>652</v>
      </c>
      <c r="F99" s="3" t="s">
        <v>1183</v>
      </c>
      <c r="G99" s="3" t="s">
        <v>1184</v>
      </c>
      <c r="H99" s="3" t="s">
        <v>150</v>
      </c>
      <c r="I99" s="3" t="s">
        <v>1061</v>
      </c>
      <c r="J99" s="3" t="s">
        <v>116</v>
      </c>
      <c r="K99" s="3" t="s">
        <v>916</v>
      </c>
      <c r="L99" s="3" t="s">
        <v>1031</v>
      </c>
      <c r="M99" s="3" t="s">
        <v>1185</v>
      </c>
      <c r="N99" s="3" t="s">
        <v>154</v>
      </c>
      <c r="O99" s="3" t="s">
        <v>34</v>
      </c>
      <c r="P99" s="155">
        <v>2500</v>
      </c>
      <c r="Q99" s="163">
        <v>3.306</v>
      </c>
      <c r="R99" s="173">
        <v>2990</v>
      </c>
      <c r="T99" s="154">
        <v>247.124</v>
      </c>
      <c r="U99" s="165">
        <v>0</v>
      </c>
      <c r="V99" s="165">
        <v>5.1622923017606596E-3</v>
      </c>
      <c r="W99" s="165">
        <v>2.8012760262651898E-3</v>
      </c>
    </row>
    <row r="100" spans="1:23">
      <c r="A100" s="3">
        <v>288</v>
      </c>
      <c r="B100" s="3">
        <v>1452</v>
      </c>
      <c r="C100" s="3" t="s">
        <v>1186</v>
      </c>
      <c r="D100" s="3" t="s">
        <v>1187</v>
      </c>
      <c r="E100" s="5" t="s">
        <v>652</v>
      </c>
      <c r="F100" s="3" t="s">
        <v>1188</v>
      </c>
      <c r="G100" s="3" t="s">
        <v>1189</v>
      </c>
      <c r="H100" s="3" t="s">
        <v>150</v>
      </c>
      <c r="I100" s="3" t="s">
        <v>1061</v>
      </c>
      <c r="J100" s="3" t="s">
        <v>116</v>
      </c>
      <c r="K100" s="3" t="s">
        <v>916</v>
      </c>
      <c r="L100" s="3" t="s">
        <v>923</v>
      </c>
      <c r="M100" s="3" t="s">
        <v>1185</v>
      </c>
      <c r="N100" s="3" t="s">
        <v>154</v>
      </c>
      <c r="O100" s="3" t="s">
        <v>34</v>
      </c>
      <c r="P100" s="155">
        <v>3760</v>
      </c>
      <c r="Q100" s="163">
        <v>3.306</v>
      </c>
      <c r="R100" s="173">
        <v>4201</v>
      </c>
      <c r="T100" s="154">
        <v>522.20799999999997</v>
      </c>
      <c r="U100" s="165">
        <v>1.5E-5</v>
      </c>
      <c r="V100" s="165">
        <v>1.09086729429377E-2</v>
      </c>
      <c r="W100" s="165">
        <v>5.9195028501188704E-3</v>
      </c>
    </row>
    <row r="101" spans="1:23">
      <c r="A101" s="3">
        <v>288</v>
      </c>
      <c r="B101" s="3">
        <v>1452</v>
      </c>
      <c r="C101" s="3" t="s">
        <v>1159</v>
      </c>
      <c r="D101" s="3" t="s">
        <v>1160</v>
      </c>
      <c r="E101" s="5" t="s">
        <v>652</v>
      </c>
      <c r="F101" s="3" t="s">
        <v>1190</v>
      </c>
      <c r="G101" s="3" t="s">
        <v>1191</v>
      </c>
      <c r="H101" s="3" t="s">
        <v>150</v>
      </c>
      <c r="I101" s="3" t="s">
        <v>1061</v>
      </c>
      <c r="J101" s="3" t="s">
        <v>116</v>
      </c>
      <c r="K101" s="3" t="s">
        <v>1078</v>
      </c>
      <c r="L101" s="3" t="s">
        <v>31</v>
      </c>
      <c r="M101" s="3" t="s">
        <v>1192</v>
      </c>
      <c r="N101" s="3" t="s">
        <v>154</v>
      </c>
      <c r="O101" s="3" t="s">
        <v>991</v>
      </c>
      <c r="P101" s="155">
        <v>1130</v>
      </c>
      <c r="Q101" s="163">
        <v>3.8807</v>
      </c>
      <c r="R101" s="173">
        <v>21790</v>
      </c>
      <c r="T101" s="154">
        <v>955.53300000000002</v>
      </c>
      <c r="U101" s="165">
        <v>2.33E-4</v>
      </c>
      <c r="V101" s="165">
        <v>1.9960632087902701E-2</v>
      </c>
      <c r="W101" s="165">
        <v>1.08314750247426E-2</v>
      </c>
    </row>
    <row r="102" spans="1:23">
      <c r="A102" s="3">
        <v>288</v>
      </c>
      <c r="B102" s="3">
        <v>1452</v>
      </c>
      <c r="C102" s="3" t="s">
        <v>1193</v>
      </c>
      <c r="D102" s="3" t="s">
        <v>1160</v>
      </c>
      <c r="E102" s="5" t="s">
        <v>652</v>
      </c>
      <c r="F102" s="3" t="s">
        <v>1194</v>
      </c>
      <c r="G102" s="3" t="s">
        <v>1195</v>
      </c>
      <c r="H102" s="3" t="s">
        <v>150</v>
      </c>
      <c r="I102" s="3" t="s">
        <v>1061</v>
      </c>
      <c r="J102" s="3" t="s">
        <v>116</v>
      </c>
      <c r="K102" s="3" t="s">
        <v>117</v>
      </c>
      <c r="L102" s="3" t="s">
        <v>1031</v>
      </c>
      <c r="M102" s="3" t="s">
        <v>1084</v>
      </c>
      <c r="N102" s="3" t="s">
        <v>154</v>
      </c>
      <c r="O102" s="3" t="s">
        <v>34</v>
      </c>
      <c r="P102" s="155">
        <v>1045</v>
      </c>
      <c r="Q102" s="163">
        <v>3.306</v>
      </c>
      <c r="R102" s="173">
        <v>47917</v>
      </c>
      <c r="T102" s="154">
        <v>1655.422</v>
      </c>
      <c r="U102" s="165">
        <v>1.18E-4</v>
      </c>
      <c r="V102" s="165">
        <v>3.4580980660002897E-2</v>
      </c>
      <c r="W102" s="165">
        <v>1.87650885352941E-2</v>
      </c>
    </row>
    <row r="103" spans="1:23">
      <c r="A103" s="3">
        <v>288</v>
      </c>
      <c r="B103" s="3">
        <v>1452</v>
      </c>
      <c r="C103" s="3" t="s">
        <v>1202</v>
      </c>
      <c r="D103" s="3" t="s">
        <v>1203</v>
      </c>
      <c r="E103" s="5" t="s">
        <v>652</v>
      </c>
      <c r="F103" s="3" t="s">
        <v>1281</v>
      </c>
      <c r="G103" s="3" t="s">
        <v>1282</v>
      </c>
      <c r="H103" s="3" t="s">
        <v>150</v>
      </c>
      <c r="I103" s="3" t="s">
        <v>1061</v>
      </c>
      <c r="J103" s="3" t="s">
        <v>116</v>
      </c>
      <c r="K103" s="3" t="s">
        <v>117</v>
      </c>
      <c r="L103" s="3" t="s">
        <v>740</v>
      </c>
      <c r="M103" s="3" t="s">
        <v>1099</v>
      </c>
      <c r="N103" s="3" t="s">
        <v>154</v>
      </c>
      <c r="O103" s="3" t="s">
        <v>34</v>
      </c>
      <c r="P103" s="155">
        <v>835</v>
      </c>
      <c r="Q103" s="163">
        <v>3.306</v>
      </c>
      <c r="R103" s="173">
        <v>60037</v>
      </c>
      <c r="S103" s="154">
        <v>0.43099999999999999</v>
      </c>
      <c r="T103" s="154">
        <v>1658.7529999999999</v>
      </c>
      <c r="U103" s="165">
        <v>1.9999999999999999E-6</v>
      </c>
      <c r="V103" s="165">
        <v>3.4650566543259799E-2</v>
      </c>
      <c r="W103" s="165">
        <v>1.8802848750163699E-2</v>
      </c>
    </row>
    <row r="104" spans="1:23">
      <c r="A104" s="3">
        <v>288</v>
      </c>
      <c r="B104" s="3">
        <v>1452</v>
      </c>
      <c r="C104" s="3" t="s">
        <v>1166</v>
      </c>
      <c r="D104" s="3" t="s">
        <v>1167</v>
      </c>
      <c r="E104" s="5" t="s">
        <v>652</v>
      </c>
      <c r="F104" s="3" t="s">
        <v>1283</v>
      </c>
      <c r="G104" s="3" t="s">
        <v>1284</v>
      </c>
      <c r="H104" s="3" t="s">
        <v>150</v>
      </c>
      <c r="I104" s="3" t="s">
        <v>1061</v>
      </c>
      <c r="J104" s="3" t="s">
        <v>116</v>
      </c>
      <c r="K104" s="3" t="s">
        <v>117</v>
      </c>
      <c r="L104" s="3" t="s">
        <v>923</v>
      </c>
      <c r="M104" s="3" t="s">
        <v>1084</v>
      </c>
      <c r="N104" s="3" t="s">
        <v>154</v>
      </c>
      <c r="O104" s="3" t="s">
        <v>34</v>
      </c>
      <c r="P104" s="155">
        <v>1900</v>
      </c>
      <c r="Q104" s="163">
        <v>3.306</v>
      </c>
      <c r="R104" s="173">
        <v>7834</v>
      </c>
      <c r="T104" s="154">
        <v>492.08499999999998</v>
      </c>
      <c r="U104" s="165">
        <v>6.0000000000000002E-6</v>
      </c>
      <c r="V104" s="165">
        <v>1.0279418862178801E-2</v>
      </c>
      <c r="W104" s="165">
        <v>5.5780432295045902E-3</v>
      </c>
    </row>
    <row r="105" spans="1:23">
      <c r="A105" s="3">
        <v>288</v>
      </c>
      <c r="B105" s="3">
        <v>1452</v>
      </c>
      <c r="C105" s="3" t="s">
        <v>1166</v>
      </c>
      <c r="D105" s="3" t="s">
        <v>1167</v>
      </c>
      <c r="E105" s="5" t="s">
        <v>652</v>
      </c>
      <c r="F105" s="3" t="s">
        <v>1208</v>
      </c>
      <c r="G105" s="3" t="s">
        <v>1209</v>
      </c>
      <c r="H105" s="3" t="s">
        <v>150</v>
      </c>
      <c r="I105" s="3" t="s">
        <v>1061</v>
      </c>
      <c r="J105" s="3" t="s">
        <v>116</v>
      </c>
      <c r="K105" s="3" t="s">
        <v>117</v>
      </c>
      <c r="L105" s="3" t="s">
        <v>1031</v>
      </c>
      <c r="M105" s="3" t="s">
        <v>1084</v>
      </c>
      <c r="N105" s="3" t="s">
        <v>154</v>
      </c>
      <c r="O105" s="3" t="s">
        <v>34</v>
      </c>
      <c r="P105" s="155">
        <v>32890</v>
      </c>
      <c r="Q105" s="163">
        <v>3.306</v>
      </c>
      <c r="R105" s="173">
        <v>1631</v>
      </c>
      <c r="T105" s="154">
        <v>1773.4570000000001</v>
      </c>
      <c r="U105" s="165">
        <v>0</v>
      </c>
      <c r="V105" s="165">
        <v>3.7046674474355203E-2</v>
      </c>
      <c r="W105" s="165">
        <v>2.01030772748895E-2</v>
      </c>
    </row>
    <row r="106" spans="1:23">
      <c r="A106" s="3">
        <v>288</v>
      </c>
      <c r="B106" s="3">
        <v>1452</v>
      </c>
      <c r="C106" s="3" t="s">
        <v>1166</v>
      </c>
      <c r="D106" s="3" t="s">
        <v>1167</v>
      </c>
      <c r="E106" s="5" t="s">
        <v>652</v>
      </c>
      <c r="F106" s="3" t="s">
        <v>1210</v>
      </c>
      <c r="G106" s="3" t="s">
        <v>1211</v>
      </c>
      <c r="H106" s="3" t="s">
        <v>150</v>
      </c>
      <c r="I106" s="3" t="s">
        <v>1061</v>
      </c>
      <c r="J106" s="3" t="s">
        <v>116</v>
      </c>
      <c r="K106" s="3" t="s">
        <v>117</v>
      </c>
      <c r="L106" s="3" t="s">
        <v>1031</v>
      </c>
      <c r="M106" s="3" t="s">
        <v>1062</v>
      </c>
      <c r="N106" s="3" t="s">
        <v>154</v>
      </c>
      <c r="O106" s="3" t="s">
        <v>34</v>
      </c>
      <c r="P106" s="155">
        <v>4000</v>
      </c>
      <c r="Q106" s="163">
        <v>3.306</v>
      </c>
      <c r="R106" s="173">
        <v>3513</v>
      </c>
      <c r="T106" s="154">
        <v>464.55900000000003</v>
      </c>
      <c r="U106" s="165">
        <v>0</v>
      </c>
      <c r="V106" s="165">
        <v>9.7044189196442594E-3</v>
      </c>
      <c r="W106" s="165">
        <v>5.2660241767328898E-3</v>
      </c>
    </row>
    <row r="107" spans="1:23">
      <c r="A107" s="3">
        <v>288</v>
      </c>
      <c r="B107" s="3">
        <v>1452</v>
      </c>
      <c r="C107" s="3" t="s">
        <v>1166</v>
      </c>
      <c r="D107" s="3" t="s">
        <v>1167</v>
      </c>
      <c r="E107" s="5" t="s">
        <v>652</v>
      </c>
      <c r="F107" s="3" t="s">
        <v>1212</v>
      </c>
      <c r="G107" s="3" t="s">
        <v>1213</v>
      </c>
      <c r="H107" s="3" t="s">
        <v>150</v>
      </c>
      <c r="I107" s="3" t="s">
        <v>1061</v>
      </c>
      <c r="J107" s="3" t="s">
        <v>116</v>
      </c>
      <c r="K107" s="3" t="s">
        <v>117</v>
      </c>
      <c r="L107" s="3" t="s">
        <v>1031</v>
      </c>
      <c r="M107" s="3" t="s">
        <v>1170</v>
      </c>
      <c r="N107" s="3" t="s">
        <v>154</v>
      </c>
      <c r="O107" s="3" t="s">
        <v>34</v>
      </c>
      <c r="P107" s="155">
        <v>1500</v>
      </c>
      <c r="Q107" s="163">
        <v>3.306</v>
      </c>
      <c r="R107" s="173">
        <v>6304</v>
      </c>
      <c r="T107" s="154">
        <v>312.61500000000001</v>
      </c>
      <c r="U107" s="165">
        <v>0</v>
      </c>
      <c r="V107" s="165">
        <v>6.5303860876854596E-3</v>
      </c>
      <c r="W107" s="165">
        <v>3.54366101730617E-3</v>
      </c>
    </row>
    <row r="108" spans="1:23">
      <c r="A108" s="3">
        <v>288</v>
      </c>
      <c r="B108" s="3">
        <v>1452</v>
      </c>
      <c r="C108" s="3" t="s">
        <v>1166</v>
      </c>
      <c r="D108" s="3" t="s">
        <v>1167</v>
      </c>
      <c r="E108" s="5" t="s">
        <v>652</v>
      </c>
      <c r="F108" s="3" t="s">
        <v>1285</v>
      </c>
      <c r="G108" s="3" t="s">
        <v>1286</v>
      </c>
      <c r="H108" s="3" t="s">
        <v>150</v>
      </c>
      <c r="I108" s="3" t="s">
        <v>1061</v>
      </c>
      <c r="J108" s="3" t="s">
        <v>116</v>
      </c>
      <c r="K108" s="3" t="s">
        <v>117</v>
      </c>
      <c r="L108" s="3" t="s">
        <v>1031</v>
      </c>
      <c r="M108" s="3" t="s">
        <v>1128</v>
      </c>
      <c r="N108" s="3" t="s">
        <v>154</v>
      </c>
      <c r="O108" s="3" t="s">
        <v>34</v>
      </c>
      <c r="P108" s="155">
        <v>1240</v>
      </c>
      <c r="Q108" s="163">
        <v>3.306</v>
      </c>
      <c r="R108" s="173">
        <v>15018</v>
      </c>
      <c r="T108" s="154">
        <v>615.654</v>
      </c>
      <c r="U108" s="165">
        <v>0</v>
      </c>
      <c r="V108" s="165">
        <v>1.28607169467456E-2</v>
      </c>
      <c r="W108" s="165">
        <v>6.9787636882192201E-3</v>
      </c>
    </row>
    <row r="109" spans="1:23">
      <c r="A109" s="3">
        <v>288</v>
      </c>
      <c r="B109" s="3">
        <v>1452</v>
      </c>
      <c r="C109" s="3" t="s">
        <v>1214</v>
      </c>
      <c r="D109" s="3" t="s">
        <v>1215</v>
      </c>
      <c r="E109" s="5" t="s">
        <v>652</v>
      </c>
      <c r="F109" s="3" t="s">
        <v>1216</v>
      </c>
      <c r="G109" s="3" t="s">
        <v>1217</v>
      </c>
      <c r="H109" s="3" t="s">
        <v>150</v>
      </c>
      <c r="I109" s="3" t="s">
        <v>1061</v>
      </c>
      <c r="J109" s="3" t="s">
        <v>116</v>
      </c>
      <c r="K109" s="3" t="s">
        <v>267</v>
      </c>
      <c r="L109" s="3" t="s">
        <v>31</v>
      </c>
      <c r="M109" s="3" t="s">
        <v>1218</v>
      </c>
      <c r="N109" s="3" t="s">
        <v>154</v>
      </c>
      <c r="O109" s="3" t="s">
        <v>34</v>
      </c>
      <c r="P109" s="155">
        <v>11555</v>
      </c>
      <c r="Q109" s="163">
        <v>3.306</v>
      </c>
      <c r="R109" s="173">
        <v>7792</v>
      </c>
      <c r="T109" s="154">
        <v>2976.6089999999999</v>
      </c>
      <c r="U109" s="165">
        <v>0</v>
      </c>
      <c r="V109" s="165">
        <v>6.2179938537125397E-2</v>
      </c>
      <c r="W109" s="165">
        <v>3.3741439065603597E-2</v>
      </c>
    </row>
    <row r="110" spans="1:23">
      <c r="A110" s="3">
        <v>288</v>
      </c>
      <c r="B110" s="3">
        <v>1452</v>
      </c>
      <c r="C110" s="3" t="s">
        <v>1214</v>
      </c>
      <c r="D110" s="3" t="s">
        <v>1215</v>
      </c>
      <c r="E110" s="5" t="s">
        <v>652</v>
      </c>
      <c r="F110" s="3" t="s">
        <v>1219</v>
      </c>
      <c r="G110" s="3" t="s">
        <v>1220</v>
      </c>
      <c r="H110" s="3" t="s">
        <v>150</v>
      </c>
      <c r="I110" s="3" t="s">
        <v>1061</v>
      </c>
      <c r="J110" s="3" t="s">
        <v>116</v>
      </c>
      <c r="K110" s="3" t="s">
        <v>117</v>
      </c>
      <c r="L110" s="3" t="s">
        <v>923</v>
      </c>
      <c r="M110" s="3" t="s">
        <v>1084</v>
      </c>
      <c r="N110" s="3" t="s">
        <v>154</v>
      </c>
      <c r="O110" s="3" t="s">
        <v>34</v>
      </c>
      <c r="P110" s="155">
        <v>457</v>
      </c>
      <c r="Q110" s="163">
        <v>3.306</v>
      </c>
      <c r="R110" s="173">
        <v>61238</v>
      </c>
      <c r="S110" s="154">
        <v>0.79500000000000004</v>
      </c>
      <c r="T110" s="154">
        <v>927.83799999999997</v>
      </c>
      <c r="U110" s="165">
        <v>9.9999999999999995E-7</v>
      </c>
      <c r="V110" s="165">
        <v>1.93821002728999E-2</v>
      </c>
      <c r="W110" s="165">
        <v>1.0517539430036599E-2</v>
      </c>
    </row>
    <row r="111" spans="1:23">
      <c r="A111" s="3">
        <v>288</v>
      </c>
      <c r="B111" s="3">
        <v>1452</v>
      </c>
      <c r="C111" s="3" t="s">
        <v>1223</v>
      </c>
      <c r="D111" s="3" t="s">
        <v>1224</v>
      </c>
      <c r="E111" s="5" t="s">
        <v>652</v>
      </c>
      <c r="F111" s="3" t="s">
        <v>1287</v>
      </c>
      <c r="G111" s="3" t="s">
        <v>1288</v>
      </c>
      <c r="H111" s="3" t="s">
        <v>150</v>
      </c>
      <c r="I111" s="3" t="s">
        <v>1061</v>
      </c>
      <c r="J111" s="3" t="s">
        <v>116</v>
      </c>
      <c r="K111" s="3" t="s">
        <v>117</v>
      </c>
      <c r="L111" s="3" t="s">
        <v>1031</v>
      </c>
      <c r="M111" s="3" t="s">
        <v>1123</v>
      </c>
      <c r="N111" s="3" t="s">
        <v>154</v>
      </c>
      <c r="O111" s="3" t="s">
        <v>34</v>
      </c>
      <c r="P111" s="155">
        <v>6400</v>
      </c>
      <c r="Q111" s="163">
        <v>3.306</v>
      </c>
      <c r="R111" s="173">
        <v>5058</v>
      </c>
      <c r="T111" s="154">
        <v>1070.192</v>
      </c>
      <c r="U111" s="165">
        <v>0</v>
      </c>
      <c r="V111" s="165">
        <v>2.2355798870736399E-2</v>
      </c>
      <c r="W111" s="165">
        <v>1.21311928430014E-2</v>
      </c>
    </row>
    <row r="112" spans="1:23">
      <c r="A112" s="3">
        <v>288</v>
      </c>
      <c r="B112" s="3">
        <v>1452</v>
      </c>
      <c r="C112" s="3" t="s">
        <v>1223</v>
      </c>
      <c r="D112" s="3" t="s">
        <v>1224</v>
      </c>
      <c r="E112" s="5" t="s">
        <v>652</v>
      </c>
      <c r="F112" s="3" t="s">
        <v>1225</v>
      </c>
      <c r="G112" s="3" t="s">
        <v>1226</v>
      </c>
      <c r="H112" s="3" t="s">
        <v>150</v>
      </c>
      <c r="I112" s="3" t="s">
        <v>1061</v>
      </c>
      <c r="J112" s="3" t="s">
        <v>116</v>
      </c>
      <c r="K112" s="3" t="s">
        <v>1122</v>
      </c>
      <c r="L112" s="3" t="s">
        <v>923</v>
      </c>
      <c r="M112" s="3" t="s">
        <v>1123</v>
      </c>
      <c r="N112" s="3" t="s">
        <v>154</v>
      </c>
      <c r="O112" s="3" t="s">
        <v>34</v>
      </c>
      <c r="P112" s="155">
        <v>2310</v>
      </c>
      <c r="Q112" s="163">
        <v>3.306</v>
      </c>
      <c r="R112" s="173">
        <v>12803</v>
      </c>
      <c r="T112" s="154">
        <v>977.74699999999996</v>
      </c>
      <c r="U112" s="165">
        <v>7.7000000000000001E-5</v>
      </c>
      <c r="V112" s="165">
        <v>2.0424673373125202E-2</v>
      </c>
      <c r="W112" s="165">
        <v>1.10832832625379E-2</v>
      </c>
    </row>
    <row r="113" spans="1:23">
      <c r="A113" s="3">
        <v>288</v>
      </c>
      <c r="B113" s="3">
        <v>15046</v>
      </c>
      <c r="C113" s="3" t="s">
        <v>1067</v>
      </c>
      <c r="D113" s="3" t="s">
        <v>1068</v>
      </c>
      <c r="E113" s="5" t="s">
        <v>147</v>
      </c>
      <c r="F113" s="3" t="s">
        <v>1289</v>
      </c>
      <c r="G113" s="3" t="s">
        <v>1290</v>
      </c>
      <c r="H113" s="3" t="s">
        <v>150</v>
      </c>
      <c r="I113" s="3" t="s">
        <v>1061</v>
      </c>
      <c r="J113" s="3" t="s">
        <v>30</v>
      </c>
      <c r="K113" s="3" t="s">
        <v>117</v>
      </c>
      <c r="L113" s="3" t="s">
        <v>41</v>
      </c>
      <c r="M113" s="3" t="s">
        <v>1084</v>
      </c>
      <c r="N113" s="3" t="s">
        <v>154</v>
      </c>
      <c r="O113" s="3" t="s">
        <v>44</v>
      </c>
      <c r="P113" s="155">
        <v>70004</v>
      </c>
      <c r="Q113" s="163">
        <v>1</v>
      </c>
      <c r="R113" s="173">
        <v>9467</v>
      </c>
      <c r="T113" s="154">
        <v>6627.2790000000005</v>
      </c>
      <c r="U113" s="165">
        <v>8.0199999999999998E-4</v>
      </c>
      <c r="V113" s="165">
        <v>0.22729233980851299</v>
      </c>
      <c r="W113" s="165">
        <v>0.11198138864096201</v>
      </c>
    </row>
    <row r="114" spans="1:23">
      <c r="A114" s="3">
        <v>288</v>
      </c>
      <c r="B114" s="3">
        <v>15046</v>
      </c>
      <c r="C114" s="3" t="s">
        <v>1129</v>
      </c>
      <c r="D114" s="3" t="s">
        <v>1130</v>
      </c>
      <c r="E114" s="5" t="s">
        <v>147</v>
      </c>
      <c r="F114" s="3" t="s">
        <v>1291</v>
      </c>
      <c r="G114" s="3" t="s">
        <v>1292</v>
      </c>
      <c r="H114" s="3" t="s">
        <v>150</v>
      </c>
      <c r="I114" s="3" t="s">
        <v>1061</v>
      </c>
      <c r="J114" s="3" t="s">
        <v>30</v>
      </c>
      <c r="K114" s="3" t="s">
        <v>117</v>
      </c>
      <c r="L114" s="3" t="s">
        <v>41</v>
      </c>
      <c r="M114" s="3" t="s">
        <v>1084</v>
      </c>
      <c r="N114" s="3" t="s">
        <v>154</v>
      </c>
      <c r="O114" s="3" t="s">
        <v>44</v>
      </c>
      <c r="P114" s="155">
        <v>29532</v>
      </c>
      <c r="Q114" s="163">
        <v>1</v>
      </c>
      <c r="R114" s="173">
        <v>21730</v>
      </c>
      <c r="T114" s="154">
        <v>6417.3040000000001</v>
      </c>
      <c r="U114" s="165">
        <v>2.9599999999999998E-4</v>
      </c>
      <c r="V114" s="165">
        <v>0.22009093338830199</v>
      </c>
      <c r="W114" s="165">
        <v>0.10843343145163201</v>
      </c>
    </row>
    <row r="115" spans="1:23">
      <c r="A115" s="3">
        <v>288</v>
      </c>
      <c r="B115" s="3">
        <v>15046</v>
      </c>
      <c r="C115" s="3" t="s">
        <v>1093</v>
      </c>
      <c r="D115" s="3" t="s">
        <v>1094</v>
      </c>
      <c r="E115" s="5" t="s">
        <v>147</v>
      </c>
      <c r="F115" s="3" t="s">
        <v>1271</v>
      </c>
      <c r="G115" s="3" t="s">
        <v>1272</v>
      </c>
      <c r="H115" s="3" t="s">
        <v>150</v>
      </c>
      <c r="I115" s="3" t="s">
        <v>1061</v>
      </c>
      <c r="J115" s="3" t="s">
        <v>30</v>
      </c>
      <c r="K115" s="3" t="s">
        <v>117</v>
      </c>
      <c r="L115" s="3" t="s">
        <v>41</v>
      </c>
      <c r="M115" s="3" t="s">
        <v>1084</v>
      </c>
      <c r="N115" s="3" t="s">
        <v>154</v>
      </c>
      <c r="O115" s="3" t="s">
        <v>44</v>
      </c>
      <c r="P115" s="155">
        <v>59201</v>
      </c>
      <c r="Q115" s="163">
        <v>1</v>
      </c>
      <c r="R115" s="173">
        <v>10950</v>
      </c>
      <c r="T115" s="154">
        <v>6482.51</v>
      </c>
      <c r="U115" s="165">
        <v>8.6399999999999997E-4</v>
      </c>
      <c r="V115" s="165">
        <v>0.222327266323123</v>
      </c>
      <c r="W115" s="165">
        <v>0.10953521810980001</v>
      </c>
    </row>
    <row r="116" spans="1:23">
      <c r="A116" s="3">
        <v>288</v>
      </c>
      <c r="B116" s="3">
        <v>15046</v>
      </c>
      <c r="C116" s="3" t="s">
        <v>1102</v>
      </c>
      <c r="D116" s="3" t="s">
        <v>1103</v>
      </c>
      <c r="E116" s="5" t="s">
        <v>147</v>
      </c>
      <c r="F116" s="3" t="s">
        <v>1293</v>
      </c>
      <c r="G116" s="3" t="s">
        <v>1294</v>
      </c>
      <c r="H116" s="3" t="s">
        <v>150</v>
      </c>
      <c r="I116" s="3" t="s">
        <v>1061</v>
      </c>
      <c r="J116" s="3" t="s">
        <v>30</v>
      </c>
      <c r="K116" s="3" t="s">
        <v>117</v>
      </c>
      <c r="L116" s="3" t="s">
        <v>41</v>
      </c>
      <c r="M116" s="3" t="s">
        <v>1084</v>
      </c>
      <c r="N116" s="3" t="s">
        <v>154</v>
      </c>
      <c r="O116" s="3" t="s">
        <v>44</v>
      </c>
      <c r="P116" s="155">
        <v>24846</v>
      </c>
      <c r="Q116" s="163">
        <v>1</v>
      </c>
      <c r="R116" s="173">
        <v>25890</v>
      </c>
      <c r="T116" s="154">
        <v>6432.6289999999999</v>
      </c>
      <c r="U116" s="165">
        <v>6.2E-4</v>
      </c>
      <c r="V116" s="165">
        <v>0.22061655440254299</v>
      </c>
      <c r="W116" s="165">
        <v>0.108692392097306</v>
      </c>
    </row>
    <row r="117" spans="1:23">
      <c r="A117" s="3">
        <v>288</v>
      </c>
      <c r="B117" s="3">
        <v>15046</v>
      </c>
      <c r="C117" s="3" t="s">
        <v>1057</v>
      </c>
      <c r="D117" s="3" t="s">
        <v>1058</v>
      </c>
      <c r="E117" s="5" t="s">
        <v>652</v>
      </c>
      <c r="F117" s="3" t="s">
        <v>1279</v>
      </c>
      <c r="G117" s="3" t="s">
        <v>1280</v>
      </c>
      <c r="H117" s="3" t="s">
        <v>150</v>
      </c>
      <c r="I117" s="3" t="s">
        <v>1061</v>
      </c>
      <c r="J117" s="3" t="s">
        <v>116</v>
      </c>
      <c r="K117" s="3" t="s">
        <v>117</v>
      </c>
      <c r="L117" s="3" t="s">
        <v>923</v>
      </c>
      <c r="M117" s="3" t="s">
        <v>1084</v>
      </c>
      <c r="N117" s="3" t="s">
        <v>154</v>
      </c>
      <c r="O117" s="3" t="s">
        <v>34</v>
      </c>
      <c r="P117" s="155">
        <v>322</v>
      </c>
      <c r="Q117" s="163">
        <v>3.306</v>
      </c>
      <c r="R117" s="173">
        <v>66930</v>
      </c>
      <c r="T117" s="154">
        <v>712.49099999999999</v>
      </c>
      <c r="U117" s="165">
        <v>0</v>
      </c>
      <c r="V117" s="165">
        <v>2.4435943488336501E-2</v>
      </c>
      <c r="W117" s="165">
        <v>1.20389929853391E-2</v>
      </c>
    </row>
    <row r="118" spans="1:23">
      <c r="A118" s="3">
        <v>288</v>
      </c>
      <c r="B118" s="3">
        <v>15046</v>
      </c>
      <c r="C118" s="3" t="s">
        <v>1202</v>
      </c>
      <c r="D118" s="3" t="s">
        <v>1203</v>
      </c>
      <c r="E118" s="5" t="s">
        <v>652</v>
      </c>
      <c r="F118" s="3" t="s">
        <v>1204</v>
      </c>
      <c r="G118" s="3" t="s">
        <v>1205</v>
      </c>
      <c r="H118" s="3" t="s">
        <v>150</v>
      </c>
      <c r="I118" s="3" t="s">
        <v>1061</v>
      </c>
      <c r="J118" s="3" t="s">
        <v>116</v>
      </c>
      <c r="K118" s="3" t="s">
        <v>117</v>
      </c>
      <c r="L118" s="3" t="s">
        <v>1031</v>
      </c>
      <c r="M118" s="3" t="s">
        <v>1084</v>
      </c>
      <c r="N118" s="3" t="s">
        <v>154</v>
      </c>
      <c r="O118" s="3" t="s">
        <v>34</v>
      </c>
      <c r="P118" s="155">
        <v>14</v>
      </c>
      <c r="Q118" s="163">
        <v>3.306</v>
      </c>
      <c r="R118" s="173">
        <v>132232</v>
      </c>
      <c r="T118" s="154">
        <v>61.201999999999998</v>
      </c>
      <c r="U118" s="165">
        <v>3.0000000000000001E-6</v>
      </c>
      <c r="V118" s="165">
        <v>2.0990221317208199E-3</v>
      </c>
      <c r="W118" s="165">
        <v>1.0341369766188901E-3</v>
      </c>
    </row>
    <row r="119" spans="1:23">
      <c r="A119" s="3">
        <v>288</v>
      </c>
      <c r="B119" s="3">
        <v>15046</v>
      </c>
      <c r="C119" s="3" t="s">
        <v>1166</v>
      </c>
      <c r="D119" s="3" t="s">
        <v>1167</v>
      </c>
      <c r="E119" s="5" t="s">
        <v>652</v>
      </c>
      <c r="F119" s="3" t="s">
        <v>1283</v>
      </c>
      <c r="G119" s="3" t="s">
        <v>1284</v>
      </c>
      <c r="H119" s="3" t="s">
        <v>150</v>
      </c>
      <c r="I119" s="3" t="s">
        <v>1061</v>
      </c>
      <c r="J119" s="3" t="s">
        <v>116</v>
      </c>
      <c r="K119" s="3" t="s">
        <v>117</v>
      </c>
      <c r="L119" s="3" t="s">
        <v>923</v>
      </c>
      <c r="M119" s="3" t="s">
        <v>1084</v>
      </c>
      <c r="N119" s="3" t="s">
        <v>154</v>
      </c>
      <c r="O119" s="3" t="s">
        <v>34</v>
      </c>
      <c r="P119" s="155">
        <v>228</v>
      </c>
      <c r="Q119" s="163">
        <v>3.306</v>
      </c>
      <c r="R119" s="173">
        <v>7834</v>
      </c>
      <c r="T119" s="154">
        <v>59.05</v>
      </c>
      <c r="U119" s="165">
        <v>9.9999999999999995E-7</v>
      </c>
      <c r="V119" s="165">
        <v>2.0252135740956401E-3</v>
      </c>
      <c r="W119" s="165">
        <v>9.9777330161155407E-4</v>
      </c>
    </row>
    <row r="120" spans="1:23">
      <c r="A120" s="3">
        <v>288</v>
      </c>
      <c r="B120" s="3">
        <v>15046</v>
      </c>
      <c r="C120" s="3" t="s">
        <v>1166</v>
      </c>
      <c r="D120" s="3" t="s">
        <v>1167</v>
      </c>
      <c r="E120" s="5" t="s">
        <v>652</v>
      </c>
      <c r="F120" s="3" t="s">
        <v>1295</v>
      </c>
      <c r="G120" s="3" t="s">
        <v>1296</v>
      </c>
      <c r="H120" s="3" t="s">
        <v>150</v>
      </c>
      <c r="I120" s="3" t="s">
        <v>1061</v>
      </c>
      <c r="J120" s="3" t="s">
        <v>116</v>
      </c>
      <c r="K120" s="3" t="s">
        <v>117</v>
      </c>
      <c r="L120" s="3" t="s">
        <v>923</v>
      </c>
      <c r="M120" s="3" t="s">
        <v>1084</v>
      </c>
      <c r="N120" s="3" t="s">
        <v>154</v>
      </c>
      <c r="O120" s="3" t="s">
        <v>34</v>
      </c>
      <c r="P120" s="155">
        <v>470</v>
      </c>
      <c r="Q120" s="163">
        <v>3.306</v>
      </c>
      <c r="R120" s="173">
        <v>66618</v>
      </c>
      <c r="S120" s="154">
        <v>0.64100000000000001</v>
      </c>
      <c r="T120" s="154">
        <v>1037.242</v>
      </c>
      <c r="U120" s="165">
        <v>9.9999999999999995E-7</v>
      </c>
      <c r="V120" s="165">
        <v>3.5573735760502302E-2</v>
      </c>
      <c r="W120" s="165">
        <v>1.75263114144707E-2</v>
      </c>
    </row>
    <row r="121" spans="1:23">
      <c r="A121" s="3">
        <v>288</v>
      </c>
      <c r="B121" s="3">
        <v>15046</v>
      </c>
      <c r="C121" s="3" t="s">
        <v>1214</v>
      </c>
      <c r="D121" s="3" t="s">
        <v>1215</v>
      </c>
      <c r="E121" s="5" t="s">
        <v>652</v>
      </c>
      <c r="F121" s="3" t="s">
        <v>1219</v>
      </c>
      <c r="G121" s="3" t="s">
        <v>1220</v>
      </c>
      <c r="H121" s="3" t="s">
        <v>150</v>
      </c>
      <c r="I121" s="3" t="s">
        <v>1061</v>
      </c>
      <c r="J121" s="3" t="s">
        <v>116</v>
      </c>
      <c r="K121" s="3" t="s">
        <v>117</v>
      </c>
      <c r="L121" s="3" t="s">
        <v>923</v>
      </c>
      <c r="M121" s="3" t="s">
        <v>1084</v>
      </c>
      <c r="N121" s="3" t="s">
        <v>154</v>
      </c>
      <c r="O121" s="3" t="s">
        <v>34</v>
      </c>
      <c r="P121" s="155">
        <v>654</v>
      </c>
      <c r="Q121" s="163">
        <v>3.306</v>
      </c>
      <c r="R121" s="173">
        <v>61238</v>
      </c>
      <c r="S121" s="154">
        <v>1.1379999999999999</v>
      </c>
      <c r="T121" s="154">
        <v>1327.8040000000001</v>
      </c>
      <c r="U121" s="165">
        <v>9.9999999999999995E-7</v>
      </c>
      <c r="V121" s="165">
        <v>4.5538991122863297E-2</v>
      </c>
      <c r="W121" s="165">
        <v>2.2435949524488401E-2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3"/>
  <sheetViews>
    <sheetView rightToLeft="1" workbookViewId="0">
      <selection activeCell="A2" sqref="A2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1297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8</v>
      </c>
      <c r="N1" s="21" t="s">
        <v>1056</v>
      </c>
      <c r="O1" s="21" t="s">
        <v>138</v>
      </c>
      <c r="P1" s="21" t="s">
        <v>11</v>
      </c>
      <c r="Q1" s="21" t="s">
        <v>17</v>
      </c>
      <c r="R1" s="162" t="s">
        <v>18</v>
      </c>
      <c r="S1" s="168" t="s">
        <v>19</v>
      </c>
      <c r="T1" s="21" t="s">
        <v>20</v>
      </c>
      <c r="U1" s="164" t="s">
        <v>23</v>
      </c>
      <c r="V1" s="164" t="s">
        <v>24</v>
      </c>
      <c r="W1" s="164" t="s">
        <v>25</v>
      </c>
    </row>
    <row r="2" spans="1:23">
      <c r="A2" s="20">
        <v>288</v>
      </c>
      <c r="B2" s="20">
        <v>288</v>
      </c>
      <c r="C2" s="20" t="s">
        <v>1080</v>
      </c>
      <c r="D2" s="20" t="s">
        <v>1081</v>
      </c>
      <c r="E2" s="20" t="s">
        <v>147</v>
      </c>
      <c r="F2" s="20" t="s">
        <v>1298</v>
      </c>
      <c r="G2" s="20" t="s">
        <v>1299</v>
      </c>
      <c r="H2" s="20" t="s">
        <v>150</v>
      </c>
      <c r="I2" s="20" t="s">
        <v>739</v>
      </c>
      <c r="J2" s="20" t="s">
        <v>30</v>
      </c>
      <c r="K2" s="20" t="s">
        <v>30</v>
      </c>
      <c r="L2" s="5" t="s">
        <v>152</v>
      </c>
      <c r="M2" s="20" t="s">
        <v>41</v>
      </c>
      <c r="N2" s="22" t="s">
        <v>1300</v>
      </c>
      <c r="O2" s="22" t="s">
        <v>154</v>
      </c>
      <c r="P2" s="20" t="s">
        <v>44</v>
      </c>
      <c r="Q2" s="157">
        <v>6145000</v>
      </c>
      <c r="R2" s="174">
        <v>1</v>
      </c>
      <c r="S2" s="175">
        <v>175.74</v>
      </c>
      <c r="T2" s="157">
        <v>10799.223</v>
      </c>
      <c r="U2" s="176">
        <v>0</v>
      </c>
      <c r="V2" s="176">
        <v>7.6260229130349494E-2</v>
      </c>
      <c r="W2" s="176">
        <v>4.2118809854601999E-3</v>
      </c>
    </row>
    <row r="3" spans="1:23">
      <c r="A3" s="20">
        <v>288</v>
      </c>
      <c r="B3" s="20">
        <v>288</v>
      </c>
      <c r="C3" s="20" t="s">
        <v>1067</v>
      </c>
      <c r="D3" s="20" t="s">
        <v>1068</v>
      </c>
      <c r="E3" s="20" t="s">
        <v>147</v>
      </c>
      <c r="F3" s="20" t="s">
        <v>1301</v>
      </c>
      <c r="G3" s="20" t="s">
        <v>1302</v>
      </c>
      <c r="H3" s="20" t="s">
        <v>150</v>
      </c>
      <c r="I3" s="20" t="s">
        <v>739</v>
      </c>
      <c r="J3" s="20" t="s">
        <v>30</v>
      </c>
      <c r="K3" s="20" t="s">
        <v>30</v>
      </c>
      <c r="L3" s="5" t="s">
        <v>152</v>
      </c>
      <c r="M3" s="20" t="s">
        <v>41</v>
      </c>
      <c r="N3" s="22" t="s">
        <v>1180</v>
      </c>
      <c r="O3" s="22" t="s">
        <v>154</v>
      </c>
      <c r="P3" s="20" t="s">
        <v>44</v>
      </c>
      <c r="Q3" s="157">
        <v>9670000</v>
      </c>
      <c r="R3" s="174">
        <v>1</v>
      </c>
      <c r="S3" s="175">
        <v>112.72</v>
      </c>
      <c r="T3" s="157">
        <v>10900.023999999999</v>
      </c>
      <c r="U3" s="176">
        <v>0</v>
      </c>
      <c r="V3" s="176">
        <v>7.6972049541555801E-2</v>
      </c>
      <c r="W3" s="176">
        <v>4.2511950930784401E-3</v>
      </c>
    </row>
    <row r="4" spans="1:23">
      <c r="A4" s="20">
        <v>288</v>
      </c>
      <c r="B4" s="20">
        <v>288</v>
      </c>
      <c r="C4" s="20" t="s">
        <v>1129</v>
      </c>
      <c r="D4" s="20" t="s">
        <v>1130</v>
      </c>
      <c r="E4" s="20" t="s">
        <v>147</v>
      </c>
      <c r="F4" s="20" t="s">
        <v>1303</v>
      </c>
      <c r="G4" s="20" t="s">
        <v>1304</v>
      </c>
      <c r="H4" s="20" t="s">
        <v>150</v>
      </c>
      <c r="I4" s="20" t="s">
        <v>1305</v>
      </c>
      <c r="J4" s="20" t="s">
        <v>30</v>
      </c>
      <c r="K4" s="20" t="s">
        <v>30</v>
      </c>
      <c r="L4" s="5" t="s">
        <v>152</v>
      </c>
      <c r="M4" s="20" t="s">
        <v>41</v>
      </c>
      <c r="N4" s="22" t="s">
        <v>1306</v>
      </c>
      <c r="O4" s="22" t="s">
        <v>154</v>
      </c>
      <c r="P4" s="20" t="s">
        <v>44</v>
      </c>
      <c r="Q4" s="157">
        <v>1600000</v>
      </c>
      <c r="R4" s="174">
        <v>1</v>
      </c>
      <c r="S4" s="175">
        <v>114.71</v>
      </c>
      <c r="T4" s="157">
        <v>1835.36</v>
      </c>
      <c r="U4" s="176">
        <v>0</v>
      </c>
      <c r="V4" s="176">
        <v>1.29606522743977E-2</v>
      </c>
      <c r="W4" s="176">
        <v>7.1582167397360203E-4</v>
      </c>
    </row>
    <row r="5" spans="1:23">
      <c r="A5" s="20">
        <v>288</v>
      </c>
      <c r="B5" s="20">
        <v>288</v>
      </c>
      <c r="C5" s="20" t="s">
        <v>1129</v>
      </c>
      <c r="D5" s="20" t="s">
        <v>1130</v>
      </c>
      <c r="E5" s="20" t="s">
        <v>147</v>
      </c>
      <c r="F5" s="20" t="s">
        <v>1307</v>
      </c>
      <c r="G5" s="20" t="s">
        <v>1308</v>
      </c>
      <c r="H5" s="20" t="s">
        <v>150</v>
      </c>
      <c r="I5" s="20" t="s">
        <v>739</v>
      </c>
      <c r="J5" s="20" t="s">
        <v>30</v>
      </c>
      <c r="K5" s="20" t="s">
        <v>30</v>
      </c>
      <c r="L5" s="5" t="s">
        <v>152</v>
      </c>
      <c r="M5" s="20" t="s">
        <v>41</v>
      </c>
      <c r="N5" s="22" t="s">
        <v>1075</v>
      </c>
      <c r="O5" s="22" t="s">
        <v>154</v>
      </c>
      <c r="P5" s="20" t="s">
        <v>44</v>
      </c>
      <c r="Q5" s="157">
        <v>14512448</v>
      </c>
      <c r="R5" s="174">
        <v>1</v>
      </c>
      <c r="S5" s="175">
        <v>243.85</v>
      </c>
      <c r="T5" s="157">
        <v>35388.603999999999</v>
      </c>
      <c r="U5" s="176">
        <v>0.12081699999999999</v>
      </c>
      <c r="V5" s="176">
        <v>0.24990159790271799</v>
      </c>
      <c r="W5" s="176">
        <v>1.3802158745726699E-2</v>
      </c>
    </row>
    <row r="6" spans="1:23">
      <c r="A6" s="20">
        <v>288</v>
      </c>
      <c r="B6" s="20">
        <v>288</v>
      </c>
      <c r="C6" s="20" t="s">
        <v>1080</v>
      </c>
      <c r="D6" s="20" t="s">
        <v>1081</v>
      </c>
      <c r="E6" s="20" t="s">
        <v>147</v>
      </c>
      <c r="F6" s="20" t="s">
        <v>1309</v>
      </c>
      <c r="G6" s="20" t="s">
        <v>1310</v>
      </c>
      <c r="H6" s="20" t="s">
        <v>150</v>
      </c>
      <c r="I6" s="20" t="s">
        <v>739</v>
      </c>
      <c r="J6" s="20" t="s">
        <v>30</v>
      </c>
      <c r="K6" s="20" t="s">
        <v>30</v>
      </c>
      <c r="L6" s="5" t="s">
        <v>152</v>
      </c>
      <c r="M6" s="20" t="s">
        <v>41</v>
      </c>
      <c r="N6" s="22" t="s">
        <v>1075</v>
      </c>
      <c r="O6" s="22" t="s">
        <v>154</v>
      </c>
      <c r="P6" s="20" t="s">
        <v>44</v>
      </c>
      <c r="Q6" s="157">
        <v>6650000</v>
      </c>
      <c r="R6" s="174">
        <v>1</v>
      </c>
      <c r="S6" s="175">
        <v>222.62</v>
      </c>
      <c r="T6" s="157">
        <v>14804.23</v>
      </c>
      <c r="U6" s="176">
        <v>4.002E-2</v>
      </c>
      <c r="V6" s="176">
        <v>0.104542148254406</v>
      </c>
      <c r="W6" s="176">
        <v>5.7739019595557401E-3</v>
      </c>
    </row>
    <row r="7" spans="1:23">
      <c r="A7" s="20">
        <v>288</v>
      </c>
      <c r="B7" s="20">
        <v>288</v>
      </c>
      <c r="C7" s="20" t="s">
        <v>1311</v>
      </c>
      <c r="D7" s="20" t="s">
        <v>1312</v>
      </c>
      <c r="E7" s="20" t="s">
        <v>652</v>
      </c>
      <c r="F7" s="20" t="s">
        <v>1313</v>
      </c>
      <c r="G7" s="20" t="s">
        <v>1314</v>
      </c>
      <c r="H7" s="20" t="s">
        <v>150</v>
      </c>
      <c r="I7" s="20" t="s">
        <v>739</v>
      </c>
      <c r="J7" s="20" t="s">
        <v>116</v>
      </c>
      <c r="K7" s="20" t="s">
        <v>1157</v>
      </c>
      <c r="L7" s="5" t="s">
        <v>152</v>
      </c>
      <c r="M7" s="20" t="s">
        <v>31</v>
      </c>
      <c r="N7" s="22" t="s">
        <v>1192</v>
      </c>
      <c r="O7" s="22" t="s">
        <v>154</v>
      </c>
      <c r="P7" s="20" t="s">
        <v>1032</v>
      </c>
      <c r="Q7" s="157">
        <v>360000</v>
      </c>
      <c r="R7" s="174">
        <v>4.4409000000000001</v>
      </c>
      <c r="S7" s="175">
        <v>811.34</v>
      </c>
      <c r="T7" s="157">
        <v>12971.087</v>
      </c>
      <c r="U7" s="176">
        <v>0</v>
      </c>
      <c r="V7" s="176">
        <v>9.1597153766505499E-2</v>
      </c>
      <c r="W7" s="176">
        <v>5.0589450709882799E-3</v>
      </c>
    </row>
    <row r="8" spans="1:23">
      <c r="A8" s="20">
        <v>288</v>
      </c>
      <c r="B8" s="20">
        <v>288</v>
      </c>
      <c r="C8" s="20" t="s">
        <v>1315</v>
      </c>
      <c r="D8" s="20" t="s">
        <v>1316</v>
      </c>
      <c r="E8" s="20" t="s">
        <v>652</v>
      </c>
      <c r="F8" s="20" t="s">
        <v>1317</v>
      </c>
      <c r="G8" s="20" t="s">
        <v>1318</v>
      </c>
      <c r="H8" s="20" t="s">
        <v>150</v>
      </c>
      <c r="I8" s="20" t="s">
        <v>1305</v>
      </c>
      <c r="J8" s="20" t="s">
        <v>116</v>
      </c>
      <c r="K8" s="20" t="s">
        <v>117</v>
      </c>
      <c r="L8" s="5" t="s">
        <v>152</v>
      </c>
      <c r="M8" s="20" t="s">
        <v>31</v>
      </c>
      <c r="N8" s="22" t="s">
        <v>1180</v>
      </c>
      <c r="O8" s="22" t="s">
        <v>154</v>
      </c>
      <c r="P8" s="20" t="s">
        <v>34</v>
      </c>
      <c r="Q8" s="157">
        <v>3294.49</v>
      </c>
      <c r="R8" s="174">
        <v>3.306</v>
      </c>
      <c r="S8" s="175">
        <v>175888.209</v>
      </c>
      <c r="T8" s="157">
        <v>19157.011999999999</v>
      </c>
      <c r="U8" s="176">
        <v>0</v>
      </c>
      <c r="V8" s="176">
        <v>0.13527992882095699</v>
      </c>
      <c r="W8" s="176">
        <v>7.4715610799108E-3</v>
      </c>
    </row>
    <row r="9" spans="1:23">
      <c r="A9" s="20">
        <v>288</v>
      </c>
      <c r="B9" s="20">
        <v>288</v>
      </c>
      <c r="C9" s="20" t="s">
        <v>1319</v>
      </c>
      <c r="D9" s="20" t="s">
        <v>1320</v>
      </c>
      <c r="E9" s="20" t="s">
        <v>652</v>
      </c>
      <c r="F9" s="20" t="s">
        <v>1321</v>
      </c>
      <c r="G9" s="20" t="s">
        <v>1322</v>
      </c>
      <c r="H9" s="20" t="s">
        <v>150</v>
      </c>
      <c r="I9" s="20" t="s">
        <v>1305</v>
      </c>
      <c r="J9" s="20" t="s">
        <v>116</v>
      </c>
      <c r="K9" s="20" t="s">
        <v>117</v>
      </c>
      <c r="L9" s="5" t="s">
        <v>152</v>
      </c>
      <c r="M9" s="20" t="s">
        <v>31</v>
      </c>
      <c r="N9" s="22" t="s">
        <v>1180</v>
      </c>
      <c r="O9" s="22" t="s">
        <v>154</v>
      </c>
      <c r="P9" s="20" t="s">
        <v>34</v>
      </c>
      <c r="Q9" s="157">
        <v>50000</v>
      </c>
      <c r="R9" s="174">
        <v>3.306</v>
      </c>
      <c r="S9" s="175">
        <v>1847</v>
      </c>
      <c r="T9" s="157">
        <v>3053.0909999999999</v>
      </c>
      <c r="U9" s="176">
        <v>2.22E-4</v>
      </c>
      <c r="V9" s="176">
        <v>2.15598306670589E-2</v>
      </c>
      <c r="W9" s="176">
        <v>1.19075751373776E-3</v>
      </c>
    </row>
    <row r="10" spans="1:23">
      <c r="A10" s="20">
        <v>288</v>
      </c>
      <c r="B10" s="20">
        <v>288</v>
      </c>
      <c r="C10" s="20" t="s">
        <v>1202</v>
      </c>
      <c r="D10" s="20" t="s">
        <v>1203</v>
      </c>
      <c r="E10" s="20" t="s">
        <v>652</v>
      </c>
      <c r="F10" s="20" t="s">
        <v>1323</v>
      </c>
      <c r="G10" s="20" t="s">
        <v>1324</v>
      </c>
      <c r="H10" s="20" t="s">
        <v>150</v>
      </c>
      <c r="I10" s="20" t="s">
        <v>1305</v>
      </c>
      <c r="J10" s="20" t="s">
        <v>116</v>
      </c>
      <c r="K10" s="20" t="s">
        <v>267</v>
      </c>
      <c r="L10" s="5" t="s">
        <v>152</v>
      </c>
      <c r="M10" s="20" t="s">
        <v>31</v>
      </c>
      <c r="N10" s="22" t="s">
        <v>1180</v>
      </c>
      <c r="O10" s="22" t="s">
        <v>154</v>
      </c>
      <c r="P10" s="20" t="s">
        <v>34</v>
      </c>
      <c r="Q10" s="157">
        <v>22000</v>
      </c>
      <c r="R10" s="174">
        <v>3.306</v>
      </c>
      <c r="S10" s="175">
        <v>19478</v>
      </c>
      <c r="T10" s="157">
        <v>14166.739</v>
      </c>
      <c r="U10" s="176">
        <v>2.4139999999999999E-3</v>
      </c>
      <c r="V10" s="176">
        <v>0.100040415789122</v>
      </c>
      <c r="W10" s="176">
        <v>5.5252695913032097E-3</v>
      </c>
    </row>
    <row r="11" spans="1:23">
      <c r="A11" s="20">
        <v>288</v>
      </c>
      <c r="B11" s="20">
        <v>288</v>
      </c>
      <c r="C11" s="20" t="s">
        <v>1325</v>
      </c>
      <c r="D11" s="20" t="s">
        <v>1312</v>
      </c>
      <c r="E11" s="20" t="s">
        <v>652</v>
      </c>
      <c r="F11" s="20" t="s">
        <v>1326</v>
      </c>
      <c r="G11" s="20" t="s">
        <v>1327</v>
      </c>
      <c r="H11" s="20" t="s">
        <v>150</v>
      </c>
      <c r="I11" s="20" t="s">
        <v>739</v>
      </c>
      <c r="J11" s="20" t="s">
        <v>116</v>
      </c>
      <c r="K11" s="20" t="s">
        <v>1240</v>
      </c>
      <c r="L11" s="5" t="s">
        <v>152</v>
      </c>
      <c r="M11" s="20" t="s">
        <v>31</v>
      </c>
      <c r="N11" s="22" t="s">
        <v>1180</v>
      </c>
      <c r="O11" s="22" t="s">
        <v>154</v>
      </c>
      <c r="P11" s="20" t="s">
        <v>34</v>
      </c>
      <c r="Q11" s="157">
        <v>140000</v>
      </c>
      <c r="R11" s="174">
        <v>3.306</v>
      </c>
      <c r="S11" s="175">
        <v>3297.08</v>
      </c>
      <c r="T11" s="157">
        <v>15260.205</v>
      </c>
      <c r="U11" s="176">
        <v>6.3119999999999999E-3</v>
      </c>
      <c r="V11" s="176">
        <v>0.107762080231776</v>
      </c>
      <c r="W11" s="176">
        <v>5.9517400073116396E-3</v>
      </c>
    </row>
    <row r="12" spans="1:23">
      <c r="A12" s="20">
        <v>288</v>
      </c>
      <c r="B12" s="20">
        <v>288</v>
      </c>
      <c r="C12" s="20" t="s">
        <v>1196</v>
      </c>
      <c r="D12" s="20" t="s">
        <v>1197</v>
      </c>
      <c r="E12" s="20" t="s">
        <v>652</v>
      </c>
      <c r="F12" s="20" t="s">
        <v>1328</v>
      </c>
      <c r="G12" s="20" t="s">
        <v>1329</v>
      </c>
      <c r="H12" s="20" t="s">
        <v>150</v>
      </c>
      <c r="I12" s="20" t="s">
        <v>1305</v>
      </c>
      <c r="J12" s="20" t="s">
        <v>116</v>
      </c>
      <c r="K12" s="20" t="s">
        <v>117</v>
      </c>
      <c r="L12" s="5" t="s">
        <v>152</v>
      </c>
      <c r="M12" s="20" t="s">
        <v>31</v>
      </c>
      <c r="N12" s="22" t="s">
        <v>1180</v>
      </c>
      <c r="O12" s="22" t="s">
        <v>154</v>
      </c>
      <c r="P12" s="20" t="s">
        <v>34</v>
      </c>
      <c r="Q12" s="157">
        <v>2300</v>
      </c>
      <c r="R12" s="174">
        <v>3.306</v>
      </c>
      <c r="S12" s="175">
        <v>43065.06</v>
      </c>
      <c r="T12" s="157">
        <v>3274.5810000000001</v>
      </c>
      <c r="U12" s="176">
        <v>0</v>
      </c>
      <c r="V12" s="176">
        <v>2.3123913621153E-2</v>
      </c>
      <c r="W12" s="176">
        <v>1.2771424004494401E-3</v>
      </c>
    </row>
    <row r="13" spans="1:23">
      <c r="A13" s="20">
        <v>288</v>
      </c>
      <c r="B13" s="20">
        <v>288</v>
      </c>
      <c r="C13" s="20" t="s">
        <v>1330</v>
      </c>
      <c r="D13" s="20" t="s">
        <v>1331</v>
      </c>
      <c r="E13" s="20" t="s">
        <v>43</v>
      </c>
      <c r="F13" s="20" t="s">
        <v>1332</v>
      </c>
      <c r="G13" s="20" t="s">
        <v>1333</v>
      </c>
      <c r="H13" s="20" t="s">
        <v>150</v>
      </c>
      <c r="I13" s="20" t="s">
        <v>739</v>
      </c>
      <c r="J13" s="20" t="s">
        <v>116</v>
      </c>
      <c r="K13" s="20" t="s">
        <v>267</v>
      </c>
      <c r="L13" s="5" t="s">
        <v>31</v>
      </c>
      <c r="M13" s="20" t="s">
        <v>31</v>
      </c>
      <c r="N13" s="22" t="s">
        <v>1180</v>
      </c>
      <c r="O13" s="22" t="s">
        <v>154</v>
      </c>
      <c r="P13" s="20" t="s">
        <v>34</v>
      </c>
      <c r="Q13" s="157">
        <v>131.53</v>
      </c>
      <c r="R13" s="174">
        <v>3.306</v>
      </c>
      <c r="S13" s="175">
        <v>0</v>
      </c>
      <c r="T13" s="157">
        <v>0</v>
      </c>
      <c r="U13" s="176">
        <v>2.5609999999999999E-3</v>
      </c>
      <c r="V13" s="176">
        <v>3.1000000000000002E-27</v>
      </c>
      <c r="W13" s="176">
        <v>2.0000000000000002E-28</v>
      </c>
    </row>
    <row r="14" spans="1:23">
      <c r="A14" s="20">
        <v>288</v>
      </c>
      <c r="B14" s="20">
        <v>1451</v>
      </c>
      <c r="C14" s="20" t="s">
        <v>1315</v>
      </c>
      <c r="D14" s="20" t="s">
        <v>1316</v>
      </c>
      <c r="E14" s="20" t="s">
        <v>652</v>
      </c>
      <c r="F14" s="20" t="s">
        <v>1317</v>
      </c>
      <c r="G14" s="20" t="s">
        <v>1318</v>
      </c>
      <c r="H14" s="20" t="s">
        <v>150</v>
      </c>
      <c r="I14" s="20" t="s">
        <v>1305</v>
      </c>
      <c r="J14" s="20" t="s">
        <v>116</v>
      </c>
      <c r="K14" s="20" t="s">
        <v>117</v>
      </c>
      <c r="L14" s="5" t="s">
        <v>152</v>
      </c>
      <c r="M14" s="20" t="s">
        <v>31</v>
      </c>
      <c r="N14" s="22" t="s">
        <v>1180</v>
      </c>
      <c r="O14" s="22" t="s">
        <v>154</v>
      </c>
      <c r="P14" s="20" t="s">
        <v>34</v>
      </c>
      <c r="Q14" s="157">
        <v>133.82</v>
      </c>
      <c r="R14" s="174">
        <v>3.306</v>
      </c>
      <c r="S14" s="175">
        <v>175888.209</v>
      </c>
      <c r="T14" s="157">
        <v>778.14499999999998</v>
      </c>
      <c r="U14" s="176">
        <v>0</v>
      </c>
      <c r="V14" s="176">
        <v>0.26566043779173198</v>
      </c>
      <c r="W14" s="176">
        <v>1.5667997099785998E-2</v>
      </c>
    </row>
    <row r="15" spans="1:23">
      <c r="A15" s="20">
        <v>288</v>
      </c>
      <c r="B15" s="20">
        <v>1451</v>
      </c>
      <c r="C15" s="20" t="s">
        <v>1319</v>
      </c>
      <c r="D15" s="20" t="s">
        <v>1320</v>
      </c>
      <c r="E15" s="20" t="s">
        <v>652</v>
      </c>
      <c r="F15" s="20" t="s">
        <v>1321</v>
      </c>
      <c r="G15" s="20" t="s">
        <v>1322</v>
      </c>
      <c r="H15" s="20" t="s">
        <v>150</v>
      </c>
      <c r="I15" s="20" t="s">
        <v>1305</v>
      </c>
      <c r="J15" s="20" t="s">
        <v>116</v>
      </c>
      <c r="K15" s="20" t="s">
        <v>117</v>
      </c>
      <c r="L15" s="5" t="s">
        <v>152</v>
      </c>
      <c r="M15" s="20" t="s">
        <v>31</v>
      </c>
      <c r="N15" s="22" t="s">
        <v>1180</v>
      </c>
      <c r="O15" s="22" t="s">
        <v>154</v>
      </c>
      <c r="P15" s="20" t="s">
        <v>34</v>
      </c>
      <c r="Q15" s="157">
        <v>12500</v>
      </c>
      <c r="R15" s="174">
        <v>3.306</v>
      </c>
      <c r="S15" s="175">
        <v>1847</v>
      </c>
      <c r="T15" s="157">
        <v>763.27300000000002</v>
      </c>
      <c r="U15" s="176">
        <v>5.5000000000000002E-5</v>
      </c>
      <c r="V15" s="176">
        <v>0.26058297634326699</v>
      </c>
      <c r="W15" s="176">
        <v>1.5368540952268901E-2</v>
      </c>
    </row>
    <row r="16" spans="1:23">
      <c r="A16" s="20">
        <v>288</v>
      </c>
      <c r="B16" s="20">
        <v>1451</v>
      </c>
      <c r="C16" s="20" t="s">
        <v>1202</v>
      </c>
      <c r="D16" s="20" t="s">
        <v>1203</v>
      </c>
      <c r="E16" s="20" t="s">
        <v>652</v>
      </c>
      <c r="F16" s="20" t="s">
        <v>1323</v>
      </c>
      <c r="G16" s="20" t="s">
        <v>1324</v>
      </c>
      <c r="H16" s="20" t="s">
        <v>150</v>
      </c>
      <c r="I16" s="20" t="s">
        <v>1305</v>
      </c>
      <c r="J16" s="20" t="s">
        <v>116</v>
      </c>
      <c r="K16" s="20" t="s">
        <v>267</v>
      </c>
      <c r="L16" s="5" t="s">
        <v>152</v>
      </c>
      <c r="M16" s="20" t="s">
        <v>31</v>
      </c>
      <c r="N16" s="22" t="s">
        <v>1180</v>
      </c>
      <c r="O16" s="22" t="s">
        <v>154</v>
      </c>
      <c r="P16" s="20" t="s">
        <v>34</v>
      </c>
      <c r="Q16" s="157">
        <v>950</v>
      </c>
      <c r="R16" s="174">
        <v>3.306</v>
      </c>
      <c r="S16" s="175">
        <v>19478</v>
      </c>
      <c r="T16" s="157">
        <v>611.74599999999998</v>
      </c>
      <c r="U16" s="176">
        <v>1.0399999999999999E-4</v>
      </c>
      <c r="V16" s="176">
        <v>0.20885125945006799</v>
      </c>
      <c r="W16" s="176">
        <v>1.2317531938706199E-2</v>
      </c>
    </row>
    <row r="17" spans="1:23">
      <c r="A17" s="20">
        <v>288</v>
      </c>
      <c r="B17" s="20">
        <v>1451</v>
      </c>
      <c r="C17" s="20" t="s">
        <v>1196</v>
      </c>
      <c r="D17" s="20" t="s">
        <v>1197</v>
      </c>
      <c r="E17" s="20" t="s">
        <v>652</v>
      </c>
      <c r="F17" s="20" t="s">
        <v>1328</v>
      </c>
      <c r="G17" s="20" t="s">
        <v>1329</v>
      </c>
      <c r="H17" s="20" t="s">
        <v>150</v>
      </c>
      <c r="I17" s="20" t="s">
        <v>1305</v>
      </c>
      <c r="J17" s="20" t="s">
        <v>116</v>
      </c>
      <c r="K17" s="20" t="s">
        <v>117</v>
      </c>
      <c r="L17" s="5" t="s">
        <v>152</v>
      </c>
      <c r="M17" s="20" t="s">
        <v>31</v>
      </c>
      <c r="N17" s="22" t="s">
        <v>1180</v>
      </c>
      <c r="O17" s="22" t="s">
        <v>154</v>
      </c>
      <c r="P17" s="20" t="s">
        <v>34</v>
      </c>
      <c r="Q17" s="157">
        <v>545</v>
      </c>
      <c r="R17" s="174">
        <v>3.306</v>
      </c>
      <c r="S17" s="175">
        <v>43065.06</v>
      </c>
      <c r="T17" s="157">
        <v>775.93299999999999</v>
      </c>
      <c r="U17" s="176">
        <v>0</v>
      </c>
      <c r="V17" s="176">
        <v>0.26490532641493297</v>
      </c>
      <c r="W17" s="176">
        <v>1.5623462494031201E-2</v>
      </c>
    </row>
    <row r="18" spans="1:23">
      <c r="A18" s="20">
        <v>288</v>
      </c>
      <c r="B18" s="20">
        <v>1452</v>
      </c>
      <c r="C18" s="20" t="s">
        <v>1067</v>
      </c>
      <c r="D18" s="20" t="s">
        <v>1068</v>
      </c>
      <c r="E18" s="20" t="s">
        <v>147</v>
      </c>
      <c r="F18" s="20" t="s">
        <v>1334</v>
      </c>
      <c r="G18" s="20" t="s">
        <v>1335</v>
      </c>
      <c r="H18" s="20" t="s">
        <v>150</v>
      </c>
      <c r="I18" s="20" t="s">
        <v>739</v>
      </c>
      <c r="J18" s="20" t="s">
        <v>30</v>
      </c>
      <c r="K18" s="20" t="s">
        <v>30</v>
      </c>
      <c r="L18" s="5" t="s">
        <v>152</v>
      </c>
      <c r="M18" s="20" t="s">
        <v>41</v>
      </c>
      <c r="N18" s="22" t="s">
        <v>1072</v>
      </c>
      <c r="O18" s="22" t="s">
        <v>154</v>
      </c>
      <c r="P18" s="20" t="s">
        <v>44</v>
      </c>
      <c r="Q18" s="157">
        <v>79000</v>
      </c>
      <c r="R18" s="174">
        <v>1</v>
      </c>
      <c r="S18" s="175">
        <v>359.32</v>
      </c>
      <c r="T18" s="157">
        <v>283.863</v>
      </c>
      <c r="U18" s="176">
        <v>1.6799999999999999E-4</v>
      </c>
      <c r="V18" s="176">
        <v>0.32993661021237303</v>
      </c>
      <c r="W18" s="176">
        <v>3.2177354901031601E-3</v>
      </c>
    </row>
    <row r="19" spans="1:23">
      <c r="A19" s="20">
        <v>288</v>
      </c>
      <c r="B19" s="20">
        <v>1452</v>
      </c>
      <c r="C19" s="20" t="s">
        <v>1311</v>
      </c>
      <c r="D19" s="20" t="s">
        <v>1312</v>
      </c>
      <c r="E19" s="20" t="s">
        <v>652</v>
      </c>
      <c r="F19" s="20" t="s">
        <v>1313</v>
      </c>
      <c r="G19" s="20" t="s">
        <v>1314</v>
      </c>
      <c r="H19" s="20" t="s">
        <v>150</v>
      </c>
      <c r="I19" s="20" t="s">
        <v>739</v>
      </c>
      <c r="J19" s="20" t="s">
        <v>116</v>
      </c>
      <c r="K19" s="20" t="s">
        <v>1157</v>
      </c>
      <c r="L19" s="5" t="s">
        <v>152</v>
      </c>
      <c r="M19" s="20" t="s">
        <v>31</v>
      </c>
      <c r="N19" s="22" t="s">
        <v>1192</v>
      </c>
      <c r="O19" s="22" t="s">
        <v>154</v>
      </c>
      <c r="P19" s="20" t="s">
        <v>1032</v>
      </c>
      <c r="Q19" s="157">
        <v>16000</v>
      </c>
      <c r="R19" s="174">
        <v>4.4409000000000001</v>
      </c>
      <c r="S19" s="175">
        <v>811.34</v>
      </c>
      <c r="T19" s="157">
        <v>576.49300000000005</v>
      </c>
      <c r="U19" s="176">
        <v>0</v>
      </c>
      <c r="V19" s="176">
        <v>0.67006338978762703</v>
      </c>
      <c r="W19" s="176">
        <v>6.5348514932933597E-3</v>
      </c>
    </row>
    <row r="20" spans="1:23">
      <c r="A20" s="5">
        <v>288</v>
      </c>
      <c r="B20" s="5">
        <v>15046</v>
      </c>
      <c r="C20" s="5" t="s">
        <v>1080</v>
      </c>
      <c r="D20" s="5" t="s">
        <v>1081</v>
      </c>
      <c r="E20" s="20" t="s">
        <v>147</v>
      </c>
      <c r="F20" s="5" t="s">
        <v>1336</v>
      </c>
      <c r="G20" s="5" t="s">
        <v>1337</v>
      </c>
      <c r="H20" s="20" t="s">
        <v>150</v>
      </c>
      <c r="I20" s="20" t="s">
        <v>739</v>
      </c>
      <c r="J20" s="20" t="s">
        <v>30</v>
      </c>
      <c r="K20" s="20" t="s">
        <v>117</v>
      </c>
      <c r="L20" s="5" t="s">
        <v>152</v>
      </c>
      <c r="M20" s="20" t="s">
        <v>41</v>
      </c>
      <c r="N20" s="22" t="s">
        <v>1084</v>
      </c>
      <c r="O20" s="22" t="s">
        <v>154</v>
      </c>
      <c r="P20" s="5" t="s">
        <v>44</v>
      </c>
      <c r="Q20" s="155">
        <v>3092000</v>
      </c>
      <c r="R20" s="167">
        <v>1</v>
      </c>
      <c r="S20" s="169">
        <v>242.09</v>
      </c>
      <c r="T20" s="155">
        <v>7485.4229999999998</v>
      </c>
      <c r="U20" s="166">
        <v>0.13374900000000001</v>
      </c>
      <c r="V20" s="166">
        <v>0.25177218483786101</v>
      </c>
      <c r="W20" s="166">
        <v>0.12648148360477801</v>
      </c>
    </row>
    <row r="21" spans="1:23">
      <c r="A21" s="5">
        <v>288</v>
      </c>
      <c r="B21" s="5">
        <v>15046</v>
      </c>
      <c r="C21" s="5" t="s">
        <v>1102</v>
      </c>
      <c r="D21" s="5" t="s">
        <v>1103</v>
      </c>
      <c r="E21" s="5" t="s">
        <v>147</v>
      </c>
      <c r="F21" s="5" t="s">
        <v>1338</v>
      </c>
      <c r="G21" s="5" t="s">
        <v>1339</v>
      </c>
      <c r="H21" s="5" t="s">
        <v>150</v>
      </c>
      <c r="I21" s="5" t="s">
        <v>739</v>
      </c>
      <c r="J21" s="5" t="s">
        <v>30</v>
      </c>
      <c r="K21" s="5" t="s">
        <v>117</v>
      </c>
      <c r="L21" s="5" t="s">
        <v>152</v>
      </c>
      <c r="M21" s="3" t="s">
        <v>31</v>
      </c>
      <c r="N21" s="5" t="s">
        <v>1084</v>
      </c>
      <c r="O21" s="5" t="s">
        <v>154</v>
      </c>
      <c r="P21" s="5" t="s">
        <v>44</v>
      </c>
      <c r="Q21" s="155">
        <v>947719</v>
      </c>
      <c r="R21" s="167">
        <v>1</v>
      </c>
      <c r="S21" s="169">
        <v>782.88</v>
      </c>
      <c r="T21" s="155">
        <v>7419.5029999999997</v>
      </c>
      <c r="U21" s="166">
        <v>0</v>
      </c>
      <c r="V21" s="166">
        <v>0.249554955886758</v>
      </c>
      <c r="W21" s="166">
        <v>0.125367625823357</v>
      </c>
    </row>
    <row r="22" spans="1:23">
      <c r="A22" s="5">
        <v>288</v>
      </c>
      <c r="B22" s="5">
        <v>15046</v>
      </c>
      <c r="C22" s="5" t="s">
        <v>1067</v>
      </c>
      <c r="D22" s="5" t="s">
        <v>1068</v>
      </c>
      <c r="E22" s="5" t="s">
        <v>147</v>
      </c>
      <c r="F22" s="5" t="s">
        <v>1340</v>
      </c>
      <c r="G22" s="5" t="s">
        <v>1341</v>
      </c>
      <c r="H22" s="5" t="s">
        <v>150</v>
      </c>
      <c r="I22" s="5" t="s">
        <v>739</v>
      </c>
      <c r="J22" s="5" t="s">
        <v>30</v>
      </c>
      <c r="K22" s="5" t="s">
        <v>117</v>
      </c>
      <c r="L22" s="5" t="s">
        <v>152</v>
      </c>
      <c r="M22" s="3" t="s">
        <v>41</v>
      </c>
      <c r="N22" s="5" t="s">
        <v>1084</v>
      </c>
      <c r="O22" s="5" t="s">
        <v>154</v>
      </c>
      <c r="P22" s="5" t="s">
        <v>44</v>
      </c>
      <c r="Q22" s="155">
        <v>2375341</v>
      </c>
      <c r="R22" s="167">
        <v>1</v>
      </c>
      <c r="S22" s="169">
        <v>314.76</v>
      </c>
      <c r="T22" s="155">
        <v>7476.6229999999996</v>
      </c>
      <c r="U22" s="166">
        <v>0</v>
      </c>
      <c r="V22" s="166">
        <v>0.25147621473120502</v>
      </c>
      <c r="W22" s="166">
        <v>0.126332798640962</v>
      </c>
    </row>
    <row r="23" spans="1:23">
      <c r="A23" s="5">
        <v>288</v>
      </c>
      <c r="B23" s="5">
        <v>15046</v>
      </c>
      <c r="C23" s="5" t="s">
        <v>1129</v>
      </c>
      <c r="D23" s="5" t="s">
        <v>1130</v>
      </c>
      <c r="E23" s="5" t="s">
        <v>147</v>
      </c>
      <c r="F23" s="5" t="s">
        <v>1342</v>
      </c>
      <c r="G23" s="5" t="s">
        <v>1343</v>
      </c>
      <c r="H23" s="5" t="s">
        <v>150</v>
      </c>
      <c r="I23" s="5" t="s">
        <v>739</v>
      </c>
      <c r="J23" s="5" t="s">
        <v>30</v>
      </c>
      <c r="K23" s="5" t="s">
        <v>117</v>
      </c>
      <c r="L23" s="5" t="s">
        <v>152</v>
      </c>
      <c r="M23" s="3" t="s">
        <v>41</v>
      </c>
      <c r="N23" s="5" t="s">
        <v>1084</v>
      </c>
      <c r="O23" s="5" t="s">
        <v>154</v>
      </c>
      <c r="P23" s="5" t="s">
        <v>44</v>
      </c>
      <c r="Q23" s="155">
        <v>2974738</v>
      </c>
      <c r="R23" s="167">
        <v>1</v>
      </c>
      <c r="S23" s="169">
        <v>247.06</v>
      </c>
      <c r="T23" s="155">
        <v>7349.3879999999999</v>
      </c>
      <c r="U23" s="166">
        <v>4.1840000000000002E-3</v>
      </c>
      <c r="V23" s="166">
        <v>0.247196644544175</v>
      </c>
      <c r="W23" s="166">
        <v>0.12418289321437601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6</v>
      </c>
      <c r="J1" s="21" t="s">
        <v>7</v>
      </c>
      <c r="K1" s="21" t="s">
        <v>144</v>
      </c>
      <c r="L1" s="21" t="s">
        <v>8</v>
      </c>
      <c r="M1" s="21" t="s">
        <v>1344</v>
      </c>
      <c r="N1" s="21" t="s">
        <v>137</v>
      </c>
      <c r="O1" s="177" t="s">
        <v>1345</v>
      </c>
      <c r="P1" s="21" t="s">
        <v>138</v>
      </c>
      <c r="Q1" s="21" t="s">
        <v>11</v>
      </c>
      <c r="R1" s="168" t="s">
        <v>1346</v>
      </c>
      <c r="S1" s="21" t="s">
        <v>1347</v>
      </c>
      <c r="T1" s="21" t="s">
        <v>17</v>
      </c>
      <c r="U1" s="162" t="s">
        <v>18</v>
      </c>
      <c r="V1" s="168" t="s">
        <v>19</v>
      </c>
      <c r="W1" s="21" t="s">
        <v>20</v>
      </c>
      <c r="X1" s="164" t="s">
        <v>24</v>
      </c>
      <c r="Y1" s="164" t="s">
        <v>25</v>
      </c>
    </row>
    <row r="2" spans="1:25">
      <c r="A2" s="29">
        <v>288</v>
      </c>
      <c r="B2" s="22">
        <v>288</v>
      </c>
      <c r="C2" s="22" t="s">
        <v>242</v>
      </c>
      <c r="D2" s="22" t="s">
        <v>243</v>
      </c>
      <c r="E2" s="20" t="s">
        <v>147</v>
      </c>
      <c r="F2" s="22" t="s">
        <v>1348</v>
      </c>
      <c r="G2" s="22" t="s">
        <v>1349</v>
      </c>
      <c r="H2" s="20" t="s">
        <v>150</v>
      </c>
      <c r="I2" s="20" t="s">
        <v>30</v>
      </c>
      <c r="J2" s="20" t="s">
        <v>30</v>
      </c>
      <c r="K2" s="22" t="s">
        <v>152</v>
      </c>
      <c r="L2" s="20" t="s">
        <v>41</v>
      </c>
      <c r="M2" s="23" t="s">
        <v>836</v>
      </c>
      <c r="N2" s="22" t="s">
        <v>184</v>
      </c>
      <c r="O2" s="178" t="s">
        <v>1350</v>
      </c>
      <c r="P2" s="22" t="s">
        <v>154</v>
      </c>
      <c r="Q2" s="20" t="s">
        <v>44</v>
      </c>
      <c r="R2" s="175">
        <v>58000</v>
      </c>
      <c r="S2" s="157">
        <v>1</v>
      </c>
      <c r="T2" s="156">
        <v>3897</v>
      </c>
      <c r="U2" s="171">
        <v>1</v>
      </c>
      <c r="V2" s="172">
        <v>12600</v>
      </c>
      <c r="W2" s="156">
        <v>491.02199999999999</v>
      </c>
      <c r="X2" s="170">
        <v>1</v>
      </c>
      <c r="Y2" s="170">
        <v>1.9150694686484701E-4</v>
      </c>
    </row>
    <row r="3" spans="1:25">
      <c r="A3" s="22"/>
      <c r="B3" s="22"/>
      <c r="C3" s="22"/>
      <c r="D3" s="22"/>
      <c r="E3" s="20"/>
      <c r="F3" s="22"/>
      <c r="G3" s="22"/>
      <c r="H3" s="20"/>
      <c r="I3" s="20"/>
      <c r="J3" s="20"/>
      <c r="K3" s="22"/>
      <c r="L3" s="20"/>
      <c r="M3" s="22"/>
      <c r="N3" s="22"/>
      <c r="O3" s="22"/>
      <c r="P3" s="22"/>
      <c r="Q3" s="20"/>
      <c r="R3" s="20"/>
      <c r="S3" s="20"/>
      <c r="T3" s="22"/>
      <c r="U3" s="22"/>
      <c r="V3" s="22"/>
      <c r="W3" s="22"/>
      <c r="X3" s="22"/>
      <c r="Y3" s="22"/>
    </row>
    <row r="4" spans="1:25">
      <c r="A4" s="22"/>
      <c r="B4" s="22"/>
      <c r="C4" s="22"/>
      <c r="D4" s="22"/>
      <c r="E4" s="20"/>
      <c r="F4" s="22"/>
      <c r="G4" s="22"/>
      <c r="H4" s="20"/>
      <c r="I4" s="20"/>
      <c r="J4" s="20"/>
      <c r="K4" s="22"/>
      <c r="L4" s="20"/>
      <c r="M4" s="22"/>
      <c r="N4" s="22"/>
      <c r="O4" s="22"/>
      <c r="P4" s="22"/>
      <c r="Q4" s="20"/>
      <c r="R4" s="20"/>
      <c r="S4" s="20"/>
      <c r="T4" s="22"/>
      <c r="U4" s="22"/>
      <c r="V4" s="22"/>
      <c r="W4" s="22"/>
      <c r="X4" s="22"/>
      <c r="Y4" s="22"/>
    </row>
    <row r="5" spans="1:25">
      <c r="A5" s="22"/>
      <c r="B5" s="22"/>
      <c r="C5" s="22"/>
      <c r="D5" s="22"/>
      <c r="E5" s="20"/>
      <c r="F5" s="22"/>
      <c r="G5" s="22"/>
      <c r="H5" s="20"/>
      <c r="I5" s="20"/>
      <c r="J5" s="20"/>
      <c r="K5" s="22"/>
      <c r="L5" s="20"/>
      <c r="M5" s="22"/>
      <c r="N5" s="22"/>
      <c r="O5" s="22"/>
      <c r="P5" s="22"/>
      <c r="Q5" s="20"/>
      <c r="R5" s="20"/>
      <c r="S5" s="20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0"/>
      <c r="F6" s="22"/>
      <c r="G6" s="22"/>
      <c r="H6" s="20"/>
      <c r="I6" s="20"/>
      <c r="J6" s="20"/>
      <c r="K6" s="22"/>
      <c r="L6" s="20"/>
      <c r="M6" s="22"/>
      <c r="N6" s="22"/>
      <c r="O6" s="22"/>
      <c r="P6" s="22"/>
      <c r="Q6" s="20"/>
      <c r="R6" s="20"/>
      <c r="S6" s="20"/>
      <c r="T6" s="22"/>
      <c r="U6" s="22"/>
      <c r="V6" s="22"/>
      <c r="W6" s="22"/>
      <c r="X6" s="22"/>
      <c r="Y6" s="22"/>
    </row>
    <row r="7" spans="1:25">
      <c r="A7" s="22"/>
      <c r="B7" s="22"/>
      <c r="C7" s="22"/>
      <c r="D7" s="22"/>
      <c r="E7" s="20"/>
      <c r="F7" s="22"/>
      <c r="G7" s="22"/>
      <c r="H7" s="20"/>
      <c r="I7" s="20"/>
      <c r="J7" s="20"/>
      <c r="K7" s="22"/>
      <c r="L7" s="20"/>
      <c r="M7" s="22"/>
      <c r="N7" s="22"/>
      <c r="O7" s="22"/>
      <c r="P7" s="22"/>
      <c r="Q7" s="20"/>
      <c r="R7" s="20"/>
      <c r="S7" s="20"/>
      <c r="T7" s="22"/>
      <c r="U7" s="22"/>
      <c r="V7" s="22"/>
      <c r="W7" s="22"/>
      <c r="X7" s="22"/>
      <c r="Y7" s="22"/>
    </row>
    <row r="8" spans="1:25">
      <c r="A8" s="22"/>
      <c r="B8" s="22"/>
      <c r="C8" s="22"/>
      <c r="D8" s="22"/>
      <c r="E8" s="20"/>
      <c r="F8" s="22"/>
      <c r="G8" s="22"/>
      <c r="H8" s="20"/>
      <c r="I8" s="20"/>
      <c r="J8" s="20"/>
      <c r="K8" s="22"/>
      <c r="L8" s="20"/>
      <c r="M8" s="22"/>
      <c r="N8" s="22"/>
      <c r="O8" s="22"/>
      <c r="P8" s="22"/>
      <c r="Q8" s="20"/>
      <c r="R8" s="20"/>
      <c r="S8" s="20"/>
      <c r="T8" s="22"/>
      <c r="U8" s="22"/>
      <c r="V8" s="22"/>
      <c r="W8" s="22"/>
      <c r="X8" s="22"/>
      <c r="Y8" s="22"/>
    </row>
    <row r="9" spans="1:25">
      <c r="A9" s="22"/>
      <c r="B9" s="22"/>
      <c r="C9" s="22"/>
      <c r="D9" s="22"/>
      <c r="E9" s="20"/>
      <c r="F9" s="22"/>
      <c r="G9" s="22"/>
      <c r="H9" s="20"/>
      <c r="I9" s="20"/>
      <c r="J9" s="20"/>
      <c r="K9" s="22"/>
      <c r="L9" s="20"/>
      <c r="M9" s="22"/>
      <c r="N9" s="22"/>
      <c r="O9" s="22"/>
      <c r="P9" s="22"/>
      <c r="Q9" s="20"/>
      <c r="R9" s="20"/>
      <c r="S9" s="20"/>
      <c r="T9" s="22"/>
      <c r="U9" s="22"/>
      <c r="V9" s="22"/>
      <c r="W9" s="22"/>
      <c r="X9" s="22"/>
      <c r="Y9" s="22"/>
    </row>
    <row r="10" spans="1:25">
      <c r="A10" s="22"/>
      <c r="B10" s="22"/>
      <c r="C10" s="22"/>
      <c r="D10" s="22"/>
      <c r="E10" s="20"/>
      <c r="F10" s="22"/>
      <c r="G10" s="22"/>
      <c r="H10" s="20"/>
      <c r="I10" s="20"/>
      <c r="J10" s="20"/>
      <c r="K10" s="22"/>
      <c r="L10" s="20"/>
      <c r="M10" s="22"/>
      <c r="N10" s="22"/>
      <c r="O10" s="22"/>
      <c r="P10" s="22"/>
      <c r="Q10" s="20"/>
      <c r="R10" s="20"/>
      <c r="S10" s="20"/>
      <c r="T10" s="22"/>
      <c r="U10" s="22"/>
      <c r="V10" s="22"/>
      <c r="W10" s="22"/>
      <c r="X10" s="22"/>
      <c r="Y10" s="22"/>
    </row>
    <row r="11" spans="1:25">
      <c r="A11" s="29"/>
      <c r="B11" s="22"/>
      <c r="C11" s="22"/>
      <c r="D11" s="22"/>
      <c r="E11" s="20"/>
      <c r="F11" s="22"/>
      <c r="G11" s="22"/>
      <c r="H11" s="20"/>
      <c r="I11" s="20"/>
      <c r="J11" s="20"/>
      <c r="K11" s="22"/>
      <c r="L11" s="20"/>
      <c r="M11" s="22"/>
      <c r="N11" s="22"/>
      <c r="O11" s="22"/>
      <c r="P11" s="22"/>
      <c r="Q11" s="20"/>
      <c r="R11" s="20"/>
      <c r="S11" s="20"/>
      <c r="T11" s="22"/>
      <c r="U11" s="22"/>
      <c r="V11" s="22"/>
      <c r="W11" s="22"/>
      <c r="X11" s="22"/>
      <c r="Y11" s="22"/>
    </row>
    <row r="12" spans="1:25">
      <c r="A12" s="22"/>
      <c r="B12" s="22"/>
      <c r="C12" s="22"/>
      <c r="D12" s="22"/>
      <c r="E12" s="20"/>
      <c r="F12" s="22"/>
      <c r="G12" s="22"/>
      <c r="H12" s="20"/>
      <c r="I12" s="20"/>
      <c r="J12" s="20"/>
      <c r="K12" s="22"/>
      <c r="L12" s="20"/>
      <c r="M12" s="22"/>
      <c r="N12" s="22"/>
      <c r="O12" s="22"/>
      <c r="P12" s="22"/>
      <c r="Q12" s="20"/>
      <c r="R12" s="20"/>
      <c r="S12" s="20"/>
      <c r="T12" s="22"/>
      <c r="U12" s="22"/>
      <c r="V12" s="22"/>
      <c r="W12" s="22"/>
      <c r="X12" s="22"/>
      <c r="Y12" s="22"/>
    </row>
    <row r="13" spans="1:25">
      <c r="A13" s="22"/>
      <c r="B13" s="22"/>
      <c r="C13" s="22"/>
      <c r="D13" s="22"/>
      <c r="E13" s="20"/>
      <c r="F13" s="22"/>
      <c r="G13" s="22"/>
      <c r="H13" s="20"/>
      <c r="I13" s="20"/>
      <c r="J13" s="20"/>
      <c r="K13" s="22"/>
      <c r="L13" s="20"/>
      <c r="M13" s="22"/>
      <c r="N13" s="22"/>
      <c r="O13" s="22"/>
      <c r="P13" s="22"/>
      <c r="Q13" s="20"/>
      <c r="R13" s="20"/>
      <c r="S13" s="20"/>
      <c r="T13" s="22"/>
      <c r="U13" s="22"/>
      <c r="V13" s="22"/>
      <c r="W13" s="22"/>
      <c r="X13" s="22"/>
      <c r="Y13" s="22"/>
    </row>
    <row r="14" spans="1:25">
      <c r="A14" s="22"/>
      <c r="B14" s="22"/>
      <c r="C14" s="22"/>
      <c r="D14" s="22"/>
      <c r="E14" s="20"/>
      <c r="F14" s="22"/>
      <c r="G14" s="22"/>
      <c r="H14" s="20"/>
      <c r="I14" s="20"/>
      <c r="J14" s="20"/>
      <c r="K14" s="22"/>
      <c r="L14" s="20"/>
      <c r="M14" s="22"/>
      <c r="N14" s="22"/>
      <c r="O14" s="22"/>
      <c r="P14" s="22"/>
      <c r="Q14" s="20"/>
      <c r="R14" s="20"/>
      <c r="S14" s="20"/>
      <c r="T14" s="22"/>
      <c r="U14" s="22"/>
      <c r="V14" s="22"/>
      <c r="W14" s="22"/>
      <c r="X14" s="22"/>
      <c r="Y14" s="22"/>
    </row>
    <row r="15" spans="1:25">
      <c r="A15" s="22"/>
      <c r="B15" s="22"/>
      <c r="C15" s="22"/>
      <c r="D15" s="22"/>
      <c r="E15" s="20"/>
      <c r="F15" s="22"/>
      <c r="G15" s="22"/>
      <c r="H15" s="20"/>
      <c r="I15" s="20"/>
      <c r="J15" s="20"/>
      <c r="K15" s="22"/>
      <c r="L15" s="20"/>
      <c r="M15" s="22"/>
      <c r="N15" s="22"/>
      <c r="O15" s="22"/>
      <c r="P15" s="22"/>
      <c r="Q15" s="20"/>
      <c r="R15" s="20"/>
      <c r="S15" s="20"/>
      <c r="T15" s="22"/>
      <c r="U15" s="22"/>
      <c r="V15" s="22"/>
      <c r="W15" s="22"/>
      <c r="X15" s="22"/>
      <c r="Y15" s="22"/>
    </row>
    <row r="16" spans="1:25">
      <c r="A16" s="22"/>
      <c r="B16" s="22"/>
      <c r="C16" s="22"/>
      <c r="D16" s="22"/>
      <c r="E16" s="20"/>
      <c r="F16" s="22"/>
      <c r="G16" s="22"/>
      <c r="H16" s="20"/>
      <c r="I16" s="20"/>
      <c r="J16" s="20"/>
      <c r="K16" s="22"/>
      <c r="L16" s="20"/>
      <c r="M16" s="22"/>
      <c r="N16" s="22"/>
      <c r="O16" s="22"/>
      <c r="P16" s="22"/>
      <c r="Q16" s="20"/>
      <c r="R16" s="20"/>
      <c r="S16" s="20"/>
      <c r="T16" s="22"/>
      <c r="U16" s="22"/>
      <c r="V16" s="22"/>
      <c r="W16" s="22"/>
      <c r="X16" s="22"/>
      <c r="Y16" s="22"/>
    </row>
    <row r="17" spans="1:25">
      <c r="A17" s="22"/>
      <c r="B17" s="22"/>
      <c r="C17" s="22"/>
      <c r="D17" s="22"/>
      <c r="E17" s="20"/>
      <c r="F17" s="22"/>
      <c r="G17" s="22"/>
      <c r="H17" s="20"/>
      <c r="I17" s="20"/>
      <c r="J17" s="20"/>
      <c r="K17" s="22"/>
      <c r="L17" s="20"/>
      <c r="M17" s="22"/>
      <c r="N17" s="22"/>
      <c r="O17" s="22"/>
      <c r="P17" s="22"/>
      <c r="Q17" s="20"/>
      <c r="R17" s="20"/>
      <c r="S17" s="20"/>
      <c r="T17" s="22"/>
      <c r="U17" s="22"/>
      <c r="V17" s="22"/>
      <c r="W17" s="22"/>
      <c r="X17" s="22"/>
      <c r="Y17" s="22"/>
    </row>
    <row r="18" spans="1:25">
      <c r="A18" s="22"/>
      <c r="B18" s="22"/>
      <c r="C18" s="22"/>
      <c r="D18" s="22"/>
      <c r="E18" s="20"/>
      <c r="F18" s="22"/>
      <c r="G18" s="22"/>
      <c r="H18" s="20"/>
      <c r="I18" s="20"/>
      <c r="J18" s="20"/>
      <c r="K18" s="22"/>
      <c r="L18" s="20"/>
      <c r="M18" s="22"/>
      <c r="N18" s="22"/>
      <c r="O18" s="22"/>
      <c r="P18" s="22"/>
      <c r="Q18" s="20"/>
      <c r="R18" s="20"/>
      <c r="S18" s="20"/>
      <c r="T18" s="22"/>
      <c r="U18" s="22"/>
      <c r="V18" s="22"/>
      <c r="W18" s="22"/>
      <c r="X18" s="22"/>
      <c r="Y18" s="22"/>
    </row>
    <row r="19" spans="1:25">
      <c r="A19" s="22"/>
      <c r="B19" s="22"/>
      <c r="C19" s="22"/>
      <c r="D19" s="22"/>
      <c r="E19" s="20"/>
      <c r="F19" s="22"/>
      <c r="G19" s="22"/>
      <c r="H19" s="20"/>
      <c r="I19" s="20"/>
      <c r="J19" s="20"/>
      <c r="K19" s="22"/>
      <c r="L19" s="20"/>
      <c r="M19" s="22"/>
      <c r="N19" s="22"/>
      <c r="O19" s="22"/>
      <c r="P19" s="22"/>
      <c r="Q19" s="20"/>
      <c r="R19" s="20"/>
      <c r="S19" s="20"/>
      <c r="T19" s="22"/>
      <c r="U19" s="22"/>
      <c r="V19" s="22"/>
      <c r="W19" s="22"/>
      <c r="X19" s="22"/>
      <c r="Y19" s="22"/>
    </row>
    <row r="20" spans="1:25">
      <c r="E20" s="20"/>
      <c r="H20" s="20"/>
      <c r="I20" s="20"/>
      <c r="J20" s="20"/>
      <c r="K20" s="22"/>
      <c r="L20" s="20"/>
      <c r="N20" s="22"/>
      <c r="P20" s="22"/>
    </row>
    <row r="21" spans="1:25">
      <c r="H21" s="44"/>
      <c r="L21" s="44"/>
    </row>
    <row r="22" spans="1:25">
      <c r="L22" s="5"/>
    </row>
    <row r="23" spans="1:25">
      <c r="H23" s="41"/>
    </row>
    <row r="24" spans="1:25">
      <c r="H24" s="41"/>
    </row>
    <row r="25" spans="1:25">
      <c r="H25" s="41"/>
    </row>
    <row r="26" spans="1:25">
      <c r="H26" s="41"/>
    </row>
    <row r="27" spans="1:25">
      <c r="H27" s="41"/>
    </row>
    <row r="28" spans="1:25">
      <c r="H28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8</v>
      </c>
      <c r="M1" s="21" t="s">
        <v>137</v>
      </c>
      <c r="N1" s="21" t="s">
        <v>1351</v>
      </c>
      <c r="O1" s="21" t="s">
        <v>1345</v>
      </c>
      <c r="P1" s="21" t="s">
        <v>138</v>
      </c>
      <c r="Q1" s="21" t="s">
        <v>11</v>
      </c>
      <c r="R1" s="21" t="s">
        <v>1346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0"/>
      <c r="F2" s="22"/>
      <c r="G2" s="22"/>
      <c r="H2" s="20"/>
      <c r="I2" s="22"/>
      <c r="J2" s="20"/>
      <c r="K2" s="20"/>
      <c r="L2" s="20"/>
      <c r="M2" s="22"/>
      <c r="N2" s="22"/>
      <c r="O2" s="22"/>
      <c r="P2" s="22"/>
      <c r="Q2" s="20"/>
      <c r="R2" s="20"/>
      <c r="S2" s="22"/>
      <c r="T2" s="22"/>
      <c r="U2" s="22"/>
      <c r="V2" s="22"/>
      <c r="W2" s="22"/>
      <c r="X2" s="22"/>
    </row>
    <row r="3" spans="1:24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0"/>
      <c r="M3" s="22"/>
      <c r="N3" s="22"/>
      <c r="O3" s="22"/>
      <c r="P3" s="22"/>
      <c r="Q3" s="20"/>
      <c r="R3" s="20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0"/>
      <c r="M4" s="22"/>
      <c r="N4" s="22"/>
      <c r="O4" s="22"/>
      <c r="P4" s="22"/>
      <c r="Q4" s="20"/>
      <c r="R4" s="20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0"/>
      <c r="M5" s="22"/>
      <c r="N5" s="22"/>
      <c r="O5" s="22"/>
      <c r="P5" s="22"/>
      <c r="Q5" s="20"/>
      <c r="R5" s="20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0"/>
      <c r="M6" s="22"/>
      <c r="N6" s="22"/>
      <c r="O6" s="22"/>
      <c r="P6" s="22"/>
      <c r="Q6" s="20"/>
      <c r="R6" s="20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0"/>
      <c r="M7" s="22"/>
      <c r="N7" s="22"/>
      <c r="O7" s="22"/>
      <c r="P7" s="22"/>
      <c r="Q7" s="20"/>
      <c r="R7" s="20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0"/>
      <c r="M8" s="22"/>
      <c r="N8" s="22"/>
      <c r="O8" s="22"/>
      <c r="P8" s="22"/>
      <c r="Q8" s="20"/>
      <c r="R8" s="20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0"/>
      <c r="M9" s="22"/>
      <c r="N9" s="22"/>
      <c r="O9" s="22"/>
      <c r="P9" s="22"/>
      <c r="Q9" s="20"/>
      <c r="R9" s="20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0"/>
      <c r="M10" s="22"/>
      <c r="N10" s="22"/>
      <c r="O10" s="22"/>
      <c r="P10" s="22"/>
      <c r="Q10" s="20"/>
      <c r="R10" s="20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0"/>
      <c r="M11" s="22"/>
      <c r="N11" s="22"/>
      <c r="O11" s="22"/>
      <c r="P11" s="22"/>
      <c r="Q11" s="20"/>
      <c r="R11" s="20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0"/>
      <c r="M12" s="22"/>
      <c r="N12" s="22"/>
      <c r="O12" s="22"/>
      <c r="P12" s="22"/>
      <c r="Q12" s="20"/>
      <c r="R12" s="20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0"/>
      <c r="M13" s="22"/>
      <c r="N13" s="22"/>
      <c r="O13" s="22"/>
      <c r="P13" s="22"/>
      <c r="Q13" s="20"/>
      <c r="R13" s="20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0"/>
      <c r="M14" s="22"/>
      <c r="N14" s="22"/>
      <c r="O14" s="22"/>
      <c r="P14" s="22"/>
      <c r="Q14" s="20"/>
      <c r="R14" s="20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0"/>
      <c r="M15" s="22"/>
      <c r="N15" s="22"/>
      <c r="O15" s="22"/>
      <c r="P15" s="22"/>
      <c r="Q15" s="20"/>
      <c r="R15" s="20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0"/>
      <c r="M16" s="22"/>
      <c r="N16" s="22"/>
      <c r="O16" s="22"/>
      <c r="P16" s="22"/>
      <c r="Q16" s="20"/>
      <c r="R16" s="20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0"/>
      <c r="M17" s="22"/>
      <c r="N17" s="22"/>
      <c r="O17" s="22"/>
      <c r="P17" s="22"/>
      <c r="Q17" s="20"/>
      <c r="R17" s="20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0"/>
      <c r="M18" s="22"/>
      <c r="N18" s="22"/>
      <c r="O18" s="22"/>
      <c r="P18" s="22"/>
      <c r="Q18" s="20"/>
      <c r="R18" s="20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0"/>
      <c r="M19" s="22"/>
      <c r="N19" s="22"/>
      <c r="O19" s="22"/>
      <c r="P19" s="22"/>
      <c r="Q19" s="20"/>
      <c r="R19" s="20"/>
      <c r="S19" s="22"/>
      <c r="T19" s="22"/>
      <c r="U19" s="22"/>
      <c r="V19" s="22"/>
      <c r="W19" s="22"/>
      <c r="X19" s="22"/>
    </row>
    <row r="20" spans="1:24">
      <c r="E20" s="20"/>
      <c r="H20" s="20"/>
      <c r="I20" s="22"/>
      <c r="J20" s="20"/>
      <c r="K20" s="20"/>
      <c r="L20" s="20"/>
      <c r="M20" s="22"/>
      <c r="P20" s="22"/>
    </row>
    <row r="21" spans="1:24" s="41" customFormat="1">
      <c r="E21" s="40"/>
      <c r="H21" s="44"/>
      <c r="L21" s="44"/>
    </row>
    <row r="22" spans="1:24">
      <c r="L22" s="5"/>
    </row>
    <row r="23" spans="1:24">
      <c r="H23" s="41"/>
    </row>
    <row r="24" spans="1:24">
      <c r="H24" s="41"/>
    </row>
    <row r="25" spans="1:24">
      <c r="H25" s="41"/>
    </row>
    <row r="26" spans="1:24">
      <c r="H26" s="41"/>
    </row>
    <row r="27" spans="1:24">
      <c r="H27" s="41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6</v>
      </c>
      <c r="J1" s="21" t="s">
        <v>7</v>
      </c>
      <c r="K1" s="21" t="s">
        <v>8</v>
      </c>
      <c r="L1" s="21" t="s">
        <v>1351</v>
      </c>
      <c r="M1" s="21" t="s">
        <v>138</v>
      </c>
      <c r="N1" s="21" t="s">
        <v>11</v>
      </c>
      <c r="O1" s="21" t="s">
        <v>17</v>
      </c>
      <c r="P1" s="162" t="s">
        <v>18</v>
      </c>
      <c r="Q1" s="168" t="s">
        <v>19</v>
      </c>
      <c r="R1" s="21" t="s">
        <v>20</v>
      </c>
      <c r="S1" s="164" t="s">
        <v>24</v>
      </c>
      <c r="T1" s="164" t="s">
        <v>25</v>
      </c>
    </row>
    <row r="2" spans="1:20">
      <c r="A2" s="22">
        <v>288</v>
      </c>
      <c r="B2" s="22">
        <v>288</v>
      </c>
      <c r="C2" s="3" t="s">
        <v>1352</v>
      </c>
      <c r="D2" s="3" t="s">
        <v>1353</v>
      </c>
      <c r="E2" s="20" t="s">
        <v>43</v>
      </c>
      <c r="F2" s="22" t="s">
        <v>1354</v>
      </c>
      <c r="G2" s="22" t="s">
        <v>1355</v>
      </c>
      <c r="H2" s="20" t="s">
        <v>31</v>
      </c>
      <c r="I2" s="20" t="s">
        <v>116</v>
      </c>
      <c r="J2" s="20" t="s">
        <v>117</v>
      </c>
      <c r="K2" s="20" t="s">
        <v>1356</v>
      </c>
      <c r="L2" s="23" t="s">
        <v>1357</v>
      </c>
      <c r="M2" s="22" t="s">
        <v>154</v>
      </c>
      <c r="N2" s="20" t="s">
        <v>34</v>
      </c>
      <c r="O2" s="156">
        <v>90</v>
      </c>
      <c r="P2" s="171">
        <v>3.306</v>
      </c>
      <c r="Q2" s="172">
        <v>6738.75</v>
      </c>
      <c r="R2" s="156">
        <v>1389.5119999999999</v>
      </c>
      <c r="S2" s="170">
        <v>1</v>
      </c>
      <c r="T2" s="170">
        <v>5.4193327885650297E-4</v>
      </c>
    </row>
    <row r="3" spans="1:20">
      <c r="A3" s="22">
        <v>288</v>
      </c>
      <c r="B3" s="22">
        <v>1452</v>
      </c>
      <c r="C3" s="3" t="s">
        <v>1352</v>
      </c>
      <c r="D3" s="3" t="s">
        <v>1353</v>
      </c>
      <c r="E3" s="20" t="s">
        <v>43</v>
      </c>
      <c r="F3" s="22" t="s">
        <v>1354</v>
      </c>
      <c r="G3" s="22" t="s">
        <v>1355</v>
      </c>
      <c r="H3" s="20" t="s">
        <v>31</v>
      </c>
      <c r="I3" s="20" t="s">
        <v>116</v>
      </c>
      <c r="J3" s="20" t="s">
        <v>117</v>
      </c>
      <c r="K3" s="20" t="s">
        <v>1356</v>
      </c>
      <c r="L3" s="23" t="s">
        <v>1357</v>
      </c>
      <c r="M3" s="22" t="s">
        <v>154</v>
      </c>
      <c r="N3" s="20" t="s">
        <v>34</v>
      </c>
      <c r="O3" s="156">
        <v>14</v>
      </c>
      <c r="P3" s="171">
        <v>3.306</v>
      </c>
      <c r="Q3" s="172">
        <v>6738.75</v>
      </c>
      <c r="R3" s="156">
        <v>216.14599999999999</v>
      </c>
      <c r="S3" s="170">
        <v>1</v>
      </c>
      <c r="T3" s="170">
        <v>2.4501327972871901E-3</v>
      </c>
    </row>
    <row r="4" spans="1:20">
      <c r="A4" s="22"/>
      <c r="B4" s="22"/>
      <c r="E4" s="20"/>
      <c r="F4" s="22"/>
      <c r="G4" s="22"/>
      <c r="H4" s="20"/>
      <c r="I4" s="20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</row>
    <row r="5" spans="1:20">
      <c r="A5" s="22"/>
      <c r="B5" s="22"/>
      <c r="E5" s="20"/>
      <c r="F5" s="22"/>
      <c r="G5" s="22"/>
      <c r="H5" s="20"/>
      <c r="I5" s="20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</row>
    <row r="6" spans="1:20">
      <c r="A6" s="22"/>
      <c r="B6" s="22"/>
      <c r="E6" s="20"/>
      <c r="F6" s="22"/>
      <c r="G6" s="22"/>
      <c r="H6" s="20"/>
      <c r="I6" s="20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</row>
    <row r="7" spans="1:20">
      <c r="A7" s="22"/>
      <c r="B7" s="22"/>
      <c r="E7" s="20"/>
      <c r="F7" s="22"/>
      <c r="G7" s="22"/>
      <c r="H7" s="20"/>
      <c r="I7" s="20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</row>
    <row r="8" spans="1:20">
      <c r="A8" s="22"/>
      <c r="B8" s="22"/>
      <c r="E8" s="20"/>
      <c r="F8" s="22"/>
      <c r="G8" s="22"/>
      <c r="H8" s="20"/>
      <c r="I8" s="20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</row>
    <row r="9" spans="1:20">
      <c r="A9" s="22"/>
      <c r="B9" s="22"/>
      <c r="E9" s="20"/>
      <c r="F9" s="22"/>
      <c r="G9" s="22"/>
      <c r="H9" s="20"/>
      <c r="I9" s="20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</row>
    <row r="10" spans="1:20">
      <c r="A10" s="22"/>
      <c r="B10" s="22"/>
      <c r="E10" s="20"/>
      <c r="F10" s="22"/>
      <c r="G10" s="22"/>
      <c r="H10" s="20"/>
      <c r="I10" s="20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</row>
    <row r="11" spans="1:20">
      <c r="A11" s="22"/>
      <c r="B11" s="22"/>
      <c r="E11" s="20"/>
      <c r="F11" s="22"/>
      <c r="G11" s="22"/>
      <c r="H11" s="20"/>
      <c r="I11" s="20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</row>
    <row r="12" spans="1:20">
      <c r="A12" s="22"/>
      <c r="B12" s="22"/>
      <c r="E12" s="20"/>
      <c r="F12" s="22"/>
      <c r="G12" s="22"/>
      <c r="H12" s="20"/>
      <c r="I12" s="20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</row>
    <row r="13" spans="1:20">
      <c r="A13" s="22"/>
      <c r="B13" s="22"/>
      <c r="E13" s="20"/>
      <c r="F13" s="22"/>
      <c r="G13" s="22"/>
      <c r="H13" s="20"/>
      <c r="I13" s="20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</row>
    <row r="14" spans="1:20">
      <c r="A14" s="22"/>
      <c r="B14" s="22"/>
      <c r="E14" s="20"/>
      <c r="F14" s="22"/>
      <c r="G14" s="22"/>
      <c r="H14" s="20"/>
      <c r="I14" s="20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</row>
    <row r="15" spans="1:20">
      <c r="A15" s="22"/>
      <c r="B15" s="22"/>
      <c r="E15" s="20"/>
      <c r="F15" s="22"/>
      <c r="G15" s="22"/>
      <c r="H15" s="20"/>
      <c r="I15" s="20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</row>
    <row r="16" spans="1:20">
      <c r="A16" s="22"/>
      <c r="B16" s="22"/>
      <c r="E16" s="20"/>
      <c r="F16" s="22"/>
      <c r="G16" s="22"/>
      <c r="H16" s="20"/>
      <c r="I16" s="20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</row>
    <row r="17" spans="1:20">
      <c r="A17" s="22"/>
      <c r="B17" s="22"/>
      <c r="E17" s="20"/>
      <c r="F17" s="22"/>
      <c r="G17" s="22"/>
      <c r="H17" s="20"/>
      <c r="I17" s="20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</row>
    <row r="18" spans="1:20">
      <c r="A18" s="22"/>
      <c r="B18" s="22"/>
      <c r="E18" s="20"/>
      <c r="F18" s="22"/>
      <c r="G18" s="22"/>
      <c r="H18" s="20"/>
      <c r="I18" s="20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</row>
    <row r="19" spans="1:20">
      <c r="A19" s="22"/>
      <c r="B19" s="22"/>
      <c r="E19" s="20"/>
      <c r="F19" s="22"/>
      <c r="G19" s="22"/>
      <c r="H19" s="20"/>
      <c r="I19" s="20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</row>
    <row r="20" spans="1:20">
      <c r="E20" s="20"/>
      <c r="H20" s="20"/>
      <c r="J20" s="20"/>
      <c r="K20" s="20"/>
      <c r="L20" s="23"/>
      <c r="M20" s="22"/>
    </row>
    <row r="21" spans="1:20" s="41" customFormat="1">
      <c r="E21" s="40"/>
      <c r="H21" s="44"/>
      <c r="K21" s="44"/>
    </row>
    <row r="22" spans="1:20">
      <c r="K22" s="5"/>
    </row>
    <row r="23" spans="1:20">
      <c r="H23" s="41"/>
    </row>
    <row r="24" spans="1:20">
      <c r="H24" s="41"/>
    </row>
    <row r="25" spans="1:20">
      <c r="H25" s="41"/>
    </row>
    <row r="26" spans="1:20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8</v>
      </c>
      <c r="N1" s="21" t="s">
        <v>1351</v>
      </c>
      <c r="O1" s="21" t="s">
        <v>138</v>
      </c>
      <c r="P1" s="21" t="s">
        <v>12</v>
      </c>
      <c r="Q1" s="164" t="s">
        <v>14</v>
      </c>
      <c r="R1" s="164" t="s">
        <v>15</v>
      </c>
      <c r="S1" s="21" t="s">
        <v>9</v>
      </c>
      <c r="T1" s="21" t="s">
        <v>10</v>
      </c>
      <c r="U1" s="21" t="s">
        <v>139</v>
      </c>
      <c r="V1" s="21" t="s">
        <v>11</v>
      </c>
      <c r="W1" s="21" t="s">
        <v>17</v>
      </c>
      <c r="X1" s="162" t="s">
        <v>18</v>
      </c>
      <c r="Y1" s="168" t="s">
        <v>19</v>
      </c>
      <c r="Z1" s="21" t="s">
        <v>20</v>
      </c>
      <c r="AA1" s="164" t="s">
        <v>24</v>
      </c>
      <c r="AB1" s="164" t="s">
        <v>25</v>
      </c>
    </row>
    <row r="2" spans="1:28">
      <c r="A2" s="22">
        <v>288</v>
      </c>
      <c r="B2" s="22">
        <v>288</v>
      </c>
      <c r="C2" s="22" t="s">
        <v>1358</v>
      </c>
      <c r="D2" s="22" t="s">
        <v>1359</v>
      </c>
      <c r="E2" s="20" t="s">
        <v>147</v>
      </c>
      <c r="F2" s="22" t="s">
        <v>1360</v>
      </c>
      <c r="G2" s="22" t="s">
        <v>1361</v>
      </c>
      <c r="H2" s="20" t="s">
        <v>150</v>
      </c>
      <c r="I2" s="22" t="s">
        <v>1362</v>
      </c>
      <c r="J2" s="20" t="s">
        <v>30</v>
      </c>
      <c r="K2" s="20" t="s">
        <v>30</v>
      </c>
      <c r="L2" s="22" t="s">
        <v>152</v>
      </c>
      <c r="M2" s="20" t="s">
        <v>41</v>
      </c>
      <c r="N2" s="23" t="s">
        <v>1363</v>
      </c>
      <c r="O2" s="22" t="s">
        <v>154</v>
      </c>
      <c r="P2" s="156">
        <v>2.7719999999999998</v>
      </c>
      <c r="Q2" s="170">
        <v>5.0000000000000001E-4</v>
      </c>
      <c r="R2" s="170">
        <v>2.647E-2</v>
      </c>
      <c r="S2" s="22" t="s">
        <v>283</v>
      </c>
      <c r="T2" s="22" t="s">
        <v>156</v>
      </c>
      <c r="U2" s="22" t="s">
        <v>157</v>
      </c>
      <c r="V2" s="20" t="s">
        <v>44</v>
      </c>
      <c r="W2" s="156">
        <v>1099091.01</v>
      </c>
      <c r="X2" s="171">
        <v>1</v>
      </c>
      <c r="Y2" s="172">
        <v>109.77</v>
      </c>
      <c r="Z2" s="156">
        <v>1206.472</v>
      </c>
      <c r="AA2" s="170">
        <v>1</v>
      </c>
      <c r="AB2" s="170">
        <v>4.7054471657170701E-4</v>
      </c>
    </row>
    <row r="3" spans="1:28">
      <c r="A3" s="22">
        <v>288</v>
      </c>
      <c r="B3" s="22">
        <v>1451</v>
      </c>
      <c r="C3" s="22" t="s">
        <v>1358</v>
      </c>
      <c r="D3" s="22" t="s">
        <v>1359</v>
      </c>
      <c r="E3" s="20" t="s">
        <v>147</v>
      </c>
      <c r="F3" s="22" t="s">
        <v>1360</v>
      </c>
      <c r="G3" s="22" t="s">
        <v>1361</v>
      </c>
      <c r="H3" s="20" t="s">
        <v>150</v>
      </c>
      <c r="I3" s="22" t="s">
        <v>1362</v>
      </c>
      <c r="J3" s="20" t="s">
        <v>30</v>
      </c>
      <c r="K3" s="20" t="s">
        <v>30</v>
      </c>
      <c r="L3" s="22" t="s">
        <v>152</v>
      </c>
      <c r="M3" s="20" t="s">
        <v>41</v>
      </c>
      <c r="N3" s="23" t="s">
        <v>1363</v>
      </c>
      <c r="O3" s="22" t="s">
        <v>154</v>
      </c>
      <c r="P3" s="156">
        <v>2.7719999999999998</v>
      </c>
      <c r="Q3" s="170">
        <v>5.0000000000000001E-4</v>
      </c>
      <c r="R3" s="170">
        <v>2.647E-2</v>
      </c>
      <c r="S3" s="22" t="s">
        <v>283</v>
      </c>
      <c r="T3" s="22" t="s">
        <v>156</v>
      </c>
      <c r="U3" s="22" t="s">
        <v>157</v>
      </c>
      <c r="V3" s="20" t="s">
        <v>44</v>
      </c>
      <c r="W3" s="156">
        <v>77454.559999999998</v>
      </c>
      <c r="X3" s="171">
        <v>1</v>
      </c>
      <c r="Y3" s="172">
        <v>109.77</v>
      </c>
      <c r="Z3" s="156">
        <v>85.022000000000006</v>
      </c>
      <c r="AA3" s="170">
        <v>1</v>
      </c>
      <c r="AB3" s="170">
        <v>1.7119202785664399E-3</v>
      </c>
    </row>
    <row r="4" spans="1:28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0"/>
      <c r="N4" s="23"/>
      <c r="O4" s="22"/>
      <c r="P4" s="22"/>
      <c r="Q4" s="22"/>
      <c r="R4" s="22"/>
      <c r="S4" s="22"/>
      <c r="T4" s="22"/>
      <c r="U4" s="22"/>
      <c r="V4" s="20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0"/>
      <c r="N5" s="23"/>
      <c r="O5" s="22"/>
      <c r="P5" s="22"/>
      <c r="Q5" s="22"/>
      <c r="R5" s="22"/>
      <c r="S5" s="22"/>
      <c r="T5" s="22"/>
      <c r="U5" s="22"/>
      <c r="V5" s="20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0"/>
      <c r="N6" s="23"/>
      <c r="O6" s="22"/>
      <c r="P6" s="22"/>
      <c r="Q6" s="22"/>
      <c r="R6" s="22"/>
      <c r="S6" s="22"/>
      <c r="T6" s="22"/>
      <c r="U6" s="22"/>
      <c r="V6" s="20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0"/>
      <c r="N7" s="23"/>
      <c r="O7" s="22"/>
      <c r="P7" s="22"/>
      <c r="Q7" s="22"/>
      <c r="R7" s="22"/>
      <c r="S7" s="22"/>
      <c r="T7" s="22"/>
      <c r="U7" s="22"/>
      <c r="V7" s="20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0"/>
      <c r="N8" s="23"/>
      <c r="O8" s="22"/>
      <c r="P8" s="22"/>
      <c r="Q8" s="22"/>
      <c r="R8" s="22"/>
      <c r="S8" s="22"/>
      <c r="T8" s="22"/>
      <c r="U8" s="22"/>
      <c r="V8" s="20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0"/>
      <c r="N9" s="23"/>
      <c r="O9" s="22"/>
      <c r="P9" s="22"/>
      <c r="Q9" s="22"/>
      <c r="R9" s="22"/>
      <c r="S9" s="22"/>
      <c r="T9" s="22"/>
      <c r="U9" s="22"/>
      <c r="V9" s="20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0"/>
      <c r="N10" s="23"/>
      <c r="O10" s="22"/>
      <c r="P10" s="22"/>
      <c r="Q10" s="22"/>
      <c r="R10" s="22"/>
      <c r="S10" s="22"/>
      <c r="T10" s="22"/>
      <c r="U10" s="22"/>
      <c r="V10" s="20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0"/>
      <c r="N11" s="23"/>
      <c r="O11" s="22"/>
      <c r="P11" s="22"/>
      <c r="Q11" s="22"/>
      <c r="R11" s="22"/>
      <c r="S11" s="22"/>
      <c r="T11" s="22"/>
      <c r="U11" s="22"/>
      <c r="V11" s="20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0"/>
      <c r="N12" s="23"/>
      <c r="O12" s="22"/>
      <c r="P12" s="22"/>
      <c r="Q12" s="22"/>
      <c r="R12" s="22"/>
      <c r="S12" s="22"/>
      <c r="T12" s="22"/>
      <c r="U12" s="22"/>
      <c r="V12" s="20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0"/>
      <c r="N13" s="23"/>
      <c r="O13" s="22"/>
      <c r="P13" s="22"/>
      <c r="Q13" s="22"/>
      <c r="R13" s="22"/>
      <c r="S13" s="22"/>
      <c r="T13" s="22"/>
      <c r="U13" s="22"/>
      <c r="V13" s="20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0"/>
      <c r="N14" s="23"/>
      <c r="O14" s="22"/>
      <c r="P14" s="22"/>
      <c r="Q14" s="22"/>
      <c r="R14" s="22"/>
      <c r="S14" s="22"/>
      <c r="T14" s="22"/>
      <c r="U14" s="22"/>
      <c r="V14" s="20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0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0"/>
      <c r="N16" s="23"/>
      <c r="O16" s="22"/>
      <c r="P16" s="22"/>
      <c r="Q16" s="22"/>
      <c r="R16" s="22"/>
      <c r="S16" s="22"/>
      <c r="T16" s="22"/>
      <c r="U16" s="22"/>
      <c r="V16" s="20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0"/>
      <c r="N17" s="23"/>
      <c r="O17" s="22"/>
      <c r="P17" s="22"/>
      <c r="Q17" s="22"/>
      <c r="R17" s="22"/>
      <c r="S17" s="22"/>
      <c r="T17" s="22"/>
      <c r="U17" s="22"/>
      <c r="V17" s="20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0"/>
      <c r="N18" s="23"/>
      <c r="O18" s="22"/>
      <c r="P18" s="22"/>
      <c r="Q18" s="22"/>
      <c r="R18" s="22"/>
      <c r="S18" s="22"/>
      <c r="T18" s="22"/>
      <c r="U18" s="22"/>
      <c r="V18" s="20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0"/>
      <c r="N19" s="23"/>
      <c r="O19" s="22"/>
      <c r="P19" s="22"/>
      <c r="Q19" s="22"/>
      <c r="R19" s="22"/>
      <c r="S19" s="22"/>
      <c r="T19" s="22"/>
      <c r="U19" s="22"/>
      <c r="V19" s="20"/>
      <c r="W19" s="22"/>
      <c r="X19" s="22"/>
      <c r="Y19" s="22"/>
      <c r="Z19" s="22"/>
      <c r="AA19" s="22"/>
      <c r="AB19" s="22"/>
    </row>
    <row r="20" spans="1:28">
      <c r="E20" s="20"/>
      <c r="H20" s="20"/>
      <c r="I20" s="22"/>
      <c r="J20" s="20"/>
      <c r="K20" s="20"/>
      <c r="L20" s="22"/>
      <c r="M20" s="20"/>
      <c r="N20" s="23"/>
      <c r="O20" s="22"/>
      <c r="T20" s="22"/>
      <c r="U20" s="22"/>
    </row>
    <row r="21" spans="1:28" s="41" customFormat="1">
      <c r="E21" s="40"/>
      <c r="H21" s="44"/>
      <c r="M21" s="44"/>
      <c r="N21" s="23"/>
    </row>
    <row r="22" spans="1:28">
      <c r="M22" s="5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136</v>
      </c>
      <c r="G1" s="21" t="s">
        <v>5</v>
      </c>
      <c r="H1" s="21" t="s">
        <v>6</v>
      </c>
      <c r="I1" s="21" t="s">
        <v>7</v>
      </c>
      <c r="J1" s="21" t="s">
        <v>1364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24</v>
      </c>
      <c r="Y1" s="21" t="s">
        <v>25</v>
      </c>
    </row>
    <row r="2" spans="1:25">
      <c r="A2" s="22"/>
      <c r="B2" s="22"/>
      <c r="C2" s="22"/>
      <c r="D2" s="22"/>
      <c r="E2" s="22"/>
      <c r="F2" s="22"/>
      <c r="G2" s="22"/>
      <c r="H2" s="30"/>
      <c r="I2" s="20"/>
      <c r="J2" s="22"/>
      <c r="K2" s="39"/>
      <c r="L2" s="23"/>
      <c r="M2" s="30"/>
      <c r="N2" s="22"/>
      <c r="O2" s="22"/>
      <c r="P2" s="22"/>
      <c r="Q2" s="22"/>
      <c r="R2" s="22"/>
      <c r="S2" s="23"/>
      <c r="T2" s="22"/>
      <c r="U2" s="22"/>
      <c r="V2" s="22"/>
      <c r="W2" s="20"/>
      <c r="X2" s="22"/>
      <c r="Y2" s="22"/>
    </row>
    <row r="3" spans="1:25">
      <c r="A3" s="22"/>
      <c r="B3" s="22"/>
      <c r="C3" s="22"/>
      <c r="D3" s="22"/>
      <c r="E3" s="22"/>
      <c r="F3" s="22"/>
      <c r="G3" s="22"/>
      <c r="H3" s="30"/>
      <c r="I3" s="20"/>
      <c r="J3" s="22"/>
      <c r="K3" s="22"/>
      <c r="L3" s="23"/>
      <c r="M3" s="20"/>
      <c r="N3" s="22"/>
      <c r="O3" s="22"/>
      <c r="P3" s="22"/>
      <c r="Q3" s="22"/>
      <c r="R3" s="22"/>
      <c r="S3" s="22"/>
      <c r="T3" s="22"/>
      <c r="U3" s="22"/>
      <c r="V3" s="22"/>
      <c r="W3" s="20"/>
      <c r="X3" s="22"/>
      <c r="Y3" s="22"/>
    </row>
    <row r="4" spans="1:25">
      <c r="A4" s="22"/>
      <c r="B4" s="22"/>
      <c r="C4" s="22"/>
      <c r="D4" s="22"/>
      <c r="E4" s="22"/>
      <c r="F4" s="22"/>
      <c r="G4" s="22"/>
      <c r="H4" s="30"/>
      <c r="I4" s="20"/>
      <c r="J4" s="22"/>
      <c r="K4" s="22"/>
      <c r="L4" s="23"/>
      <c r="M4" s="20"/>
      <c r="N4" s="22"/>
      <c r="O4" s="22"/>
      <c r="P4" s="22"/>
      <c r="Q4" s="22"/>
      <c r="R4" s="22"/>
      <c r="S4" s="22"/>
      <c r="T4" s="22"/>
      <c r="U4" s="22"/>
      <c r="V4" s="22"/>
      <c r="W4" s="20"/>
      <c r="X4" s="22"/>
      <c r="Y4" s="22"/>
    </row>
    <row r="5" spans="1:25">
      <c r="A5" s="22"/>
      <c r="B5" s="22"/>
      <c r="C5" s="22"/>
      <c r="D5" s="22"/>
      <c r="E5" s="22"/>
      <c r="F5" s="22"/>
      <c r="G5" s="22"/>
      <c r="H5" s="30"/>
      <c r="I5" s="20"/>
      <c r="J5" s="22"/>
      <c r="K5" s="20"/>
      <c r="L5" s="23"/>
      <c r="N5" s="22"/>
      <c r="O5" s="22"/>
      <c r="P5" s="20"/>
      <c r="Q5" s="20"/>
      <c r="R5" s="22"/>
      <c r="T5" s="22"/>
      <c r="U5" s="22"/>
      <c r="V5" s="22"/>
      <c r="W5" s="22"/>
      <c r="X5" s="22"/>
      <c r="Y5" s="22"/>
    </row>
    <row r="6" spans="1:25">
      <c r="A6" s="22"/>
      <c r="B6" s="22"/>
      <c r="C6" s="22"/>
      <c r="D6" s="22"/>
      <c r="E6" s="22"/>
      <c r="F6" s="22"/>
      <c r="G6" s="22"/>
      <c r="H6" s="30"/>
      <c r="I6" s="20"/>
      <c r="J6" s="22"/>
      <c r="K6" s="22"/>
      <c r="L6" s="23"/>
      <c r="M6" s="20"/>
      <c r="N6" s="22"/>
      <c r="O6" s="22"/>
      <c r="P6" s="22"/>
      <c r="Q6" s="22"/>
      <c r="R6" s="22"/>
      <c r="S6" s="22"/>
      <c r="T6" s="22"/>
      <c r="U6" s="22"/>
      <c r="V6" s="22"/>
      <c r="W6" s="20"/>
      <c r="X6" s="22"/>
      <c r="Y6" s="22"/>
    </row>
    <row r="7" spans="1:25">
      <c r="A7" s="22"/>
      <c r="B7" s="22"/>
      <c r="C7" s="22"/>
      <c r="D7" s="22"/>
      <c r="E7" s="22"/>
      <c r="F7" s="22"/>
      <c r="G7" s="22"/>
      <c r="H7" s="30"/>
      <c r="I7" s="20"/>
      <c r="J7" s="22"/>
      <c r="K7" s="22"/>
      <c r="L7" s="23"/>
      <c r="M7" s="20"/>
      <c r="N7" s="22"/>
      <c r="O7" s="22"/>
      <c r="P7" s="22"/>
      <c r="Q7" s="22"/>
      <c r="R7" s="22"/>
      <c r="S7" s="22"/>
      <c r="T7" s="22"/>
      <c r="U7" s="22"/>
      <c r="V7" s="22"/>
      <c r="W7" s="20"/>
      <c r="X7" s="22"/>
      <c r="Y7" s="22"/>
    </row>
    <row r="8" spans="1:25">
      <c r="A8" s="22"/>
      <c r="B8" s="22"/>
      <c r="C8" s="22"/>
      <c r="D8" s="22"/>
      <c r="E8" s="22"/>
      <c r="F8" s="22"/>
      <c r="G8" s="22"/>
      <c r="H8" s="30"/>
      <c r="I8" s="20"/>
      <c r="J8" s="22"/>
      <c r="K8" s="22"/>
      <c r="L8" s="23"/>
      <c r="M8" s="20"/>
      <c r="N8" s="22"/>
      <c r="O8" s="22"/>
      <c r="P8" s="22"/>
      <c r="Q8" s="22"/>
      <c r="R8" s="22"/>
      <c r="S8" s="22"/>
      <c r="T8" s="22"/>
      <c r="U8" s="22"/>
      <c r="V8" s="22"/>
      <c r="W8" s="20"/>
      <c r="X8" s="22"/>
      <c r="Y8" s="22"/>
    </row>
    <row r="9" spans="1:25">
      <c r="A9" s="22"/>
      <c r="B9" s="22"/>
      <c r="C9" s="22"/>
      <c r="D9" s="22"/>
      <c r="E9" s="22"/>
      <c r="F9" s="22"/>
      <c r="G9" s="22"/>
      <c r="H9" s="30"/>
      <c r="I9" s="20"/>
      <c r="J9" s="22"/>
      <c r="K9" s="22"/>
      <c r="L9" s="23"/>
      <c r="M9" s="20"/>
      <c r="N9" s="22"/>
      <c r="O9" s="22"/>
      <c r="P9" s="22"/>
      <c r="Q9" s="22"/>
      <c r="R9" s="22"/>
      <c r="S9" s="22"/>
      <c r="T9" s="22"/>
      <c r="U9" s="22"/>
      <c r="V9" s="22"/>
      <c r="W9" s="20"/>
      <c r="X9" s="22"/>
      <c r="Y9" s="22"/>
    </row>
    <row r="10" spans="1:25">
      <c r="A10" s="22"/>
      <c r="B10" s="22"/>
      <c r="C10" s="22"/>
      <c r="D10" s="22"/>
      <c r="E10" s="22"/>
      <c r="F10" s="22"/>
      <c r="G10" s="22"/>
      <c r="H10" s="30"/>
      <c r="I10" s="20"/>
      <c r="J10" s="22"/>
      <c r="K10" s="22"/>
      <c r="L10" s="23"/>
      <c r="M10" s="20"/>
      <c r="N10" s="22"/>
      <c r="O10" s="22"/>
      <c r="P10" s="22"/>
      <c r="Q10" s="22"/>
      <c r="R10" s="22"/>
      <c r="S10" s="22"/>
      <c r="T10" s="22"/>
      <c r="U10" s="22"/>
      <c r="V10" s="22"/>
      <c r="W10" s="20"/>
      <c r="X10" s="22"/>
      <c r="Y10" s="22"/>
    </row>
    <row r="11" spans="1:25">
      <c r="A11" s="22"/>
      <c r="B11" s="22"/>
      <c r="C11" s="22"/>
      <c r="D11" s="22"/>
      <c r="E11" s="22"/>
      <c r="F11" s="22"/>
      <c r="G11" s="22"/>
      <c r="H11" s="30"/>
      <c r="I11" s="20"/>
      <c r="J11" s="22"/>
      <c r="K11" s="22"/>
      <c r="L11" s="23"/>
      <c r="M11" s="20"/>
      <c r="N11" s="22"/>
      <c r="O11" s="22"/>
      <c r="P11" s="22"/>
      <c r="Q11" s="22"/>
      <c r="R11" s="22"/>
      <c r="S11" s="22"/>
      <c r="T11" s="22"/>
      <c r="U11" s="22"/>
      <c r="V11" s="22"/>
      <c r="W11" s="20"/>
      <c r="X11" s="22"/>
      <c r="Y11" s="22"/>
    </row>
    <row r="12" spans="1:25">
      <c r="A12" s="22"/>
      <c r="B12" s="22"/>
      <c r="C12" s="22"/>
      <c r="D12" s="22"/>
      <c r="E12" s="22"/>
      <c r="F12" s="22"/>
      <c r="G12" s="22"/>
      <c r="H12" s="30"/>
      <c r="I12" s="20"/>
      <c r="J12" s="22"/>
      <c r="K12" s="22"/>
      <c r="L12" s="23"/>
      <c r="M12" s="20"/>
      <c r="N12" s="22"/>
      <c r="O12" s="22"/>
      <c r="P12" s="22"/>
      <c r="Q12" s="22"/>
      <c r="R12" s="22"/>
      <c r="S12" s="22"/>
      <c r="T12" s="22"/>
      <c r="U12" s="22"/>
      <c r="V12" s="22"/>
      <c r="W12" s="20"/>
      <c r="X12" s="22"/>
      <c r="Y12" s="22"/>
    </row>
    <row r="13" spans="1:25">
      <c r="A13" s="22"/>
      <c r="B13" s="22"/>
      <c r="C13" s="22"/>
      <c r="D13" s="22"/>
      <c r="E13" s="22"/>
      <c r="F13" s="22"/>
      <c r="G13" s="22"/>
      <c r="H13" s="30"/>
      <c r="I13" s="20"/>
      <c r="J13" s="22"/>
      <c r="K13" s="22"/>
      <c r="L13" s="23"/>
      <c r="M13" s="20"/>
      <c r="N13" s="22"/>
      <c r="O13" s="22"/>
      <c r="P13" s="22"/>
      <c r="Q13" s="22"/>
      <c r="R13" s="22"/>
      <c r="S13" s="22"/>
      <c r="T13" s="22"/>
      <c r="U13" s="22"/>
      <c r="V13" s="22"/>
      <c r="W13" s="20"/>
      <c r="X13" s="22"/>
      <c r="Y13" s="22"/>
    </row>
    <row r="14" spans="1:25">
      <c r="A14" s="22"/>
      <c r="B14" s="22"/>
      <c r="C14" s="22"/>
      <c r="D14" s="22"/>
      <c r="E14" s="22"/>
      <c r="F14" s="22"/>
      <c r="G14" s="22"/>
      <c r="H14" s="30"/>
      <c r="I14" s="20"/>
      <c r="J14" s="22"/>
      <c r="K14" s="22"/>
      <c r="L14" s="23"/>
      <c r="M14" s="20"/>
      <c r="N14" s="22"/>
      <c r="O14" s="22"/>
      <c r="P14" s="22"/>
      <c r="Q14" s="22"/>
      <c r="R14" s="22"/>
      <c r="S14" s="22"/>
      <c r="T14" s="22"/>
      <c r="U14" s="22"/>
      <c r="V14" s="22"/>
      <c r="W14" s="20"/>
      <c r="X14" s="22"/>
      <c r="Y14" s="22"/>
    </row>
    <row r="15" spans="1:25">
      <c r="A15" s="22"/>
      <c r="B15" s="22"/>
      <c r="C15" s="22"/>
      <c r="D15" s="22"/>
      <c r="E15" s="22"/>
      <c r="F15" s="22"/>
      <c r="G15" s="22"/>
      <c r="H15" s="30"/>
      <c r="I15" s="20"/>
      <c r="J15" s="22"/>
      <c r="K15" s="22"/>
      <c r="L15" s="23"/>
      <c r="M15" s="20"/>
      <c r="N15" s="22"/>
      <c r="O15" s="22"/>
      <c r="P15" s="22"/>
      <c r="Q15" s="22"/>
      <c r="R15" s="22"/>
      <c r="S15" s="22"/>
      <c r="T15" s="22"/>
      <c r="U15" s="22"/>
      <c r="V15" s="22"/>
      <c r="W15" s="20"/>
      <c r="X15" s="22"/>
      <c r="Y15" s="22"/>
    </row>
    <row r="16" spans="1:25">
      <c r="A16" s="22"/>
      <c r="B16" s="22"/>
      <c r="C16" s="22"/>
      <c r="D16" s="22"/>
      <c r="E16" s="22"/>
      <c r="F16" s="22"/>
      <c r="G16" s="22"/>
      <c r="H16" s="30"/>
      <c r="I16" s="20"/>
      <c r="J16" s="22"/>
      <c r="K16" s="22"/>
      <c r="L16" s="23"/>
      <c r="M16" s="20"/>
      <c r="N16" s="22"/>
      <c r="O16" s="22"/>
      <c r="P16" s="22"/>
      <c r="Q16" s="22"/>
      <c r="R16" s="22"/>
      <c r="S16" s="22"/>
      <c r="T16" s="22"/>
      <c r="U16" s="22"/>
      <c r="V16" s="22"/>
      <c r="W16" s="20"/>
      <c r="X16" s="22"/>
      <c r="Y16" s="22"/>
    </row>
    <row r="17" spans="1:25">
      <c r="A17" s="22"/>
      <c r="B17" s="22"/>
      <c r="C17" s="22"/>
      <c r="D17" s="22"/>
      <c r="E17" s="22"/>
      <c r="F17" s="22"/>
      <c r="G17" s="22"/>
      <c r="H17" s="30"/>
      <c r="I17" s="20"/>
      <c r="J17" s="22"/>
      <c r="K17" s="22"/>
      <c r="L17" s="23"/>
      <c r="M17" s="20"/>
      <c r="N17" s="22"/>
      <c r="O17" s="22"/>
      <c r="P17" s="22"/>
      <c r="Q17" s="22"/>
      <c r="R17" s="22"/>
      <c r="S17" s="22"/>
      <c r="T17" s="22"/>
      <c r="U17" s="22"/>
      <c r="V17" s="22"/>
      <c r="W17" s="20"/>
      <c r="X17" s="22"/>
      <c r="Y17" s="22"/>
    </row>
    <row r="18" spans="1:25">
      <c r="A18" s="22"/>
      <c r="B18" s="22"/>
      <c r="C18" s="22"/>
      <c r="D18" s="22"/>
      <c r="E18" s="22"/>
      <c r="F18" s="22"/>
      <c r="G18" s="22"/>
      <c r="H18" s="30"/>
      <c r="I18" s="20"/>
      <c r="J18" s="22"/>
      <c r="K18" s="22"/>
      <c r="L18" s="23"/>
      <c r="M18" s="20"/>
      <c r="N18" s="22"/>
      <c r="O18" s="22"/>
      <c r="P18" s="22"/>
      <c r="Q18" s="22"/>
      <c r="R18" s="22"/>
      <c r="S18" s="22"/>
      <c r="T18" s="22"/>
      <c r="U18" s="22"/>
      <c r="V18" s="22"/>
      <c r="W18" s="20"/>
      <c r="X18" s="22"/>
      <c r="Y18" s="22"/>
    </row>
    <row r="19" spans="1:25">
      <c r="A19" s="22"/>
      <c r="B19" s="22"/>
      <c r="C19" s="22"/>
      <c r="D19" s="22"/>
      <c r="E19" s="22"/>
      <c r="F19" s="22"/>
      <c r="G19" s="22"/>
      <c r="H19" s="30"/>
      <c r="I19" s="20"/>
      <c r="J19" s="22"/>
      <c r="K19" s="22"/>
      <c r="L19" s="23"/>
      <c r="M19" s="20"/>
      <c r="N19" s="22"/>
      <c r="O19" s="22"/>
      <c r="P19" s="22"/>
      <c r="Q19" s="22"/>
      <c r="R19" s="22"/>
      <c r="S19" s="22"/>
      <c r="T19" s="22"/>
      <c r="U19" s="22"/>
      <c r="V19" s="22"/>
      <c r="W19" s="20"/>
      <c r="X19" s="22"/>
      <c r="Y19" s="22"/>
    </row>
    <row r="20" spans="1:25">
      <c r="F20" s="22"/>
      <c r="G20" s="22"/>
      <c r="H20" s="30"/>
      <c r="I20" s="20"/>
      <c r="L20" s="23"/>
      <c r="W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5</v>
      </c>
      <c r="D1" s="21" t="s">
        <v>3</v>
      </c>
      <c r="E1" s="21" t="s">
        <v>4</v>
      </c>
      <c r="F1" s="21" t="s">
        <v>1364</v>
      </c>
      <c r="G1" s="21" t="s">
        <v>12</v>
      </c>
      <c r="H1" s="21" t="s">
        <v>1365</v>
      </c>
      <c r="I1" s="21" t="s">
        <v>13</v>
      </c>
      <c r="J1" s="21" t="s">
        <v>14</v>
      </c>
      <c r="K1" s="21" t="s">
        <v>15</v>
      </c>
      <c r="L1" s="21" t="s">
        <v>17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24</v>
      </c>
      <c r="R1" s="21" t="s">
        <v>25</v>
      </c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0"/>
      <c r="Q2" s="22"/>
      <c r="R2" s="22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0"/>
      <c r="Q3" s="22"/>
      <c r="R3" s="22"/>
    </row>
    <row r="4" spans="1:18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0"/>
      <c r="Q4" s="22"/>
      <c r="R4" s="22"/>
    </row>
    <row r="5" spans="1:18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0"/>
      <c r="Q6" s="22"/>
      <c r="R6" s="22"/>
    </row>
    <row r="7" spans="1:18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0"/>
      <c r="Q7" s="22"/>
      <c r="R7" s="22"/>
    </row>
    <row r="8" spans="1:18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0"/>
      <c r="Q8" s="22"/>
      <c r="R8" s="22"/>
    </row>
    <row r="9" spans="1:1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0"/>
      <c r="Q9" s="22"/>
      <c r="R9" s="22"/>
    </row>
    <row r="10" spans="1:18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0"/>
      <c r="Q10" s="22"/>
      <c r="R10" s="22"/>
    </row>
    <row r="11" spans="1:1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0"/>
      <c r="Q11" s="22"/>
      <c r="R11" s="22"/>
    </row>
    <row r="12" spans="1:1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0"/>
      <c r="Q19" s="22"/>
      <c r="R19" s="22"/>
    </row>
    <row r="20" spans="1:18">
      <c r="C20" s="22"/>
      <c r="H20" s="22"/>
      <c r="P20" s="20"/>
    </row>
    <row r="21" spans="1:18" s="41" customFormat="1">
      <c r="C21" s="40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1" t="s">
        <v>1366</v>
      </c>
      <c r="B1" s="21" t="s">
        <v>1</v>
      </c>
      <c r="C1" s="21" t="s">
        <v>5</v>
      </c>
      <c r="D1" s="21" t="s">
        <v>1367</v>
      </c>
      <c r="E1" s="21" t="s">
        <v>1368</v>
      </c>
      <c r="F1" s="21" t="s">
        <v>1369</v>
      </c>
      <c r="G1" s="21" t="s">
        <v>25</v>
      </c>
    </row>
    <row r="2" spans="1:7">
      <c r="A2" s="22"/>
      <c r="B2" s="22"/>
      <c r="C2" s="23"/>
      <c r="D2" s="138"/>
      <c r="E2" s="40"/>
      <c r="F2" s="40"/>
      <c r="G2" s="29"/>
    </row>
    <row r="3" spans="1:7">
      <c r="A3" s="22"/>
      <c r="B3" s="22"/>
      <c r="C3" s="23"/>
      <c r="G3" s="22"/>
    </row>
    <row r="4" spans="1:7">
      <c r="A4" s="22"/>
      <c r="B4" s="22"/>
      <c r="C4" s="23"/>
      <c r="G4" s="22"/>
    </row>
    <row r="5" spans="1:7">
      <c r="A5" s="22"/>
      <c r="B5" s="22"/>
      <c r="C5" s="23"/>
      <c r="G5" s="22"/>
    </row>
    <row r="6" spans="1:7">
      <c r="A6" s="22"/>
      <c r="B6" s="22"/>
      <c r="C6" s="23"/>
      <c r="G6" s="22"/>
    </row>
    <row r="7" spans="1:7">
      <c r="A7" s="22"/>
      <c r="B7" s="22"/>
      <c r="C7" s="23"/>
      <c r="G7" s="22"/>
    </row>
    <row r="8" spans="1:7">
      <c r="A8" s="22"/>
      <c r="B8" s="22"/>
      <c r="C8" s="23"/>
      <c r="G8" s="22"/>
    </row>
    <row r="9" spans="1:7">
      <c r="A9" s="22"/>
      <c r="B9" s="22"/>
      <c r="C9" s="23"/>
      <c r="G9" s="22"/>
    </row>
    <row r="10" spans="1:7">
      <c r="A10" s="22"/>
      <c r="B10" s="22"/>
      <c r="C10" s="23"/>
      <c r="G10" s="22"/>
    </row>
    <row r="11" spans="1:7">
      <c r="A11" s="22"/>
      <c r="B11" s="22"/>
      <c r="C11" s="23"/>
      <c r="G11" s="22"/>
    </row>
    <row r="12" spans="1:7">
      <c r="A12" s="22"/>
      <c r="B12" s="22"/>
      <c r="C12" s="23"/>
      <c r="G12" s="22"/>
    </row>
    <row r="13" spans="1:7">
      <c r="A13" s="22"/>
      <c r="B13" s="22"/>
      <c r="C13" s="23"/>
      <c r="G13" s="22"/>
    </row>
    <row r="14" spans="1:7">
      <c r="A14" s="22"/>
      <c r="B14" s="22"/>
      <c r="C14" s="23"/>
      <c r="G14" s="22"/>
    </row>
    <row r="15" spans="1:7">
      <c r="A15" s="22"/>
      <c r="B15" s="22"/>
      <c r="C15" s="23"/>
      <c r="G15" s="22"/>
    </row>
    <row r="16" spans="1:7">
      <c r="A16" s="22"/>
      <c r="B16" s="22"/>
      <c r="C16" s="23"/>
      <c r="G16" s="22"/>
    </row>
    <row r="17" spans="1:7">
      <c r="A17" s="22"/>
      <c r="B17" s="22"/>
      <c r="C17" s="23"/>
      <c r="G17" s="22"/>
    </row>
    <row r="18" spans="1:7">
      <c r="A18" s="22"/>
      <c r="B18" s="22"/>
      <c r="C18" s="23"/>
      <c r="G18" s="22"/>
    </row>
    <row r="19" spans="1:7">
      <c r="A19" s="22"/>
      <c r="B19" s="22"/>
      <c r="C19" s="23"/>
      <c r="G19" s="22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137</v>
      </c>
      <c r="M1" s="21" t="s">
        <v>138</v>
      </c>
      <c r="N1" s="21" t="s">
        <v>1364</v>
      </c>
      <c r="O1" s="21" t="s">
        <v>9</v>
      </c>
      <c r="P1" s="21" t="s">
        <v>10</v>
      </c>
      <c r="Q1" s="21" t="s">
        <v>139</v>
      </c>
      <c r="R1" s="21" t="s">
        <v>11</v>
      </c>
      <c r="S1" s="21" t="s">
        <v>12</v>
      </c>
      <c r="T1" s="21" t="s">
        <v>1365</v>
      </c>
      <c r="U1" s="21" t="s">
        <v>140</v>
      </c>
      <c r="V1" s="21" t="s">
        <v>13</v>
      </c>
      <c r="W1" s="21" t="s">
        <v>14</v>
      </c>
      <c r="X1" s="21" t="s">
        <v>15</v>
      </c>
      <c r="Y1" s="21" t="s">
        <v>141</v>
      </c>
      <c r="Z1" s="21" t="s">
        <v>142</v>
      </c>
      <c r="AA1" s="21" t="s">
        <v>1370</v>
      </c>
      <c r="AB1" s="21" t="s">
        <v>1371</v>
      </c>
      <c r="AC1" s="21" t="s">
        <v>1372</v>
      </c>
      <c r="AD1" s="21" t="s">
        <v>1373</v>
      </c>
      <c r="AE1" s="21" t="s">
        <v>1374</v>
      </c>
      <c r="AF1" s="21" t="s">
        <v>17</v>
      </c>
      <c r="AG1" s="21" t="s">
        <v>18</v>
      </c>
      <c r="AH1" s="21" t="s">
        <v>19</v>
      </c>
      <c r="AI1" s="21" t="s">
        <v>20</v>
      </c>
      <c r="AJ1" s="21" t="s">
        <v>21</v>
      </c>
      <c r="AK1" s="21" t="s">
        <v>143</v>
      </c>
      <c r="AL1" s="21" t="s">
        <v>22</v>
      </c>
      <c r="AM1" s="21" t="s">
        <v>24</v>
      </c>
      <c r="AN1" s="21" t="s">
        <v>25</v>
      </c>
    </row>
    <row r="2" spans="1:40">
      <c r="A2" s="29"/>
      <c r="B2" s="22"/>
      <c r="C2" s="22"/>
      <c r="D2" s="22"/>
      <c r="E2" s="20"/>
      <c r="F2" s="22"/>
      <c r="G2" s="22"/>
      <c r="H2" s="20"/>
      <c r="I2" s="22"/>
      <c r="J2" s="20"/>
      <c r="K2" s="20"/>
      <c r="L2" s="22"/>
      <c r="M2" s="22"/>
      <c r="N2" s="22"/>
      <c r="O2" s="22"/>
      <c r="P2" s="22"/>
      <c r="Q2" s="22"/>
      <c r="R2" s="20"/>
      <c r="S2" s="22"/>
      <c r="T2" s="22"/>
      <c r="U2" s="22"/>
      <c r="V2" s="22"/>
      <c r="W2" s="22"/>
      <c r="X2" s="22"/>
      <c r="Y2" s="20"/>
      <c r="Z2" s="23"/>
      <c r="AA2" s="22"/>
      <c r="AB2" s="22"/>
      <c r="AC2" s="23"/>
      <c r="AD2" s="23"/>
      <c r="AE2" s="22"/>
      <c r="AF2" s="22"/>
      <c r="AG2" s="22"/>
      <c r="AH2" s="22"/>
      <c r="AI2" s="22"/>
      <c r="AK2" s="39"/>
      <c r="AL2" s="22"/>
    </row>
    <row r="3" spans="1:40">
      <c r="A3" s="22"/>
      <c r="B3" s="22"/>
      <c r="C3" s="22"/>
      <c r="D3" s="22"/>
      <c r="E3" s="20"/>
      <c r="F3" s="22"/>
      <c r="G3" s="22"/>
      <c r="H3" s="20"/>
      <c r="I3" s="22"/>
      <c r="J3" s="20"/>
      <c r="K3" s="20"/>
      <c r="L3" s="22"/>
      <c r="M3" s="22"/>
      <c r="N3" s="22"/>
      <c r="O3" s="22"/>
      <c r="P3" s="22"/>
      <c r="Q3" s="22"/>
      <c r="R3" s="20"/>
      <c r="S3" s="22"/>
      <c r="T3" s="22"/>
      <c r="U3" s="22"/>
      <c r="V3" s="22"/>
      <c r="W3" s="22"/>
      <c r="X3" s="22"/>
      <c r="Y3" s="20"/>
      <c r="Z3" s="20"/>
      <c r="AA3" s="22"/>
      <c r="AB3" s="22"/>
      <c r="AC3" s="40"/>
      <c r="AF3" s="22"/>
      <c r="AG3" s="23"/>
      <c r="AH3" s="22"/>
      <c r="AI3" s="22"/>
      <c r="AK3" s="22"/>
      <c r="AL3" s="22"/>
    </row>
    <row r="4" spans="1:40">
      <c r="A4" s="22"/>
      <c r="B4" s="22"/>
      <c r="C4" s="22"/>
      <c r="D4" s="22"/>
      <c r="E4" s="20"/>
      <c r="F4" s="22"/>
      <c r="G4" s="22"/>
      <c r="H4" s="20"/>
      <c r="I4" s="22"/>
      <c r="J4" s="20"/>
      <c r="K4" s="20"/>
      <c r="L4" s="22"/>
      <c r="M4" s="22"/>
      <c r="N4" s="22"/>
      <c r="O4" s="22"/>
      <c r="P4" s="22"/>
      <c r="Q4" s="22"/>
      <c r="R4" s="20"/>
      <c r="S4" s="22"/>
      <c r="T4" s="22"/>
      <c r="U4" s="22"/>
      <c r="V4" s="22"/>
      <c r="W4" s="22"/>
      <c r="X4" s="22"/>
      <c r="Y4" s="20"/>
      <c r="Z4" s="20"/>
      <c r="AA4" s="22"/>
      <c r="AB4" s="22"/>
      <c r="AD4" s="23"/>
      <c r="AE4" s="22"/>
      <c r="AF4" s="22"/>
      <c r="AG4" s="22"/>
      <c r="AH4" s="22"/>
      <c r="AI4" s="22"/>
      <c r="AK4" s="22"/>
      <c r="AL4" s="22"/>
    </row>
    <row r="5" spans="1:40">
      <c r="A5" s="22"/>
      <c r="B5" s="22"/>
      <c r="C5" s="22"/>
      <c r="D5" s="22"/>
      <c r="E5" s="20"/>
      <c r="F5" s="22"/>
      <c r="G5" s="22"/>
      <c r="H5" s="20"/>
      <c r="I5" s="22"/>
      <c r="J5" s="20"/>
      <c r="K5" s="20"/>
      <c r="L5" s="22"/>
      <c r="M5" s="22"/>
      <c r="N5" s="22"/>
      <c r="O5" s="22"/>
      <c r="P5" s="22"/>
      <c r="Q5" s="22"/>
      <c r="R5" s="20"/>
      <c r="S5" s="22"/>
      <c r="T5" s="22"/>
      <c r="U5" s="22"/>
      <c r="V5" s="22"/>
      <c r="W5" s="22"/>
      <c r="X5" s="22"/>
      <c r="Y5" s="20"/>
      <c r="Z5" s="20"/>
      <c r="AA5" s="22"/>
      <c r="AB5" s="22"/>
      <c r="AD5" s="23"/>
      <c r="AE5" s="22"/>
      <c r="AF5" s="22"/>
      <c r="AG5" s="22"/>
      <c r="AH5" s="22"/>
      <c r="AI5" s="22"/>
      <c r="AK5" s="22"/>
      <c r="AL5" s="22"/>
    </row>
    <row r="6" spans="1:40">
      <c r="A6" s="22"/>
      <c r="B6" s="22"/>
      <c r="C6" s="22"/>
      <c r="D6" s="22"/>
      <c r="E6" s="20"/>
      <c r="F6" s="22"/>
      <c r="G6" s="22"/>
      <c r="H6" s="20"/>
      <c r="I6" s="22"/>
      <c r="J6" s="20"/>
      <c r="K6" s="20"/>
      <c r="L6" s="22"/>
      <c r="M6" s="22"/>
      <c r="N6" s="22"/>
      <c r="O6" s="22"/>
      <c r="P6" s="22"/>
      <c r="Q6" s="22"/>
      <c r="R6" s="20"/>
      <c r="S6" s="22"/>
      <c r="T6" s="22"/>
      <c r="U6" s="22"/>
      <c r="V6" s="22"/>
      <c r="W6" s="22"/>
      <c r="X6" s="22"/>
      <c r="Y6" s="20"/>
      <c r="Z6" s="20"/>
      <c r="AA6" s="22"/>
      <c r="AB6" s="22"/>
      <c r="AD6" s="23"/>
      <c r="AE6" s="22"/>
      <c r="AF6" s="22"/>
      <c r="AG6" s="22"/>
      <c r="AH6" s="22"/>
      <c r="AI6" s="22"/>
      <c r="AK6" s="22"/>
      <c r="AL6" s="22"/>
    </row>
    <row r="7" spans="1:40">
      <c r="A7" s="22"/>
      <c r="B7" s="22"/>
      <c r="C7" s="22"/>
      <c r="D7" s="22"/>
      <c r="E7" s="20"/>
      <c r="F7" s="22"/>
      <c r="G7" s="22"/>
      <c r="H7" s="20"/>
      <c r="I7" s="22"/>
      <c r="J7" s="20"/>
      <c r="K7" s="20"/>
      <c r="L7" s="22"/>
      <c r="M7" s="22"/>
      <c r="N7" s="22"/>
      <c r="O7" s="22"/>
      <c r="P7" s="22"/>
      <c r="Q7" s="22"/>
      <c r="R7" s="20"/>
      <c r="S7" s="22"/>
      <c r="T7" s="22"/>
      <c r="U7" s="22"/>
      <c r="V7" s="22"/>
      <c r="W7" s="22"/>
      <c r="X7" s="22"/>
      <c r="Y7" s="20"/>
      <c r="Z7" s="20"/>
      <c r="AA7" s="22"/>
      <c r="AB7" s="22"/>
      <c r="AD7" s="23"/>
      <c r="AE7" s="22"/>
      <c r="AF7" s="22"/>
      <c r="AG7" s="22"/>
      <c r="AH7" s="22"/>
      <c r="AI7" s="22"/>
      <c r="AK7" s="22"/>
      <c r="AL7" s="22"/>
    </row>
    <row r="8" spans="1:40">
      <c r="A8" s="22"/>
      <c r="B8" s="22"/>
      <c r="C8" s="22"/>
      <c r="D8" s="22"/>
      <c r="E8" s="20"/>
      <c r="F8" s="22"/>
      <c r="G8" s="22"/>
      <c r="H8" s="20"/>
      <c r="I8" s="22"/>
      <c r="J8" s="20"/>
      <c r="K8" s="20"/>
      <c r="L8" s="22"/>
      <c r="M8" s="22"/>
      <c r="N8" s="22"/>
      <c r="O8" s="22"/>
      <c r="P8" s="22"/>
      <c r="Q8" s="22"/>
      <c r="R8" s="20"/>
      <c r="S8" s="22"/>
      <c r="T8" s="22"/>
      <c r="U8" s="22"/>
      <c r="V8" s="22"/>
      <c r="W8" s="22"/>
      <c r="X8" s="22"/>
      <c r="Y8" s="20"/>
      <c r="Z8" s="20"/>
      <c r="AA8" s="22"/>
      <c r="AB8" s="22"/>
      <c r="AD8" s="23"/>
      <c r="AE8" s="22"/>
      <c r="AF8" s="22"/>
      <c r="AG8" s="22"/>
      <c r="AH8" s="22"/>
      <c r="AI8" s="22"/>
      <c r="AK8" s="22"/>
      <c r="AL8" s="22"/>
    </row>
    <row r="9" spans="1:40">
      <c r="A9" s="22"/>
      <c r="B9" s="22"/>
      <c r="C9" s="22"/>
      <c r="D9" s="22"/>
      <c r="E9" s="20"/>
      <c r="F9" s="22"/>
      <c r="G9" s="22"/>
      <c r="H9" s="20"/>
      <c r="I9" s="22"/>
      <c r="J9" s="20"/>
      <c r="K9" s="20"/>
      <c r="L9" s="22"/>
      <c r="M9" s="22"/>
      <c r="N9" s="22"/>
      <c r="O9" s="22"/>
      <c r="P9" s="22"/>
      <c r="Q9" s="22"/>
      <c r="R9" s="20"/>
      <c r="S9" s="22"/>
      <c r="T9" s="22"/>
      <c r="U9" s="22"/>
      <c r="V9" s="22"/>
      <c r="W9" s="22"/>
      <c r="X9" s="22"/>
      <c r="Y9" s="20"/>
      <c r="Z9" s="20"/>
      <c r="AA9" s="22"/>
      <c r="AB9" s="22"/>
      <c r="AD9" s="23"/>
      <c r="AE9" s="22"/>
      <c r="AF9" s="22"/>
      <c r="AG9" s="22"/>
      <c r="AH9" s="22"/>
      <c r="AL9" s="22"/>
    </row>
    <row r="10" spans="1:40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2"/>
      <c r="Q10" s="22"/>
      <c r="R10" s="20"/>
      <c r="S10" s="22"/>
      <c r="T10" s="22"/>
      <c r="U10" s="22"/>
      <c r="V10" s="22"/>
      <c r="W10" s="22"/>
      <c r="X10" s="22"/>
      <c r="Y10" s="20"/>
      <c r="Z10" s="20"/>
      <c r="AA10" s="22"/>
      <c r="AB10" s="22"/>
      <c r="AD10" s="23"/>
      <c r="AE10" s="22"/>
      <c r="AF10" s="22"/>
      <c r="AG10" s="22"/>
      <c r="AH10" s="22"/>
      <c r="AL10" s="22"/>
    </row>
    <row r="11" spans="1:40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2"/>
      <c r="Q11" s="22"/>
      <c r="R11" s="20"/>
      <c r="S11" s="22"/>
      <c r="T11" s="22"/>
      <c r="U11" s="22"/>
      <c r="V11" s="22"/>
      <c r="W11" s="22"/>
      <c r="X11" s="22"/>
      <c r="Y11" s="20"/>
      <c r="Z11" s="20"/>
      <c r="AA11" s="22"/>
      <c r="AB11" s="22"/>
      <c r="AD11" s="23"/>
      <c r="AE11" s="22"/>
      <c r="AF11" s="22"/>
      <c r="AG11" s="22"/>
      <c r="AH11" s="22"/>
      <c r="AI11" s="22"/>
      <c r="AK11" s="22"/>
      <c r="AL11" s="22"/>
    </row>
    <row r="12" spans="1:40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2"/>
      <c r="Q12" s="22"/>
      <c r="R12" s="20"/>
      <c r="S12" s="22"/>
      <c r="T12" s="22"/>
      <c r="U12" s="22"/>
      <c r="V12" s="22"/>
      <c r="W12" s="22"/>
      <c r="X12" s="22"/>
      <c r="Y12" s="20"/>
      <c r="Z12" s="20"/>
      <c r="AA12" s="22"/>
      <c r="AB12" s="22"/>
      <c r="AD12" s="23"/>
      <c r="AE12" s="22"/>
      <c r="AF12" s="22"/>
      <c r="AG12" s="22"/>
      <c r="AH12" s="22"/>
      <c r="AI12" s="22"/>
      <c r="AK12" s="22"/>
      <c r="AL12" s="22"/>
    </row>
    <row r="13" spans="1:40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2"/>
      <c r="Q13" s="22"/>
      <c r="R13" s="20"/>
      <c r="S13" s="22"/>
      <c r="T13" s="22"/>
      <c r="U13" s="22"/>
      <c r="V13" s="22"/>
      <c r="W13" s="22"/>
      <c r="X13" s="22"/>
      <c r="Y13" s="20"/>
      <c r="Z13" s="20"/>
      <c r="AA13" s="22"/>
      <c r="AB13" s="22"/>
      <c r="AD13" s="23"/>
      <c r="AE13" s="22"/>
      <c r="AF13" s="22"/>
      <c r="AG13" s="22"/>
      <c r="AH13" s="22"/>
      <c r="AI13" s="22"/>
      <c r="AK13" s="22"/>
      <c r="AL13" s="22"/>
    </row>
    <row r="14" spans="1:40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2"/>
      <c r="Q14" s="22"/>
      <c r="R14" s="20"/>
      <c r="S14" s="22"/>
      <c r="T14" s="22"/>
      <c r="U14" s="22"/>
      <c r="V14" s="22"/>
      <c r="W14" s="22"/>
      <c r="X14" s="22"/>
      <c r="Y14" s="20"/>
      <c r="Z14" s="20"/>
      <c r="AA14" s="22"/>
      <c r="AB14" s="22"/>
      <c r="AD14" s="23"/>
      <c r="AE14" s="22"/>
      <c r="AF14" s="22"/>
      <c r="AG14" s="22"/>
      <c r="AH14" s="22"/>
      <c r="AI14" s="22"/>
      <c r="AK14" s="22"/>
      <c r="AL14" s="22"/>
    </row>
    <row r="15" spans="1:40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2"/>
      <c r="Q15" s="22"/>
      <c r="R15" s="20"/>
      <c r="S15" s="22"/>
      <c r="T15" s="22"/>
      <c r="U15" s="22"/>
      <c r="V15" s="22"/>
      <c r="W15" s="22"/>
      <c r="X15" s="22"/>
      <c r="Y15" s="20"/>
      <c r="Z15" s="20"/>
      <c r="AA15" s="22"/>
      <c r="AB15" s="22"/>
      <c r="AD15" s="23"/>
      <c r="AE15" s="22"/>
      <c r="AF15" s="22"/>
      <c r="AG15" s="22"/>
      <c r="AH15" s="22"/>
      <c r="AI15" s="22"/>
      <c r="AK15" s="22"/>
      <c r="AL15" s="22"/>
    </row>
    <row r="16" spans="1:40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2"/>
      <c r="Q16" s="22"/>
      <c r="R16" s="20"/>
      <c r="S16" s="22"/>
      <c r="T16" s="22"/>
      <c r="U16" s="22"/>
      <c r="V16" s="22"/>
      <c r="W16" s="22"/>
      <c r="X16" s="22"/>
      <c r="Y16" s="20"/>
      <c r="Z16" s="20"/>
      <c r="AA16" s="22"/>
      <c r="AB16" s="22"/>
      <c r="AD16" s="23"/>
      <c r="AE16" s="22"/>
      <c r="AF16" s="22"/>
      <c r="AG16" s="22"/>
      <c r="AH16" s="22"/>
      <c r="AI16" s="22"/>
      <c r="AK16" s="22"/>
      <c r="AL16" s="22"/>
    </row>
    <row r="17" spans="1:38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2"/>
      <c r="Q17" s="22"/>
      <c r="R17" s="20"/>
      <c r="S17" s="22"/>
      <c r="T17" s="22"/>
      <c r="U17" s="22"/>
      <c r="V17" s="22"/>
      <c r="W17" s="22"/>
      <c r="X17" s="22"/>
      <c r="Y17" s="20"/>
      <c r="Z17" s="20"/>
      <c r="AA17" s="22"/>
      <c r="AB17" s="22"/>
      <c r="AD17" s="23"/>
      <c r="AE17" s="22"/>
      <c r="AF17" s="22"/>
      <c r="AG17" s="22"/>
      <c r="AH17" s="22"/>
      <c r="AI17" s="22"/>
      <c r="AK17" s="22"/>
      <c r="AL17" s="22"/>
    </row>
    <row r="18" spans="1:38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2"/>
      <c r="Q18" s="22"/>
      <c r="R18" s="20"/>
      <c r="S18" s="22"/>
      <c r="T18" s="22"/>
      <c r="U18" s="22"/>
      <c r="V18" s="22"/>
      <c r="W18" s="22"/>
      <c r="X18" s="22"/>
      <c r="Y18" s="20"/>
      <c r="Z18" s="20"/>
      <c r="AA18" s="22"/>
      <c r="AB18" s="22"/>
      <c r="AD18" s="23"/>
      <c r="AE18" s="22"/>
      <c r="AF18" s="22"/>
      <c r="AG18" s="22"/>
      <c r="AH18" s="22"/>
      <c r="AI18" s="22"/>
      <c r="AK18" s="22"/>
      <c r="AL18" s="22"/>
    </row>
    <row r="19" spans="1:38">
      <c r="A19" s="22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2"/>
      <c r="Q19" s="22"/>
      <c r="R19" s="20"/>
      <c r="S19" s="22"/>
      <c r="T19" s="22"/>
      <c r="U19" s="22"/>
      <c r="V19" s="22"/>
      <c r="W19" s="22"/>
      <c r="X19" s="22"/>
      <c r="Y19" s="20"/>
      <c r="Z19" s="20"/>
      <c r="AA19" s="22"/>
      <c r="AB19" s="22"/>
      <c r="AD19" s="23"/>
      <c r="AE19" s="22"/>
      <c r="AF19" s="22"/>
      <c r="AG19" s="22"/>
      <c r="AH19" s="22"/>
      <c r="AI19" s="22"/>
      <c r="AK19" s="22"/>
      <c r="AL19" s="22"/>
    </row>
    <row r="20" spans="1:38">
      <c r="E20" s="20"/>
      <c r="H20" s="20"/>
      <c r="I20" s="22"/>
      <c r="J20" s="20"/>
      <c r="K20" s="20"/>
      <c r="L20" s="22"/>
      <c r="M20" s="22"/>
      <c r="P20" s="22"/>
      <c r="Q20" s="22"/>
      <c r="T20" s="22"/>
      <c r="U20" s="22"/>
      <c r="Y20" s="20"/>
      <c r="Z20" s="20"/>
      <c r="AA20" s="22"/>
      <c r="AB20" s="22"/>
      <c r="AL20" s="22"/>
    </row>
    <row r="21" spans="1:38">
      <c r="Y21" s="44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Z1" workbookViewId="0">
      <selection activeCell="AA27" sqref="AA27:AA28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137</v>
      </c>
      <c r="N1" s="21" t="s">
        <v>138</v>
      </c>
      <c r="O1" s="177" t="s">
        <v>1364</v>
      </c>
      <c r="P1" s="21" t="s">
        <v>9</v>
      </c>
      <c r="Q1" s="21" t="s">
        <v>10</v>
      </c>
      <c r="R1" s="21" t="s">
        <v>139</v>
      </c>
      <c r="S1" s="21" t="s">
        <v>11</v>
      </c>
      <c r="T1" s="21" t="s">
        <v>12</v>
      </c>
      <c r="U1" s="21" t="s">
        <v>13</v>
      </c>
      <c r="V1" s="164" t="s">
        <v>15</v>
      </c>
      <c r="W1" s="164" t="s">
        <v>14</v>
      </c>
      <c r="X1" s="21" t="s">
        <v>141</v>
      </c>
      <c r="Y1" s="21" t="s">
        <v>142</v>
      </c>
      <c r="Z1" s="21" t="s">
        <v>1370</v>
      </c>
      <c r="AA1" s="21" t="s">
        <v>1371</v>
      </c>
      <c r="AB1" s="177" t="s">
        <v>1373</v>
      </c>
      <c r="AC1" s="177" t="s">
        <v>1374</v>
      </c>
      <c r="AD1" s="21" t="s">
        <v>17</v>
      </c>
      <c r="AE1" s="162" t="s">
        <v>18</v>
      </c>
      <c r="AF1" s="168" t="s">
        <v>19</v>
      </c>
      <c r="AG1" s="21" t="s">
        <v>20</v>
      </c>
      <c r="AH1" s="21" t="s">
        <v>21</v>
      </c>
      <c r="AI1" s="21" t="s">
        <v>143</v>
      </c>
      <c r="AJ1" s="21" t="s">
        <v>22</v>
      </c>
      <c r="AK1" s="164" t="s">
        <v>24</v>
      </c>
      <c r="AL1" s="164" t="s">
        <v>25</v>
      </c>
    </row>
    <row r="2" spans="1:38">
      <c r="A2" s="3">
        <v>288</v>
      </c>
      <c r="B2" s="22">
        <v>288</v>
      </c>
      <c r="C2" s="22" t="s">
        <v>1375</v>
      </c>
      <c r="D2" s="22" t="s">
        <v>1376</v>
      </c>
      <c r="E2" s="20" t="s">
        <v>147</v>
      </c>
      <c r="F2" s="22" t="s">
        <v>1377</v>
      </c>
      <c r="G2" s="22" t="s">
        <v>1378</v>
      </c>
      <c r="H2" s="22" t="s">
        <v>43</v>
      </c>
      <c r="I2" s="22" t="s">
        <v>151</v>
      </c>
      <c r="J2" s="20" t="s">
        <v>30</v>
      </c>
      <c r="K2" s="20" t="s">
        <v>30</v>
      </c>
      <c r="L2" s="22" t="s">
        <v>31</v>
      </c>
      <c r="M2" s="22" t="s">
        <v>813</v>
      </c>
      <c r="N2" s="22" t="s">
        <v>154</v>
      </c>
      <c r="O2" s="178" t="s">
        <v>1379</v>
      </c>
      <c r="P2" s="22" t="s">
        <v>118</v>
      </c>
      <c r="Q2" s="22" t="s">
        <v>118</v>
      </c>
      <c r="R2" s="22" t="s">
        <v>118</v>
      </c>
      <c r="S2" s="20" t="s">
        <v>44</v>
      </c>
      <c r="T2" s="156">
        <v>0.01</v>
      </c>
      <c r="U2" s="22" t="s">
        <v>1380</v>
      </c>
      <c r="V2" s="170">
        <v>1E-4</v>
      </c>
      <c r="W2" s="165">
        <v>3.5000000000000003E-2</v>
      </c>
      <c r="X2" s="20" t="s">
        <v>159</v>
      </c>
      <c r="Y2" s="30" t="s">
        <v>154</v>
      </c>
      <c r="Z2" s="22" t="s">
        <v>31</v>
      </c>
      <c r="AA2" s="22" t="s">
        <v>1381</v>
      </c>
      <c r="AB2" s="179" t="s">
        <v>1382</v>
      </c>
      <c r="AC2" s="178" t="s">
        <v>1382</v>
      </c>
      <c r="AD2" s="156">
        <v>1370500</v>
      </c>
      <c r="AE2" s="171">
        <v>1</v>
      </c>
      <c r="AF2" s="172">
        <v>0</v>
      </c>
      <c r="AG2" s="156">
        <v>1E-3</v>
      </c>
      <c r="AH2" s="22"/>
      <c r="AI2" s="39"/>
      <c r="AJ2" s="23" t="s">
        <v>36</v>
      </c>
      <c r="AK2" s="165">
        <v>1.4422081934431501E-7</v>
      </c>
      <c r="AL2" s="165">
        <v>5.34518352901241E-10</v>
      </c>
    </row>
    <row r="3" spans="1:38">
      <c r="A3" s="22">
        <v>288</v>
      </c>
      <c r="B3" s="22">
        <v>288</v>
      </c>
      <c r="C3" s="22" t="s">
        <v>1383</v>
      </c>
      <c r="D3" s="22" t="s">
        <v>1384</v>
      </c>
      <c r="E3" s="20" t="s">
        <v>147</v>
      </c>
      <c r="F3" s="22" t="s">
        <v>1385</v>
      </c>
      <c r="G3" s="22" t="s">
        <v>1386</v>
      </c>
      <c r="H3" s="22" t="s">
        <v>150</v>
      </c>
      <c r="I3" s="22" t="s">
        <v>31</v>
      </c>
      <c r="J3" s="20" t="s">
        <v>30</v>
      </c>
      <c r="K3" s="20" t="s">
        <v>30</v>
      </c>
      <c r="L3" s="22" t="s">
        <v>1387</v>
      </c>
      <c r="M3" s="22" t="s">
        <v>1388</v>
      </c>
      <c r="N3" s="22" t="s">
        <v>154</v>
      </c>
      <c r="O3" s="178" t="s">
        <v>1389</v>
      </c>
      <c r="P3" s="22" t="s">
        <v>118</v>
      </c>
      <c r="Q3" s="22" t="s">
        <v>118</v>
      </c>
      <c r="R3" s="22" t="s">
        <v>118</v>
      </c>
      <c r="S3" s="20" t="s">
        <v>44</v>
      </c>
      <c r="T3" s="156">
        <v>0.01</v>
      </c>
      <c r="U3" s="22" t="s">
        <v>1390</v>
      </c>
      <c r="V3" s="170">
        <v>1E-4</v>
      </c>
      <c r="W3" s="165">
        <v>0.06</v>
      </c>
      <c r="X3" s="20" t="s">
        <v>159</v>
      </c>
      <c r="Y3" s="20" t="s">
        <v>154</v>
      </c>
      <c r="Z3" s="22" t="s">
        <v>1391</v>
      </c>
      <c r="AA3" s="22" t="s">
        <v>1392</v>
      </c>
      <c r="AB3" s="179" t="s">
        <v>1393</v>
      </c>
      <c r="AC3" s="178" t="s">
        <v>1394</v>
      </c>
      <c r="AD3" s="156">
        <v>0.08</v>
      </c>
      <c r="AE3" s="171">
        <v>1</v>
      </c>
      <c r="AF3" s="172">
        <v>0</v>
      </c>
      <c r="AG3" s="156">
        <v>0</v>
      </c>
      <c r="AH3" s="22"/>
      <c r="AI3" s="22"/>
      <c r="AJ3" s="23" t="s">
        <v>36</v>
      </c>
      <c r="AK3" s="165">
        <v>8.41858120945E-17</v>
      </c>
      <c r="AL3" s="165">
        <v>3.1201363180000002E-19</v>
      </c>
    </row>
    <row r="4" spans="1:38">
      <c r="A4" s="22">
        <v>288</v>
      </c>
      <c r="B4" s="22">
        <v>288</v>
      </c>
      <c r="C4" s="22" t="s">
        <v>1395</v>
      </c>
      <c r="D4" s="22" t="s">
        <v>1396</v>
      </c>
      <c r="E4" s="20" t="s">
        <v>147</v>
      </c>
      <c r="F4" s="22" t="s">
        <v>1397</v>
      </c>
      <c r="G4" s="22" t="s">
        <v>1398</v>
      </c>
      <c r="H4" s="22" t="s">
        <v>150</v>
      </c>
      <c r="I4" s="22" t="s">
        <v>183</v>
      </c>
      <c r="J4" s="20" t="s">
        <v>30</v>
      </c>
      <c r="K4" s="20" t="s">
        <v>30</v>
      </c>
      <c r="L4" s="22" t="s">
        <v>31</v>
      </c>
      <c r="M4" s="22" t="s">
        <v>208</v>
      </c>
      <c r="N4" s="22" t="s">
        <v>154</v>
      </c>
      <c r="O4" s="179" t="s">
        <v>1399</v>
      </c>
      <c r="P4" s="22" t="s">
        <v>1400</v>
      </c>
      <c r="Q4" s="22" t="s">
        <v>156</v>
      </c>
      <c r="R4" s="22" t="s">
        <v>157</v>
      </c>
      <c r="S4" s="22" t="s">
        <v>44</v>
      </c>
      <c r="T4" s="156">
        <v>0.01</v>
      </c>
      <c r="U4" s="22" t="s">
        <v>1401</v>
      </c>
      <c r="V4" s="170">
        <v>0.12180000000000001</v>
      </c>
      <c r="W4" s="165">
        <v>5.3499999999999999E-2</v>
      </c>
      <c r="X4" s="20" t="s">
        <v>171</v>
      </c>
      <c r="Y4" s="20" t="s">
        <v>154</v>
      </c>
      <c r="Z4" s="22" t="s">
        <v>1391</v>
      </c>
      <c r="AA4" s="22" t="s">
        <v>1392</v>
      </c>
      <c r="AB4" s="179" t="s">
        <v>1382</v>
      </c>
      <c r="AC4" s="179" t="s">
        <v>1382</v>
      </c>
      <c r="AD4" s="154">
        <v>2891751.62</v>
      </c>
      <c r="AE4" s="171">
        <v>1</v>
      </c>
      <c r="AF4" s="172">
        <v>14.75</v>
      </c>
      <c r="AG4" s="156">
        <v>426.53300000000002</v>
      </c>
      <c r="AH4" s="22"/>
      <c r="AI4" s="22"/>
      <c r="AJ4" s="23" t="s">
        <v>36</v>
      </c>
      <c r="AK4" s="165">
        <v>4.4885072036888601E-2</v>
      </c>
      <c r="AL4" s="165">
        <v>1.66355279938694E-4</v>
      </c>
    </row>
    <row r="5" spans="1:38">
      <c r="A5" s="22">
        <v>288</v>
      </c>
      <c r="B5" s="22">
        <v>288</v>
      </c>
      <c r="C5" s="22" t="s">
        <v>1402</v>
      </c>
      <c r="D5" s="22" t="s">
        <v>1403</v>
      </c>
      <c r="E5" s="20" t="s">
        <v>147</v>
      </c>
      <c r="F5" s="22" t="s">
        <v>1404</v>
      </c>
      <c r="G5" s="22" t="s">
        <v>1405</v>
      </c>
      <c r="H5" s="22" t="s">
        <v>43</v>
      </c>
      <c r="I5" s="22" t="s">
        <v>183</v>
      </c>
      <c r="J5" s="20" t="s">
        <v>30</v>
      </c>
      <c r="K5" s="20" t="s">
        <v>30</v>
      </c>
      <c r="L5" s="22" t="s">
        <v>31</v>
      </c>
      <c r="M5" s="22" t="s">
        <v>548</v>
      </c>
      <c r="N5" s="22" t="s">
        <v>154</v>
      </c>
      <c r="O5" s="178" t="s">
        <v>1379</v>
      </c>
      <c r="P5" s="22" t="s">
        <v>1400</v>
      </c>
      <c r="Q5" s="22" t="s">
        <v>156</v>
      </c>
      <c r="R5" s="22" t="s">
        <v>157</v>
      </c>
      <c r="S5" s="20" t="s">
        <v>44</v>
      </c>
      <c r="T5" s="156">
        <v>1E-3</v>
      </c>
      <c r="U5" s="22" t="s">
        <v>1406</v>
      </c>
      <c r="V5" s="170">
        <v>0</v>
      </c>
      <c r="W5" s="165">
        <v>6.5000000000000002E-2</v>
      </c>
      <c r="X5" s="20" t="s">
        <v>171</v>
      </c>
      <c r="Y5" s="20" t="s">
        <v>787</v>
      </c>
      <c r="Z5" s="22" t="s">
        <v>31</v>
      </c>
      <c r="AA5" s="22" t="s">
        <v>1392</v>
      </c>
      <c r="AB5" s="179" t="s">
        <v>1407</v>
      </c>
      <c r="AC5" s="178" t="s">
        <v>1394</v>
      </c>
      <c r="AD5" s="156">
        <v>490840.41</v>
      </c>
      <c r="AE5" s="171">
        <v>1</v>
      </c>
      <c r="AF5" s="172">
        <v>0</v>
      </c>
      <c r="AG5" s="154">
        <v>0</v>
      </c>
      <c r="AJ5" s="23" t="s">
        <v>36</v>
      </c>
      <c r="AK5" s="165">
        <v>5.1652248155782105E-10</v>
      </c>
      <c r="AL5" s="165">
        <v>1.9143612367060898E-12</v>
      </c>
    </row>
    <row r="6" spans="1:38">
      <c r="A6" s="22">
        <v>288</v>
      </c>
      <c r="B6" s="22">
        <v>288</v>
      </c>
      <c r="C6" s="22" t="s">
        <v>1408</v>
      </c>
      <c r="D6" s="22" t="s">
        <v>1409</v>
      </c>
      <c r="E6" s="20" t="s">
        <v>147</v>
      </c>
      <c r="F6" s="22" t="s">
        <v>1410</v>
      </c>
      <c r="G6" s="22" t="s">
        <v>1411</v>
      </c>
      <c r="H6" s="22" t="s">
        <v>150</v>
      </c>
      <c r="I6" s="22" t="s">
        <v>183</v>
      </c>
      <c r="J6" s="20" t="s">
        <v>30</v>
      </c>
      <c r="K6" s="20" t="s">
        <v>30</v>
      </c>
      <c r="L6" s="22" t="s">
        <v>31</v>
      </c>
      <c r="M6" s="22" t="s">
        <v>353</v>
      </c>
      <c r="N6" s="22" t="s">
        <v>154</v>
      </c>
      <c r="O6" s="178" t="s">
        <v>1379</v>
      </c>
      <c r="P6" s="22" t="s">
        <v>457</v>
      </c>
      <c r="Q6" s="22" t="s">
        <v>156</v>
      </c>
      <c r="R6" s="22" t="s">
        <v>157</v>
      </c>
      <c r="S6" s="20" t="s">
        <v>44</v>
      </c>
      <c r="T6" s="156">
        <v>0.06</v>
      </c>
      <c r="U6" s="22" t="s">
        <v>1412</v>
      </c>
      <c r="V6" s="170">
        <v>2.8400000000000002E-2</v>
      </c>
      <c r="W6" s="165">
        <v>7.7499999999999999E-2</v>
      </c>
      <c r="X6" s="20" t="s">
        <v>159</v>
      </c>
      <c r="Y6" s="20" t="s">
        <v>154</v>
      </c>
      <c r="Z6" s="22" t="s">
        <v>1413</v>
      </c>
      <c r="AA6" s="22" t="s">
        <v>1392</v>
      </c>
      <c r="AB6" s="179" t="s">
        <v>1382</v>
      </c>
      <c r="AC6" s="178" t="s">
        <v>1382</v>
      </c>
      <c r="AD6" s="156">
        <v>20752.77</v>
      </c>
      <c r="AE6" s="171">
        <v>1</v>
      </c>
      <c r="AF6" s="172">
        <v>149.13999999999999</v>
      </c>
      <c r="AG6" s="154">
        <v>30.951000000000001</v>
      </c>
      <c r="AJ6" s="23" t="s">
        <v>36</v>
      </c>
      <c r="AK6" s="165">
        <v>3.2570102873081502E-3</v>
      </c>
      <c r="AL6" s="165">
        <v>1.2071293049570199E-5</v>
      </c>
    </row>
    <row r="7" spans="1:38">
      <c r="A7" s="22">
        <v>288</v>
      </c>
      <c r="B7" s="22">
        <v>288</v>
      </c>
      <c r="C7" s="22" t="s">
        <v>1414</v>
      </c>
      <c r="D7" s="22" t="s">
        <v>1415</v>
      </c>
      <c r="E7" s="20" t="s">
        <v>147</v>
      </c>
      <c r="F7" s="22" t="s">
        <v>1416</v>
      </c>
      <c r="G7" s="22" t="s">
        <v>1417</v>
      </c>
      <c r="H7" s="22" t="s">
        <v>150</v>
      </c>
      <c r="I7" s="22" t="s">
        <v>165</v>
      </c>
      <c r="J7" s="20" t="s">
        <v>30</v>
      </c>
      <c r="K7" s="20" t="s">
        <v>30</v>
      </c>
      <c r="L7" s="22" t="s">
        <v>1387</v>
      </c>
      <c r="M7" s="22" t="s">
        <v>208</v>
      </c>
      <c r="N7" s="22" t="s">
        <v>154</v>
      </c>
      <c r="O7" s="178" t="s">
        <v>1418</v>
      </c>
      <c r="P7" s="22" t="s">
        <v>228</v>
      </c>
      <c r="Q7" s="22" t="s">
        <v>656</v>
      </c>
      <c r="R7" s="22" t="s">
        <v>157</v>
      </c>
      <c r="S7" s="20" t="s">
        <v>44</v>
      </c>
      <c r="T7" s="156">
        <v>1.46</v>
      </c>
      <c r="U7" s="22" t="s">
        <v>269</v>
      </c>
      <c r="V7" s="170">
        <v>5.2999999999999999E-2</v>
      </c>
      <c r="W7" s="165">
        <v>4.4699999999999997E-2</v>
      </c>
      <c r="X7" s="20" t="s">
        <v>159</v>
      </c>
      <c r="Y7" s="20" t="s">
        <v>154</v>
      </c>
      <c r="Z7" s="22" t="s">
        <v>1413</v>
      </c>
      <c r="AA7" s="22" t="s">
        <v>1392</v>
      </c>
      <c r="AB7" s="179" t="s">
        <v>1382</v>
      </c>
      <c r="AC7" s="178" t="s">
        <v>1382</v>
      </c>
      <c r="AD7" s="156">
        <v>824790.99</v>
      </c>
      <c r="AE7" s="171">
        <v>1</v>
      </c>
      <c r="AF7" s="172">
        <v>100.02</v>
      </c>
      <c r="AG7" s="156">
        <v>824.95600000000002</v>
      </c>
      <c r="AH7" s="22"/>
      <c r="AI7" s="22"/>
      <c r="AJ7" s="23" t="s">
        <v>36</v>
      </c>
      <c r="AK7" s="165">
        <v>8.6811983051500605E-2</v>
      </c>
      <c r="AL7" s="165">
        <v>3.2174687679451002E-4</v>
      </c>
    </row>
    <row r="8" spans="1:38">
      <c r="A8" s="22">
        <v>288</v>
      </c>
      <c r="B8" s="22">
        <v>288</v>
      </c>
      <c r="C8" s="22" t="s">
        <v>1419</v>
      </c>
      <c r="D8" s="22" t="s">
        <v>1420</v>
      </c>
      <c r="E8" s="20" t="s">
        <v>147</v>
      </c>
      <c r="F8" s="22" t="s">
        <v>1421</v>
      </c>
      <c r="G8" s="22" t="s">
        <v>1422</v>
      </c>
      <c r="H8" s="22" t="s">
        <v>150</v>
      </c>
      <c r="I8" s="22" t="s">
        <v>165</v>
      </c>
      <c r="J8" s="20" t="s">
        <v>30</v>
      </c>
      <c r="K8" s="20" t="s">
        <v>30</v>
      </c>
      <c r="L8" s="22" t="s">
        <v>31</v>
      </c>
      <c r="M8" s="22" t="s">
        <v>826</v>
      </c>
      <c r="N8" s="22" t="s">
        <v>154</v>
      </c>
      <c r="O8" s="178" t="s">
        <v>1379</v>
      </c>
      <c r="P8" s="22" t="s">
        <v>118</v>
      </c>
      <c r="Q8" s="22" t="s">
        <v>118</v>
      </c>
      <c r="R8" s="22" t="s">
        <v>118</v>
      </c>
      <c r="S8" s="20" t="s">
        <v>44</v>
      </c>
      <c r="T8" s="156">
        <v>0</v>
      </c>
      <c r="U8" s="22" t="s">
        <v>1423</v>
      </c>
      <c r="V8" s="170">
        <v>0</v>
      </c>
      <c r="W8" s="165">
        <v>0</v>
      </c>
      <c r="X8" s="20" t="s">
        <v>171</v>
      </c>
      <c r="Y8" s="20" t="s">
        <v>787</v>
      </c>
      <c r="Z8" s="22" t="s">
        <v>31</v>
      </c>
      <c r="AA8" s="22" t="s">
        <v>1392</v>
      </c>
      <c r="AB8" s="179" t="s">
        <v>1424</v>
      </c>
      <c r="AC8" s="178" t="s">
        <v>1394</v>
      </c>
      <c r="AD8" s="156">
        <v>167923.85</v>
      </c>
      <c r="AE8" s="171">
        <v>1</v>
      </c>
      <c r="AF8" s="172">
        <v>0</v>
      </c>
      <c r="AG8" s="156">
        <v>0</v>
      </c>
      <c r="AH8" s="22"/>
      <c r="AI8" s="22"/>
      <c r="AJ8" s="23" t="s">
        <v>36</v>
      </c>
      <c r="AK8" s="165">
        <v>1.7671007102847E-10</v>
      </c>
      <c r="AL8" s="165">
        <v>6.5493162871094604E-13</v>
      </c>
    </row>
    <row r="9" spans="1:38">
      <c r="A9" s="22">
        <v>288</v>
      </c>
      <c r="B9" s="22">
        <v>288</v>
      </c>
      <c r="C9" s="22" t="s">
        <v>1419</v>
      </c>
      <c r="D9" s="22" t="s">
        <v>1420</v>
      </c>
      <c r="E9" s="20" t="s">
        <v>147</v>
      </c>
      <c r="F9" s="22" t="s">
        <v>1425</v>
      </c>
      <c r="G9" s="22" t="s">
        <v>1426</v>
      </c>
      <c r="H9" s="22" t="s">
        <v>150</v>
      </c>
      <c r="I9" s="22" t="s">
        <v>183</v>
      </c>
      <c r="J9" s="20" t="s">
        <v>30</v>
      </c>
      <c r="K9" s="20" t="s">
        <v>30</v>
      </c>
      <c r="L9" s="22" t="s">
        <v>31</v>
      </c>
      <c r="M9" s="22" t="s">
        <v>826</v>
      </c>
      <c r="N9" s="22" t="s">
        <v>154</v>
      </c>
      <c r="O9" s="178" t="s">
        <v>1379</v>
      </c>
      <c r="P9" s="22" t="s">
        <v>118</v>
      </c>
      <c r="Q9" s="22" t="s">
        <v>118</v>
      </c>
      <c r="R9" s="22" t="s">
        <v>118</v>
      </c>
      <c r="S9" s="20" t="s">
        <v>44</v>
      </c>
      <c r="T9" s="156">
        <v>0</v>
      </c>
      <c r="U9" s="22" t="s">
        <v>1423</v>
      </c>
      <c r="V9" s="170">
        <v>0</v>
      </c>
      <c r="W9" s="165">
        <v>0</v>
      </c>
      <c r="X9" s="20" t="s">
        <v>171</v>
      </c>
      <c r="Y9" s="20" t="s">
        <v>787</v>
      </c>
      <c r="Z9" s="22" t="s">
        <v>31</v>
      </c>
      <c r="AA9" s="22" t="s">
        <v>1392</v>
      </c>
      <c r="AB9" s="179" t="s">
        <v>1424</v>
      </c>
      <c r="AC9" s="178" t="s">
        <v>1394</v>
      </c>
      <c r="AD9" s="156">
        <v>122989.29</v>
      </c>
      <c r="AE9" s="171">
        <v>1</v>
      </c>
      <c r="AF9" s="172">
        <v>0</v>
      </c>
      <c r="AG9" s="156">
        <v>0</v>
      </c>
      <c r="AH9" s="22"/>
      <c r="AI9" s="22"/>
      <c r="AJ9" s="23" t="s">
        <v>36</v>
      </c>
      <c r="AK9" s="165">
        <v>1.2942441571963201E-10</v>
      </c>
      <c r="AL9" s="165">
        <v>4.7967918799922003E-13</v>
      </c>
    </row>
    <row r="10" spans="1:38">
      <c r="A10" s="22">
        <v>288</v>
      </c>
      <c r="B10" s="22">
        <v>288</v>
      </c>
      <c r="C10" s="22" t="s">
        <v>612</v>
      </c>
      <c r="D10" s="22" t="s">
        <v>613</v>
      </c>
      <c r="E10" s="20" t="s">
        <v>147</v>
      </c>
      <c r="F10" s="22" t="s">
        <v>1427</v>
      </c>
      <c r="G10" s="22" t="s">
        <v>1428</v>
      </c>
      <c r="H10" s="22" t="s">
        <v>150</v>
      </c>
      <c r="I10" s="22" t="s">
        <v>183</v>
      </c>
      <c r="J10" s="20" t="s">
        <v>30</v>
      </c>
      <c r="K10" s="20" t="s">
        <v>30</v>
      </c>
      <c r="L10" s="22" t="s">
        <v>1387</v>
      </c>
      <c r="M10" s="22" t="s">
        <v>193</v>
      </c>
      <c r="N10" s="22" t="s">
        <v>154</v>
      </c>
      <c r="O10" s="178" t="s">
        <v>1429</v>
      </c>
      <c r="P10" s="22" t="s">
        <v>283</v>
      </c>
      <c r="Q10" s="22" t="s">
        <v>156</v>
      </c>
      <c r="R10" s="22" t="s">
        <v>157</v>
      </c>
      <c r="S10" s="20" t="s">
        <v>44</v>
      </c>
      <c r="T10" s="156">
        <v>9.4499999999999993</v>
      </c>
      <c r="U10" s="22" t="s">
        <v>1430</v>
      </c>
      <c r="V10" s="170">
        <v>2.7699999999999999E-2</v>
      </c>
      <c r="W10" s="165">
        <v>4.1000000000000002E-2</v>
      </c>
      <c r="X10" s="20" t="s">
        <v>159</v>
      </c>
      <c r="Y10" s="20" t="s">
        <v>154</v>
      </c>
      <c r="Z10" s="22" t="s">
        <v>1413</v>
      </c>
      <c r="AA10" s="22" t="s">
        <v>1392</v>
      </c>
      <c r="AB10" s="179" t="s">
        <v>1382</v>
      </c>
      <c r="AC10" s="178" t="s">
        <v>1382</v>
      </c>
      <c r="AD10" s="156">
        <v>553437.81999999995</v>
      </c>
      <c r="AE10" s="171">
        <v>1</v>
      </c>
      <c r="AF10" s="172">
        <v>139.55000000000001</v>
      </c>
      <c r="AG10" s="156">
        <v>772.322</v>
      </c>
      <c r="AH10" s="22"/>
      <c r="AI10" s="22"/>
      <c r="AJ10" s="23" t="s">
        <v>36</v>
      </c>
      <c r="AK10" s="165">
        <v>8.12732437415465E-2</v>
      </c>
      <c r="AL10" s="165">
        <v>3.0121892648493702E-4</v>
      </c>
    </row>
    <row r="11" spans="1:38">
      <c r="A11" s="22">
        <v>288</v>
      </c>
      <c r="B11" s="22">
        <v>288</v>
      </c>
      <c r="C11" s="22" t="s">
        <v>1431</v>
      </c>
      <c r="D11" s="22" t="s">
        <v>1432</v>
      </c>
      <c r="E11" s="20" t="s">
        <v>147</v>
      </c>
      <c r="F11" s="22" t="s">
        <v>1433</v>
      </c>
      <c r="G11" s="22" t="s">
        <v>1434</v>
      </c>
      <c r="H11" s="22" t="s">
        <v>150</v>
      </c>
      <c r="I11" s="22" t="s">
        <v>165</v>
      </c>
      <c r="J11" s="20" t="s">
        <v>30</v>
      </c>
      <c r="K11" s="20" t="s">
        <v>30</v>
      </c>
      <c r="L11" s="22" t="s">
        <v>1387</v>
      </c>
      <c r="M11" s="22" t="s">
        <v>184</v>
      </c>
      <c r="N11" s="22" t="s">
        <v>154</v>
      </c>
      <c r="O11" s="178" t="s">
        <v>1435</v>
      </c>
      <c r="P11" s="22" t="s">
        <v>442</v>
      </c>
      <c r="Q11" s="22" t="s">
        <v>169</v>
      </c>
      <c r="R11" s="22" t="s">
        <v>157</v>
      </c>
      <c r="S11" s="20" t="s">
        <v>44</v>
      </c>
      <c r="T11" s="156">
        <v>1.22</v>
      </c>
      <c r="U11" s="22" t="s">
        <v>269</v>
      </c>
      <c r="V11" s="170">
        <v>4.6399999999999997E-2</v>
      </c>
      <c r="W11" s="165">
        <v>3.1E-2</v>
      </c>
      <c r="X11" s="20" t="s">
        <v>159</v>
      </c>
      <c r="Y11" s="20" t="s">
        <v>154</v>
      </c>
      <c r="Z11" s="22" t="s">
        <v>1413</v>
      </c>
      <c r="AA11" s="22" t="s">
        <v>1392</v>
      </c>
      <c r="AB11" s="179" t="s">
        <v>1382</v>
      </c>
      <c r="AC11" s="178" t="s">
        <v>1382</v>
      </c>
      <c r="AD11" s="156">
        <v>524904.5</v>
      </c>
      <c r="AE11" s="171">
        <v>1</v>
      </c>
      <c r="AF11" s="172">
        <v>98.25</v>
      </c>
      <c r="AG11" s="156">
        <v>515.71900000000005</v>
      </c>
      <c r="AH11" s="22"/>
      <c r="AI11" s="22"/>
      <c r="AJ11" s="23" t="s">
        <v>36</v>
      </c>
      <c r="AK11" s="165">
        <v>5.4270243939318702E-2</v>
      </c>
      <c r="AL11" s="165">
        <v>2.01139069476079E-4</v>
      </c>
    </row>
    <row r="12" spans="1:38">
      <c r="A12" s="22">
        <v>288</v>
      </c>
      <c r="B12" s="22">
        <v>288</v>
      </c>
      <c r="C12" s="22" t="s">
        <v>1436</v>
      </c>
      <c r="D12" s="22" t="s">
        <v>1437</v>
      </c>
      <c r="E12" s="20" t="s">
        <v>43</v>
      </c>
      <c r="F12" s="22" t="s">
        <v>1436</v>
      </c>
      <c r="G12" s="22" t="s">
        <v>1437</v>
      </c>
      <c r="H12" s="22" t="s">
        <v>43</v>
      </c>
      <c r="I12" s="22" t="s">
        <v>183</v>
      </c>
      <c r="J12" s="20" t="s">
        <v>30</v>
      </c>
      <c r="K12" s="20" t="s">
        <v>30</v>
      </c>
      <c r="L12" s="22" t="s">
        <v>31</v>
      </c>
      <c r="M12" s="22" t="s">
        <v>353</v>
      </c>
      <c r="N12" s="22" t="s">
        <v>154</v>
      </c>
      <c r="O12" s="178" t="s">
        <v>1379</v>
      </c>
      <c r="P12" s="22" t="s">
        <v>1400</v>
      </c>
      <c r="Q12" s="22" t="s">
        <v>156</v>
      </c>
      <c r="R12" s="22" t="s">
        <v>157</v>
      </c>
      <c r="S12" s="20" t="s">
        <v>44</v>
      </c>
      <c r="T12" s="156">
        <v>0.01</v>
      </c>
      <c r="U12" s="22" t="s">
        <v>1438</v>
      </c>
      <c r="V12" s="170">
        <v>4.9500000000000002E-2</v>
      </c>
      <c r="W12" s="165">
        <v>4.9500000000000002E-2</v>
      </c>
      <c r="X12" s="20" t="s">
        <v>171</v>
      </c>
      <c r="Y12" s="20" t="s">
        <v>787</v>
      </c>
      <c r="Z12" s="22" t="s">
        <v>31</v>
      </c>
      <c r="AA12" s="22" t="s">
        <v>1392</v>
      </c>
      <c r="AB12" s="179" t="s">
        <v>1382</v>
      </c>
      <c r="AC12" s="178" t="s">
        <v>1382</v>
      </c>
      <c r="AD12" s="156">
        <v>285426.40999999997</v>
      </c>
      <c r="AE12" s="171">
        <v>1</v>
      </c>
      <c r="AF12" s="172">
        <v>0</v>
      </c>
      <c r="AG12" s="156">
        <v>0</v>
      </c>
      <c r="AH12" s="22"/>
      <c r="AI12" s="22"/>
      <c r="AJ12" s="23" t="s">
        <v>36</v>
      </c>
      <c r="AK12" s="165">
        <v>3.0036067648818903E-8</v>
      </c>
      <c r="AL12" s="165">
        <v>1.11321163478814E-10</v>
      </c>
    </row>
    <row r="13" spans="1:38">
      <c r="A13" s="22">
        <v>288</v>
      </c>
      <c r="B13" s="22">
        <v>288</v>
      </c>
      <c r="C13" s="22" t="s">
        <v>1439</v>
      </c>
      <c r="D13" s="22" t="s">
        <v>1440</v>
      </c>
      <c r="E13" s="20" t="s">
        <v>332</v>
      </c>
      <c r="F13" s="22" t="s">
        <v>1441</v>
      </c>
      <c r="G13" s="22" t="s">
        <v>1442</v>
      </c>
      <c r="H13" s="22" t="s">
        <v>150</v>
      </c>
      <c r="I13" s="22" t="s">
        <v>183</v>
      </c>
      <c r="J13" s="20" t="s">
        <v>30</v>
      </c>
      <c r="K13" s="20" t="s">
        <v>30</v>
      </c>
      <c r="L13" s="22" t="s">
        <v>1387</v>
      </c>
      <c r="M13" s="22" t="s">
        <v>193</v>
      </c>
      <c r="N13" s="22" t="s">
        <v>154</v>
      </c>
      <c r="O13" s="178" t="s">
        <v>1443</v>
      </c>
      <c r="P13" s="22" t="s">
        <v>199</v>
      </c>
      <c r="Q13" s="22" t="s">
        <v>156</v>
      </c>
      <c r="R13" s="22" t="s">
        <v>157</v>
      </c>
      <c r="S13" s="20" t="s">
        <v>44</v>
      </c>
      <c r="T13" s="156">
        <v>2.2999999999999998</v>
      </c>
      <c r="U13" s="22" t="s">
        <v>606</v>
      </c>
      <c r="V13" s="170">
        <v>3.3399999999999999E-2</v>
      </c>
      <c r="W13" s="165">
        <v>3.6400000000000002E-2</v>
      </c>
      <c r="X13" s="20" t="s">
        <v>159</v>
      </c>
      <c r="Y13" s="20" t="s">
        <v>154</v>
      </c>
      <c r="Z13" s="22" t="s">
        <v>1413</v>
      </c>
      <c r="AA13" s="22" t="s">
        <v>1392</v>
      </c>
      <c r="AB13" s="179" t="s">
        <v>1382</v>
      </c>
      <c r="AC13" s="178" t="s">
        <v>1382</v>
      </c>
      <c r="AD13" s="156">
        <v>1275000</v>
      </c>
      <c r="AE13" s="171">
        <v>1</v>
      </c>
      <c r="AF13" s="172">
        <v>108.84</v>
      </c>
      <c r="AG13" s="156">
        <v>1387.71</v>
      </c>
      <c r="AH13" s="22"/>
      <c r="AI13" s="22"/>
      <c r="AJ13" s="23" t="s">
        <v>36</v>
      </c>
      <c r="AK13" s="165">
        <v>0.14603186662699699</v>
      </c>
      <c r="AL13" s="165">
        <v>5.4123054615438297E-4</v>
      </c>
    </row>
    <row r="14" spans="1:38">
      <c r="A14" s="22">
        <v>288</v>
      </c>
      <c r="B14" s="22">
        <v>288</v>
      </c>
      <c r="C14" s="22" t="s">
        <v>1444</v>
      </c>
      <c r="D14" s="22" t="s">
        <v>1445</v>
      </c>
      <c r="E14" s="20" t="s">
        <v>147</v>
      </c>
      <c r="F14" s="22" t="s">
        <v>1446</v>
      </c>
      <c r="G14" s="22" t="s">
        <v>1447</v>
      </c>
      <c r="H14" s="22" t="s">
        <v>150</v>
      </c>
      <c r="I14" s="22" t="s">
        <v>165</v>
      </c>
      <c r="J14" s="20" t="s">
        <v>30</v>
      </c>
      <c r="K14" s="20" t="s">
        <v>30</v>
      </c>
      <c r="L14" s="22" t="s">
        <v>1387</v>
      </c>
      <c r="M14" s="22" t="s">
        <v>502</v>
      </c>
      <c r="N14" s="22" t="s">
        <v>154</v>
      </c>
      <c r="O14" s="178" t="s">
        <v>1448</v>
      </c>
      <c r="P14" s="22" t="s">
        <v>268</v>
      </c>
      <c r="Q14" s="22" t="s">
        <v>656</v>
      </c>
      <c r="R14" s="22" t="s">
        <v>157</v>
      </c>
      <c r="S14" s="20" t="s">
        <v>44</v>
      </c>
      <c r="T14" s="156">
        <v>0.66</v>
      </c>
      <c r="U14" s="22" t="s">
        <v>310</v>
      </c>
      <c r="V14" s="170">
        <v>5.3699999999999998E-2</v>
      </c>
      <c r="W14" s="165">
        <v>4.2999999999999997E-2</v>
      </c>
      <c r="X14" s="20" t="s">
        <v>159</v>
      </c>
      <c r="Y14" s="20" t="s">
        <v>154</v>
      </c>
      <c r="Z14" s="22" t="s">
        <v>1413</v>
      </c>
      <c r="AA14" s="22" t="s">
        <v>1392</v>
      </c>
      <c r="AB14" s="179" t="s">
        <v>1382</v>
      </c>
      <c r="AC14" s="178" t="s">
        <v>1382</v>
      </c>
      <c r="AD14" s="156">
        <v>1020000</v>
      </c>
      <c r="AE14" s="171">
        <v>1</v>
      </c>
      <c r="AF14" s="172">
        <v>100.43</v>
      </c>
      <c r="AG14" s="156">
        <v>1024.386</v>
      </c>
      <c r="AH14" s="22"/>
      <c r="AI14" s="22"/>
      <c r="AJ14" s="23" t="s">
        <v>36</v>
      </c>
      <c r="AK14" s="165">
        <v>0.107798459135239</v>
      </c>
      <c r="AL14" s="165">
        <v>3.9952799522443699E-4</v>
      </c>
    </row>
    <row r="15" spans="1:38">
      <c r="A15" s="22">
        <v>288</v>
      </c>
      <c r="B15" s="22">
        <v>288</v>
      </c>
      <c r="C15" s="22" t="s">
        <v>1414</v>
      </c>
      <c r="D15" s="22" t="s">
        <v>1415</v>
      </c>
      <c r="E15" s="20" t="s">
        <v>147</v>
      </c>
      <c r="F15" s="22" t="s">
        <v>1416</v>
      </c>
      <c r="G15" s="22" t="s">
        <v>1417</v>
      </c>
      <c r="H15" s="22" t="s">
        <v>150</v>
      </c>
      <c r="I15" s="22" t="s">
        <v>165</v>
      </c>
      <c r="J15" s="20" t="s">
        <v>30</v>
      </c>
      <c r="K15" s="20" t="s">
        <v>30</v>
      </c>
      <c r="L15" s="22" t="s">
        <v>1387</v>
      </c>
      <c r="M15" s="22" t="s">
        <v>208</v>
      </c>
      <c r="N15" s="22" t="s">
        <v>154</v>
      </c>
      <c r="O15" s="178" t="s">
        <v>1418</v>
      </c>
      <c r="P15" s="22" t="s">
        <v>228</v>
      </c>
      <c r="Q15" s="22" t="s">
        <v>656</v>
      </c>
      <c r="R15" s="22" t="s">
        <v>157</v>
      </c>
      <c r="S15" s="20" t="s">
        <v>44</v>
      </c>
      <c r="T15" s="156">
        <v>1.46</v>
      </c>
      <c r="U15" s="22" t="s">
        <v>269</v>
      </c>
      <c r="V15" s="170">
        <v>5.2999999999999999E-2</v>
      </c>
      <c r="W15" s="165">
        <v>4.4699999999999997E-2</v>
      </c>
      <c r="X15" s="20" t="s">
        <v>159</v>
      </c>
      <c r="Y15" s="20" t="s">
        <v>154</v>
      </c>
      <c r="Z15" s="22" t="s">
        <v>1413</v>
      </c>
      <c r="AA15" s="22" t="s">
        <v>1392</v>
      </c>
      <c r="AB15" s="179" t="s">
        <v>1382</v>
      </c>
      <c r="AC15" s="178" t="s">
        <v>1382</v>
      </c>
      <c r="AD15" s="156">
        <v>1411020.26</v>
      </c>
      <c r="AE15" s="171">
        <v>1</v>
      </c>
      <c r="AF15" s="172">
        <v>100.02</v>
      </c>
      <c r="AG15" s="156">
        <v>1411.3019999999999</v>
      </c>
      <c r="AH15" s="22"/>
      <c r="AI15" s="22"/>
      <c r="AJ15" s="23" t="s">
        <v>36</v>
      </c>
      <c r="AK15" s="165">
        <v>0.14851455505890501</v>
      </c>
      <c r="AL15" s="165">
        <v>5.5043200914304104E-4</v>
      </c>
    </row>
    <row r="16" spans="1:38">
      <c r="A16" s="22">
        <v>288</v>
      </c>
      <c r="B16" s="22">
        <v>288</v>
      </c>
      <c r="C16" s="22" t="s">
        <v>612</v>
      </c>
      <c r="D16" s="22" t="s">
        <v>613</v>
      </c>
      <c r="E16" s="20" t="s">
        <v>147</v>
      </c>
      <c r="F16" s="22" t="s">
        <v>1427</v>
      </c>
      <c r="G16" s="22" t="s">
        <v>1428</v>
      </c>
      <c r="H16" s="22" t="s">
        <v>150</v>
      </c>
      <c r="I16" s="22" t="s">
        <v>183</v>
      </c>
      <c r="J16" s="20" t="s">
        <v>30</v>
      </c>
      <c r="K16" s="20" t="s">
        <v>30</v>
      </c>
      <c r="L16" s="22" t="s">
        <v>1387</v>
      </c>
      <c r="M16" s="22" t="s">
        <v>193</v>
      </c>
      <c r="N16" s="22" t="s">
        <v>154</v>
      </c>
      <c r="O16" s="178" t="s">
        <v>1429</v>
      </c>
      <c r="P16" s="22" t="s">
        <v>283</v>
      </c>
      <c r="Q16" s="22" t="s">
        <v>156</v>
      </c>
      <c r="R16" s="22" t="s">
        <v>157</v>
      </c>
      <c r="S16" s="20" t="s">
        <v>44</v>
      </c>
      <c r="T16" s="156">
        <v>9.4499999999999993</v>
      </c>
      <c r="U16" s="22" t="s">
        <v>1430</v>
      </c>
      <c r="V16" s="170">
        <v>2.7699999999999999E-2</v>
      </c>
      <c r="W16" s="165">
        <v>4.1000000000000002E-2</v>
      </c>
      <c r="X16" s="20" t="s">
        <v>159</v>
      </c>
      <c r="Y16" s="20" t="s">
        <v>154</v>
      </c>
      <c r="Z16" s="22" t="s">
        <v>1413</v>
      </c>
      <c r="AA16" s="22" t="s">
        <v>1392</v>
      </c>
      <c r="AB16" s="179" t="s">
        <v>1382</v>
      </c>
      <c r="AC16" s="178" t="s">
        <v>1382</v>
      </c>
      <c r="AD16" s="156">
        <v>1946154.16</v>
      </c>
      <c r="AE16" s="171">
        <v>1</v>
      </c>
      <c r="AF16" s="172">
        <v>139.55000000000001</v>
      </c>
      <c r="AG16" s="156">
        <v>2715.8580000000002</v>
      </c>
      <c r="AH16" s="22"/>
      <c r="AI16" s="22"/>
      <c r="AJ16" s="23" t="s">
        <v>36</v>
      </c>
      <c r="AK16" s="165">
        <v>0.28579590278868999</v>
      </c>
      <c r="AL16" s="165">
        <v>1.0592309482019E-3</v>
      </c>
    </row>
    <row r="17" spans="1:38">
      <c r="A17" s="22">
        <v>288</v>
      </c>
      <c r="B17" s="22">
        <v>288</v>
      </c>
      <c r="C17" s="22" t="s">
        <v>1449</v>
      </c>
      <c r="D17" s="22" t="s">
        <v>1450</v>
      </c>
      <c r="E17" s="20" t="s">
        <v>147</v>
      </c>
      <c r="F17" s="22" t="s">
        <v>1451</v>
      </c>
      <c r="G17" s="22" t="s">
        <v>1452</v>
      </c>
      <c r="H17" s="22" t="s">
        <v>150</v>
      </c>
      <c r="I17" s="22" t="s">
        <v>165</v>
      </c>
      <c r="J17" s="20" t="s">
        <v>30</v>
      </c>
      <c r="K17" s="20" t="s">
        <v>30</v>
      </c>
      <c r="L17" s="22" t="s">
        <v>1387</v>
      </c>
      <c r="M17" s="22" t="s">
        <v>353</v>
      </c>
      <c r="N17" s="22" t="s">
        <v>154</v>
      </c>
      <c r="O17" s="178" t="s">
        <v>1453</v>
      </c>
      <c r="P17" s="22" t="s">
        <v>442</v>
      </c>
      <c r="Q17" s="22" t="s">
        <v>169</v>
      </c>
      <c r="R17" s="22" t="s">
        <v>157</v>
      </c>
      <c r="S17" s="20" t="s">
        <v>44</v>
      </c>
      <c r="T17" s="156">
        <v>0.33</v>
      </c>
      <c r="U17" s="22" t="s">
        <v>1454</v>
      </c>
      <c r="V17" s="170">
        <v>5.2200000000000003E-2</v>
      </c>
      <c r="W17" s="165">
        <v>6.5000000000000002E-2</v>
      </c>
      <c r="X17" s="20" t="s">
        <v>159</v>
      </c>
      <c r="Y17" s="20" t="s">
        <v>154</v>
      </c>
      <c r="Z17" s="22" t="s">
        <v>1413</v>
      </c>
      <c r="AA17" s="22" t="s">
        <v>1392</v>
      </c>
      <c r="AB17" s="179" t="s">
        <v>1382</v>
      </c>
      <c r="AC17" s="178" t="s">
        <v>1382</v>
      </c>
      <c r="AD17" s="156">
        <v>390627.6</v>
      </c>
      <c r="AE17" s="171">
        <v>1</v>
      </c>
      <c r="AF17" s="172">
        <v>100.62</v>
      </c>
      <c r="AG17" s="156">
        <v>393.04899999999998</v>
      </c>
      <c r="AH17" s="22"/>
      <c r="AI17" s="22"/>
      <c r="AJ17" s="23" t="s">
        <v>36</v>
      </c>
      <c r="AK17" s="165">
        <v>4.1361488254062301E-2</v>
      </c>
      <c r="AL17" s="165">
        <v>1.5329599898003201E-4</v>
      </c>
    </row>
    <row r="18" spans="1:38">
      <c r="A18" s="22">
        <v>288</v>
      </c>
      <c r="B18" s="22">
        <v>1451</v>
      </c>
      <c r="C18" s="22" t="s">
        <v>1414</v>
      </c>
      <c r="D18" s="22" t="s">
        <v>1415</v>
      </c>
      <c r="E18" s="20" t="s">
        <v>147</v>
      </c>
      <c r="F18" s="22" t="s">
        <v>1416</v>
      </c>
      <c r="G18" s="22" t="s">
        <v>1417</v>
      </c>
      <c r="H18" s="22" t="s">
        <v>150</v>
      </c>
      <c r="I18" s="22" t="s">
        <v>165</v>
      </c>
      <c r="J18" s="20" t="s">
        <v>30</v>
      </c>
      <c r="K18" s="20" t="s">
        <v>30</v>
      </c>
      <c r="L18" s="22" t="s">
        <v>1387</v>
      </c>
      <c r="M18" s="22" t="s">
        <v>208</v>
      </c>
      <c r="N18" s="22" t="s">
        <v>154</v>
      </c>
      <c r="O18" s="178" t="s">
        <v>1455</v>
      </c>
      <c r="P18" s="22" t="s">
        <v>228</v>
      </c>
      <c r="Q18" s="22" t="s">
        <v>656</v>
      </c>
      <c r="R18" s="22" t="s">
        <v>157</v>
      </c>
      <c r="S18" s="20" t="s">
        <v>44</v>
      </c>
      <c r="T18" s="156">
        <v>1.46</v>
      </c>
      <c r="U18" s="22" t="s">
        <v>269</v>
      </c>
      <c r="V18" s="170">
        <v>5.2999999999999999E-2</v>
      </c>
      <c r="W18" s="165">
        <v>4.4699999999999997E-2</v>
      </c>
      <c r="X18" s="20" t="s">
        <v>159</v>
      </c>
      <c r="Y18" s="20" t="s">
        <v>154</v>
      </c>
      <c r="Z18" s="22" t="s">
        <v>1413</v>
      </c>
      <c r="AA18" s="22" t="s">
        <v>1392</v>
      </c>
      <c r="AB18" s="179" t="s">
        <v>1382</v>
      </c>
      <c r="AC18" s="178" t="s">
        <v>1382</v>
      </c>
      <c r="AD18" s="156">
        <v>65384.800000000003</v>
      </c>
      <c r="AE18" s="171">
        <v>1</v>
      </c>
      <c r="AF18" s="172">
        <v>100.02</v>
      </c>
      <c r="AG18" s="156">
        <v>65.397999999999996</v>
      </c>
      <c r="AH18" s="22"/>
      <c r="AI18" s="22"/>
      <c r="AJ18" s="23" t="s">
        <v>36</v>
      </c>
      <c r="AK18" s="165">
        <v>1</v>
      </c>
      <c r="AL18" s="165">
        <v>1.3167900337739101E-3</v>
      </c>
    </row>
    <row r="19" spans="1:3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2"/>
      <c r="R19" s="22"/>
      <c r="S19" s="20"/>
      <c r="T19" s="22"/>
      <c r="U19" s="22"/>
      <c r="V19" s="22"/>
      <c r="X19" s="20"/>
      <c r="Y19" s="20"/>
      <c r="Z19" s="22"/>
      <c r="AA19" s="22"/>
      <c r="AC19" s="22"/>
      <c r="AD19" s="22"/>
      <c r="AE19" s="22"/>
      <c r="AF19" s="22"/>
      <c r="AG19" s="22"/>
      <c r="AH19" s="22"/>
      <c r="AI19" s="22"/>
      <c r="AJ19" s="23"/>
    </row>
    <row r="20" spans="1:38">
      <c r="E20" s="20"/>
      <c r="H20" s="22"/>
      <c r="I20" s="22"/>
      <c r="J20" s="20"/>
      <c r="K20" s="20"/>
      <c r="L20" s="22"/>
      <c r="M20" s="22"/>
      <c r="N20" s="22"/>
      <c r="Q20" s="22"/>
      <c r="R20" s="22"/>
      <c r="X20" s="20"/>
      <c r="Y20" s="20"/>
      <c r="AA20" s="22"/>
      <c r="AJ20" s="23"/>
    </row>
    <row r="21" spans="1:38">
      <c r="L21" s="41"/>
      <c r="X21" s="44"/>
    </row>
    <row r="22" spans="1:38">
      <c r="L22" s="3"/>
    </row>
    <row r="23" spans="1:38">
      <c r="L23" s="3"/>
    </row>
    <row r="24" spans="1:38">
      <c r="L24" s="3"/>
    </row>
    <row r="25" spans="1:38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N1" workbookViewId="0">
      <selection activeCell="R23" sqref="R23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144</v>
      </c>
      <c r="M1" s="21" t="s">
        <v>137</v>
      </c>
      <c r="N1" s="21" t="s">
        <v>138</v>
      </c>
      <c r="O1" s="177" t="s">
        <v>1364</v>
      </c>
      <c r="P1" s="21" t="s">
        <v>11</v>
      </c>
      <c r="Q1" s="21" t="s">
        <v>1370</v>
      </c>
      <c r="R1" s="21" t="s">
        <v>1371</v>
      </c>
      <c r="S1" s="177" t="s">
        <v>1373</v>
      </c>
      <c r="T1" s="177" t="s">
        <v>1374</v>
      </c>
      <c r="U1" s="21" t="s">
        <v>17</v>
      </c>
      <c r="V1" s="162" t="s">
        <v>18</v>
      </c>
      <c r="W1" s="168" t="s">
        <v>19</v>
      </c>
      <c r="X1" s="21" t="s">
        <v>20</v>
      </c>
      <c r="Y1" s="164" t="s">
        <v>24</v>
      </c>
      <c r="Z1" s="164" t="s">
        <v>25</v>
      </c>
    </row>
    <row r="2" spans="1:26">
      <c r="A2" s="22">
        <v>288</v>
      </c>
      <c r="B2" s="22">
        <v>288</v>
      </c>
      <c r="C2" s="22" t="s">
        <v>1375</v>
      </c>
      <c r="D2" s="22" t="s">
        <v>1376</v>
      </c>
      <c r="E2" s="20" t="s">
        <v>147</v>
      </c>
      <c r="F2" s="22" t="s">
        <v>1456</v>
      </c>
      <c r="G2" s="22" t="s">
        <v>1457</v>
      </c>
      <c r="H2" s="20" t="s">
        <v>150</v>
      </c>
      <c r="I2" s="22" t="s">
        <v>1458</v>
      </c>
      <c r="J2" s="20" t="s">
        <v>30</v>
      </c>
      <c r="K2" s="20" t="s">
        <v>30</v>
      </c>
      <c r="L2" s="22" t="s">
        <v>1387</v>
      </c>
      <c r="M2" s="22" t="s">
        <v>1459</v>
      </c>
      <c r="N2" s="22" t="s">
        <v>154</v>
      </c>
      <c r="O2" s="178" t="s">
        <v>1379</v>
      </c>
      <c r="P2" s="20" t="s">
        <v>44</v>
      </c>
      <c r="Q2" s="22" t="s">
        <v>31</v>
      </c>
      <c r="R2" s="22" t="s">
        <v>1392</v>
      </c>
      <c r="S2" s="178" t="s">
        <v>1382</v>
      </c>
      <c r="T2" s="178" t="s">
        <v>1382</v>
      </c>
      <c r="U2" s="156">
        <v>2811.56</v>
      </c>
      <c r="V2" s="171">
        <v>1</v>
      </c>
      <c r="W2" s="172">
        <v>0</v>
      </c>
      <c r="X2" s="156">
        <v>0</v>
      </c>
      <c r="Y2" s="170">
        <v>4.5996317133003698E-11</v>
      </c>
      <c r="Z2" s="170">
        <v>1.0965563081233201E-14</v>
      </c>
    </row>
    <row r="3" spans="1:26">
      <c r="A3" s="22">
        <v>288</v>
      </c>
      <c r="B3" s="22">
        <v>288</v>
      </c>
      <c r="C3" s="22" t="s">
        <v>1460</v>
      </c>
      <c r="D3" s="22" t="s">
        <v>1461</v>
      </c>
      <c r="E3" s="20" t="s">
        <v>147</v>
      </c>
      <c r="F3" s="22" t="s">
        <v>1460</v>
      </c>
      <c r="G3" s="22" t="s">
        <v>1462</v>
      </c>
      <c r="H3" s="20" t="s">
        <v>150</v>
      </c>
      <c r="I3" s="22" t="s">
        <v>1458</v>
      </c>
      <c r="J3" s="20" t="s">
        <v>30</v>
      </c>
      <c r="K3" s="20" t="s">
        <v>30</v>
      </c>
      <c r="L3" s="22" t="s">
        <v>31</v>
      </c>
      <c r="M3" s="22" t="s">
        <v>153</v>
      </c>
      <c r="N3" s="22" t="s">
        <v>154</v>
      </c>
      <c r="O3" s="178" t="s">
        <v>1379</v>
      </c>
      <c r="P3" s="20" t="s">
        <v>44</v>
      </c>
      <c r="Q3" s="22" t="s">
        <v>31</v>
      </c>
      <c r="R3" s="22" t="s">
        <v>1392</v>
      </c>
      <c r="S3" s="178" t="s">
        <v>1463</v>
      </c>
      <c r="T3" s="178" t="s">
        <v>1394</v>
      </c>
      <c r="U3" s="156">
        <v>11405</v>
      </c>
      <c r="V3" s="171">
        <v>1</v>
      </c>
      <c r="W3" s="172">
        <v>0</v>
      </c>
      <c r="X3" s="156">
        <v>0</v>
      </c>
      <c r="Y3" s="170">
        <v>1.86582536706279E-10</v>
      </c>
      <c r="Z3" s="170">
        <v>4.4481443377151801E-14</v>
      </c>
    </row>
    <row r="4" spans="1:26">
      <c r="A4" s="22">
        <v>288</v>
      </c>
      <c r="B4" s="22">
        <v>288</v>
      </c>
      <c r="C4" s="22" t="s">
        <v>1395</v>
      </c>
      <c r="D4" s="22" t="s">
        <v>1396</v>
      </c>
      <c r="E4" s="20" t="s">
        <v>147</v>
      </c>
      <c r="F4" s="22" t="s">
        <v>1464</v>
      </c>
      <c r="G4" s="22" t="s">
        <v>1465</v>
      </c>
      <c r="H4" s="20" t="s">
        <v>43</v>
      </c>
      <c r="I4" s="22" t="s">
        <v>1458</v>
      </c>
      <c r="J4" s="20" t="s">
        <v>30</v>
      </c>
      <c r="K4" s="20" t="s">
        <v>30</v>
      </c>
      <c r="L4" s="22" t="s">
        <v>31</v>
      </c>
      <c r="M4" s="22" t="s">
        <v>502</v>
      </c>
      <c r="N4" s="22" t="s">
        <v>154</v>
      </c>
      <c r="O4" s="179" t="s">
        <v>1466</v>
      </c>
      <c r="P4" s="20" t="s">
        <v>44</v>
      </c>
      <c r="Q4" s="22" t="s">
        <v>31</v>
      </c>
      <c r="R4" s="22" t="s">
        <v>1392</v>
      </c>
      <c r="S4" s="178" t="s">
        <v>1467</v>
      </c>
      <c r="T4" s="178" t="s">
        <v>1394</v>
      </c>
      <c r="U4" s="156">
        <v>209969.79</v>
      </c>
      <c r="V4" s="171">
        <v>1</v>
      </c>
      <c r="W4" s="172">
        <v>1E-3</v>
      </c>
      <c r="X4" s="156">
        <v>2E-3</v>
      </c>
      <c r="Y4" s="170">
        <v>3.43504568609248E-6</v>
      </c>
      <c r="Z4" s="170">
        <v>8.1891795921065009E-10</v>
      </c>
    </row>
    <row r="5" spans="1:26">
      <c r="A5" s="22">
        <v>288</v>
      </c>
      <c r="B5" s="22">
        <v>288</v>
      </c>
      <c r="C5" s="22" t="s">
        <v>1468</v>
      </c>
      <c r="D5" s="22" t="s">
        <v>1469</v>
      </c>
      <c r="E5" s="20" t="s">
        <v>147</v>
      </c>
      <c r="F5" s="22" t="s">
        <v>1470</v>
      </c>
      <c r="G5" s="22" t="s">
        <v>1471</v>
      </c>
      <c r="H5" s="20" t="s">
        <v>43</v>
      </c>
      <c r="I5" s="22" t="s">
        <v>1458</v>
      </c>
      <c r="J5" s="20" t="s">
        <v>30</v>
      </c>
      <c r="K5" s="20" t="s">
        <v>30</v>
      </c>
      <c r="L5" s="22" t="s">
        <v>31</v>
      </c>
      <c r="M5" s="22" t="s">
        <v>645</v>
      </c>
      <c r="N5" s="22" t="s">
        <v>154</v>
      </c>
      <c r="O5" s="178" t="s">
        <v>1472</v>
      </c>
      <c r="P5" s="20" t="s">
        <v>44</v>
      </c>
      <c r="Q5" s="22" t="s">
        <v>31</v>
      </c>
      <c r="R5" s="22" t="s">
        <v>1392</v>
      </c>
      <c r="S5" s="178" t="s">
        <v>1473</v>
      </c>
      <c r="T5" s="178" t="s">
        <v>1394</v>
      </c>
      <c r="U5" s="156">
        <v>2235</v>
      </c>
      <c r="V5" s="171">
        <v>1</v>
      </c>
      <c r="W5" s="172">
        <v>0</v>
      </c>
      <c r="X5" s="156">
        <v>0</v>
      </c>
      <c r="Y5" s="170">
        <v>3.6563960503159497E-11</v>
      </c>
      <c r="Z5" s="170">
        <v>8.7168808371708999E-15</v>
      </c>
    </row>
    <row r="6" spans="1:26">
      <c r="A6" s="22">
        <v>288</v>
      </c>
      <c r="B6" s="22">
        <v>288</v>
      </c>
      <c r="C6" s="22" t="s">
        <v>1474</v>
      </c>
      <c r="D6" s="22" t="s">
        <v>1475</v>
      </c>
      <c r="E6" s="20" t="s">
        <v>43</v>
      </c>
      <c r="F6" s="22" t="s">
        <v>1474</v>
      </c>
      <c r="G6" s="22" t="s">
        <v>1476</v>
      </c>
      <c r="H6" s="20" t="s">
        <v>43</v>
      </c>
      <c r="I6" s="22" t="s">
        <v>1458</v>
      </c>
      <c r="J6" s="20" t="s">
        <v>116</v>
      </c>
      <c r="K6" s="20" t="s">
        <v>117</v>
      </c>
      <c r="L6" s="22" t="s">
        <v>31</v>
      </c>
      <c r="M6" s="22" t="s">
        <v>999</v>
      </c>
      <c r="N6" s="22" t="s">
        <v>154</v>
      </c>
      <c r="O6" s="178" t="s">
        <v>1477</v>
      </c>
      <c r="P6" s="20" t="s">
        <v>34</v>
      </c>
      <c r="Q6" s="22" t="s">
        <v>1478</v>
      </c>
      <c r="R6" s="22" t="s">
        <v>1392</v>
      </c>
      <c r="S6" s="178" t="s">
        <v>1479</v>
      </c>
      <c r="T6" s="178" t="s">
        <v>1479</v>
      </c>
      <c r="U6" s="156">
        <v>730365</v>
      </c>
      <c r="V6" s="171">
        <v>3.306</v>
      </c>
      <c r="W6" s="172">
        <v>0</v>
      </c>
      <c r="X6" s="156">
        <v>0</v>
      </c>
      <c r="Y6" s="170">
        <v>3.9501947366718003E-8</v>
      </c>
      <c r="Z6" s="170">
        <v>9.4172995291941603E-12</v>
      </c>
    </row>
    <row r="7" spans="1:26">
      <c r="A7" s="22">
        <v>288</v>
      </c>
      <c r="B7" s="22">
        <v>288</v>
      </c>
      <c r="C7" s="22" t="s">
        <v>1480</v>
      </c>
      <c r="D7" s="22" t="s">
        <v>1481</v>
      </c>
      <c r="E7" s="20" t="s">
        <v>43</v>
      </c>
      <c r="F7" s="22" t="s">
        <v>1480</v>
      </c>
      <c r="G7" s="22" t="s">
        <v>1482</v>
      </c>
      <c r="H7" s="20" t="s">
        <v>43</v>
      </c>
      <c r="I7" s="22" t="s">
        <v>1458</v>
      </c>
      <c r="J7" s="20" t="s">
        <v>30</v>
      </c>
      <c r="K7" s="20" t="s">
        <v>30</v>
      </c>
      <c r="L7" s="22" t="s">
        <v>31</v>
      </c>
      <c r="M7" s="22" t="s">
        <v>999</v>
      </c>
      <c r="N7" s="22" t="s">
        <v>154</v>
      </c>
      <c r="O7" s="178" t="s">
        <v>1379</v>
      </c>
      <c r="P7" s="20" t="s">
        <v>34</v>
      </c>
      <c r="Q7" s="22" t="s">
        <v>31</v>
      </c>
      <c r="R7" s="22" t="s">
        <v>1392</v>
      </c>
      <c r="S7" s="178" t="s">
        <v>1483</v>
      </c>
      <c r="T7" s="178" t="s">
        <v>1394</v>
      </c>
      <c r="U7" s="156">
        <v>20898</v>
      </c>
      <c r="V7" s="171">
        <v>3.306</v>
      </c>
      <c r="W7" s="172">
        <v>0</v>
      </c>
      <c r="X7" s="156">
        <v>0</v>
      </c>
      <c r="Y7" s="170">
        <v>1.13027280341976E-9</v>
      </c>
      <c r="Z7" s="170">
        <v>2.6945804571837298E-13</v>
      </c>
    </row>
    <row r="8" spans="1:26">
      <c r="A8" s="22">
        <v>288</v>
      </c>
      <c r="B8" s="22">
        <v>288</v>
      </c>
      <c r="C8" s="22" t="s">
        <v>1484</v>
      </c>
      <c r="D8" s="22" t="s">
        <v>1485</v>
      </c>
      <c r="E8" s="20" t="s">
        <v>147</v>
      </c>
      <c r="F8" s="22" t="s">
        <v>1484</v>
      </c>
      <c r="G8" s="22" t="s">
        <v>1486</v>
      </c>
      <c r="H8" s="20" t="s">
        <v>43</v>
      </c>
      <c r="I8" s="22" t="s">
        <v>1458</v>
      </c>
      <c r="J8" s="20" t="s">
        <v>30</v>
      </c>
      <c r="K8" s="20" t="s">
        <v>30</v>
      </c>
      <c r="L8" s="22" t="s">
        <v>31</v>
      </c>
      <c r="M8" s="22" t="s">
        <v>184</v>
      </c>
      <c r="N8" s="22" t="s">
        <v>154</v>
      </c>
      <c r="O8" s="178" t="s">
        <v>1487</v>
      </c>
      <c r="P8" s="20" t="s">
        <v>44</v>
      </c>
      <c r="Q8" s="22" t="s">
        <v>31</v>
      </c>
      <c r="R8" s="22" t="s">
        <v>1392</v>
      </c>
      <c r="S8" s="178" t="s">
        <v>1488</v>
      </c>
      <c r="T8" s="178" t="s">
        <v>1488</v>
      </c>
      <c r="U8" s="156">
        <v>397</v>
      </c>
      <c r="V8" s="171">
        <v>1</v>
      </c>
      <c r="W8" s="172">
        <v>153968.64199999999</v>
      </c>
      <c r="X8" s="156">
        <v>611.25599999999997</v>
      </c>
      <c r="Y8" s="170">
        <v>0.99999652254622096</v>
      </c>
      <c r="Z8" s="170">
        <v>2.3840006401569901E-4</v>
      </c>
    </row>
    <row r="9" spans="1:26">
      <c r="A9" s="22">
        <v>288</v>
      </c>
      <c r="B9" s="22">
        <v>288</v>
      </c>
      <c r="C9" s="22" t="s">
        <v>1489</v>
      </c>
      <c r="D9" s="22" t="s">
        <v>1490</v>
      </c>
      <c r="E9" s="20" t="s">
        <v>43</v>
      </c>
      <c r="F9" s="22" t="s">
        <v>1489</v>
      </c>
      <c r="G9" s="22" t="s">
        <v>1491</v>
      </c>
      <c r="H9" s="20" t="s">
        <v>43</v>
      </c>
      <c r="I9" s="22" t="s">
        <v>1458</v>
      </c>
      <c r="J9" s="20" t="s">
        <v>116</v>
      </c>
      <c r="K9" s="20" t="s">
        <v>30</v>
      </c>
      <c r="L9" s="22" t="s">
        <v>31</v>
      </c>
      <c r="M9" s="22" t="s">
        <v>667</v>
      </c>
      <c r="N9" s="22" t="s">
        <v>154</v>
      </c>
      <c r="O9" s="178" t="s">
        <v>1379</v>
      </c>
      <c r="P9" s="20" t="s">
        <v>44</v>
      </c>
      <c r="Q9" s="22" t="s">
        <v>31</v>
      </c>
      <c r="R9" s="22" t="s">
        <v>1392</v>
      </c>
      <c r="S9" s="178" t="s">
        <v>1407</v>
      </c>
      <c r="T9" s="178" t="s">
        <v>1394</v>
      </c>
      <c r="U9" s="156">
        <v>921</v>
      </c>
      <c r="V9" s="171">
        <v>1</v>
      </c>
      <c r="W9" s="172">
        <v>0</v>
      </c>
      <c r="X9" s="156">
        <v>0</v>
      </c>
      <c r="Y9" s="170">
        <v>1.5067296475798601E-9</v>
      </c>
      <c r="Z9" s="170">
        <v>3.5920569355858698E-13</v>
      </c>
    </row>
    <row r="10" spans="1:26">
      <c r="A10" s="22"/>
      <c r="B10" s="22"/>
      <c r="C10" s="22"/>
      <c r="D10" s="22"/>
      <c r="E10" s="20"/>
      <c r="F10" s="22"/>
      <c r="G10" s="22"/>
      <c r="H10" s="20"/>
      <c r="I10" s="22"/>
      <c r="J10" s="20"/>
      <c r="K10" s="20"/>
      <c r="L10" s="22"/>
      <c r="M10" s="22"/>
      <c r="N10" s="22"/>
      <c r="O10" s="22"/>
      <c r="P10" s="20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>
      <c r="A11" s="22"/>
      <c r="B11" s="22"/>
      <c r="C11" s="22"/>
      <c r="D11" s="22"/>
      <c r="E11" s="20"/>
      <c r="F11" s="22"/>
      <c r="G11" s="22"/>
      <c r="H11" s="20"/>
      <c r="I11" s="22"/>
      <c r="J11" s="20"/>
      <c r="K11" s="20"/>
      <c r="L11" s="22"/>
      <c r="M11" s="22"/>
      <c r="N11" s="22"/>
      <c r="O11" s="22"/>
      <c r="P11" s="20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>
      <c r="A12" s="22"/>
      <c r="B12" s="22"/>
      <c r="C12" s="22"/>
      <c r="D12" s="22"/>
      <c r="E12" s="20"/>
      <c r="F12" s="22"/>
      <c r="G12" s="22"/>
      <c r="H12" s="20"/>
      <c r="I12" s="22"/>
      <c r="J12" s="20"/>
      <c r="K12" s="20"/>
      <c r="L12" s="22"/>
      <c r="M12" s="22"/>
      <c r="N12" s="22"/>
      <c r="O12" s="22"/>
      <c r="P12" s="20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>
      <c r="A13" s="22"/>
      <c r="B13" s="22"/>
      <c r="C13" s="22"/>
      <c r="D13" s="22"/>
      <c r="E13" s="20"/>
      <c r="F13" s="22"/>
      <c r="G13" s="22"/>
      <c r="H13" s="20"/>
      <c r="I13" s="22"/>
      <c r="J13" s="20"/>
      <c r="K13" s="20"/>
      <c r="L13" s="22"/>
      <c r="M13" s="22"/>
      <c r="N13" s="22"/>
      <c r="O13" s="22"/>
      <c r="P13" s="20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>
      <c r="A14" s="22"/>
      <c r="B14" s="22"/>
      <c r="C14" s="22"/>
      <c r="D14" s="22"/>
      <c r="E14" s="20"/>
      <c r="F14" s="22"/>
      <c r="G14" s="22"/>
      <c r="H14" s="20"/>
      <c r="I14" s="22"/>
      <c r="J14" s="20"/>
      <c r="K14" s="20"/>
      <c r="L14" s="22"/>
      <c r="M14" s="22"/>
      <c r="N14" s="22"/>
      <c r="O14" s="22"/>
      <c r="P14" s="20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>
      <c r="A15" s="22"/>
      <c r="B15" s="22"/>
      <c r="C15" s="22"/>
      <c r="D15" s="22"/>
      <c r="E15" s="20"/>
      <c r="F15" s="22"/>
      <c r="G15" s="22"/>
      <c r="H15" s="20"/>
      <c r="I15" s="22"/>
      <c r="J15" s="20"/>
      <c r="K15" s="20"/>
      <c r="L15" s="22"/>
      <c r="M15" s="22"/>
      <c r="N15" s="22"/>
      <c r="O15" s="22"/>
      <c r="P15" s="20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>
      <c r="A16" s="22"/>
      <c r="B16" s="22"/>
      <c r="C16" s="22"/>
      <c r="D16" s="22"/>
      <c r="E16" s="20"/>
      <c r="F16" s="22"/>
      <c r="G16" s="22"/>
      <c r="H16" s="20"/>
      <c r="I16" s="22"/>
      <c r="J16" s="20"/>
      <c r="K16" s="20"/>
      <c r="L16" s="22"/>
      <c r="M16" s="22"/>
      <c r="N16" s="22"/>
      <c r="O16" s="22"/>
      <c r="P16" s="20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>
      <c r="A17" s="22"/>
      <c r="B17" s="22"/>
      <c r="C17" s="22"/>
      <c r="D17" s="22"/>
      <c r="E17" s="20"/>
      <c r="F17" s="22"/>
      <c r="G17" s="22"/>
      <c r="H17" s="20"/>
      <c r="I17" s="22"/>
      <c r="J17" s="20"/>
      <c r="K17" s="20"/>
      <c r="L17" s="22"/>
      <c r="M17" s="22"/>
      <c r="N17" s="22"/>
      <c r="O17" s="22"/>
      <c r="P17" s="20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>
      <c r="A18" s="22"/>
      <c r="B18" s="22"/>
      <c r="C18" s="22"/>
      <c r="D18" s="22"/>
      <c r="E18" s="20"/>
      <c r="F18" s="22"/>
      <c r="G18" s="22"/>
      <c r="H18" s="20"/>
      <c r="I18" s="22"/>
      <c r="J18" s="20"/>
      <c r="K18" s="20"/>
      <c r="L18" s="22"/>
      <c r="M18" s="22"/>
      <c r="N18" s="22"/>
      <c r="O18" s="22"/>
      <c r="P18" s="20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>
      <c r="A19" s="5"/>
      <c r="B19" s="22"/>
      <c r="C19" s="22"/>
      <c r="D19" s="22"/>
      <c r="E19" s="20"/>
      <c r="F19" s="22"/>
      <c r="G19" s="22"/>
      <c r="H19" s="20"/>
      <c r="I19" s="22"/>
      <c r="J19" s="20"/>
      <c r="K19" s="20"/>
      <c r="L19" s="22"/>
      <c r="M19" s="22"/>
      <c r="N19" s="22"/>
      <c r="O19" s="22"/>
      <c r="P19" s="20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>
      <c r="E20" s="20"/>
      <c r="H20" s="5"/>
      <c r="I20" s="22"/>
      <c r="J20" s="20"/>
      <c r="K20" s="20"/>
      <c r="L20" s="22"/>
      <c r="M20" s="22"/>
      <c r="N20" s="22"/>
      <c r="R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5"/>
  <sheetViews>
    <sheetView rightToLeft="1" topLeftCell="N1" workbookViewId="0">
      <selection activeCell="Z2" sqref="Z2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1" t="s">
        <v>0</v>
      </c>
      <c r="B1" s="21" t="s">
        <v>1</v>
      </c>
      <c r="C1" s="21" t="s">
        <v>1492</v>
      </c>
      <c r="D1" s="21" t="s">
        <v>1493</v>
      </c>
      <c r="E1" s="21" t="s">
        <v>1494</v>
      </c>
      <c r="F1" s="21" t="s">
        <v>1495</v>
      </c>
      <c r="G1" s="21" t="s">
        <v>1496</v>
      </c>
      <c r="H1" s="21" t="s">
        <v>1497</v>
      </c>
      <c r="I1" s="21" t="s">
        <v>5</v>
      </c>
      <c r="J1" s="21" t="s">
        <v>1498</v>
      </c>
      <c r="K1" s="21" t="s">
        <v>6</v>
      </c>
      <c r="L1" s="21" t="s">
        <v>1499</v>
      </c>
      <c r="M1" s="21" t="s">
        <v>1500</v>
      </c>
      <c r="N1" s="21" t="s">
        <v>7</v>
      </c>
      <c r="O1" s="21" t="s">
        <v>138</v>
      </c>
      <c r="P1" s="180" t="s">
        <v>1364</v>
      </c>
      <c r="Q1" s="21" t="s">
        <v>11</v>
      </c>
      <c r="R1" s="21" t="s">
        <v>1370</v>
      </c>
      <c r="S1" s="21" t="s">
        <v>1371</v>
      </c>
      <c r="T1" s="177" t="s">
        <v>1373</v>
      </c>
      <c r="U1" s="162" t="s">
        <v>18</v>
      </c>
      <c r="V1" s="118" t="s">
        <v>1501</v>
      </c>
      <c r="W1" s="21" t="s">
        <v>20</v>
      </c>
      <c r="X1" s="164" t="s">
        <v>1502</v>
      </c>
      <c r="Y1" s="164" t="s">
        <v>24</v>
      </c>
      <c r="Z1" s="164" t="s">
        <v>25</v>
      </c>
    </row>
    <row r="2" spans="1:26">
      <c r="A2" s="22">
        <v>288</v>
      </c>
      <c r="B2" s="22">
        <v>288</v>
      </c>
      <c r="C2" s="23" t="s">
        <v>1503</v>
      </c>
      <c r="D2" s="23" t="s">
        <v>1504</v>
      </c>
      <c r="E2" s="23" t="s">
        <v>162</v>
      </c>
      <c r="F2" s="23" t="s">
        <v>1505</v>
      </c>
      <c r="G2" s="23">
        <v>50007921</v>
      </c>
      <c r="H2" s="23" t="s">
        <v>43</v>
      </c>
      <c r="I2" s="3" t="s">
        <v>1506</v>
      </c>
      <c r="J2" s="23" t="s">
        <v>1507</v>
      </c>
      <c r="K2" s="20" t="s">
        <v>30</v>
      </c>
      <c r="L2" s="23" t="s">
        <v>1508</v>
      </c>
      <c r="M2" s="23" t="s">
        <v>1509</v>
      </c>
      <c r="N2" s="20" t="s">
        <v>30</v>
      </c>
      <c r="O2" s="22" t="s">
        <v>154</v>
      </c>
      <c r="P2" s="181" t="s">
        <v>1510</v>
      </c>
      <c r="Q2" s="20" t="s">
        <v>44</v>
      </c>
      <c r="R2" s="22" t="s">
        <v>1511</v>
      </c>
      <c r="S2" s="22" t="s">
        <v>1381</v>
      </c>
      <c r="T2" s="178" t="s">
        <v>1512</v>
      </c>
      <c r="U2" s="171">
        <v>1</v>
      </c>
      <c r="V2" s="156">
        <v>5914.2169999999996</v>
      </c>
      <c r="W2" s="156">
        <v>5914.2169999999996</v>
      </c>
      <c r="X2" s="170">
        <v>3.4285714285714301E-3</v>
      </c>
      <c r="Y2" s="170">
        <v>4.1026926963371298E-2</v>
      </c>
      <c r="Z2" s="170">
        <v>2.30664532844717E-3</v>
      </c>
    </row>
    <row r="3" spans="1:26">
      <c r="A3" s="22">
        <v>288</v>
      </c>
      <c r="B3" s="22">
        <v>288</v>
      </c>
      <c r="C3" s="22" t="s">
        <v>1513</v>
      </c>
      <c r="D3" s="3" t="s">
        <v>1514</v>
      </c>
      <c r="E3" s="23" t="s">
        <v>147</v>
      </c>
      <c r="F3" s="22" t="s">
        <v>1513</v>
      </c>
      <c r="G3" s="22">
        <v>9840805</v>
      </c>
      <c r="H3" s="23" t="s">
        <v>43</v>
      </c>
      <c r="I3" s="3" t="s">
        <v>1506</v>
      </c>
      <c r="J3" s="22" t="s">
        <v>999</v>
      </c>
      <c r="K3" s="20" t="s">
        <v>30</v>
      </c>
      <c r="L3" s="23"/>
      <c r="M3" s="23"/>
      <c r="N3" s="20" t="s">
        <v>30</v>
      </c>
      <c r="O3" s="22" t="s">
        <v>154</v>
      </c>
      <c r="P3" s="181" t="s">
        <v>1515</v>
      </c>
      <c r="Q3" s="20" t="s">
        <v>34</v>
      </c>
      <c r="R3" s="22" t="s">
        <v>31</v>
      </c>
      <c r="S3" s="22" t="s">
        <v>1392</v>
      </c>
      <c r="T3" s="182" t="s">
        <v>1516</v>
      </c>
      <c r="U3" s="171">
        <v>3.306</v>
      </c>
      <c r="V3" s="156">
        <v>0</v>
      </c>
      <c r="W3" s="156">
        <v>0</v>
      </c>
      <c r="X3" s="183">
        <v>0</v>
      </c>
      <c r="Y3" s="170">
        <v>2.2647053247041003E-10</v>
      </c>
      <c r="Z3" s="170">
        <v>1.2732788790644699E-11</v>
      </c>
    </row>
    <row r="4" spans="1:26">
      <c r="A4" s="22">
        <v>288</v>
      </c>
      <c r="B4" s="22">
        <v>288</v>
      </c>
      <c r="C4" s="22" t="s">
        <v>1517</v>
      </c>
      <c r="D4" s="3" t="s">
        <v>1518</v>
      </c>
      <c r="E4" s="23" t="s">
        <v>332</v>
      </c>
      <c r="F4" s="22" t="s">
        <v>1519</v>
      </c>
      <c r="G4" s="22">
        <v>50000868</v>
      </c>
      <c r="H4" s="23" t="s">
        <v>43</v>
      </c>
      <c r="I4" s="3" t="s">
        <v>1520</v>
      </c>
      <c r="J4" s="22" t="s">
        <v>1521</v>
      </c>
      <c r="K4" s="20" t="s">
        <v>30</v>
      </c>
      <c r="L4" s="23" t="s">
        <v>30</v>
      </c>
      <c r="M4" s="23" t="s">
        <v>1522</v>
      </c>
      <c r="N4" s="20" t="s">
        <v>30</v>
      </c>
      <c r="O4" s="22" t="s">
        <v>154</v>
      </c>
      <c r="P4" s="181" t="s">
        <v>1523</v>
      </c>
      <c r="Q4" s="20" t="s">
        <v>44</v>
      </c>
      <c r="R4" s="22" t="s">
        <v>1478</v>
      </c>
      <c r="S4" s="22" t="s">
        <v>1392</v>
      </c>
      <c r="T4" s="178" t="s">
        <v>1524</v>
      </c>
      <c r="U4" s="171">
        <v>1</v>
      </c>
      <c r="V4" s="156">
        <v>4366.6459999999997</v>
      </c>
      <c r="W4" s="156">
        <v>4366.6459999999997</v>
      </c>
      <c r="X4" s="183">
        <v>3.5000000000000001E-3</v>
      </c>
      <c r="Y4" s="170">
        <v>3.0291425389242999E-2</v>
      </c>
      <c r="Z4" s="170">
        <v>1.7030662552056199E-3</v>
      </c>
    </row>
    <row r="5" spans="1:26">
      <c r="A5" s="22">
        <v>288</v>
      </c>
      <c r="B5" s="22">
        <v>288</v>
      </c>
      <c r="C5" s="22" t="s">
        <v>1525</v>
      </c>
      <c r="D5" s="3" t="s">
        <v>1526</v>
      </c>
      <c r="E5" s="23" t="s">
        <v>43</v>
      </c>
      <c r="F5" s="22" t="s">
        <v>1527</v>
      </c>
      <c r="G5" s="22">
        <v>9840878</v>
      </c>
      <c r="H5" s="23" t="s">
        <v>43</v>
      </c>
      <c r="I5" s="3" t="s">
        <v>1506</v>
      </c>
      <c r="J5" s="22" t="s">
        <v>999</v>
      </c>
      <c r="K5" s="20" t="s">
        <v>30</v>
      </c>
      <c r="L5" s="23"/>
      <c r="M5" s="23"/>
      <c r="N5" s="20" t="s">
        <v>30</v>
      </c>
      <c r="O5" s="22" t="s">
        <v>154</v>
      </c>
      <c r="P5" s="181" t="s">
        <v>1379</v>
      </c>
      <c r="Q5" s="20" t="s">
        <v>34</v>
      </c>
      <c r="R5" s="22" t="s">
        <v>31</v>
      </c>
      <c r="S5" s="22" t="s">
        <v>1392</v>
      </c>
      <c r="T5" s="178" t="s">
        <v>1528</v>
      </c>
      <c r="U5" s="171">
        <v>3.306</v>
      </c>
      <c r="V5" s="156">
        <v>1E-3</v>
      </c>
      <c r="W5" s="156">
        <v>3.0000000000000001E-3</v>
      </c>
      <c r="X5" s="183">
        <v>0</v>
      </c>
      <c r="Y5" s="170">
        <v>2.0640352326417101E-8</v>
      </c>
      <c r="Z5" s="170">
        <v>1.16045669990686E-9</v>
      </c>
    </row>
    <row r="6" spans="1:26">
      <c r="A6" s="22">
        <v>288</v>
      </c>
      <c r="B6" s="22">
        <v>288</v>
      </c>
      <c r="C6" s="22" t="s">
        <v>1529</v>
      </c>
      <c r="D6" s="3" t="s">
        <v>1530</v>
      </c>
      <c r="E6" s="23" t="s">
        <v>43</v>
      </c>
      <c r="F6" s="22" t="s">
        <v>1529</v>
      </c>
      <c r="G6" s="22">
        <v>9840926</v>
      </c>
      <c r="H6" s="23" t="s">
        <v>43</v>
      </c>
      <c r="I6" s="3" t="s">
        <v>1506</v>
      </c>
      <c r="J6" s="22" t="s">
        <v>999</v>
      </c>
      <c r="K6" s="20" t="s">
        <v>30</v>
      </c>
      <c r="L6" s="23"/>
      <c r="M6" s="23"/>
      <c r="N6" s="20" t="s">
        <v>30</v>
      </c>
      <c r="O6" s="22" t="s">
        <v>154</v>
      </c>
      <c r="P6" s="181" t="s">
        <v>1531</v>
      </c>
      <c r="Q6" s="20" t="s">
        <v>44</v>
      </c>
      <c r="R6" s="22" t="s">
        <v>31</v>
      </c>
      <c r="S6" s="22" t="s">
        <v>1392</v>
      </c>
      <c r="T6" s="178" t="s">
        <v>1382</v>
      </c>
      <c r="U6" s="171">
        <v>1</v>
      </c>
      <c r="V6" s="156">
        <v>1E-3</v>
      </c>
      <c r="W6" s="156">
        <v>1E-3</v>
      </c>
      <c r="X6" s="170">
        <v>0</v>
      </c>
      <c r="Y6" s="170">
        <v>3.4685004245508305E-9</v>
      </c>
      <c r="Z6" s="170">
        <v>1.9500851984722401E-10</v>
      </c>
    </row>
    <row r="7" spans="1:26">
      <c r="A7" s="22">
        <v>288</v>
      </c>
      <c r="B7" s="22">
        <v>288</v>
      </c>
      <c r="C7" s="22" t="s">
        <v>1532</v>
      </c>
      <c r="D7" s="3" t="s">
        <v>1533</v>
      </c>
      <c r="E7" s="23" t="s">
        <v>147</v>
      </c>
      <c r="F7" s="22" t="s">
        <v>1534</v>
      </c>
      <c r="G7" s="22">
        <v>45856</v>
      </c>
      <c r="H7" s="23" t="s">
        <v>43</v>
      </c>
      <c r="I7" s="3" t="s">
        <v>1506</v>
      </c>
      <c r="J7" s="22" t="s">
        <v>1535</v>
      </c>
      <c r="K7" s="20" t="s">
        <v>30</v>
      </c>
      <c r="L7" s="23" t="s">
        <v>1508</v>
      </c>
      <c r="M7" s="23" t="s">
        <v>1536</v>
      </c>
      <c r="N7" s="20" t="s">
        <v>30</v>
      </c>
      <c r="O7" s="22" t="s">
        <v>154</v>
      </c>
      <c r="P7" s="181" t="s">
        <v>1537</v>
      </c>
      <c r="Q7" s="20" t="s">
        <v>44</v>
      </c>
      <c r="R7" s="22" t="s">
        <v>1478</v>
      </c>
      <c r="S7" s="22" t="s">
        <v>1392</v>
      </c>
      <c r="T7" s="178" t="s">
        <v>1382</v>
      </c>
      <c r="U7" s="171">
        <v>1</v>
      </c>
      <c r="V7" s="156">
        <v>11171.513999999999</v>
      </c>
      <c r="W7" s="156">
        <v>11171.513999999999</v>
      </c>
      <c r="X7" s="170">
        <v>2.5000000000000001E-3</v>
      </c>
      <c r="Y7" s="170">
        <v>7.7496800601498494E-2</v>
      </c>
      <c r="Z7" s="170">
        <v>4.3570807347243596E-3</v>
      </c>
    </row>
    <row r="8" spans="1:26">
      <c r="A8" s="22">
        <v>288</v>
      </c>
      <c r="B8" s="22">
        <v>288</v>
      </c>
      <c r="C8" s="22" t="s">
        <v>1538</v>
      </c>
      <c r="D8" s="3" t="s">
        <v>1539</v>
      </c>
      <c r="E8" s="23" t="s">
        <v>147</v>
      </c>
      <c r="F8" s="22" t="s">
        <v>1540</v>
      </c>
      <c r="G8" s="22">
        <v>38414</v>
      </c>
      <c r="H8" s="23" t="s">
        <v>43</v>
      </c>
      <c r="I8" s="3" t="s">
        <v>1541</v>
      </c>
      <c r="J8" s="22" t="s">
        <v>1535</v>
      </c>
      <c r="K8" s="20" t="s">
        <v>30</v>
      </c>
      <c r="L8" s="23" t="s">
        <v>30</v>
      </c>
      <c r="M8" s="23" t="s">
        <v>1542</v>
      </c>
      <c r="N8" s="20" t="s">
        <v>30</v>
      </c>
      <c r="O8" s="22" t="s">
        <v>154</v>
      </c>
      <c r="P8" s="181" t="s">
        <v>1543</v>
      </c>
      <c r="Q8" s="20" t="s">
        <v>44</v>
      </c>
      <c r="R8" s="22" t="s">
        <v>1478</v>
      </c>
      <c r="S8" s="22" t="s">
        <v>1392</v>
      </c>
      <c r="T8" s="178" t="s">
        <v>1544</v>
      </c>
      <c r="U8" s="171">
        <v>1</v>
      </c>
      <c r="V8" s="156">
        <v>8789.6</v>
      </c>
      <c r="W8" s="156">
        <v>8789.6</v>
      </c>
      <c r="X8" s="170">
        <v>1.1188851764705899E-3</v>
      </c>
      <c r="Y8" s="170">
        <v>6.0973459246630203E-2</v>
      </c>
      <c r="Z8" s="170">
        <v>3.4280935800058798E-3</v>
      </c>
    </row>
    <row r="9" spans="1:26">
      <c r="A9" s="22">
        <v>288</v>
      </c>
      <c r="B9" s="22">
        <v>288</v>
      </c>
      <c r="C9" s="22" t="s">
        <v>1538</v>
      </c>
      <c r="D9" s="3" t="s">
        <v>1539</v>
      </c>
      <c r="E9" s="23" t="s">
        <v>147</v>
      </c>
      <c r="F9" s="22" t="s">
        <v>1545</v>
      </c>
      <c r="G9" s="22">
        <v>50008077</v>
      </c>
      <c r="H9" s="23" t="s">
        <v>43</v>
      </c>
      <c r="I9" s="3" t="s">
        <v>1541</v>
      </c>
      <c r="J9" s="22" t="s">
        <v>1535</v>
      </c>
      <c r="K9" s="20" t="s">
        <v>30</v>
      </c>
      <c r="L9" s="23" t="s">
        <v>1508</v>
      </c>
      <c r="M9" s="23" t="s">
        <v>1542</v>
      </c>
      <c r="N9" s="20" t="s">
        <v>30</v>
      </c>
      <c r="O9" s="22" t="s">
        <v>154</v>
      </c>
      <c r="P9" s="181" t="s">
        <v>1546</v>
      </c>
      <c r="Q9" s="20" t="s">
        <v>44</v>
      </c>
      <c r="R9" s="22" t="s">
        <v>1478</v>
      </c>
      <c r="S9" s="22" t="s">
        <v>1392</v>
      </c>
      <c r="T9" s="178" t="s">
        <v>1382</v>
      </c>
      <c r="U9" s="171">
        <v>1</v>
      </c>
      <c r="V9" s="156">
        <v>7491.7879999999996</v>
      </c>
      <c r="W9" s="156">
        <v>7491.7879999999996</v>
      </c>
      <c r="X9" s="170">
        <v>1.0390909090909101E-3</v>
      </c>
      <c r="Y9" s="170">
        <v>5.1970539484117603E-2</v>
      </c>
      <c r="Z9" s="170">
        <v>2.9219249646688298E-3</v>
      </c>
    </row>
    <row r="10" spans="1:26">
      <c r="A10" s="22">
        <v>288</v>
      </c>
      <c r="B10" s="22">
        <v>288</v>
      </c>
      <c r="C10" s="22" t="s">
        <v>1547</v>
      </c>
      <c r="D10" s="3" t="s">
        <v>1548</v>
      </c>
      <c r="E10" s="23" t="s">
        <v>147</v>
      </c>
      <c r="F10" s="22" t="s">
        <v>1549</v>
      </c>
      <c r="G10" s="22">
        <v>62022116</v>
      </c>
      <c r="H10" s="23" t="s">
        <v>43</v>
      </c>
      <c r="I10" s="3" t="s">
        <v>1506</v>
      </c>
      <c r="J10" s="22" t="s">
        <v>999</v>
      </c>
      <c r="K10" s="20" t="s">
        <v>30</v>
      </c>
      <c r="L10" s="23" t="s">
        <v>30</v>
      </c>
      <c r="M10" s="23" t="s">
        <v>1550</v>
      </c>
      <c r="N10" s="20" t="s">
        <v>30</v>
      </c>
      <c r="O10" s="22" t="s">
        <v>154</v>
      </c>
      <c r="P10" s="181" t="s">
        <v>1551</v>
      </c>
      <c r="Q10" s="20" t="s">
        <v>34</v>
      </c>
      <c r="R10" s="22" t="s">
        <v>31</v>
      </c>
      <c r="S10" s="22" t="s">
        <v>1381</v>
      </c>
      <c r="T10" s="178" t="s">
        <v>1552</v>
      </c>
      <c r="U10" s="171">
        <v>3.306</v>
      </c>
      <c r="V10" s="156">
        <v>1016.218</v>
      </c>
      <c r="W10" s="156">
        <v>3359.6149999999998</v>
      </c>
      <c r="X10" s="170">
        <v>0</v>
      </c>
      <c r="Y10" s="170">
        <v>2.3305654451628601E-2</v>
      </c>
      <c r="Z10" s="170">
        <v>1.3103072285976401E-3</v>
      </c>
    </row>
    <row r="11" spans="1:26">
      <c r="A11" s="22">
        <v>288</v>
      </c>
      <c r="B11" s="22">
        <v>288</v>
      </c>
      <c r="C11" s="22" t="s">
        <v>1553</v>
      </c>
      <c r="D11" s="3" t="s">
        <v>1554</v>
      </c>
      <c r="E11" s="23" t="s">
        <v>147</v>
      </c>
      <c r="F11" s="22" t="s">
        <v>1555</v>
      </c>
      <c r="G11" s="22">
        <v>62019773</v>
      </c>
      <c r="H11" s="23" t="s">
        <v>43</v>
      </c>
      <c r="I11" s="3" t="s">
        <v>1506</v>
      </c>
      <c r="J11" s="22" t="s">
        <v>1556</v>
      </c>
      <c r="K11" s="20" t="s">
        <v>30</v>
      </c>
      <c r="L11" s="23" t="s">
        <v>30</v>
      </c>
      <c r="M11" s="23" t="s">
        <v>1557</v>
      </c>
      <c r="N11" s="20" t="s">
        <v>30</v>
      </c>
      <c r="O11" s="22" t="s">
        <v>154</v>
      </c>
      <c r="P11" s="181" t="s">
        <v>1558</v>
      </c>
      <c r="Q11" s="20" t="s">
        <v>34</v>
      </c>
      <c r="R11" s="22" t="s">
        <v>1511</v>
      </c>
      <c r="S11" s="22" t="s">
        <v>1381</v>
      </c>
      <c r="T11" s="178" t="s">
        <v>1559</v>
      </c>
      <c r="U11" s="171">
        <v>3.306</v>
      </c>
      <c r="V11" s="156">
        <v>868.83199999999999</v>
      </c>
      <c r="W11" s="156">
        <v>2872.3589999999999</v>
      </c>
      <c r="X11" s="170">
        <v>3.8461538461538499E-4</v>
      </c>
      <c r="Y11" s="170">
        <v>1.9925558578373401E-2</v>
      </c>
      <c r="Z11" s="170">
        <v>1.12026905287202E-3</v>
      </c>
    </row>
    <row r="12" spans="1:26">
      <c r="A12" s="22">
        <v>288</v>
      </c>
      <c r="B12" s="22">
        <v>288</v>
      </c>
      <c r="C12" s="22" t="s">
        <v>1560</v>
      </c>
      <c r="D12" s="3" t="s">
        <v>1561</v>
      </c>
      <c r="E12" s="23" t="s">
        <v>43</v>
      </c>
      <c r="F12" s="22" t="s">
        <v>1562</v>
      </c>
      <c r="G12" s="22">
        <v>62021456</v>
      </c>
      <c r="H12" s="23" t="s">
        <v>43</v>
      </c>
      <c r="I12" s="3" t="s">
        <v>1506</v>
      </c>
      <c r="J12" s="22" t="s">
        <v>1563</v>
      </c>
      <c r="K12" s="20" t="s">
        <v>116</v>
      </c>
      <c r="L12" s="23" t="s">
        <v>1564</v>
      </c>
      <c r="M12" s="23" t="s">
        <v>1565</v>
      </c>
      <c r="N12" s="20" t="s">
        <v>1078</v>
      </c>
      <c r="O12" s="22" t="s">
        <v>154</v>
      </c>
      <c r="P12" s="181" t="s">
        <v>1566</v>
      </c>
      <c r="Q12" s="20" t="s">
        <v>991</v>
      </c>
      <c r="R12" s="22" t="s">
        <v>1478</v>
      </c>
      <c r="S12" s="22" t="s">
        <v>1392</v>
      </c>
      <c r="T12" s="178" t="s">
        <v>1567</v>
      </c>
      <c r="U12" s="171">
        <v>3.8807</v>
      </c>
      <c r="V12" s="156">
        <v>1428.0139999999999</v>
      </c>
      <c r="W12" s="156">
        <v>5541.6940000000004</v>
      </c>
      <c r="X12" s="170">
        <v>7.5128509292210401E-4</v>
      </c>
      <c r="Y12" s="170">
        <v>3.8442739412301398E-2</v>
      </c>
      <c r="Z12" s="170">
        <v>2.1613552815511802E-3</v>
      </c>
    </row>
    <row r="13" spans="1:26">
      <c r="A13" s="22">
        <v>288</v>
      </c>
      <c r="B13" s="22">
        <v>288</v>
      </c>
      <c r="C13" s="22" t="s">
        <v>1568</v>
      </c>
      <c r="D13" s="3" t="s">
        <v>1569</v>
      </c>
      <c r="E13" s="23" t="s">
        <v>332</v>
      </c>
      <c r="F13" s="22" t="s">
        <v>1570</v>
      </c>
      <c r="G13" s="22">
        <v>62022702</v>
      </c>
      <c r="H13" s="23" t="s">
        <v>43</v>
      </c>
      <c r="I13" s="3" t="s">
        <v>1506</v>
      </c>
      <c r="J13" s="22" t="s">
        <v>1571</v>
      </c>
      <c r="K13" s="20" t="s">
        <v>116</v>
      </c>
      <c r="L13" s="23" t="s">
        <v>1572</v>
      </c>
      <c r="M13" s="23" t="s">
        <v>1573</v>
      </c>
      <c r="N13" s="20" t="s">
        <v>1157</v>
      </c>
      <c r="O13" s="22" t="s">
        <v>154</v>
      </c>
      <c r="P13" s="181" t="s">
        <v>1552</v>
      </c>
      <c r="Q13" s="20" t="s">
        <v>34</v>
      </c>
      <c r="R13" s="22" t="s">
        <v>1511</v>
      </c>
      <c r="S13" s="22" t="s">
        <v>1392</v>
      </c>
      <c r="T13" s="178" t="s">
        <v>1552</v>
      </c>
      <c r="U13" s="171">
        <v>3.306</v>
      </c>
      <c r="V13" s="156">
        <v>554.20000000000005</v>
      </c>
      <c r="W13" s="156">
        <v>1832.184</v>
      </c>
      <c r="X13" s="170">
        <v>0</v>
      </c>
      <c r="Y13" s="170">
        <v>1.27098647840176E-2</v>
      </c>
      <c r="Z13" s="170">
        <v>7.1458313842086101E-4</v>
      </c>
    </row>
    <row r="14" spans="1:26">
      <c r="A14" s="22">
        <v>288</v>
      </c>
      <c r="B14" s="22">
        <v>288</v>
      </c>
      <c r="C14" s="22" t="s">
        <v>1574</v>
      </c>
      <c r="D14" s="3" t="s">
        <v>1575</v>
      </c>
      <c r="E14" s="23" t="s">
        <v>43</v>
      </c>
      <c r="F14" s="22" t="s">
        <v>1576</v>
      </c>
      <c r="G14" s="22">
        <v>62022223</v>
      </c>
      <c r="H14" s="23" t="s">
        <v>43</v>
      </c>
      <c r="I14" s="3" t="s">
        <v>1506</v>
      </c>
      <c r="J14" s="22" t="s">
        <v>999</v>
      </c>
      <c r="K14" s="20" t="s">
        <v>116</v>
      </c>
      <c r="L14" s="23" t="s">
        <v>117</v>
      </c>
      <c r="M14" s="23" t="s">
        <v>1577</v>
      </c>
      <c r="N14" s="20" t="s">
        <v>117</v>
      </c>
      <c r="O14" s="22" t="s">
        <v>154</v>
      </c>
      <c r="P14" s="181" t="s">
        <v>1578</v>
      </c>
      <c r="Q14" s="20" t="s">
        <v>34</v>
      </c>
      <c r="R14" s="22" t="s">
        <v>1511</v>
      </c>
      <c r="S14" s="22" t="s">
        <v>1392</v>
      </c>
      <c r="T14" s="178" t="s">
        <v>1382</v>
      </c>
      <c r="U14" s="171">
        <v>3.306</v>
      </c>
      <c r="V14" s="156">
        <v>1098.923</v>
      </c>
      <c r="W14" s="156">
        <v>3633.0390000000002</v>
      </c>
      <c r="X14" s="170">
        <v>0</v>
      </c>
      <c r="Y14" s="170">
        <v>2.5202393851017201E-2</v>
      </c>
      <c r="Z14" s="170">
        <v>1.41694707220055E-3</v>
      </c>
    </row>
    <row r="15" spans="1:26">
      <c r="A15" s="22">
        <v>288</v>
      </c>
      <c r="B15" s="22">
        <v>288</v>
      </c>
      <c r="C15" s="22" t="s">
        <v>1579</v>
      </c>
      <c r="D15" s="3" t="s">
        <v>1580</v>
      </c>
      <c r="E15" s="23" t="s">
        <v>332</v>
      </c>
      <c r="F15" s="22" t="s">
        <v>1579</v>
      </c>
      <c r="G15" s="22">
        <v>62022041</v>
      </c>
      <c r="H15" s="23" t="s">
        <v>43</v>
      </c>
      <c r="I15" s="3" t="s">
        <v>1506</v>
      </c>
      <c r="J15" s="22" t="s">
        <v>999</v>
      </c>
      <c r="K15" s="20" t="s">
        <v>116</v>
      </c>
      <c r="L15" s="23" t="s">
        <v>1572</v>
      </c>
      <c r="M15" s="23" t="s">
        <v>1581</v>
      </c>
      <c r="N15" s="20" t="s">
        <v>1078</v>
      </c>
      <c r="O15" s="22" t="s">
        <v>154</v>
      </c>
      <c r="P15" s="181" t="s">
        <v>1582</v>
      </c>
      <c r="Q15" s="20" t="s">
        <v>991</v>
      </c>
      <c r="R15" s="22" t="s">
        <v>31</v>
      </c>
      <c r="S15" s="22" t="s">
        <v>1392</v>
      </c>
      <c r="T15" s="178" t="s">
        <v>1583</v>
      </c>
      <c r="U15" s="171">
        <v>3.8807</v>
      </c>
      <c r="V15" s="156">
        <v>758.92499999999995</v>
      </c>
      <c r="W15" s="156">
        <v>2945.16</v>
      </c>
      <c r="X15" s="170">
        <v>0</v>
      </c>
      <c r="Y15" s="170">
        <v>2.0430579137648001E-2</v>
      </c>
      <c r="Z15" s="170">
        <v>1.1486626811557201E-3</v>
      </c>
    </row>
    <row r="16" spans="1:26">
      <c r="A16" s="22">
        <v>288</v>
      </c>
      <c r="B16" s="22">
        <v>288</v>
      </c>
      <c r="C16" s="22" t="s">
        <v>1584</v>
      </c>
      <c r="D16" s="3" t="s">
        <v>1585</v>
      </c>
      <c r="E16" s="23" t="s">
        <v>43</v>
      </c>
      <c r="F16" s="22" t="s">
        <v>1586</v>
      </c>
      <c r="G16" s="22">
        <v>62021167</v>
      </c>
      <c r="H16" s="23" t="s">
        <v>43</v>
      </c>
      <c r="I16" s="3" t="s">
        <v>1587</v>
      </c>
      <c r="J16" s="22" t="s">
        <v>1588</v>
      </c>
      <c r="K16" s="20" t="s">
        <v>116</v>
      </c>
      <c r="L16" s="23" t="s">
        <v>1508</v>
      </c>
      <c r="M16" s="23" t="s">
        <v>1589</v>
      </c>
      <c r="N16" s="20" t="s">
        <v>117</v>
      </c>
      <c r="O16" s="22" t="s">
        <v>154</v>
      </c>
      <c r="P16" s="181" t="s">
        <v>1590</v>
      </c>
      <c r="Q16" s="20" t="s">
        <v>34</v>
      </c>
      <c r="R16" s="22" t="s">
        <v>1478</v>
      </c>
      <c r="S16" s="22" t="s">
        <v>1392</v>
      </c>
      <c r="T16" s="178" t="s">
        <v>1524</v>
      </c>
      <c r="U16" s="171">
        <v>3.306</v>
      </c>
      <c r="V16" s="156">
        <v>1559.9179999999999</v>
      </c>
      <c r="W16" s="156">
        <v>5157.09</v>
      </c>
      <c r="X16" s="170">
        <v>1.8749999999999999E-3</v>
      </c>
      <c r="Y16" s="170">
        <v>3.5774735867120003E-2</v>
      </c>
      <c r="Z16" s="170">
        <v>2.0113528716883202E-3</v>
      </c>
    </row>
    <row r="17" spans="1:26">
      <c r="A17" s="22">
        <v>288</v>
      </c>
      <c r="B17" s="22">
        <v>288</v>
      </c>
      <c r="C17" s="22" t="s">
        <v>1584</v>
      </c>
      <c r="D17" s="3" t="s">
        <v>1591</v>
      </c>
      <c r="E17" s="23" t="s">
        <v>147</v>
      </c>
      <c r="F17" s="22" t="s">
        <v>1592</v>
      </c>
      <c r="G17" s="22">
        <v>62012711</v>
      </c>
      <c r="H17" s="23" t="s">
        <v>43</v>
      </c>
      <c r="I17" s="3" t="s">
        <v>1506</v>
      </c>
      <c r="J17" s="22" t="s">
        <v>1593</v>
      </c>
      <c r="K17" s="20" t="s">
        <v>116</v>
      </c>
      <c r="L17" s="23" t="s">
        <v>1508</v>
      </c>
      <c r="M17" s="23" t="s">
        <v>1594</v>
      </c>
      <c r="N17" s="20" t="s">
        <v>117</v>
      </c>
      <c r="O17" s="22" t="s">
        <v>154</v>
      </c>
      <c r="P17" s="181" t="s">
        <v>1595</v>
      </c>
      <c r="Q17" s="20" t="s">
        <v>34</v>
      </c>
      <c r="R17" s="22" t="s">
        <v>1478</v>
      </c>
      <c r="S17" s="22" t="s">
        <v>1392</v>
      </c>
      <c r="T17" s="178" t="s">
        <v>1583</v>
      </c>
      <c r="U17" s="171">
        <v>3.306</v>
      </c>
      <c r="V17" s="156">
        <v>956.98400000000004</v>
      </c>
      <c r="W17" s="156">
        <v>3163.7890000000002</v>
      </c>
      <c r="X17" s="170">
        <v>5.5999999999999995E-4</v>
      </c>
      <c r="Y17" s="170">
        <v>2.1947207700826601E-2</v>
      </c>
      <c r="Z17" s="170">
        <v>1.23393166055963E-3</v>
      </c>
    </row>
    <row r="18" spans="1:26">
      <c r="A18" s="22">
        <v>288</v>
      </c>
      <c r="B18" s="22">
        <v>288</v>
      </c>
      <c r="C18" s="22" t="s">
        <v>1584</v>
      </c>
      <c r="D18" s="3" t="s">
        <v>1596</v>
      </c>
      <c r="E18" s="23" t="s">
        <v>652</v>
      </c>
      <c r="F18" s="22" t="s">
        <v>1597</v>
      </c>
      <c r="G18" s="22">
        <v>62021589</v>
      </c>
      <c r="H18" s="23" t="s">
        <v>43</v>
      </c>
      <c r="I18" s="3" t="s">
        <v>1506</v>
      </c>
      <c r="J18" s="22" t="s">
        <v>999</v>
      </c>
      <c r="K18" s="20" t="s">
        <v>116</v>
      </c>
      <c r="L18" s="23" t="s">
        <v>1508</v>
      </c>
      <c r="M18" s="23" t="s">
        <v>1598</v>
      </c>
      <c r="N18" s="20" t="s">
        <v>1157</v>
      </c>
      <c r="O18" s="22" t="s">
        <v>154</v>
      </c>
      <c r="P18" s="181" t="s">
        <v>1599</v>
      </c>
      <c r="Q18" s="20" t="s">
        <v>1032</v>
      </c>
      <c r="R18" s="22" t="s">
        <v>31</v>
      </c>
      <c r="S18" s="22" t="s">
        <v>1392</v>
      </c>
      <c r="T18" s="178" t="s">
        <v>1600</v>
      </c>
      <c r="U18" s="171">
        <v>4.4409000000000001</v>
      </c>
      <c r="V18" s="156">
        <v>721.48699999999997</v>
      </c>
      <c r="W18" s="156">
        <v>3204.0509999999999</v>
      </c>
      <c r="X18" s="170">
        <v>2.6153846153846201E-3</v>
      </c>
      <c r="Y18" s="170">
        <v>2.2226502635407298E-2</v>
      </c>
      <c r="Z18" s="170">
        <v>1.2496343807922401E-3</v>
      </c>
    </row>
    <row r="19" spans="1:26">
      <c r="A19" s="22">
        <v>288</v>
      </c>
      <c r="B19" s="22">
        <v>288</v>
      </c>
      <c r="C19" s="22" t="s">
        <v>1601</v>
      </c>
      <c r="D19" s="3" t="s">
        <v>1602</v>
      </c>
      <c r="E19" s="23" t="s">
        <v>162</v>
      </c>
      <c r="F19" s="22" t="s">
        <v>1603</v>
      </c>
      <c r="G19" s="22">
        <v>62020904</v>
      </c>
      <c r="H19" s="23" t="s">
        <v>43</v>
      </c>
      <c r="I19" s="3" t="s">
        <v>1506</v>
      </c>
      <c r="J19" s="22" t="s">
        <v>1593</v>
      </c>
      <c r="K19" s="20" t="s">
        <v>116</v>
      </c>
      <c r="L19" s="23" t="s">
        <v>117</v>
      </c>
      <c r="M19" s="23" t="s">
        <v>1604</v>
      </c>
      <c r="N19" s="20" t="s">
        <v>117</v>
      </c>
      <c r="O19" s="22" t="s">
        <v>154</v>
      </c>
      <c r="P19" s="181" t="s">
        <v>1605</v>
      </c>
      <c r="Q19" s="20" t="s">
        <v>34</v>
      </c>
      <c r="R19" s="22" t="s">
        <v>1478</v>
      </c>
      <c r="S19" s="22" t="s">
        <v>1392</v>
      </c>
      <c r="T19" s="178" t="s">
        <v>1552</v>
      </c>
      <c r="U19" s="171">
        <v>3.306</v>
      </c>
      <c r="V19" s="156">
        <v>3018.6260000000002</v>
      </c>
      <c r="W19" s="156">
        <v>9979.5789999999997</v>
      </c>
      <c r="X19" s="170">
        <v>2.9999999999999997E-4</v>
      </c>
      <c r="Y19" s="170">
        <v>6.9228345254684104E-2</v>
      </c>
      <c r="Z19" s="170">
        <v>3.8922057048145801E-3</v>
      </c>
    </row>
    <row r="20" spans="1:26">
      <c r="A20" s="3">
        <v>288</v>
      </c>
      <c r="B20" s="3">
        <v>288</v>
      </c>
      <c r="C20" s="3" t="s">
        <v>1606</v>
      </c>
      <c r="D20" s="3" t="s">
        <v>1607</v>
      </c>
      <c r="E20" s="23" t="s">
        <v>147</v>
      </c>
      <c r="F20" s="3" t="s">
        <v>1608</v>
      </c>
      <c r="G20" s="3">
        <v>62002035</v>
      </c>
      <c r="H20" s="23" t="s">
        <v>43</v>
      </c>
      <c r="I20" s="3" t="s">
        <v>1587</v>
      </c>
      <c r="J20" s="22" t="s">
        <v>1593</v>
      </c>
      <c r="K20" s="20" t="s">
        <v>116</v>
      </c>
      <c r="L20" s="23" t="s">
        <v>1078</v>
      </c>
      <c r="M20" s="23" t="s">
        <v>1609</v>
      </c>
      <c r="N20" s="20" t="s">
        <v>1078</v>
      </c>
      <c r="O20" s="22" t="s">
        <v>154</v>
      </c>
      <c r="P20" s="181" t="s">
        <v>1610</v>
      </c>
      <c r="Q20" s="3" t="s">
        <v>991</v>
      </c>
      <c r="R20" s="22" t="s">
        <v>1511</v>
      </c>
      <c r="S20" s="22" t="s">
        <v>1381</v>
      </c>
      <c r="T20" s="179" t="s">
        <v>1611</v>
      </c>
      <c r="U20" s="163">
        <v>3.8807</v>
      </c>
      <c r="V20" s="154">
        <v>882.75900000000001</v>
      </c>
      <c r="W20" s="154">
        <v>3425.723</v>
      </c>
      <c r="X20" s="165">
        <v>1E-3</v>
      </c>
      <c r="Y20" s="165">
        <v>2.3764241440958098E-2</v>
      </c>
      <c r="Z20" s="165">
        <v>1.3360902353914E-3</v>
      </c>
    </row>
    <row r="21" spans="1:26">
      <c r="A21" s="3">
        <v>288</v>
      </c>
      <c r="B21" s="3">
        <v>288</v>
      </c>
      <c r="C21" s="3" t="s">
        <v>1612</v>
      </c>
      <c r="D21" s="3" t="s">
        <v>1613</v>
      </c>
      <c r="E21" s="3" t="s">
        <v>162</v>
      </c>
      <c r="F21" s="3" t="s">
        <v>1614</v>
      </c>
      <c r="G21" s="3">
        <v>62007901</v>
      </c>
      <c r="H21" s="3" t="s">
        <v>43</v>
      </c>
      <c r="I21" s="3" t="s">
        <v>1506</v>
      </c>
      <c r="J21" s="3" t="s">
        <v>1521</v>
      </c>
      <c r="K21" s="3" t="s">
        <v>116</v>
      </c>
      <c r="L21" s="3" t="s">
        <v>1508</v>
      </c>
      <c r="M21" s="3" t="s">
        <v>1615</v>
      </c>
      <c r="N21" s="3" t="s">
        <v>117</v>
      </c>
      <c r="O21" s="3" t="s">
        <v>154</v>
      </c>
      <c r="P21" s="181" t="s">
        <v>1543</v>
      </c>
      <c r="Q21" s="3" t="s">
        <v>34</v>
      </c>
      <c r="R21" s="3" t="s">
        <v>1478</v>
      </c>
      <c r="S21" s="3" t="s">
        <v>1392</v>
      </c>
      <c r="T21" s="179" t="s">
        <v>1600</v>
      </c>
      <c r="U21" s="163">
        <v>3.306</v>
      </c>
      <c r="V21" s="154">
        <v>209.51</v>
      </c>
      <c r="W21" s="154">
        <v>692.64200000000005</v>
      </c>
      <c r="X21" s="165">
        <v>2.0000000000000001E-4</v>
      </c>
      <c r="Y21" s="165">
        <v>4.8048559535155203E-3</v>
      </c>
      <c r="Z21" s="165">
        <v>2.7014205935855498E-4</v>
      </c>
    </row>
    <row r="22" spans="1:26">
      <c r="A22" s="3">
        <v>288</v>
      </c>
      <c r="B22" s="3">
        <v>288</v>
      </c>
      <c r="C22" s="3" t="s">
        <v>1612</v>
      </c>
      <c r="D22" s="3" t="s">
        <v>1613</v>
      </c>
      <c r="E22" s="3" t="s">
        <v>162</v>
      </c>
      <c r="F22" s="3" t="s">
        <v>1616</v>
      </c>
      <c r="G22" s="3">
        <v>62018031</v>
      </c>
      <c r="H22" s="3" t="s">
        <v>43</v>
      </c>
      <c r="I22" s="3" t="s">
        <v>1506</v>
      </c>
      <c r="J22" s="3" t="s">
        <v>1521</v>
      </c>
      <c r="K22" s="3" t="s">
        <v>116</v>
      </c>
      <c r="L22" s="3" t="s">
        <v>1508</v>
      </c>
      <c r="M22" s="3" t="s">
        <v>1615</v>
      </c>
      <c r="N22" s="3" t="s">
        <v>117</v>
      </c>
      <c r="O22" s="3" t="s">
        <v>154</v>
      </c>
      <c r="P22" s="181" t="s">
        <v>1617</v>
      </c>
      <c r="Q22" s="3" t="s">
        <v>34</v>
      </c>
      <c r="R22" s="3" t="s">
        <v>1478</v>
      </c>
      <c r="S22" s="3" t="s">
        <v>1392</v>
      </c>
      <c r="T22" s="179" t="s">
        <v>1600</v>
      </c>
      <c r="U22" s="163">
        <v>3.306</v>
      </c>
      <c r="V22" s="154">
        <v>740.25300000000004</v>
      </c>
      <c r="W22" s="154">
        <v>2447.2750000000001</v>
      </c>
      <c r="X22" s="165">
        <v>1.4999999999999999E-4</v>
      </c>
      <c r="Y22" s="165">
        <v>1.6976751401305799E-2</v>
      </c>
      <c r="Z22" s="165">
        <v>9.5447909971400598E-4</v>
      </c>
    </row>
    <row r="23" spans="1:26">
      <c r="A23" s="3">
        <v>288</v>
      </c>
      <c r="B23" s="3">
        <v>288</v>
      </c>
      <c r="C23" s="3" t="s">
        <v>1612</v>
      </c>
      <c r="D23" s="3" t="s">
        <v>1613</v>
      </c>
      <c r="E23" s="3" t="s">
        <v>162</v>
      </c>
      <c r="F23" s="3" t="s">
        <v>1618</v>
      </c>
      <c r="G23" s="3">
        <v>62008453</v>
      </c>
      <c r="H23" s="3" t="s">
        <v>43</v>
      </c>
      <c r="I23" s="3" t="s">
        <v>1506</v>
      </c>
      <c r="J23" s="3" t="s">
        <v>1619</v>
      </c>
      <c r="K23" s="3" t="s">
        <v>116</v>
      </c>
      <c r="L23" s="3" t="s">
        <v>1508</v>
      </c>
      <c r="M23" s="3" t="s">
        <v>1615</v>
      </c>
      <c r="N23" s="3" t="s">
        <v>117</v>
      </c>
      <c r="O23" s="3" t="s">
        <v>154</v>
      </c>
      <c r="P23" s="181" t="s">
        <v>1620</v>
      </c>
      <c r="Q23" s="3" t="s">
        <v>34</v>
      </c>
      <c r="R23" s="3" t="s">
        <v>1478</v>
      </c>
      <c r="S23" s="3" t="s">
        <v>1392</v>
      </c>
      <c r="T23" s="179" t="s">
        <v>1621</v>
      </c>
      <c r="U23" s="163">
        <v>3.306</v>
      </c>
      <c r="V23" s="154">
        <v>2652.0770000000002</v>
      </c>
      <c r="W23" s="154">
        <v>8767.768</v>
      </c>
      <c r="X23" s="165">
        <v>2.0000000000000001E-4</v>
      </c>
      <c r="Y23" s="165">
        <v>6.0822012237799698E-2</v>
      </c>
      <c r="Z23" s="165">
        <v>3.4195788175978201E-3</v>
      </c>
    </row>
    <row r="24" spans="1:26">
      <c r="A24" s="3">
        <v>288</v>
      </c>
      <c r="B24" s="3">
        <v>288</v>
      </c>
      <c r="C24" s="3" t="s">
        <v>1622</v>
      </c>
      <c r="D24" s="3" t="s">
        <v>1623</v>
      </c>
      <c r="E24" s="3" t="s">
        <v>43</v>
      </c>
      <c r="F24" s="3" t="s">
        <v>1624</v>
      </c>
      <c r="G24" s="3">
        <v>62020698</v>
      </c>
      <c r="H24" s="3" t="s">
        <v>43</v>
      </c>
      <c r="I24" s="3" t="s">
        <v>1506</v>
      </c>
      <c r="J24" s="3" t="s">
        <v>1619</v>
      </c>
      <c r="K24" s="3" t="s">
        <v>116</v>
      </c>
      <c r="L24" s="3" t="s">
        <v>1508</v>
      </c>
      <c r="M24" s="3" t="s">
        <v>1625</v>
      </c>
      <c r="N24" s="3" t="s">
        <v>267</v>
      </c>
      <c r="O24" s="3" t="s">
        <v>154</v>
      </c>
      <c r="P24" s="181" t="s">
        <v>1626</v>
      </c>
      <c r="Q24" s="3" t="s">
        <v>34</v>
      </c>
      <c r="R24" s="3" t="s">
        <v>1511</v>
      </c>
      <c r="S24" s="3" t="s">
        <v>1381</v>
      </c>
      <c r="T24" s="179" t="s">
        <v>1627</v>
      </c>
      <c r="U24" s="163">
        <v>3.306</v>
      </c>
      <c r="V24" s="154">
        <v>1019.1</v>
      </c>
      <c r="W24" s="154">
        <v>3369.1439999999998</v>
      </c>
      <c r="X24" s="165">
        <v>1.36986301369863E-4</v>
      </c>
      <c r="Y24" s="165">
        <v>2.3371753217515098E-2</v>
      </c>
      <c r="Z24" s="165">
        <v>1.3140234808454499E-3</v>
      </c>
    </row>
    <row r="25" spans="1:26">
      <c r="A25" s="3">
        <v>288</v>
      </c>
      <c r="B25" s="3">
        <v>288</v>
      </c>
      <c r="C25" s="3" t="s">
        <v>1628</v>
      </c>
      <c r="D25" s="3" t="s">
        <v>1629</v>
      </c>
      <c r="E25" s="3" t="s">
        <v>652</v>
      </c>
      <c r="F25" s="3" t="s">
        <v>1630</v>
      </c>
      <c r="G25" s="3">
        <v>62021621</v>
      </c>
      <c r="H25" s="3" t="s">
        <v>43</v>
      </c>
      <c r="I25" s="3" t="s">
        <v>1506</v>
      </c>
      <c r="J25" s="3" t="s">
        <v>999</v>
      </c>
      <c r="K25" s="3" t="s">
        <v>116</v>
      </c>
      <c r="L25" s="3" t="s">
        <v>1572</v>
      </c>
      <c r="M25" s="3" t="s">
        <v>1631</v>
      </c>
      <c r="N25" s="3" t="s">
        <v>117</v>
      </c>
      <c r="O25" s="3" t="s">
        <v>154</v>
      </c>
      <c r="P25" s="181" t="s">
        <v>1632</v>
      </c>
      <c r="Q25" s="3" t="s">
        <v>34</v>
      </c>
      <c r="R25" s="3" t="s">
        <v>31</v>
      </c>
      <c r="S25" s="3" t="s">
        <v>1392</v>
      </c>
      <c r="T25" s="179" t="s">
        <v>1583</v>
      </c>
      <c r="U25" s="163">
        <v>3.306</v>
      </c>
      <c r="V25" s="154">
        <v>817.73199999999997</v>
      </c>
      <c r="W25" s="154">
        <v>2703.42</v>
      </c>
      <c r="X25" s="165">
        <v>0</v>
      </c>
      <c r="Y25" s="165">
        <v>1.8753629582957801E-2</v>
      </c>
      <c r="Z25" s="165">
        <v>1.0543800199215201E-3</v>
      </c>
    </row>
    <row r="26" spans="1:26">
      <c r="A26" s="3">
        <v>288</v>
      </c>
      <c r="B26" s="3">
        <v>288</v>
      </c>
      <c r="C26" s="3" t="s">
        <v>1633</v>
      </c>
      <c r="D26" s="3" t="s">
        <v>1634</v>
      </c>
      <c r="E26" s="3" t="s">
        <v>162</v>
      </c>
      <c r="F26" s="3" t="s">
        <v>1635</v>
      </c>
      <c r="G26" s="3">
        <v>62008925</v>
      </c>
      <c r="H26" s="3" t="s">
        <v>43</v>
      </c>
      <c r="I26" s="3" t="s">
        <v>1506</v>
      </c>
      <c r="J26" s="3" t="s">
        <v>1619</v>
      </c>
      <c r="K26" s="3" t="s">
        <v>116</v>
      </c>
      <c r="L26" s="3" t="s">
        <v>1508</v>
      </c>
      <c r="M26" s="3" t="s">
        <v>1636</v>
      </c>
      <c r="N26" s="3" t="s">
        <v>117</v>
      </c>
      <c r="O26" s="3" t="s">
        <v>154</v>
      </c>
      <c r="P26" s="181" t="s">
        <v>1637</v>
      </c>
      <c r="Q26" s="3" t="s">
        <v>34</v>
      </c>
      <c r="R26" s="3" t="s">
        <v>1511</v>
      </c>
      <c r="S26" s="3" t="s">
        <v>1381</v>
      </c>
      <c r="T26" s="179" t="s">
        <v>1552</v>
      </c>
      <c r="U26" s="163">
        <v>3.306</v>
      </c>
      <c r="V26" s="154">
        <v>2052.6570000000002</v>
      </c>
      <c r="W26" s="154">
        <v>6786.0829999999996</v>
      </c>
      <c r="X26" s="165">
        <v>2.0000000000000001E-4</v>
      </c>
      <c r="Y26" s="165">
        <v>4.7075066503255797E-2</v>
      </c>
      <c r="Z26" s="165">
        <v>2.6466881697724898E-3</v>
      </c>
    </row>
    <row r="27" spans="1:26">
      <c r="A27" s="3">
        <v>288</v>
      </c>
      <c r="B27" s="3">
        <v>288</v>
      </c>
      <c r="C27" s="3" t="s">
        <v>1638</v>
      </c>
      <c r="D27" s="3" t="s">
        <v>1639</v>
      </c>
      <c r="E27" s="3" t="s">
        <v>147</v>
      </c>
      <c r="F27" s="3" t="s">
        <v>1640</v>
      </c>
      <c r="G27" s="3">
        <v>62018759</v>
      </c>
      <c r="H27" s="3" t="s">
        <v>43</v>
      </c>
      <c r="I27" s="3" t="s">
        <v>1506</v>
      </c>
      <c r="J27" s="3" t="s">
        <v>1563</v>
      </c>
      <c r="K27" s="3" t="s">
        <v>116</v>
      </c>
      <c r="L27" s="3" t="s">
        <v>1641</v>
      </c>
      <c r="M27" s="3" t="s">
        <v>1642</v>
      </c>
      <c r="N27" s="3" t="s">
        <v>1078</v>
      </c>
      <c r="O27" s="3" t="s">
        <v>154</v>
      </c>
      <c r="P27" s="181" t="s">
        <v>1643</v>
      </c>
      <c r="Q27" s="3" t="s">
        <v>991</v>
      </c>
      <c r="R27" s="3" t="s">
        <v>1478</v>
      </c>
      <c r="S27" s="3" t="s">
        <v>1392</v>
      </c>
      <c r="T27" s="179" t="s">
        <v>1600</v>
      </c>
      <c r="U27" s="163">
        <v>3.8807</v>
      </c>
      <c r="V27" s="154">
        <v>216.09200000000001</v>
      </c>
      <c r="W27" s="154">
        <v>838.58699999999999</v>
      </c>
      <c r="X27" s="165">
        <v>1E-4</v>
      </c>
      <c r="Y27" s="165">
        <v>5.8172805543895301E-3</v>
      </c>
      <c r="Z27" s="165">
        <v>3.2706332177959803E-4</v>
      </c>
    </row>
    <row r="28" spans="1:26">
      <c r="A28" s="3">
        <v>288</v>
      </c>
      <c r="B28" s="3">
        <v>288</v>
      </c>
      <c r="C28" s="3" t="s">
        <v>1644</v>
      </c>
      <c r="D28" s="3" t="s">
        <v>1645</v>
      </c>
      <c r="E28" s="3" t="s">
        <v>43</v>
      </c>
      <c r="F28" s="3" t="s">
        <v>1646</v>
      </c>
      <c r="G28" s="3">
        <v>62021118</v>
      </c>
      <c r="H28" s="3" t="s">
        <v>43</v>
      </c>
      <c r="I28" s="3" t="s">
        <v>1587</v>
      </c>
      <c r="J28" s="3" t="s">
        <v>1593</v>
      </c>
      <c r="K28" s="3" t="s">
        <v>116</v>
      </c>
      <c r="L28" s="3" t="s">
        <v>1157</v>
      </c>
      <c r="M28" s="3" t="s">
        <v>1647</v>
      </c>
      <c r="N28" s="3" t="s">
        <v>1157</v>
      </c>
      <c r="O28" s="3" t="s">
        <v>154</v>
      </c>
      <c r="P28" s="181" t="s">
        <v>1648</v>
      </c>
      <c r="Q28" s="3" t="s">
        <v>1032</v>
      </c>
      <c r="R28" s="3" t="s">
        <v>1478</v>
      </c>
      <c r="S28" s="3" t="s">
        <v>1392</v>
      </c>
      <c r="T28" s="179" t="s">
        <v>1583</v>
      </c>
      <c r="U28" s="163">
        <v>4.4409000000000001</v>
      </c>
      <c r="V28" s="154">
        <v>683.68799999999999</v>
      </c>
      <c r="W28" s="154">
        <v>3036.192</v>
      </c>
      <c r="X28" s="165">
        <v>9.4339622641509402E-4</v>
      </c>
      <c r="Y28" s="165">
        <v>2.1062064947497201E-2</v>
      </c>
      <c r="Z28" s="165">
        <v>1.18416652950804E-3</v>
      </c>
    </row>
    <row r="29" spans="1:26">
      <c r="A29" s="3">
        <v>288</v>
      </c>
      <c r="B29" s="3">
        <v>288</v>
      </c>
      <c r="C29" s="3" t="s">
        <v>1649</v>
      </c>
      <c r="D29" s="3" t="s">
        <v>1650</v>
      </c>
      <c r="E29" s="3" t="s">
        <v>332</v>
      </c>
      <c r="F29" s="3" t="s">
        <v>1651</v>
      </c>
      <c r="G29" s="3">
        <v>62022405</v>
      </c>
      <c r="H29" s="3" t="s">
        <v>43</v>
      </c>
      <c r="I29" s="3" t="s">
        <v>1520</v>
      </c>
      <c r="J29" s="3" t="s">
        <v>1563</v>
      </c>
      <c r="K29" s="3" t="s">
        <v>116</v>
      </c>
      <c r="L29" s="3" t="s">
        <v>1572</v>
      </c>
      <c r="M29" s="3" t="s">
        <v>1652</v>
      </c>
      <c r="N29" s="3" t="s">
        <v>1078</v>
      </c>
      <c r="O29" s="3" t="s">
        <v>154</v>
      </c>
      <c r="P29" s="181" t="s">
        <v>1653</v>
      </c>
      <c r="Q29" s="3" t="s">
        <v>991</v>
      </c>
      <c r="R29" s="3" t="s">
        <v>1511</v>
      </c>
      <c r="S29" s="3" t="s">
        <v>1392</v>
      </c>
      <c r="T29" s="179" t="s">
        <v>1567</v>
      </c>
      <c r="U29" s="163">
        <v>3.8807</v>
      </c>
      <c r="V29" s="154">
        <v>836.43799999999999</v>
      </c>
      <c r="W29" s="154">
        <v>3245.9659999999999</v>
      </c>
      <c r="X29" s="165">
        <v>0</v>
      </c>
      <c r="Y29" s="165">
        <v>2.2517272358886099E-2</v>
      </c>
      <c r="Z29" s="165">
        <v>1.2659822448405299E-3</v>
      </c>
    </row>
    <row r="30" spans="1:26">
      <c r="A30" s="3">
        <v>288</v>
      </c>
      <c r="B30" s="3">
        <v>288</v>
      </c>
      <c r="C30" s="3" t="s">
        <v>1654</v>
      </c>
      <c r="D30" s="3" t="s">
        <v>1655</v>
      </c>
      <c r="E30" s="3" t="s">
        <v>652</v>
      </c>
      <c r="F30" s="3" t="s">
        <v>1656</v>
      </c>
      <c r="G30" s="3">
        <v>62022462</v>
      </c>
      <c r="H30" s="3" t="s">
        <v>43</v>
      </c>
      <c r="I30" s="3" t="s">
        <v>1506</v>
      </c>
      <c r="J30" s="3" t="s">
        <v>999</v>
      </c>
      <c r="K30" s="3" t="s">
        <v>116</v>
      </c>
      <c r="L30" s="3" t="s">
        <v>117</v>
      </c>
      <c r="M30" s="3" t="s">
        <v>1657</v>
      </c>
      <c r="N30" s="3" t="s">
        <v>117</v>
      </c>
      <c r="O30" s="3" t="s">
        <v>154</v>
      </c>
      <c r="P30" s="181" t="s">
        <v>1479</v>
      </c>
      <c r="Q30" s="3" t="s">
        <v>34</v>
      </c>
      <c r="R30" s="3" t="s">
        <v>1511</v>
      </c>
      <c r="S30" s="3" t="s">
        <v>1381</v>
      </c>
      <c r="T30" s="179" t="s">
        <v>1382</v>
      </c>
      <c r="U30" s="163">
        <v>3.306</v>
      </c>
      <c r="V30" s="154">
        <v>78.070999999999998</v>
      </c>
      <c r="W30" s="154">
        <v>258.10300000000001</v>
      </c>
      <c r="X30" s="165">
        <v>0</v>
      </c>
      <c r="Y30" s="165">
        <v>1.7904588294174501E-3</v>
      </c>
      <c r="Z30" s="165">
        <v>1.00664461131587E-4</v>
      </c>
    </row>
    <row r="31" spans="1:26">
      <c r="A31" s="3">
        <v>288</v>
      </c>
      <c r="B31" s="3">
        <v>288</v>
      </c>
      <c r="C31" s="3" t="s">
        <v>1658</v>
      </c>
      <c r="D31" s="3" t="s">
        <v>1659</v>
      </c>
      <c r="E31" s="3" t="s">
        <v>652</v>
      </c>
      <c r="F31" s="3" t="s">
        <v>1660</v>
      </c>
      <c r="G31" s="3">
        <v>62015821</v>
      </c>
      <c r="H31" s="3" t="s">
        <v>43</v>
      </c>
      <c r="I31" s="3" t="s">
        <v>1506</v>
      </c>
      <c r="J31" s="3" t="s">
        <v>1619</v>
      </c>
      <c r="K31" s="3" t="s">
        <v>116</v>
      </c>
      <c r="L31" s="3" t="s">
        <v>1508</v>
      </c>
      <c r="M31" s="3" t="s">
        <v>1661</v>
      </c>
      <c r="N31" s="3" t="s">
        <v>117</v>
      </c>
      <c r="O31" s="3" t="s">
        <v>154</v>
      </c>
      <c r="P31" s="181" t="s">
        <v>1662</v>
      </c>
      <c r="Q31" s="3" t="s">
        <v>34</v>
      </c>
      <c r="R31" s="3" t="s">
        <v>1478</v>
      </c>
      <c r="S31" s="3" t="s">
        <v>1392</v>
      </c>
      <c r="T31" s="179" t="s">
        <v>1544</v>
      </c>
      <c r="U31" s="163">
        <v>3.306</v>
      </c>
      <c r="V31" s="154">
        <v>732.51199999999994</v>
      </c>
      <c r="W31" s="154">
        <v>2421.6840000000002</v>
      </c>
      <c r="X31" s="165">
        <v>8.3333333333333295E-4</v>
      </c>
      <c r="Y31" s="165">
        <v>1.67992272472734E-2</v>
      </c>
      <c r="Z31" s="165">
        <v>9.4449820933557404E-4</v>
      </c>
    </row>
    <row r="32" spans="1:26">
      <c r="A32" s="3">
        <v>288</v>
      </c>
      <c r="B32" s="3">
        <v>288</v>
      </c>
      <c r="C32" s="3" t="s">
        <v>1663</v>
      </c>
      <c r="D32" s="3" t="s">
        <v>1664</v>
      </c>
      <c r="E32" s="3" t="s">
        <v>43</v>
      </c>
      <c r="F32" s="3" t="s">
        <v>1665</v>
      </c>
      <c r="G32" s="3">
        <v>62020110</v>
      </c>
      <c r="H32" s="3" t="s">
        <v>43</v>
      </c>
      <c r="I32" s="3" t="s">
        <v>1506</v>
      </c>
      <c r="J32" s="3" t="s">
        <v>999</v>
      </c>
      <c r="K32" s="3" t="s">
        <v>116</v>
      </c>
      <c r="L32" s="3" t="s">
        <v>1508</v>
      </c>
      <c r="M32" s="3" t="s">
        <v>1666</v>
      </c>
      <c r="N32" s="3" t="s">
        <v>1508</v>
      </c>
      <c r="O32" s="3" t="s">
        <v>154</v>
      </c>
      <c r="P32" s="181" t="s">
        <v>1667</v>
      </c>
      <c r="Q32" s="3" t="s">
        <v>34</v>
      </c>
      <c r="R32" s="3" t="s">
        <v>1511</v>
      </c>
      <c r="S32" s="3" t="s">
        <v>1381</v>
      </c>
      <c r="T32" s="179" t="s">
        <v>1583</v>
      </c>
      <c r="U32" s="163">
        <v>3.306</v>
      </c>
      <c r="V32" s="154">
        <v>2911.02</v>
      </c>
      <c r="W32" s="154">
        <v>9623.8320000000003</v>
      </c>
      <c r="X32" s="165">
        <v>1.16E-3</v>
      </c>
      <c r="Y32" s="165">
        <v>6.6760531588051897E-2</v>
      </c>
      <c r="Z32" s="165">
        <v>3.75345851395874E-3</v>
      </c>
    </row>
    <row r="33" spans="1:26">
      <c r="A33" s="3">
        <v>288</v>
      </c>
      <c r="B33" s="3">
        <v>288</v>
      </c>
      <c r="C33" s="3" t="s">
        <v>1668</v>
      </c>
      <c r="D33" s="3" t="s">
        <v>1669</v>
      </c>
      <c r="E33" s="3" t="s">
        <v>332</v>
      </c>
      <c r="F33" s="3" t="s">
        <v>1670</v>
      </c>
      <c r="G33" s="3">
        <v>62022330</v>
      </c>
      <c r="H33" s="3" t="s">
        <v>43</v>
      </c>
      <c r="I33" s="3" t="s">
        <v>1506</v>
      </c>
      <c r="J33" s="3" t="s">
        <v>1619</v>
      </c>
      <c r="K33" s="3" t="s">
        <v>116</v>
      </c>
      <c r="L33" s="3" t="s">
        <v>1572</v>
      </c>
      <c r="M33" s="3" t="s">
        <v>1671</v>
      </c>
      <c r="N33" s="3" t="s">
        <v>117</v>
      </c>
      <c r="O33" s="3" t="s">
        <v>154</v>
      </c>
      <c r="P33" s="181" t="s">
        <v>1672</v>
      </c>
      <c r="Q33" s="3" t="s">
        <v>34</v>
      </c>
      <c r="R33" s="3" t="s">
        <v>1511</v>
      </c>
      <c r="S33" s="3" t="s">
        <v>1392</v>
      </c>
      <c r="T33" s="179" t="s">
        <v>1382</v>
      </c>
      <c r="U33" s="163">
        <v>3.306</v>
      </c>
      <c r="V33" s="154">
        <v>322.899</v>
      </c>
      <c r="W33" s="154">
        <v>1067.5050000000001</v>
      </c>
      <c r="X33" s="165">
        <v>0</v>
      </c>
      <c r="Y33" s="165">
        <v>7.4052836866149501E-3</v>
      </c>
      <c r="Z33" s="165">
        <v>4.1634517342248399E-4</v>
      </c>
    </row>
    <row r="34" spans="1:26">
      <c r="A34" s="3">
        <v>288</v>
      </c>
      <c r="B34" s="3">
        <v>288</v>
      </c>
      <c r="C34" s="3" t="s">
        <v>1673</v>
      </c>
      <c r="D34" s="3" t="s">
        <v>1135</v>
      </c>
      <c r="E34" s="3" t="s">
        <v>147</v>
      </c>
      <c r="F34" s="3" t="s">
        <v>1674</v>
      </c>
      <c r="G34" s="3">
        <v>62018676</v>
      </c>
      <c r="H34" s="3" t="s">
        <v>43</v>
      </c>
      <c r="I34" s="3" t="s">
        <v>1506</v>
      </c>
      <c r="J34" s="3" t="s">
        <v>1593</v>
      </c>
      <c r="K34" s="3" t="s">
        <v>116</v>
      </c>
      <c r="L34" s="3" t="s">
        <v>117</v>
      </c>
      <c r="M34" s="3" t="s">
        <v>30</v>
      </c>
      <c r="N34" s="3" t="s">
        <v>117</v>
      </c>
      <c r="O34" s="3" t="s">
        <v>787</v>
      </c>
      <c r="P34" s="181" t="s">
        <v>1675</v>
      </c>
      <c r="Q34" s="3" t="s">
        <v>34</v>
      </c>
      <c r="R34" s="3" t="s">
        <v>1511</v>
      </c>
      <c r="S34" s="3" t="s">
        <v>1392</v>
      </c>
      <c r="T34" s="179" t="s">
        <v>1676</v>
      </c>
      <c r="U34" s="163">
        <v>3.306</v>
      </c>
      <c r="V34" s="154">
        <v>4854.2839999999997</v>
      </c>
      <c r="W34" s="154">
        <v>16048.263000000001</v>
      </c>
      <c r="X34" s="165">
        <v>24.44</v>
      </c>
      <c r="Y34" s="165">
        <v>0.111326812757354</v>
      </c>
      <c r="Z34" s="165">
        <v>6.2590959543941801E-3</v>
      </c>
    </row>
    <row r="35" spans="1:26">
      <c r="A35" s="3">
        <v>288</v>
      </c>
      <c r="B35" s="3">
        <v>1452</v>
      </c>
      <c r="C35" s="3" t="s">
        <v>1677</v>
      </c>
      <c r="D35" s="3" t="s">
        <v>1539</v>
      </c>
      <c r="E35" s="3" t="s">
        <v>147</v>
      </c>
      <c r="F35" s="3" t="s">
        <v>1678</v>
      </c>
      <c r="G35" s="3">
        <v>996141</v>
      </c>
      <c r="H35" s="3" t="s">
        <v>43</v>
      </c>
      <c r="I35" s="3" t="s">
        <v>1541</v>
      </c>
      <c r="J35" s="3" t="s">
        <v>999</v>
      </c>
      <c r="K35" s="3" t="s">
        <v>30</v>
      </c>
      <c r="L35" s="3" t="s">
        <v>30</v>
      </c>
      <c r="M35" s="3" t="s">
        <v>1542</v>
      </c>
      <c r="N35" s="3" t="s">
        <v>30</v>
      </c>
      <c r="O35" s="3" t="s">
        <v>154</v>
      </c>
      <c r="P35" s="181" t="s">
        <v>1679</v>
      </c>
      <c r="Q35" s="3" t="s">
        <v>44</v>
      </c>
      <c r="R35" s="3" t="s">
        <v>31</v>
      </c>
      <c r="S35" s="3" t="s">
        <v>1392</v>
      </c>
      <c r="T35" s="179" t="s">
        <v>1382</v>
      </c>
      <c r="U35" s="163">
        <v>1</v>
      </c>
      <c r="V35" s="154">
        <v>1598.9069999999999</v>
      </c>
      <c r="W35" s="154">
        <v>1598.9069999999999</v>
      </c>
      <c r="X35" s="165">
        <v>0</v>
      </c>
      <c r="Y35" s="165">
        <v>1</v>
      </c>
      <c r="Z35" s="165">
        <v>1.8124464481964801E-2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topLeftCell="J1" workbookViewId="0">
      <selection activeCell="V2" sqref="V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6</v>
      </c>
      <c r="J1" s="21" t="s">
        <v>7</v>
      </c>
      <c r="K1" s="21" t="s">
        <v>144</v>
      </c>
      <c r="L1" s="21" t="s">
        <v>1344</v>
      </c>
      <c r="M1" s="21" t="s">
        <v>137</v>
      </c>
      <c r="N1" s="177" t="s">
        <v>1345</v>
      </c>
      <c r="O1" s="21" t="s">
        <v>138</v>
      </c>
      <c r="P1" s="177" t="s">
        <v>1364</v>
      </c>
      <c r="Q1" s="21" t="s">
        <v>11</v>
      </c>
      <c r="R1" s="21" t="s">
        <v>1370</v>
      </c>
      <c r="S1" s="21" t="s">
        <v>1371</v>
      </c>
      <c r="T1" s="177" t="s">
        <v>1373</v>
      </c>
      <c r="U1" s="168" t="s">
        <v>1346</v>
      </c>
      <c r="V1" s="21" t="s">
        <v>1347</v>
      </c>
      <c r="W1" s="21" t="s">
        <v>17</v>
      </c>
      <c r="X1" s="168" t="s">
        <v>19</v>
      </c>
      <c r="Y1" s="162" t="s">
        <v>18</v>
      </c>
      <c r="Z1" s="21" t="s">
        <v>20</v>
      </c>
      <c r="AA1" s="164" t="s">
        <v>24</v>
      </c>
      <c r="AB1" s="164" t="s">
        <v>25</v>
      </c>
    </row>
    <row r="2" spans="1:28">
      <c r="A2" s="22">
        <v>288</v>
      </c>
      <c r="B2" s="22">
        <v>288</v>
      </c>
      <c r="C2" s="22" t="s">
        <v>758</v>
      </c>
      <c r="D2" s="22" t="s">
        <v>759</v>
      </c>
      <c r="E2" s="20" t="s">
        <v>147</v>
      </c>
      <c r="F2" s="22" t="s">
        <v>1680</v>
      </c>
      <c r="G2" s="22" t="s">
        <v>1681</v>
      </c>
      <c r="H2" s="22" t="s">
        <v>43</v>
      </c>
      <c r="I2" s="20" t="s">
        <v>30</v>
      </c>
      <c r="J2" s="20" t="s">
        <v>30</v>
      </c>
      <c r="K2" s="22" t="s">
        <v>31</v>
      </c>
      <c r="L2" s="23" t="s">
        <v>1682</v>
      </c>
      <c r="M2" s="22" t="s">
        <v>645</v>
      </c>
      <c r="N2" s="178" t="s">
        <v>158</v>
      </c>
      <c r="O2" s="22" t="s">
        <v>154</v>
      </c>
      <c r="P2" s="178" t="s">
        <v>1683</v>
      </c>
      <c r="Q2" s="20" t="s">
        <v>44</v>
      </c>
      <c r="R2" s="22" t="s">
        <v>31</v>
      </c>
      <c r="S2" s="22" t="s">
        <v>1381</v>
      </c>
      <c r="T2" s="178" t="s">
        <v>1382</v>
      </c>
      <c r="U2" s="172">
        <v>272.5</v>
      </c>
      <c r="V2" s="156">
        <v>0</v>
      </c>
      <c r="W2" s="156">
        <v>2517</v>
      </c>
      <c r="X2" s="172">
        <v>122.66</v>
      </c>
      <c r="Y2" s="171">
        <v>1</v>
      </c>
      <c r="Z2" s="156">
        <v>3.0870000000000002</v>
      </c>
      <c r="AA2" s="170">
        <v>0.99837670553521596</v>
      </c>
      <c r="AB2" s="170">
        <v>1.2041199655381401E-6</v>
      </c>
    </row>
    <row r="3" spans="1:28">
      <c r="A3" s="22">
        <v>288</v>
      </c>
      <c r="B3" s="22">
        <v>288</v>
      </c>
      <c r="C3" s="22" t="s">
        <v>1684</v>
      </c>
      <c r="D3" s="22" t="s">
        <v>1685</v>
      </c>
      <c r="E3" s="20" t="s">
        <v>147</v>
      </c>
      <c r="F3" s="22" t="s">
        <v>1686</v>
      </c>
      <c r="G3" s="22" t="s">
        <v>1687</v>
      </c>
      <c r="H3" s="22" t="s">
        <v>43</v>
      </c>
      <c r="I3" s="20" t="s">
        <v>116</v>
      </c>
      <c r="J3" s="20" t="s">
        <v>117</v>
      </c>
      <c r="K3" s="22" t="s">
        <v>31</v>
      </c>
      <c r="L3" s="22" t="s">
        <v>944</v>
      </c>
      <c r="M3" s="22" t="s">
        <v>1688</v>
      </c>
      <c r="N3" s="178" t="s">
        <v>677</v>
      </c>
      <c r="O3" s="22" t="s">
        <v>154</v>
      </c>
      <c r="P3" s="178" t="s">
        <v>1689</v>
      </c>
      <c r="Q3" s="20" t="s">
        <v>34</v>
      </c>
      <c r="R3" s="22" t="s">
        <v>31</v>
      </c>
      <c r="S3" s="22" t="s">
        <v>1381</v>
      </c>
      <c r="T3" s="178" t="s">
        <v>1689</v>
      </c>
      <c r="U3" s="172">
        <v>10.116</v>
      </c>
      <c r="V3" s="156">
        <v>0</v>
      </c>
      <c r="W3" s="156">
        <v>15184</v>
      </c>
      <c r="X3" s="172">
        <v>0.01</v>
      </c>
      <c r="Y3" s="171">
        <v>3.306</v>
      </c>
      <c r="Z3" s="156">
        <v>5.0000000000000001E-3</v>
      </c>
      <c r="AA3" s="170">
        <v>1.62329446478362E-3</v>
      </c>
      <c r="AB3" s="170">
        <v>1.9578193923762001E-9</v>
      </c>
    </row>
    <row r="4" spans="1:28">
      <c r="A4" s="22">
        <v>288</v>
      </c>
      <c r="B4" s="22">
        <v>1452</v>
      </c>
      <c r="C4" s="22" t="s">
        <v>758</v>
      </c>
      <c r="D4" s="22" t="s">
        <v>759</v>
      </c>
      <c r="E4" s="20" t="s">
        <v>147</v>
      </c>
      <c r="F4" s="22" t="s">
        <v>1680</v>
      </c>
      <c r="G4" s="22" t="s">
        <v>1681</v>
      </c>
      <c r="H4" s="22" t="s">
        <v>43</v>
      </c>
      <c r="I4" s="20" t="s">
        <v>30</v>
      </c>
      <c r="J4" s="20" t="s">
        <v>30</v>
      </c>
      <c r="K4" s="22" t="s">
        <v>31</v>
      </c>
      <c r="L4" s="22" t="s">
        <v>1682</v>
      </c>
      <c r="M4" s="22" t="s">
        <v>645</v>
      </c>
      <c r="N4" s="178" t="s">
        <v>158</v>
      </c>
      <c r="O4" s="22" t="s">
        <v>154</v>
      </c>
      <c r="P4" s="178" t="s">
        <v>1683</v>
      </c>
      <c r="Q4" s="20" t="s">
        <v>44</v>
      </c>
      <c r="R4" s="22" t="s">
        <v>31</v>
      </c>
      <c r="S4" s="22" t="s">
        <v>1381</v>
      </c>
      <c r="T4" s="178" t="s">
        <v>1382</v>
      </c>
      <c r="U4" s="172">
        <v>272.5</v>
      </c>
      <c r="V4" s="156">
        <v>0</v>
      </c>
      <c r="W4" s="156">
        <v>192</v>
      </c>
      <c r="X4" s="172">
        <v>122.66</v>
      </c>
      <c r="Y4" s="171">
        <v>1</v>
      </c>
      <c r="Z4" s="156">
        <v>0.23599999999999999</v>
      </c>
      <c r="AA4" s="170">
        <v>1</v>
      </c>
      <c r="AB4" s="170">
        <v>2.66959910074453E-6</v>
      </c>
    </row>
    <row r="5" spans="1:28">
      <c r="A5" s="22"/>
      <c r="B5" s="22"/>
      <c r="C5" s="22"/>
      <c r="D5" s="22"/>
      <c r="E5" s="20"/>
      <c r="F5" s="22"/>
      <c r="G5" s="22"/>
      <c r="H5" s="22"/>
      <c r="I5" s="20"/>
      <c r="J5" s="20"/>
      <c r="K5" s="22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0"/>
      <c r="J6" s="20"/>
      <c r="K6" s="22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0"/>
      <c r="J7" s="20"/>
      <c r="K7" s="22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0"/>
      <c r="J8" s="20"/>
      <c r="K8" s="22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0"/>
      <c r="J9" s="20"/>
      <c r="K9" s="22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0"/>
      <c r="J10" s="20"/>
      <c r="K10" s="22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0"/>
      <c r="J11" s="20"/>
      <c r="K11" s="22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0"/>
      <c r="J12" s="20"/>
      <c r="K12" s="22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0"/>
      <c r="J13" s="20"/>
      <c r="K13" s="22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0"/>
      <c r="J14" s="20"/>
      <c r="K14" s="22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0"/>
      <c r="J15" s="20"/>
      <c r="K15" s="22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0"/>
      <c r="J16" s="20"/>
      <c r="K16" s="22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0"/>
      <c r="J17" s="20"/>
      <c r="K17" s="22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0"/>
      <c r="J18" s="20"/>
      <c r="K18" s="22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0"/>
      <c r="J19" s="20"/>
      <c r="K19" s="22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0"/>
      <c r="J20" s="20"/>
      <c r="K20" s="22"/>
      <c r="M20" s="22"/>
      <c r="O20" s="22"/>
      <c r="S20" s="22"/>
    </row>
    <row r="23" spans="1:28">
      <c r="H23" s="41"/>
    </row>
    <row r="24" spans="1:28">
      <c r="H24" s="41"/>
      <c r="K24" s="3"/>
    </row>
    <row r="25" spans="1:28">
      <c r="H25" s="41"/>
    </row>
    <row r="26" spans="1:28">
      <c r="H26" s="4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137</v>
      </c>
      <c r="M1" s="21" t="s">
        <v>1351</v>
      </c>
      <c r="N1" s="21" t="s">
        <v>1345</v>
      </c>
      <c r="O1" s="21" t="s">
        <v>138</v>
      </c>
      <c r="P1" s="21" t="s">
        <v>1364</v>
      </c>
      <c r="Q1" s="21" t="s">
        <v>11</v>
      </c>
      <c r="R1" s="21" t="s">
        <v>1370</v>
      </c>
      <c r="S1" s="21" t="s">
        <v>1371</v>
      </c>
      <c r="T1" s="21" t="s">
        <v>1373</v>
      </c>
      <c r="U1" s="21" t="s">
        <v>1346</v>
      </c>
      <c r="V1" s="21" t="s">
        <v>1347</v>
      </c>
      <c r="W1" s="21" t="s">
        <v>17</v>
      </c>
      <c r="X1" s="21" t="s">
        <v>19</v>
      </c>
      <c r="Y1" s="21" t="s">
        <v>18</v>
      </c>
      <c r="Z1" s="21" t="s">
        <v>1690</v>
      </c>
      <c r="AA1" s="21" t="s">
        <v>24</v>
      </c>
      <c r="AB1" s="21" t="s">
        <v>25</v>
      </c>
    </row>
    <row r="2" spans="1:28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2"/>
      <c r="N2" s="22"/>
      <c r="O2" s="22"/>
      <c r="P2" s="22"/>
      <c r="Q2" s="20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2"/>
      <c r="N3" s="22"/>
      <c r="O3" s="22"/>
      <c r="P3" s="22"/>
      <c r="Q3" s="20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E20" s="20"/>
      <c r="H20" s="22"/>
      <c r="I20" s="22"/>
      <c r="J20" s="20"/>
      <c r="K20" s="20"/>
      <c r="L20" s="22"/>
      <c r="M20" s="22"/>
      <c r="O20" s="22"/>
      <c r="R20" s="22"/>
      <c r="S20" s="22"/>
    </row>
    <row r="21" spans="1:28" s="41" customFormat="1">
      <c r="H21" s="40"/>
    </row>
    <row r="23" spans="1:28">
      <c r="H23" s="41"/>
    </row>
    <row r="24" spans="1:28">
      <c r="H24" s="41"/>
    </row>
    <row r="25" spans="1:28">
      <c r="H25" s="41"/>
    </row>
    <row r="26" spans="1:28">
      <c r="H26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D1" workbookViewId="0">
      <selection activeCell="P2" sqref="P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1" t="s">
        <v>0</v>
      </c>
      <c r="B1" s="21" t="s">
        <v>1</v>
      </c>
      <c r="C1" s="21" t="s">
        <v>5</v>
      </c>
      <c r="D1" s="21" t="s">
        <v>1691</v>
      </c>
      <c r="E1" s="21" t="s">
        <v>1692</v>
      </c>
      <c r="F1" s="168" t="s">
        <v>18</v>
      </c>
      <c r="G1" s="21" t="s">
        <v>1693</v>
      </c>
      <c r="H1" s="21" t="s">
        <v>1694</v>
      </c>
      <c r="I1" s="164" t="s">
        <v>1695</v>
      </c>
      <c r="J1" s="164" t="s">
        <v>1696</v>
      </c>
      <c r="K1" s="21" t="s">
        <v>1697</v>
      </c>
      <c r="L1" s="21" t="s">
        <v>1698</v>
      </c>
      <c r="M1" s="168" t="s">
        <v>18</v>
      </c>
      <c r="N1" s="21" t="s">
        <v>1699</v>
      </c>
      <c r="O1" s="21" t="s">
        <v>1700</v>
      </c>
      <c r="P1" s="164" t="s">
        <v>1701</v>
      </c>
      <c r="Q1" s="164" t="s">
        <v>1702</v>
      </c>
      <c r="R1" s="21" t="s">
        <v>1703</v>
      </c>
      <c r="S1" s="21" t="s">
        <v>6</v>
      </c>
      <c r="T1" s="21" t="s">
        <v>7</v>
      </c>
      <c r="U1" s="21" t="s">
        <v>1704</v>
      </c>
      <c r="V1" s="21" t="s">
        <v>1705</v>
      </c>
      <c r="W1" s="21" t="s">
        <v>1706</v>
      </c>
      <c r="X1" s="21" t="s">
        <v>1707</v>
      </c>
      <c r="Y1" s="21" t="s">
        <v>138</v>
      </c>
      <c r="Z1" s="21" t="s">
        <v>1708</v>
      </c>
      <c r="AA1" s="21" t="s">
        <v>1709</v>
      </c>
      <c r="AB1" s="21" t="s">
        <v>1710</v>
      </c>
      <c r="AC1" s="21" t="s">
        <v>1711</v>
      </c>
      <c r="AD1" s="21" t="s">
        <v>1712</v>
      </c>
      <c r="AE1" s="21" t="s">
        <v>1713</v>
      </c>
      <c r="AF1" s="21" t="s">
        <v>140</v>
      </c>
      <c r="AG1" s="21" t="s">
        <v>1714</v>
      </c>
      <c r="AH1" s="21" t="s">
        <v>1715</v>
      </c>
      <c r="AI1" s="21" t="s">
        <v>1716</v>
      </c>
      <c r="AJ1" s="21" t="s">
        <v>1717</v>
      </c>
      <c r="AK1" s="21" t="s">
        <v>1718</v>
      </c>
      <c r="AL1" s="21" t="s">
        <v>1719</v>
      </c>
      <c r="AM1" s="21" t="s">
        <v>1720</v>
      </c>
      <c r="AN1" s="164" t="s">
        <v>24</v>
      </c>
      <c r="AO1" s="164" t="s">
        <v>25</v>
      </c>
    </row>
    <row r="2" spans="1:41">
      <c r="A2" s="11" t="s">
        <v>1721</v>
      </c>
      <c r="B2" s="11" t="s">
        <v>1721</v>
      </c>
      <c r="C2" s="11" t="s">
        <v>1722</v>
      </c>
      <c r="D2" s="2" t="s">
        <v>1723</v>
      </c>
      <c r="E2" s="11" t="s">
        <v>34</v>
      </c>
      <c r="F2" s="187">
        <v>3.306</v>
      </c>
      <c r="G2" s="159">
        <v>-33400000</v>
      </c>
      <c r="H2" s="153">
        <v>-110111.845</v>
      </c>
      <c r="I2" s="188">
        <v>3.3500000000000001E-4</v>
      </c>
      <c r="J2" s="189">
        <v>-4.8999999999999998E-5</v>
      </c>
      <c r="K2" s="9" t="s">
        <v>1723</v>
      </c>
      <c r="L2" s="11" t="s">
        <v>44</v>
      </c>
      <c r="M2" s="190">
        <v>1</v>
      </c>
      <c r="N2" s="160">
        <v>112558000</v>
      </c>
      <c r="O2" s="161">
        <v>112256.102</v>
      </c>
      <c r="P2" s="188">
        <v>3.8999999999999999E-5</v>
      </c>
      <c r="Q2" s="188">
        <v>3.3399999999999999E-4</v>
      </c>
      <c r="R2" s="159">
        <v>2144.2579999999998</v>
      </c>
      <c r="S2" s="9" t="s">
        <v>30</v>
      </c>
      <c r="T2" s="20" t="s">
        <v>30</v>
      </c>
      <c r="U2" s="28" t="s">
        <v>1724</v>
      </c>
      <c r="V2" s="10" t="s">
        <v>1725</v>
      </c>
      <c r="W2" s="9" t="s">
        <v>1726</v>
      </c>
      <c r="X2" s="10" t="s">
        <v>1727</v>
      </c>
      <c r="Y2" s="10" t="s">
        <v>154</v>
      </c>
      <c r="Z2" s="1" t="s">
        <v>1728</v>
      </c>
      <c r="AA2" s="27" t="s">
        <v>1729</v>
      </c>
      <c r="AB2" s="10" t="s">
        <v>1730</v>
      </c>
      <c r="AC2" s="10" t="s">
        <v>1731</v>
      </c>
      <c r="AD2" s="10" t="s">
        <v>154</v>
      </c>
      <c r="AE2" s="28" t="s">
        <v>1732</v>
      </c>
      <c r="AF2" s="10" t="s">
        <v>1730</v>
      </c>
      <c r="AG2" s="11" t="s">
        <v>1733</v>
      </c>
      <c r="AH2" s="38" t="s">
        <v>1734</v>
      </c>
      <c r="AI2" s="159">
        <v>3.36</v>
      </c>
      <c r="AJ2" s="38" t="s">
        <v>1735</v>
      </c>
      <c r="AK2" s="28" t="s">
        <v>154</v>
      </c>
      <c r="AL2" s="38" t="s">
        <v>1734</v>
      </c>
      <c r="AM2" s="9" t="s">
        <v>1736</v>
      </c>
      <c r="AN2" s="170">
        <v>2.9799999999999998E-4</v>
      </c>
      <c r="AO2" s="170">
        <v>9.9999999999999995E-7</v>
      </c>
    </row>
    <row r="3" spans="1:41">
      <c r="A3" s="11" t="s">
        <v>1721</v>
      </c>
      <c r="B3" s="11" t="s">
        <v>1721</v>
      </c>
      <c r="C3" s="11" t="s">
        <v>1722</v>
      </c>
      <c r="D3" s="2" t="s">
        <v>1737</v>
      </c>
      <c r="E3" s="11" t="s">
        <v>991</v>
      </c>
      <c r="F3" s="187">
        <v>3.8807</v>
      </c>
      <c r="G3" s="159">
        <v>-10369000</v>
      </c>
      <c r="H3" s="153">
        <v>-40181.684000000001</v>
      </c>
      <c r="I3" s="188">
        <v>1.22E-4</v>
      </c>
      <c r="J3" s="189">
        <v>-1.8E-5</v>
      </c>
      <c r="K3" s="9" t="s">
        <v>1737</v>
      </c>
      <c r="L3" s="11" t="s">
        <v>44</v>
      </c>
      <c r="M3" s="190">
        <v>1</v>
      </c>
      <c r="N3" s="160">
        <v>41525771.200000003</v>
      </c>
      <c r="O3" s="160">
        <v>41415.936999999998</v>
      </c>
      <c r="P3" s="188">
        <v>1.4E-5</v>
      </c>
      <c r="Q3" s="188">
        <v>1.2300000000000001E-4</v>
      </c>
      <c r="R3" s="159">
        <v>1234.2529999999999</v>
      </c>
      <c r="S3" s="9" t="s">
        <v>30</v>
      </c>
      <c r="T3" s="20" t="s">
        <v>30</v>
      </c>
      <c r="U3" s="28" t="s">
        <v>1724</v>
      </c>
      <c r="V3" s="10" t="s">
        <v>1725</v>
      </c>
      <c r="W3" s="9" t="s">
        <v>1726</v>
      </c>
      <c r="X3" s="10" t="s">
        <v>1738</v>
      </c>
      <c r="Y3" s="10" t="s">
        <v>154</v>
      </c>
      <c r="Z3" s="1" t="s">
        <v>1728</v>
      </c>
      <c r="AA3" s="27" t="s">
        <v>1729</v>
      </c>
      <c r="AB3" s="10" t="s">
        <v>1730</v>
      </c>
      <c r="AC3" s="10" t="s">
        <v>1731</v>
      </c>
      <c r="AD3" s="10" t="s">
        <v>154</v>
      </c>
      <c r="AE3" s="10" t="s">
        <v>1732</v>
      </c>
      <c r="AF3" s="10" t="s">
        <v>1730</v>
      </c>
      <c r="AG3" s="11" t="s">
        <v>1733</v>
      </c>
      <c r="AH3" t="s">
        <v>1734</v>
      </c>
      <c r="AI3" s="159">
        <v>3.9940000000000002</v>
      </c>
      <c r="AJ3" s="10" t="s">
        <v>1739</v>
      </c>
      <c r="AK3" s="10" t="s">
        <v>154</v>
      </c>
      <c r="AL3" s="9" t="s">
        <v>1734</v>
      </c>
      <c r="AM3" s="9" t="s">
        <v>1736</v>
      </c>
      <c r="AN3" s="170">
        <v>1.7200000000000001E-4</v>
      </c>
      <c r="AO3" s="170">
        <v>0</v>
      </c>
    </row>
    <row r="4" spans="1:41">
      <c r="A4" s="11" t="s">
        <v>1721</v>
      </c>
      <c r="B4" s="11" t="s">
        <v>1721</v>
      </c>
      <c r="C4" s="11" t="s">
        <v>1722</v>
      </c>
      <c r="D4" s="2" t="s">
        <v>1740</v>
      </c>
      <c r="E4" s="11" t="s">
        <v>34</v>
      </c>
      <c r="F4" s="187">
        <v>3.306</v>
      </c>
      <c r="G4" s="159">
        <v>-54575000</v>
      </c>
      <c r="H4" s="153">
        <v>-178752.75200000001</v>
      </c>
      <c r="I4" s="188">
        <v>5.4299999999999997E-4</v>
      </c>
      <c r="J4" s="189">
        <v>-8.0000000000000007E-5</v>
      </c>
      <c r="K4" s="9" t="s">
        <v>1740</v>
      </c>
      <c r="L4" s="11" t="s">
        <v>44</v>
      </c>
      <c r="M4" s="190">
        <v>1</v>
      </c>
      <c r="N4" s="160">
        <v>184196082.5</v>
      </c>
      <c r="O4" s="160">
        <v>182565.837</v>
      </c>
      <c r="P4" s="188">
        <v>6.3E-5</v>
      </c>
      <c r="Q4" s="188">
        <v>5.4299999999999997E-4</v>
      </c>
      <c r="R4" s="159">
        <v>3813.0859999999998</v>
      </c>
      <c r="S4" s="9" t="s">
        <v>30</v>
      </c>
      <c r="T4" s="20" t="s">
        <v>30</v>
      </c>
      <c r="U4" s="28" t="s">
        <v>1724</v>
      </c>
      <c r="V4" s="10" t="s">
        <v>1725</v>
      </c>
      <c r="W4" s="9" t="s">
        <v>1726</v>
      </c>
      <c r="X4" s="10" t="s">
        <v>1727</v>
      </c>
      <c r="Y4" s="10" t="s">
        <v>154</v>
      </c>
      <c r="Z4" s="1" t="s">
        <v>1741</v>
      </c>
      <c r="AA4" s="27" t="s">
        <v>1742</v>
      </c>
      <c r="AB4" s="10" t="s">
        <v>1730</v>
      </c>
      <c r="AC4" s="10" t="s">
        <v>1731</v>
      </c>
      <c r="AD4" s="10" t="s">
        <v>154</v>
      </c>
      <c r="AE4" s="10" t="s">
        <v>1732</v>
      </c>
      <c r="AF4" s="10" t="s">
        <v>1730</v>
      </c>
      <c r="AG4" s="11" t="s">
        <v>1743</v>
      </c>
      <c r="AH4" t="s">
        <v>1734</v>
      </c>
      <c r="AI4" s="159">
        <v>3.3450000000000002</v>
      </c>
      <c r="AJ4" s="10" t="s">
        <v>1744</v>
      </c>
      <c r="AK4" s="10" t="s">
        <v>154</v>
      </c>
      <c r="AL4" s="9" t="s">
        <v>1734</v>
      </c>
      <c r="AM4" s="9" t="s">
        <v>1736</v>
      </c>
      <c r="AN4" s="170">
        <v>5.2999999999999998E-4</v>
      </c>
      <c r="AO4" s="170">
        <v>9.9999999999999995E-7</v>
      </c>
    </row>
    <row r="5" spans="1:41">
      <c r="A5" s="11" t="s">
        <v>1721</v>
      </c>
      <c r="B5" s="11" t="s">
        <v>1745</v>
      </c>
      <c r="C5" s="11" t="s">
        <v>1722</v>
      </c>
      <c r="D5" s="2" t="s">
        <v>1723</v>
      </c>
      <c r="E5" s="11" t="s">
        <v>34</v>
      </c>
      <c r="F5" s="187">
        <v>3.306</v>
      </c>
      <c r="G5" s="159">
        <v>-615000</v>
      </c>
      <c r="H5" s="153">
        <v>-2027.508</v>
      </c>
      <c r="I5" s="188">
        <v>6.8099999999999996E-4</v>
      </c>
      <c r="J5" s="189">
        <v>-4.3000000000000002E-5</v>
      </c>
      <c r="K5" s="9" t="s">
        <v>1723</v>
      </c>
      <c r="L5" s="11" t="s">
        <v>44</v>
      </c>
      <c r="M5" s="190">
        <v>1</v>
      </c>
      <c r="N5" s="160">
        <v>2072550</v>
      </c>
      <c r="O5" s="160">
        <v>2066.991</v>
      </c>
      <c r="P5" s="188">
        <v>3.8999999999999999E-5</v>
      </c>
      <c r="Q5" s="188">
        <v>6.8099999999999996E-4</v>
      </c>
      <c r="R5" s="159">
        <v>39.482999999999997</v>
      </c>
      <c r="S5" s="9" t="s">
        <v>30</v>
      </c>
      <c r="T5" s="20" t="s">
        <v>30</v>
      </c>
      <c r="U5" s="28" t="s">
        <v>1724</v>
      </c>
      <c r="V5" s="10" t="s">
        <v>1725</v>
      </c>
      <c r="W5" s="9" t="s">
        <v>1726</v>
      </c>
      <c r="X5" s="10" t="s">
        <v>1727</v>
      </c>
      <c r="Y5" s="10" t="s">
        <v>154</v>
      </c>
      <c r="Z5" s="1" t="s">
        <v>1728</v>
      </c>
      <c r="AA5" s="27" t="s">
        <v>1729</v>
      </c>
      <c r="AB5" s="10" t="s">
        <v>1730</v>
      </c>
      <c r="AC5" s="10" t="s">
        <v>1731</v>
      </c>
      <c r="AD5" s="10" t="s">
        <v>154</v>
      </c>
      <c r="AE5" s="10" t="s">
        <v>1732</v>
      </c>
      <c r="AF5" s="10" t="s">
        <v>1730</v>
      </c>
      <c r="AG5" s="11" t="s">
        <v>1733</v>
      </c>
      <c r="AH5" t="s">
        <v>1734</v>
      </c>
      <c r="AI5" s="159">
        <v>3.36</v>
      </c>
      <c r="AJ5" s="10" t="s">
        <v>1735</v>
      </c>
      <c r="AK5" s="10" t="s">
        <v>154</v>
      </c>
      <c r="AL5" s="9" t="s">
        <v>1734</v>
      </c>
      <c r="AM5" s="9" t="s">
        <v>1736</v>
      </c>
      <c r="AN5" s="170">
        <v>6.6100000000000002E-4</v>
      </c>
      <c r="AO5" s="170">
        <v>9.9999999999999995E-7</v>
      </c>
    </row>
    <row r="6" spans="1:41">
      <c r="A6" s="11" t="s">
        <v>1721</v>
      </c>
      <c r="B6" s="11" t="s">
        <v>1745</v>
      </c>
      <c r="C6" s="11" t="s">
        <v>1722</v>
      </c>
      <c r="D6" s="2" t="s">
        <v>1740</v>
      </c>
      <c r="E6" s="11" t="s">
        <v>34</v>
      </c>
      <c r="F6" s="187">
        <v>3.306</v>
      </c>
      <c r="G6" s="159">
        <v>-290000</v>
      </c>
      <c r="H6" s="153">
        <v>-949.85400000000004</v>
      </c>
      <c r="I6" s="188">
        <v>3.19E-4</v>
      </c>
      <c r="J6" s="189">
        <v>-2.0000000000000002E-5</v>
      </c>
      <c r="K6" s="9" t="s">
        <v>1740</v>
      </c>
      <c r="L6" s="11" t="s">
        <v>44</v>
      </c>
      <c r="M6" s="190">
        <v>1</v>
      </c>
      <c r="N6" s="160">
        <v>978779</v>
      </c>
      <c r="O6" s="160">
        <v>970.11599999999999</v>
      </c>
      <c r="P6" s="188">
        <v>1.8E-5</v>
      </c>
      <c r="Q6" s="188">
        <v>3.19E-4</v>
      </c>
      <c r="R6" s="159">
        <v>20.262</v>
      </c>
      <c r="S6" s="9" t="s">
        <v>30</v>
      </c>
      <c r="T6" s="20" t="s">
        <v>30</v>
      </c>
      <c r="U6" s="28" t="s">
        <v>1724</v>
      </c>
      <c r="V6" s="10" t="s">
        <v>1725</v>
      </c>
      <c r="W6" s="9" t="s">
        <v>1726</v>
      </c>
      <c r="X6" s="10" t="s">
        <v>1727</v>
      </c>
      <c r="Y6" s="10" t="s">
        <v>154</v>
      </c>
      <c r="Z6" s="1" t="s">
        <v>1741</v>
      </c>
      <c r="AA6" s="27" t="s">
        <v>1742</v>
      </c>
      <c r="AB6" s="10" t="s">
        <v>1730</v>
      </c>
      <c r="AC6" s="10" t="s">
        <v>1731</v>
      </c>
      <c r="AD6" s="10" t="s">
        <v>154</v>
      </c>
      <c r="AE6" s="10" t="s">
        <v>1732</v>
      </c>
      <c r="AF6" s="10" t="s">
        <v>1730</v>
      </c>
      <c r="AG6" s="11" t="s">
        <v>1743</v>
      </c>
      <c r="AH6" t="s">
        <v>1734</v>
      </c>
      <c r="AI6" s="159">
        <v>3.3450000000000002</v>
      </c>
      <c r="AJ6" s="10" t="s">
        <v>1744</v>
      </c>
      <c r="AK6" s="10" t="s">
        <v>154</v>
      </c>
      <c r="AL6" s="9" t="s">
        <v>1734</v>
      </c>
      <c r="AM6" s="9" t="s">
        <v>1736</v>
      </c>
      <c r="AN6" s="170">
        <v>3.39E-4</v>
      </c>
      <c r="AO6" s="170">
        <v>0</v>
      </c>
    </row>
    <row r="7" spans="1:41">
      <c r="A7" s="11" t="s">
        <v>1721</v>
      </c>
      <c r="B7" s="11" t="s">
        <v>1746</v>
      </c>
      <c r="C7" s="11" t="s">
        <v>1722</v>
      </c>
      <c r="D7" s="2" t="s">
        <v>1723</v>
      </c>
      <c r="E7" s="11" t="s">
        <v>34</v>
      </c>
      <c r="F7" s="187">
        <v>3.306</v>
      </c>
      <c r="G7" s="159">
        <v>-1072500</v>
      </c>
      <c r="H7" s="153">
        <v>-3535.777</v>
      </c>
      <c r="I7" s="188">
        <v>3.7100000000000002E-4</v>
      </c>
      <c r="J7" s="189">
        <v>-4.5000000000000003E-5</v>
      </c>
      <c r="K7" s="9" t="s">
        <v>1723</v>
      </c>
      <c r="L7" s="11" t="s">
        <v>44</v>
      </c>
      <c r="M7" s="190">
        <v>1</v>
      </c>
      <c r="N7" s="160">
        <v>3614325</v>
      </c>
      <c r="O7" s="160">
        <v>3604.63</v>
      </c>
      <c r="P7" s="188">
        <v>3.6999999999999998E-5</v>
      </c>
      <c r="Q7" s="188">
        <v>3.6900000000000002E-4</v>
      </c>
      <c r="R7" s="159">
        <v>68.853999999999999</v>
      </c>
      <c r="S7" s="9" t="s">
        <v>30</v>
      </c>
      <c r="T7" s="20" t="s">
        <v>30</v>
      </c>
      <c r="U7" s="28" t="s">
        <v>1724</v>
      </c>
      <c r="V7" s="10" t="s">
        <v>1725</v>
      </c>
      <c r="W7" s="9" t="s">
        <v>1726</v>
      </c>
      <c r="X7" s="10" t="s">
        <v>1727</v>
      </c>
      <c r="Y7" s="10" t="s">
        <v>154</v>
      </c>
      <c r="Z7" s="1" t="s">
        <v>1728</v>
      </c>
      <c r="AA7" s="27" t="s">
        <v>1729</v>
      </c>
      <c r="AB7" s="10" t="s">
        <v>1730</v>
      </c>
      <c r="AC7" s="10" t="s">
        <v>1731</v>
      </c>
      <c r="AD7" s="10" t="s">
        <v>154</v>
      </c>
      <c r="AE7" s="10" t="s">
        <v>1732</v>
      </c>
      <c r="AF7" s="10" t="s">
        <v>1730</v>
      </c>
      <c r="AG7" s="11" t="s">
        <v>1733</v>
      </c>
      <c r="AH7" t="s">
        <v>1734</v>
      </c>
      <c r="AI7" s="159">
        <v>3.36</v>
      </c>
      <c r="AJ7" s="10" t="s">
        <v>1735</v>
      </c>
      <c r="AK7" s="10" t="s">
        <v>154</v>
      </c>
      <c r="AL7" s="9" t="s">
        <v>1734</v>
      </c>
      <c r="AM7" s="9" t="s">
        <v>1736</v>
      </c>
      <c r="AN7" s="170">
        <v>3.1199999999999999E-4</v>
      </c>
      <c r="AO7" s="170">
        <v>9.9999999999999995E-7</v>
      </c>
    </row>
    <row r="8" spans="1:41">
      <c r="A8" s="11" t="s">
        <v>1721</v>
      </c>
      <c r="B8" s="11" t="s">
        <v>1746</v>
      </c>
      <c r="C8" s="11" t="s">
        <v>1722</v>
      </c>
      <c r="D8" s="2" t="s">
        <v>1737</v>
      </c>
      <c r="E8" s="11" t="s">
        <v>991</v>
      </c>
      <c r="F8" s="187">
        <v>3.8807</v>
      </c>
      <c r="G8" s="159">
        <v>-655000</v>
      </c>
      <c r="H8" s="153">
        <v>-2538.239</v>
      </c>
      <c r="I8" s="188">
        <v>2.6600000000000001E-4</v>
      </c>
      <c r="J8" s="189">
        <v>-3.1999999999999999E-5</v>
      </c>
      <c r="K8" s="9" t="s">
        <v>1737</v>
      </c>
      <c r="L8" s="11" t="s">
        <v>44</v>
      </c>
      <c r="M8" s="190">
        <v>1</v>
      </c>
      <c r="N8" s="160">
        <v>2623144</v>
      </c>
      <c r="O8" s="160">
        <v>2616.2049999999999</v>
      </c>
      <c r="P8" s="188">
        <v>2.6999999999999999E-5</v>
      </c>
      <c r="Q8" s="188">
        <v>2.6800000000000001E-4</v>
      </c>
      <c r="R8" s="159">
        <v>77.966999999999999</v>
      </c>
      <c r="S8" s="9" t="s">
        <v>30</v>
      </c>
      <c r="T8" s="20" t="s">
        <v>30</v>
      </c>
      <c r="U8" s="28" t="s">
        <v>1724</v>
      </c>
      <c r="V8" s="10" t="s">
        <v>1725</v>
      </c>
      <c r="W8" s="9" t="s">
        <v>1726</v>
      </c>
      <c r="X8" s="10" t="s">
        <v>1738</v>
      </c>
      <c r="Y8" s="10" t="s">
        <v>154</v>
      </c>
      <c r="Z8" s="1" t="s">
        <v>1728</v>
      </c>
      <c r="AA8" s="27" t="s">
        <v>1729</v>
      </c>
      <c r="AB8" s="10" t="s">
        <v>1730</v>
      </c>
      <c r="AC8" s="10" t="s">
        <v>1731</v>
      </c>
      <c r="AD8" s="10" t="s">
        <v>154</v>
      </c>
      <c r="AE8" s="10" t="s">
        <v>1732</v>
      </c>
      <c r="AF8" s="10" t="s">
        <v>1730</v>
      </c>
      <c r="AG8" s="11" t="s">
        <v>1733</v>
      </c>
      <c r="AH8" t="s">
        <v>1734</v>
      </c>
      <c r="AI8" s="159">
        <v>3.9940000000000002</v>
      </c>
      <c r="AJ8" s="10" t="s">
        <v>1739</v>
      </c>
      <c r="AK8" s="10" t="s">
        <v>154</v>
      </c>
      <c r="AL8" s="9" t="s">
        <v>1734</v>
      </c>
      <c r="AM8" s="9" t="s">
        <v>1736</v>
      </c>
      <c r="AN8" s="170">
        <v>3.5300000000000002E-4</v>
      </c>
      <c r="AO8" s="170">
        <v>9.9999999999999995E-7</v>
      </c>
    </row>
    <row r="9" spans="1:41">
      <c r="A9" s="11" t="s">
        <v>1721</v>
      </c>
      <c r="B9" s="11" t="s">
        <v>1746</v>
      </c>
      <c r="C9" s="11" t="s">
        <v>1722</v>
      </c>
      <c r="D9" s="2" t="s">
        <v>1747</v>
      </c>
      <c r="E9" s="11" t="s">
        <v>991</v>
      </c>
      <c r="F9" s="187">
        <v>3.8807</v>
      </c>
      <c r="G9" s="159">
        <v>-200000</v>
      </c>
      <c r="H9" s="153">
        <v>-775.03599999999994</v>
      </c>
      <c r="I9" s="188">
        <v>8.1000000000000004E-5</v>
      </c>
      <c r="J9" s="189">
        <v>-1.0000000000000001E-5</v>
      </c>
      <c r="K9" s="9" t="s">
        <v>1747</v>
      </c>
      <c r="L9" s="11" t="s">
        <v>44</v>
      </c>
      <c r="M9" s="190">
        <v>1</v>
      </c>
      <c r="N9" s="160">
        <v>793720</v>
      </c>
      <c r="O9" s="160">
        <v>791.62</v>
      </c>
      <c r="P9" s="188">
        <v>7.9999999999999996E-6</v>
      </c>
      <c r="Q9" s="188">
        <v>8.1000000000000004E-5</v>
      </c>
      <c r="R9" s="159">
        <v>16.584</v>
      </c>
      <c r="S9" s="9" t="s">
        <v>30</v>
      </c>
      <c r="T9" s="20" t="s">
        <v>30</v>
      </c>
      <c r="U9" s="28" t="s">
        <v>1724</v>
      </c>
      <c r="V9" s="10" t="s">
        <v>1725</v>
      </c>
      <c r="W9" s="9" t="s">
        <v>1726</v>
      </c>
      <c r="X9" s="10" t="s">
        <v>1738</v>
      </c>
      <c r="Y9" s="10" t="s">
        <v>154</v>
      </c>
      <c r="Z9" s="1" t="s">
        <v>1748</v>
      </c>
      <c r="AA9" s="27" t="s">
        <v>1729</v>
      </c>
      <c r="AB9" s="10" t="s">
        <v>1730</v>
      </c>
      <c r="AC9" s="10" t="s">
        <v>1731</v>
      </c>
      <c r="AD9" s="10" t="s">
        <v>154</v>
      </c>
      <c r="AE9" s="10" t="s">
        <v>1732</v>
      </c>
      <c r="AF9" s="10" t="s">
        <v>1730</v>
      </c>
      <c r="AG9" s="11" t="s">
        <v>1733</v>
      </c>
      <c r="AH9" t="s">
        <v>1734</v>
      </c>
      <c r="AI9" s="159">
        <v>3.9580000000000002</v>
      </c>
      <c r="AJ9" s="10" t="s">
        <v>1739</v>
      </c>
      <c r="AK9" s="10" t="s">
        <v>154</v>
      </c>
      <c r="AL9" s="9" t="s">
        <v>1734</v>
      </c>
      <c r="AM9" s="9" t="s">
        <v>1736</v>
      </c>
      <c r="AN9" s="170">
        <v>7.4999999999999993E-5</v>
      </c>
      <c r="AO9" s="170">
        <v>0</v>
      </c>
    </row>
    <row r="10" spans="1:41">
      <c r="A10" s="11" t="s">
        <v>1721</v>
      </c>
      <c r="B10" s="11" t="s">
        <v>1746</v>
      </c>
      <c r="C10" s="11" t="s">
        <v>1722</v>
      </c>
      <c r="D10" s="2" t="s">
        <v>1740</v>
      </c>
      <c r="E10" s="11" t="s">
        <v>34</v>
      </c>
      <c r="F10" s="187">
        <v>3.306</v>
      </c>
      <c r="G10" s="159">
        <v>-822500</v>
      </c>
      <c r="H10" s="153">
        <v>-2693.9830000000002</v>
      </c>
      <c r="I10" s="188">
        <v>2.8200000000000002E-4</v>
      </c>
      <c r="J10" s="189">
        <v>-3.4E-5</v>
      </c>
      <c r="K10" s="9" t="s">
        <v>1740</v>
      </c>
      <c r="L10" s="11" t="s">
        <v>44</v>
      </c>
      <c r="M10" s="190">
        <v>1</v>
      </c>
      <c r="N10" s="160">
        <v>2776019.75</v>
      </c>
      <c r="O10" s="160">
        <v>2751.45</v>
      </c>
      <c r="P10" s="188">
        <v>2.8E-5</v>
      </c>
      <c r="Q10" s="188">
        <v>2.8200000000000002E-4</v>
      </c>
      <c r="R10" s="159">
        <v>57.466999999999999</v>
      </c>
      <c r="S10" s="9" t="s">
        <v>30</v>
      </c>
      <c r="T10" s="20" t="s">
        <v>30</v>
      </c>
      <c r="U10" s="28" t="s">
        <v>1724</v>
      </c>
      <c r="V10" s="10" t="s">
        <v>1725</v>
      </c>
      <c r="W10" s="9" t="s">
        <v>1726</v>
      </c>
      <c r="X10" s="10" t="s">
        <v>1727</v>
      </c>
      <c r="Y10" s="10" t="s">
        <v>154</v>
      </c>
      <c r="Z10" s="1" t="s">
        <v>1741</v>
      </c>
      <c r="AA10" s="27" t="s">
        <v>1742</v>
      </c>
      <c r="AB10" s="10" t="s">
        <v>1730</v>
      </c>
      <c r="AC10" s="10" t="s">
        <v>1731</v>
      </c>
      <c r="AD10" s="10" t="s">
        <v>154</v>
      </c>
      <c r="AE10" s="10" t="s">
        <v>1732</v>
      </c>
      <c r="AF10" s="10" t="s">
        <v>1730</v>
      </c>
      <c r="AG10" s="11" t="s">
        <v>1743</v>
      </c>
      <c r="AH10" t="s">
        <v>1734</v>
      </c>
      <c r="AI10" s="159">
        <v>3.3450000000000002</v>
      </c>
      <c r="AJ10" s="10" t="s">
        <v>1744</v>
      </c>
      <c r="AK10" s="10" t="s">
        <v>154</v>
      </c>
      <c r="AL10" s="9" t="s">
        <v>1734</v>
      </c>
      <c r="AM10" s="9" t="s">
        <v>1736</v>
      </c>
      <c r="AN10" s="170">
        <v>2.5999999999999998E-4</v>
      </c>
      <c r="AO10" s="170">
        <v>9.9999999999999995E-7</v>
      </c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0"/>
      <c r="U11" s="28"/>
      <c r="V11" s="10"/>
      <c r="X11" s="10"/>
      <c r="Y11" s="10"/>
      <c r="Z11" s="1"/>
      <c r="AA11" s="27"/>
      <c r="AB11" s="10"/>
      <c r="AC11" s="10"/>
      <c r="AD11" s="10"/>
      <c r="AE11" s="10"/>
      <c r="AF11" s="10"/>
      <c r="AG11" s="11"/>
      <c r="AI11" s="11"/>
      <c r="AJ11" s="10"/>
      <c r="AK11" s="10"/>
      <c r="AN11" s="22"/>
      <c r="AO11" s="22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0"/>
      <c r="U12" s="28"/>
      <c r="V12" s="10"/>
      <c r="X12" s="10"/>
      <c r="Y12" s="10"/>
      <c r="Z12" s="1"/>
      <c r="AA12" s="27"/>
      <c r="AB12" s="10"/>
      <c r="AC12" s="10"/>
      <c r="AD12" s="10"/>
      <c r="AE12" s="10"/>
      <c r="AF12" s="10"/>
      <c r="AG12" s="11"/>
      <c r="AI12" s="11"/>
      <c r="AJ12" s="10"/>
      <c r="AK12" s="10"/>
      <c r="AN12" s="22"/>
      <c r="AO12" s="22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0"/>
      <c r="U13" s="28"/>
      <c r="V13" s="10"/>
      <c r="X13" s="10"/>
      <c r="Y13" s="10"/>
      <c r="Z13" s="1"/>
      <c r="AA13" s="27"/>
      <c r="AB13" s="10"/>
      <c r="AC13" s="10"/>
      <c r="AD13" s="10"/>
      <c r="AE13" s="10"/>
      <c r="AF13" s="10"/>
      <c r="AG13" s="11"/>
      <c r="AI13" s="11"/>
      <c r="AJ13" s="10"/>
      <c r="AK13" s="10"/>
      <c r="AN13" s="22"/>
      <c r="AO13" s="22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0"/>
      <c r="U14" s="28"/>
      <c r="V14" s="10"/>
      <c r="X14" s="10"/>
      <c r="Y14" s="10"/>
      <c r="Z14" s="1"/>
      <c r="AA14" s="27"/>
      <c r="AB14" s="10"/>
      <c r="AC14" s="10"/>
      <c r="AD14" s="10"/>
      <c r="AE14" s="10"/>
      <c r="AF14" s="10"/>
      <c r="AG14" s="11"/>
      <c r="AI14" s="11"/>
      <c r="AJ14" s="10"/>
      <c r="AK14" s="10"/>
      <c r="AN14" s="22"/>
      <c r="AO14" s="22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0"/>
      <c r="U15" s="28"/>
      <c r="V15" s="10"/>
      <c r="X15" s="10"/>
      <c r="Y15" s="10"/>
      <c r="Z15" s="1"/>
      <c r="AA15" s="27"/>
      <c r="AB15" s="10"/>
      <c r="AC15" s="10"/>
      <c r="AD15" s="10"/>
      <c r="AE15" s="10"/>
      <c r="AF15" s="10"/>
      <c r="AG15" s="11"/>
      <c r="AI15" s="11"/>
      <c r="AJ15" s="10"/>
      <c r="AK15" s="10"/>
      <c r="AN15" s="22"/>
      <c r="AO15" s="22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0"/>
      <c r="U16" s="28"/>
      <c r="V16" s="10"/>
      <c r="X16" s="10"/>
      <c r="Y16" s="10"/>
      <c r="Z16" s="1"/>
      <c r="AA16" s="27"/>
      <c r="AB16" s="10"/>
      <c r="AC16" s="10"/>
      <c r="AD16" s="10"/>
      <c r="AE16" s="10"/>
      <c r="AF16" s="10"/>
      <c r="AG16" s="11"/>
      <c r="AI16" s="11"/>
      <c r="AJ16" s="10"/>
      <c r="AK16" s="10"/>
      <c r="AN16" s="22"/>
      <c r="AO16" s="22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0"/>
      <c r="U17" s="28"/>
      <c r="V17" s="10"/>
      <c r="X17" s="10"/>
      <c r="Y17" s="10"/>
      <c r="Z17" s="1"/>
      <c r="AA17" s="27"/>
      <c r="AB17" s="10"/>
      <c r="AC17" s="10"/>
      <c r="AD17" s="10"/>
      <c r="AE17" s="10"/>
      <c r="AF17" s="10"/>
      <c r="AG17" s="11"/>
      <c r="AI17" s="11"/>
      <c r="AJ17" s="10"/>
      <c r="AK17" s="10"/>
      <c r="AN17" s="22"/>
      <c r="AO17" s="22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0"/>
      <c r="U18" s="28"/>
      <c r="V18" s="10"/>
      <c r="X18" s="10"/>
      <c r="Y18" s="10"/>
      <c r="Z18" s="1"/>
      <c r="AA18" s="27"/>
      <c r="AB18" s="10"/>
      <c r="AC18" s="10"/>
      <c r="AD18" s="10"/>
      <c r="AE18" s="10"/>
      <c r="AF18" s="10"/>
      <c r="AG18" s="11"/>
      <c r="AI18" s="11"/>
      <c r="AJ18" s="10"/>
      <c r="AK18" s="10"/>
      <c r="AN18" s="22"/>
      <c r="AO18" s="22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0"/>
      <c r="U19" s="28"/>
      <c r="V19" s="10"/>
      <c r="X19" s="10"/>
      <c r="Y19" s="10"/>
      <c r="Z19" s="1"/>
      <c r="AA19" s="27"/>
      <c r="AB19" s="10"/>
      <c r="AC19" s="10"/>
      <c r="AD19" s="10"/>
      <c r="AE19" s="10"/>
      <c r="AF19" s="10"/>
      <c r="AG19" s="11"/>
      <c r="AI19" s="11"/>
      <c r="AJ19" s="10"/>
      <c r="AK19" s="10"/>
      <c r="AN19" s="22"/>
      <c r="AO19" s="22"/>
    </row>
    <row r="20" spans="1:41">
      <c r="C20" s="11"/>
      <c r="E20" s="11"/>
      <c r="T20" s="20"/>
      <c r="U20" s="28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0"/>
      <c r="AE22" s="10"/>
      <c r="AF22" s="10"/>
    </row>
    <row r="23" spans="1:41">
      <c r="C23" s="11"/>
      <c r="E23" s="11"/>
      <c r="T23" s="20"/>
      <c r="AE23" s="10"/>
      <c r="AF23" s="10"/>
    </row>
    <row r="24" spans="1:41">
      <c r="C24" s="11"/>
      <c r="E24" s="11"/>
      <c r="T24" s="20"/>
      <c r="AE24" s="10"/>
      <c r="AF24" s="10"/>
    </row>
    <row r="25" spans="1:41">
      <c r="C25" s="11"/>
      <c r="E25" s="11"/>
      <c r="T25" s="20"/>
      <c r="AE25" s="10"/>
      <c r="AF25" s="10"/>
    </row>
    <row r="26" spans="1:41">
      <c r="C26" s="11"/>
      <c r="E26" s="11"/>
      <c r="T26" s="20"/>
      <c r="AE26" s="10"/>
      <c r="AF26" s="10"/>
    </row>
    <row r="27" spans="1:41">
      <c r="C27" s="11"/>
      <c r="E27" s="11"/>
      <c r="T27" s="20"/>
    </row>
    <row r="28" spans="1:41">
      <c r="C28" s="11"/>
      <c r="E28" s="11"/>
      <c r="T28" s="20"/>
    </row>
    <row r="29" spans="1:41">
      <c r="C29" s="11"/>
      <c r="E29" s="11"/>
      <c r="T29" s="20"/>
    </row>
    <row r="30" spans="1:41">
      <c r="C30" s="11"/>
      <c r="E30" s="11"/>
      <c r="T30" s="20"/>
    </row>
    <row r="31" spans="1:41">
      <c r="C31" s="11"/>
      <c r="E31" s="11"/>
      <c r="T31" s="20"/>
    </row>
    <row r="32" spans="1:41">
      <c r="C32" s="11"/>
      <c r="E32" s="11"/>
      <c r="T32" s="20"/>
    </row>
    <row r="33" spans="3:20">
      <c r="C33" s="11"/>
      <c r="T33" s="20"/>
    </row>
    <row r="34" spans="3:20">
      <c r="C34" s="11"/>
      <c r="T34" s="20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O1" workbookViewId="0">
      <selection activeCell="BA2" sqref="BA2"/>
    </sheetView>
  </sheetViews>
  <sheetFormatPr defaultColWidth="0" defaultRowHeight="14.25"/>
  <cols>
    <col min="1" max="27" width="11.625" style="3" customWidth="1"/>
    <col min="28" max="28" width="11.625" style="5" customWidth="1"/>
    <col min="29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1" t="s">
        <v>0</v>
      </c>
      <c r="B1" s="21" t="s">
        <v>1</v>
      </c>
      <c r="C1" s="21" t="s">
        <v>1749</v>
      </c>
      <c r="D1" s="21" t="s">
        <v>1750</v>
      </c>
      <c r="E1" s="21" t="s">
        <v>1751</v>
      </c>
      <c r="F1" s="21" t="s">
        <v>1752</v>
      </c>
      <c r="G1" s="21" t="s">
        <v>5</v>
      </c>
      <c r="H1" s="21" t="s">
        <v>1753</v>
      </c>
      <c r="I1" s="21" t="s">
        <v>6</v>
      </c>
      <c r="J1" s="21" t="s">
        <v>7</v>
      </c>
      <c r="K1" s="21" t="s">
        <v>137</v>
      </c>
      <c r="L1" s="21" t="s">
        <v>138</v>
      </c>
      <c r="M1" s="21" t="s">
        <v>1754</v>
      </c>
      <c r="N1" s="21" t="s">
        <v>1755</v>
      </c>
      <c r="O1" s="177" t="s">
        <v>1756</v>
      </c>
      <c r="P1" s="21" t="s">
        <v>9</v>
      </c>
      <c r="Q1" s="21" t="s">
        <v>10</v>
      </c>
      <c r="R1" s="21" t="s">
        <v>1757</v>
      </c>
      <c r="S1" s="21" t="s">
        <v>11</v>
      </c>
      <c r="T1" s="21" t="s">
        <v>12</v>
      </c>
      <c r="U1" s="21" t="s">
        <v>1758</v>
      </c>
      <c r="V1" s="164" t="s">
        <v>14</v>
      </c>
      <c r="W1" s="21" t="s">
        <v>1365</v>
      </c>
      <c r="X1" s="21" t="s">
        <v>140</v>
      </c>
      <c r="Y1" s="184" t="s">
        <v>1759</v>
      </c>
      <c r="Z1" s="164" t="s">
        <v>15</v>
      </c>
      <c r="AA1" s="21" t="s">
        <v>13</v>
      </c>
      <c r="AB1" s="21" t="s">
        <v>141</v>
      </c>
      <c r="AC1" s="21" t="s">
        <v>1760</v>
      </c>
      <c r="AD1" s="186" t="s">
        <v>1761</v>
      </c>
      <c r="AE1" s="164" t="s">
        <v>1762</v>
      </c>
      <c r="AF1" s="177" t="s">
        <v>1763</v>
      </c>
      <c r="AG1" s="21" t="s">
        <v>1764</v>
      </c>
      <c r="AH1" s="21" t="s">
        <v>1765</v>
      </c>
      <c r="AI1" s="21" t="s">
        <v>1766</v>
      </c>
      <c r="AJ1" s="21" t="s">
        <v>1767</v>
      </c>
      <c r="AK1" s="21" t="s">
        <v>1370</v>
      </c>
      <c r="AL1" s="21" t="s">
        <v>1372</v>
      </c>
      <c r="AM1" s="21" t="s">
        <v>1371</v>
      </c>
      <c r="AN1" s="177" t="s">
        <v>1373</v>
      </c>
      <c r="AO1" s="177" t="s">
        <v>1374</v>
      </c>
      <c r="AP1" s="164" t="s">
        <v>1768</v>
      </c>
      <c r="AQ1" s="21" t="s">
        <v>1769</v>
      </c>
      <c r="AR1" s="168" t="s">
        <v>1770</v>
      </c>
      <c r="AS1" s="162" t="s">
        <v>18</v>
      </c>
      <c r="AT1" s="21" t="s">
        <v>20</v>
      </c>
      <c r="AU1" s="21" t="s">
        <v>1771</v>
      </c>
      <c r="AV1" s="21" t="s">
        <v>21</v>
      </c>
      <c r="AW1" s="21" t="s">
        <v>143</v>
      </c>
      <c r="AX1" s="21" t="s">
        <v>142</v>
      </c>
      <c r="AY1" s="21" t="s">
        <v>22</v>
      </c>
      <c r="AZ1" s="164" t="s">
        <v>24</v>
      </c>
      <c r="BA1" s="164" t="s">
        <v>25</v>
      </c>
    </row>
    <row r="2" spans="1:53">
      <c r="A2" s="3">
        <v>288</v>
      </c>
      <c r="B2" s="3">
        <v>288</v>
      </c>
      <c r="C2" s="23" t="s">
        <v>1772</v>
      </c>
      <c r="D2" s="23" t="s">
        <v>43</v>
      </c>
      <c r="E2" s="23" t="s">
        <v>1773</v>
      </c>
      <c r="F2" s="23" t="s">
        <v>1774</v>
      </c>
      <c r="G2" s="22" t="s">
        <v>1775</v>
      </c>
      <c r="H2" s="41"/>
      <c r="I2" s="20" t="s">
        <v>30</v>
      </c>
      <c r="J2" s="30" t="s">
        <v>30</v>
      </c>
      <c r="K2" s="22" t="s">
        <v>1776</v>
      </c>
      <c r="L2" s="22" t="s">
        <v>154</v>
      </c>
      <c r="M2" s="23" t="s">
        <v>154</v>
      </c>
      <c r="N2" s="23"/>
      <c r="O2" s="178" t="s">
        <v>1777</v>
      </c>
      <c r="P2" s="22" t="s">
        <v>118</v>
      </c>
      <c r="Q2" s="22" t="s">
        <v>118</v>
      </c>
      <c r="R2" s="22" t="s">
        <v>1778</v>
      </c>
      <c r="S2" s="20" t="s">
        <v>44</v>
      </c>
      <c r="T2" s="156">
        <v>2.6230000000000002</v>
      </c>
      <c r="U2" s="22" t="s">
        <v>1779</v>
      </c>
      <c r="V2" s="170">
        <v>5.5957E-2</v>
      </c>
      <c r="W2" s="23" t="s">
        <v>1780</v>
      </c>
      <c r="X2" s="23" t="s">
        <v>1781</v>
      </c>
      <c r="Y2" s="185">
        <v>5.5957E-2</v>
      </c>
      <c r="Z2" s="170">
        <v>5.126E-2</v>
      </c>
      <c r="AA2" s="22" t="s">
        <v>1782</v>
      </c>
      <c r="AB2" s="20" t="s">
        <v>159</v>
      </c>
      <c r="AC2" s="23"/>
      <c r="AD2" s="23"/>
      <c r="AE2" s="170">
        <v>0</v>
      </c>
      <c r="AF2" s="22"/>
      <c r="AG2" s="23" t="s">
        <v>154</v>
      </c>
      <c r="AH2" s="23" t="s">
        <v>1783</v>
      </c>
      <c r="AI2" s="41" t="s">
        <v>1784</v>
      </c>
      <c r="AJ2" s="3" t="s">
        <v>154</v>
      </c>
      <c r="AK2" s="22" t="s">
        <v>31</v>
      </c>
      <c r="AL2" s="23" t="s">
        <v>1785</v>
      </c>
      <c r="AM2" s="22" t="s">
        <v>1392</v>
      </c>
      <c r="AN2" s="179" t="s">
        <v>1382</v>
      </c>
      <c r="AO2" s="179" t="s">
        <v>1786</v>
      </c>
      <c r="AP2" s="165">
        <v>0</v>
      </c>
      <c r="AQ2" s="154">
        <v>34631646.759999998</v>
      </c>
      <c r="AR2" s="172">
        <v>101.807</v>
      </c>
      <c r="AS2" s="171">
        <v>1</v>
      </c>
      <c r="AT2" s="156">
        <v>35257.271999999997</v>
      </c>
      <c r="AU2" s="158">
        <v>35257.271999999997</v>
      </c>
      <c r="AV2" s="29"/>
      <c r="AW2" s="39"/>
      <c r="AX2" s="30" t="s">
        <v>154</v>
      </c>
      <c r="AY2" s="22" t="s">
        <v>36</v>
      </c>
      <c r="AZ2" s="170">
        <v>1</v>
      </c>
      <c r="BA2" s="170">
        <v>1.3750936702796999E-2</v>
      </c>
    </row>
    <row r="3" spans="1:53">
      <c r="C3" s="22"/>
      <c r="D3" s="23"/>
      <c r="E3" s="22"/>
      <c r="F3" s="22"/>
      <c r="G3" s="22"/>
      <c r="I3" s="20"/>
      <c r="J3" s="20"/>
      <c r="K3" s="22"/>
      <c r="L3" s="22"/>
      <c r="M3" s="23"/>
      <c r="N3" s="23"/>
      <c r="O3" s="22"/>
      <c r="P3" s="22"/>
      <c r="Q3" s="22"/>
      <c r="R3" s="22"/>
      <c r="S3" s="20"/>
      <c r="T3" s="22"/>
      <c r="U3" s="22"/>
      <c r="V3" s="22"/>
      <c r="W3" s="22"/>
      <c r="X3" s="22"/>
      <c r="Y3" s="22"/>
      <c r="Z3" s="22"/>
      <c r="AA3" s="22"/>
      <c r="AB3" s="20"/>
      <c r="AC3" s="22"/>
      <c r="AD3" s="22"/>
      <c r="AE3" s="22"/>
      <c r="AF3" s="22"/>
      <c r="AG3" s="22"/>
      <c r="AH3" s="22"/>
      <c r="AI3" s="41"/>
      <c r="AK3" s="22"/>
      <c r="AL3" s="23"/>
      <c r="AM3" s="22"/>
      <c r="AR3" s="22"/>
      <c r="AS3" s="22"/>
      <c r="AT3" s="22"/>
      <c r="AU3" s="22"/>
      <c r="AV3" s="22"/>
      <c r="AW3" s="22"/>
      <c r="AX3" s="20"/>
      <c r="AY3" s="22"/>
      <c r="AZ3" s="22"/>
      <c r="BA3" s="22"/>
    </row>
    <row r="4" spans="1:53">
      <c r="C4" s="22"/>
      <c r="D4" s="23"/>
      <c r="E4" s="22"/>
      <c r="F4" s="22"/>
      <c r="G4" s="22"/>
      <c r="I4" s="20"/>
      <c r="J4" s="20"/>
      <c r="K4" s="22"/>
      <c r="L4" s="22"/>
      <c r="M4" s="23"/>
      <c r="N4" s="23"/>
      <c r="O4" s="22"/>
      <c r="P4" s="22"/>
      <c r="Q4" s="22"/>
      <c r="R4" s="22"/>
      <c r="S4" s="20"/>
      <c r="T4" s="22"/>
      <c r="U4" s="22"/>
      <c r="V4" s="22"/>
      <c r="W4" s="22"/>
      <c r="X4" s="22"/>
      <c r="Y4" s="22"/>
      <c r="Z4" s="22"/>
      <c r="AA4" s="22"/>
      <c r="AB4" s="20"/>
      <c r="AC4" s="22"/>
      <c r="AD4" s="22"/>
      <c r="AE4" s="22"/>
      <c r="AF4" s="22"/>
      <c r="AG4" s="22"/>
      <c r="AH4" s="22"/>
      <c r="AK4" s="22"/>
      <c r="AL4" s="22"/>
      <c r="AM4" s="22"/>
      <c r="AR4" s="22"/>
      <c r="AS4" s="22"/>
      <c r="AT4" s="22"/>
      <c r="AU4" s="29"/>
      <c r="AV4" s="29"/>
      <c r="AW4" s="29"/>
      <c r="AX4" s="20"/>
      <c r="AY4" s="22"/>
      <c r="AZ4" s="22"/>
      <c r="BA4" s="22"/>
    </row>
    <row r="5" spans="1:53">
      <c r="C5" s="22"/>
      <c r="D5" s="23"/>
      <c r="E5" s="22"/>
      <c r="F5" s="22"/>
      <c r="G5" s="22"/>
      <c r="I5" s="20"/>
      <c r="J5" s="20"/>
      <c r="K5" s="22"/>
      <c r="L5" s="22"/>
      <c r="M5" s="23"/>
      <c r="N5" s="23"/>
      <c r="O5" s="22"/>
      <c r="P5" s="22"/>
      <c r="Q5" s="22"/>
      <c r="R5" s="22"/>
      <c r="S5" s="20"/>
      <c r="T5" s="22"/>
      <c r="U5" s="22"/>
      <c r="V5" s="22"/>
      <c r="W5" s="22"/>
      <c r="X5" s="22"/>
      <c r="Y5" s="22"/>
      <c r="Z5" s="22"/>
      <c r="AA5" s="22"/>
      <c r="AB5" s="20"/>
      <c r="AC5" s="22"/>
      <c r="AD5" s="22"/>
      <c r="AE5" s="22"/>
      <c r="AF5" s="22"/>
      <c r="AG5" s="22"/>
      <c r="AH5" s="22"/>
      <c r="AK5" s="22"/>
      <c r="AL5" s="22"/>
      <c r="AM5" s="22"/>
      <c r="AR5" s="22"/>
      <c r="AS5" s="22"/>
      <c r="AT5" s="22"/>
      <c r="AU5" s="29"/>
      <c r="AV5" s="29"/>
      <c r="AW5" s="29"/>
      <c r="AX5" s="20"/>
      <c r="AY5" s="22"/>
      <c r="AZ5" s="22"/>
      <c r="BA5" s="22"/>
    </row>
    <row r="6" spans="1:53">
      <c r="C6" s="22"/>
      <c r="D6" s="23"/>
      <c r="E6" s="22"/>
      <c r="F6" s="22"/>
      <c r="G6" s="22"/>
      <c r="I6" s="20"/>
      <c r="J6" s="20"/>
      <c r="K6" s="22"/>
      <c r="L6" s="22"/>
      <c r="M6" s="23"/>
      <c r="N6" s="23"/>
      <c r="O6" s="22"/>
      <c r="P6" s="22"/>
      <c r="Q6" s="22"/>
      <c r="R6" s="22"/>
      <c r="S6" s="20"/>
      <c r="T6" s="22"/>
      <c r="U6" s="22"/>
      <c r="V6" s="22"/>
      <c r="W6" s="22"/>
      <c r="X6" s="22"/>
      <c r="Y6" s="22"/>
      <c r="Z6" s="22"/>
      <c r="AA6" s="22"/>
      <c r="AB6" s="20"/>
      <c r="AC6" s="22"/>
      <c r="AD6" s="22"/>
      <c r="AE6" s="22"/>
      <c r="AF6" s="22"/>
      <c r="AG6" s="22"/>
      <c r="AH6" s="22"/>
      <c r="AK6" s="22"/>
      <c r="AL6" s="22"/>
      <c r="AM6" s="22"/>
      <c r="AR6" s="22"/>
      <c r="AS6" s="22"/>
      <c r="AT6" s="22"/>
      <c r="AU6" s="29"/>
      <c r="AV6" s="29"/>
      <c r="AW6" s="29"/>
      <c r="AX6" s="20"/>
      <c r="AY6" s="22"/>
      <c r="AZ6" s="22"/>
      <c r="BA6" s="22"/>
    </row>
    <row r="7" spans="1:53">
      <c r="C7" s="22"/>
      <c r="D7" s="23"/>
      <c r="E7" s="22"/>
      <c r="F7" s="22"/>
      <c r="G7" s="22"/>
      <c r="I7" s="20"/>
      <c r="J7" s="20"/>
      <c r="K7" s="22"/>
      <c r="L7" s="22"/>
      <c r="M7" s="23"/>
      <c r="N7" s="23"/>
      <c r="O7" s="22"/>
      <c r="P7" s="22"/>
      <c r="Q7" s="22"/>
      <c r="R7" s="22"/>
      <c r="S7" s="20"/>
      <c r="T7" s="22"/>
      <c r="U7" s="22"/>
      <c r="V7" s="22"/>
      <c r="W7" s="22"/>
      <c r="X7" s="22"/>
      <c r="Y7" s="22"/>
      <c r="Z7" s="22"/>
      <c r="AA7" s="22"/>
      <c r="AB7" s="20"/>
      <c r="AC7" s="22"/>
      <c r="AD7" s="22"/>
      <c r="AE7" s="22"/>
      <c r="AF7" s="22"/>
      <c r="AG7" s="22"/>
      <c r="AH7" s="22"/>
      <c r="AK7" s="22"/>
      <c r="AL7" s="22"/>
      <c r="AM7" s="22"/>
      <c r="AR7" s="22"/>
      <c r="AS7" s="22"/>
      <c r="AT7" s="22"/>
      <c r="AU7" s="29"/>
      <c r="AV7" s="29"/>
      <c r="AW7" s="29"/>
      <c r="AX7" s="20"/>
      <c r="AY7" s="22"/>
      <c r="AZ7" s="22"/>
      <c r="BA7" s="22"/>
    </row>
    <row r="8" spans="1:53">
      <c r="C8" s="22"/>
      <c r="D8" s="23"/>
      <c r="E8" s="22"/>
      <c r="F8" s="22"/>
      <c r="G8" s="22"/>
      <c r="I8" s="20"/>
      <c r="J8" s="20"/>
      <c r="K8" s="22"/>
      <c r="L8" s="22"/>
      <c r="M8" s="23"/>
      <c r="N8" s="23"/>
      <c r="O8" s="22"/>
      <c r="P8" s="22"/>
      <c r="Q8" s="22"/>
      <c r="R8" s="22"/>
      <c r="S8" s="20"/>
      <c r="T8" s="22"/>
      <c r="U8" s="22"/>
      <c r="V8" s="22"/>
      <c r="W8" s="22"/>
      <c r="X8" s="22"/>
      <c r="Y8" s="22"/>
      <c r="Z8" s="22"/>
      <c r="AA8" s="22"/>
      <c r="AB8" s="20"/>
      <c r="AC8" s="22"/>
      <c r="AD8" s="22"/>
      <c r="AE8" s="22"/>
      <c r="AF8" s="22"/>
      <c r="AG8" s="22"/>
      <c r="AH8" s="22"/>
      <c r="AK8" s="22"/>
      <c r="AL8" s="22"/>
      <c r="AM8" s="22"/>
      <c r="AR8" s="22"/>
      <c r="AS8" s="22"/>
      <c r="AT8" s="22"/>
      <c r="AU8" s="22"/>
      <c r="AV8" s="22"/>
      <c r="AW8" s="22"/>
      <c r="AX8" s="20"/>
      <c r="AY8" s="22"/>
      <c r="AZ8" s="22"/>
      <c r="BA8" s="22"/>
    </row>
    <row r="9" spans="1:53">
      <c r="C9" s="22"/>
      <c r="D9" s="23"/>
      <c r="E9" s="22"/>
      <c r="F9" s="22"/>
      <c r="G9" s="22"/>
      <c r="I9" s="20"/>
      <c r="J9" s="20"/>
      <c r="K9" s="22"/>
      <c r="L9" s="22"/>
      <c r="M9" s="23"/>
      <c r="N9" s="23"/>
      <c r="O9" s="22"/>
      <c r="P9" s="22"/>
      <c r="Q9" s="22"/>
      <c r="R9" s="22"/>
      <c r="S9" s="20"/>
      <c r="T9" s="22"/>
      <c r="U9" s="22"/>
      <c r="V9" s="22"/>
      <c r="W9" s="22"/>
      <c r="X9" s="22"/>
      <c r="Y9" s="22"/>
      <c r="Z9" s="22"/>
      <c r="AA9" s="22"/>
      <c r="AB9" s="20"/>
      <c r="AC9" s="22"/>
      <c r="AD9" s="22"/>
      <c r="AE9" s="22"/>
      <c r="AF9" s="22"/>
      <c r="AG9" s="22"/>
      <c r="AH9" s="22"/>
      <c r="AK9" s="22"/>
      <c r="AL9" s="22"/>
      <c r="AM9" s="22"/>
      <c r="AR9" s="22"/>
      <c r="AS9" s="22"/>
      <c r="AT9" s="22"/>
      <c r="AU9" s="29"/>
      <c r="AV9" s="29"/>
      <c r="AW9" s="29"/>
      <c r="AX9" s="20"/>
      <c r="AY9" s="22"/>
      <c r="AZ9" s="22"/>
      <c r="BA9" s="22"/>
    </row>
    <row r="10" spans="1:53">
      <c r="C10" s="22"/>
      <c r="D10" s="23"/>
      <c r="E10" s="22"/>
      <c r="F10" s="22"/>
      <c r="G10" s="22"/>
      <c r="I10" s="20"/>
      <c r="J10" s="20"/>
      <c r="K10" s="22"/>
      <c r="L10" s="22"/>
      <c r="M10" s="23"/>
      <c r="N10" s="23"/>
      <c r="O10" s="22"/>
      <c r="P10" s="22"/>
      <c r="Q10" s="22"/>
      <c r="R10" s="22"/>
      <c r="S10" s="20"/>
      <c r="T10" s="22"/>
      <c r="U10" s="22"/>
      <c r="V10" s="22"/>
      <c r="W10" s="22"/>
      <c r="X10" s="22"/>
      <c r="Y10" s="22"/>
      <c r="Z10" s="22"/>
      <c r="AA10" s="22"/>
      <c r="AB10" s="20"/>
      <c r="AC10" s="22"/>
      <c r="AD10" s="22"/>
      <c r="AE10" s="22"/>
      <c r="AF10" s="22"/>
      <c r="AG10" s="22"/>
      <c r="AH10" s="22"/>
      <c r="AK10" s="22"/>
      <c r="AL10" s="22"/>
      <c r="AM10" s="22"/>
      <c r="AR10" s="22"/>
      <c r="AS10" s="22"/>
      <c r="AT10" s="22"/>
      <c r="AU10" s="22"/>
      <c r="AV10" s="22"/>
      <c r="AW10" s="22"/>
      <c r="AX10" s="20"/>
      <c r="AY10" s="22"/>
      <c r="AZ10" s="22"/>
      <c r="BA10" s="22"/>
    </row>
    <row r="11" spans="1:53">
      <c r="C11" s="22"/>
      <c r="D11" s="23"/>
      <c r="E11" s="22"/>
      <c r="F11" s="22"/>
      <c r="G11" s="22"/>
      <c r="I11" s="20"/>
      <c r="J11" s="20"/>
      <c r="K11" s="22"/>
      <c r="L11" s="22"/>
      <c r="M11" s="23"/>
      <c r="N11" s="23"/>
      <c r="O11" s="22"/>
      <c r="P11" s="22"/>
      <c r="Q11" s="22"/>
      <c r="R11" s="22"/>
      <c r="S11" s="20"/>
      <c r="T11" s="22"/>
      <c r="U11" s="22"/>
      <c r="V11" s="22"/>
      <c r="W11" s="22"/>
      <c r="X11" s="22"/>
      <c r="Y11" s="22"/>
      <c r="Z11" s="22"/>
      <c r="AA11" s="22"/>
      <c r="AB11" s="20"/>
      <c r="AC11" s="22"/>
      <c r="AD11" s="22"/>
      <c r="AE11" s="22"/>
      <c r="AF11" s="22"/>
      <c r="AG11" s="22"/>
      <c r="AH11" s="22"/>
      <c r="AK11" s="22"/>
      <c r="AL11" s="22"/>
      <c r="AM11" s="22"/>
      <c r="AR11" s="22"/>
      <c r="AS11" s="22"/>
      <c r="AT11" s="22"/>
      <c r="AU11" s="22"/>
      <c r="AV11" s="22"/>
      <c r="AW11" s="22"/>
      <c r="AX11" s="20"/>
      <c r="AY11" s="22"/>
      <c r="AZ11" s="22"/>
      <c r="BA11" s="22"/>
    </row>
    <row r="12" spans="1:53">
      <c r="C12" s="22"/>
      <c r="D12" s="23"/>
      <c r="E12" s="22"/>
      <c r="F12" s="22"/>
      <c r="G12" s="22"/>
      <c r="I12" s="20"/>
      <c r="J12" s="20"/>
      <c r="K12" s="22"/>
      <c r="L12" s="22"/>
      <c r="M12" s="23"/>
      <c r="N12" s="23"/>
      <c r="O12" s="22"/>
      <c r="P12" s="22"/>
      <c r="Q12" s="22"/>
      <c r="R12" s="22"/>
      <c r="S12" s="20"/>
      <c r="T12" s="22"/>
      <c r="U12" s="22"/>
      <c r="V12" s="22"/>
      <c r="W12" s="22"/>
      <c r="X12" s="22"/>
      <c r="Y12" s="22"/>
      <c r="Z12" s="22"/>
      <c r="AA12" s="22"/>
      <c r="AB12" s="20"/>
      <c r="AC12" s="22"/>
      <c r="AD12" s="22"/>
      <c r="AE12" s="22"/>
      <c r="AF12" s="22"/>
      <c r="AG12" s="22"/>
      <c r="AH12" s="22"/>
      <c r="AK12" s="22"/>
      <c r="AL12" s="22"/>
      <c r="AM12" s="22"/>
      <c r="AR12" s="22"/>
      <c r="AS12" s="22"/>
      <c r="AT12" s="22"/>
      <c r="AU12" s="22"/>
      <c r="AV12" s="22"/>
      <c r="AW12" s="22"/>
      <c r="AX12" s="20"/>
      <c r="AY12" s="22"/>
      <c r="AZ12" s="22"/>
      <c r="BA12" s="22"/>
    </row>
    <row r="13" spans="1:53">
      <c r="C13" s="22"/>
      <c r="D13" s="23"/>
      <c r="E13" s="22"/>
      <c r="F13" s="22"/>
      <c r="G13" s="22"/>
      <c r="I13" s="20"/>
      <c r="J13" s="20"/>
      <c r="K13" s="22"/>
      <c r="L13" s="22"/>
      <c r="M13" s="23"/>
      <c r="N13" s="23"/>
      <c r="O13" s="22"/>
      <c r="P13" s="22"/>
      <c r="Q13" s="22"/>
      <c r="R13" s="22"/>
      <c r="S13" s="20"/>
      <c r="T13" s="22"/>
      <c r="U13" s="22"/>
      <c r="V13" s="22"/>
      <c r="W13" s="22"/>
      <c r="X13" s="22"/>
      <c r="Y13" s="22"/>
      <c r="Z13" s="22"/>
      <c r="AA13" s="22"/>
      <c r="AB13" s="20"/>
      <c r="AC13" s="22"/>
      <c r="AD13" s="22"/>
      <c r="AE13" s="22"/>
      <c r="AF13" s="22"/>
      <c r="AG13" s="22"/>
      <c r="AH13" s="22"/>
      <c r="AK13" s="22"/>
      <c r="AL13" s="22"/>
      <c r="AM13" s="22"/>
      <c r="AR13" s="22"/>
      <c r="AS13" s="22"/>
      <c r="AT13" s="22"/>
      <c r="AU13" s="22"/>
      <c r="AV13" s="22"/>
      <c r="AW13" s="22"/>
      <c r="AX13" s="20"/>
      <c r="AY13" s="22"/>
      <c r="AZ13" s="22"/>
      <c r="BA13" s="22"/>
    </row>
    <row r="14" spans="1:53">
      <c r="C14" s="22"/>
      <c r="D14" s="23"/>
      <c r="E14" s="22"/>
      <c r="F14" s="22"/>
      <c r="G14" s="22"/>
      <c r="I14" s="20"/>
      <c r="J14" s="20"/>
      <c r="K14" s="22"/>
      <c r="L14" s="22"/>
      <c r="M14" s="23"/>
      <c r="N14" s="23"/>
      <c r="O14" s="22"/>
      <c r="P14" s="22"/>
      <c r="Q14" s="22"/>
      <c r="R14" s="22"/>
      <c r="S14" s="20"/>
      <c r="T14" s="22"/>
      <c r="U14" s="22"/>
      <c r="V14" s="22"/>
      <c r="W14" s="22"/>
      <c r="X14" s="22"/>
      <c r="Y14" s="22"/>
      <c r="Z14" s="22"/>
      <c r="AA14" s="22"/>
      <c r="AB14" s="20"/>
      <c r="AC14" s="22"/>
      <c r="AD14" s="22"/>
      <c r="AE14" s="22"/>
      <c r="AF14" s="22"/>
      <c r="AG14" s="22"/>
      <c r="AH14" s="22"/>
      <c r="AK14" s="22"/>
      <c r="AL14" s="22"/>
      <c r="AM14" s="22"/>
      <c r="AR14" s="22"/>
      <c r="AS14" s="22"/>
      <c r="AT14" s="22"/>
      <c r="AU14" s="22"/>
      <c r="AV14" s="22"/>
      <c r="AW14" s="22"/>
      <c r="AX14" s="20"/>
      <c r="AY14" s="22"/>
      <c r="AZ14" s="22"/>
      <c r="BA14" s="22"/>
    </row>
    <row r="15" spans="1:53">
      <c r="C15" s="22"/>
      <c r="D15" s="23"/>
      <c r="E15" s="22"/>
      <c r="F15" s="22"/>
      <c r="G15" s="22"/>
      <c r="I15" s="20"/>
      <c r="J15" s="20"/>
      <c r="K15" s="22"/>
      <c r="L15" s="22"/>
      <c r="M15" s="23"/>
      <c r="N15" s="23"/>
      <c r="O15" s="22"/>
      <c r="P15" s="22"/>
      <c r="Q15" s="22"/>
      <c r="R15" s="22"/>
      <c r="S15" s="20"/>
      <c r="T15" s="22"/>
      <c r="U15" s="22"/>
      <c r="V15" s="22"/>
      <c r="W15" s="22"/>
      <c r="X15" s="22"/>
      <c r="Y15" s="22"/>
      <c r="Z15" s="22"/>
      <c r="AA15" s="22"/>
      <c r="AB15" s="20"/>
      <c r="AC15" s="22"/>
      <c r="AD15" s="22"/>
      <c r="AE15" s="22"/>
      <c r="AF15" s="22"/>
      <c r="AG15" s="22"/>
      <c r="AH15" s="22"/>
      <c r="AK15" s="22"/>
      <c r="AL15" s="22"/>
      <c r="AM15" s="22"/>
      <c r="AR15" s="22"/>
      <c r="AS15" s="22"/>
      <c r="AT15" s="22"/>
      <c r="AU15" s="22"/>
      <c r="AV15" s="22"/>
      <c r="AW15" s="22"/>
      <c r="AX15" s="20"/>
      <c r="AY15" s="22"/>
      <c r="AZ15" s="22"/>
      <c r="BA15" s="22"/>
    </row>
    <row r="16" spans="1:53">
      <c r="C16" s="22"/>
      <c r="D16" s="23"/>
      <c r="E16" s="22"/>
      <c r="F16" s="22"/>
      <c r="G16" s="22"/>
      <c r="I16" s="20"/>
      <c r="J16" s="20"/>
      <c r="K16" s="22"/>
      <c r="L16" s="22"/>
      <c r="M16" s="23"/>
      <c r="N16" s="23"/>
      <c r="O16" s="22"/>
      <c r="P16" s="22"/>
      <c r="Q16" s="22"/>
      <c r="R16" s="22"/>
      <c r="S16" s="20"/>
      <c r="T16" s="22"/>
      <c r="U16" s="22"/>
      <c r="V16" s="22"/>
      <c r="W16" s="22"/>
      <c r="X16" s="22"/>
      <c r="Y16" s="22"/>
      <c r="Z16" s="22"/>
      <c r="AA16" s="22"/>
      <c r="AB16" s="20"/>
      <c r="AC16" s="22"/>
      <c r="AD16" s="22"/>
      <c r="AE16" s="22"/>
      <c r="AF16" s="22"/>
      <c r="AG16" s="22"/>
      <c r="AH16" s="22"/>
      <c r="AK16" s="22"/>
      <c r="AL16" s="22"/>
      <c r="AM16" s="22"/>
      <c r="AR16" s="22"/>
      <c r="AS16" s="22"/>
      <c r="AT16" s="22"/>
      <c r="AU16" s="22"/>
      <c r="AV16" s="22"/>
      <c r="AW16" s="22"/>
      <c r="AX16" s="20"/>
      <c r="AY16" s="22"/>
      <c r="AZ16" s="22"/>
      <c r="BA16" s="22"/>
    </row>
    <row r="17" spans="3:53">
      <c r="C17" s="22"/>
      <c r="D17" s="23"/>
      <c r="E17" s="22"/>
      <c r="F17" s="22"/>
      <c r="G17" s="22"/>
      <c r="I17" s="20"/>
      <c r="J17" s="20"/>
      <c r="K17" s="22"/>
      <c r="L17" s="22"/>
      <c r="M17" s="23"/>
      <c r="N17" s="23"/>
      <c r="O17" s="22"/>
      <c r="P17" s="22"/>
      <c r="Q17" s="22"/>
      <c r="R17" s="22"/>
      <c r="S17" s="20"/>
      <c r="T17" s="22"/>
      <c r="U17" s="22"/>
      <c r="V17" s="22"/>
      <c r="W17" s="22"/>
      <c r="X17" s="22"/>
      <c r="Y17" s="22"/>
      <c r="Z17" s="22"/>
      <c r="AA17" s="22"/>
      <c r="AB17" s="20"/>
      <c r="AC17" s="22"/>
      <c r="AD17" s="22"/>
      <c r="AE17" s="22"/>
      <c r="AF17" s="22"/>
      <c r="AG17" s="22"/>
      <c r="AH17" s="22"/>
      <c r="AK17" s="22"/>
      <c r="AL17" s="22"/>
      <c r="AM17" s="22"/>
      <c r="AR17" s="22"/>
      <c r="AS17" s="22"/>
      <c r="AT17" s="22"/>
      <c r="AU17" s="22"/>
      <c r="AV17" s="22"/>
      <c r="AW17" s="22"/>
      <c r="AX17" s="20"/>
      <c r="AY17" s="22"/>
      <c r="AZ17" s="22"/>
      <c r="BA17" s="22"/>
    </row>
    <row r="18" spans="3:53">
      <c r="C18" s="22"/>
      <c r="D18" s="23"/>
      <c r="E18" s="22"/>
      <c r="F18" s="22"/>
      <c r="G18" s="22"/>
      <c r="I18" s="20"/>
      <c r="J18" s="20"/>
      <c r="K18" s="22"/>
      <c r="L18" s="22"/>
      <c r="M18" s="23"/>
      <c r="N18" s="23"/>
      <c r="O18" s="22"/>
      <c r="P18" s="22"/>
      <c r="Q18" s="22"/>
      <c r="R18" s="22"/>
      <c r="S18" s="20"/>
      <c r="T18" s="22"/>
      <c r="U18" s="22"/>
      <c r="V18" s="22"/>
      <c r="W18" s="22"/>
      <c r="X18" s="22"/>
      <c r="Y18" s="22"/>
      <c r="Z18" s="22"/>
      <c r="AA18" s="22"/>
      <c r="AB18" s="20"/>
      <c r="AC18" s="22"/>
      <c r="AD18" s="22"/>
      <c r="AE18" s="22"/>
      <c r="AF18" s="22"/>
      <c r="AG18" s="22"/>
      <c r="AH18" s="22"/>
      <c r="AK18" s="22"/>
      <c r="AL18" s="22"/>
      <c r="AM18" s="22"/>
      <c r="AR18" s="22"/>
      <c r="AS18" s="22"/>
      <c r="AT18" s="22"/>
      <c r="AU18" s="22"/>
      <c r="AV18" s="22"/>
      <c r="AW18" s="22"/>
      <c r="AX18" s="20"/>
      <c r="AY18" s="22"/>
      <c r="AZ18" s="22"/>
      <c r="BA18" s="22"/>
    </row>
    <row r="19" spans="3:53">
      <c r="C19" s="22"/>
      <c r="D19" s="23"/>
      <c r="E19" s="22"/>
      <c r="F19" s="22"/>
      <c r="G19" s="22"/>
      <c r="I19" s="20"/>
      <c r="J19" s="20"/>
      <c r="K19" s="22"/>
      <c r="L19" s="22"/>
      <c r="M19" s="23"/>
      <c r="N19" s="23"/>
      <c r="O19" s="22"/>
      <c r="P19" s="22"/>
      <c r="Q19" s="22"/>
      <c r="R19" s="22"/>
      <c r="S19" s="20"/>
      <c r="T19" s="22"/>
      <c r="U19" s="22"/>
      <c r="V19" s="22"/>
      <c r="W19" s="22"/>
      <c r="X19" s="22"/>
      <c r="Y19" s="22"/>
      <c r="Z19" s="22"/>
      <c r="AA19" s="22"/>
      <c r="AB19" s="20"/>
      <c r="AC19" s="22"/>
      <c r="AD19" s="22"/>
      <c r="AE19" s="22"/>
      <c r="AF19" s="22"/>
      <c r="AG19" s="22"/>
      <c r="AH19" s="22"/>
      <c r="AK19" s="22"/>
      <c r="AL19" s="22"/>
      <c r="AM19" s="22"/>
      <c r="AR19" s="22"/>
      <c r="AS19" s="22"/>
      <c r="AT19" s="22"/>
      <c r="AU19" s="22"/>
      <c r="AV19" s="22"/>
      <c r="AW19" s="22"/>
      <c r="AX19" s="20"/>
      <c r="AY19" s="22"/>
      <c r="AZ19" s="22"/>
      <c r="BA19" s="22"/>
    </row>
    <row r="20" spans="3:53">
      <c r="D20" s="23"/>
      <c r="G20" s="22"/>
      <c r="I20" s="20"/>
      <c r="J20" s="20"/>
      <c r="K20" s="22"/>
      <c r="L20" s="22"/>
      <c r="M20" s="23"/>
      <c r="Q20" s="22"/>
      <c r="R20" s="22"/>
      <c r="S20" s="20"/>
      <c r="U20" s="22"/>
      <c r="W20" s="22"/>
      <c r="X20" s="22"/>
      <c r="AB20" s="20"/>
      <c r="AC20" s="22"/>
      <c r="AG20" s="22"/>
      <c r="AH20" s="22"/>
      <c r="AK20" s="22"/>
      <c r="AM20" s="22"/>
      <c r="AX20" s="20"/>
      <c r="AY20" s="22"/>
    </row>
    <row r="21" spans="3:53" s="41" customFormat="1">
      <c r="D21" s="44"/>
      <c r="S21" s="30"/>
      <c r="AB21" s="44"/>
      <c r="AQ21" s="40"/>
      <c r="AX21" s="44"/>
    </row>
    <row r="22" spans="3:53">
      <c r="D22" s="5"/>
      <c r="S22" s="20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138</v>
      </c>
      <c r="M1" s="21" t="s">
        <v>1351</v>
      </c>
      <c r="N1" s="21" t="s">
        <v>1364</v>
      </c>
      <c r="O1" s="21" t="s">
        <v>9</v>
      </c>
      <c r="P1" s="21" t="s">
        <v>10</v>
      </c>
      <c r="Q1" s="21" t="s">
        <v>139</v>
      </c>
      <c r="R1" s="21" t="s">
        <v>11</v>
      </c>
      <c r="S1" s="21" t="s">
        <v>12</v>
      </c>
      <c r="T1" s="21" t="s">
        <v>14</v>
      </c>
      <c r="U1" s="21" t="s">
        <v>15</v>
      </c>
      <c r="V1" s="21" t="s">
        <v>1370</v>
      </c>
      <c r="W1" s="21" t="s">
        <v>1371</v>
      </c>
      <c r="X1" s="21" t="s">
        <v>1373</v>
      </c>
      <c r="Y1" s="21" t="s">
        <v>17</v>
      </c>
      <c r="Z1" s="21" t="s">
        <v>18</v>
      </c>
      <c r="AA1" s="21" t="s">
        <v>19</v>
      </c>
      <c r="AB1" s="21" t="s">
        <v>20</v>
      </c>
      <c r="AC1" s="21" t="s">
        <v>24</v>
      </c>
      <c r="AD1" s="21" t="s">
        <v>25</v>
      </c>
    </row>
    <row r="2" spans="1:30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2"/>
      <c r="M2" s="23"/>
      <c r="N2" s="22"/>
      <c r="O2" s="22"/>
      <c r="P2" s="22"/>
      <c r="Q2" s="22"/>
      <c r="R2" s="20"/>
      <c r="S2" s="22"/>
      <c r="T2" s="22"/>
      <c r="U2" s="22"/>
      <c r="V2" s="22"/>
      <c r="W2" s="22"/>
      <c r="Y2" s="22"/>
      <c r="Z2" s="22"/>
      <c r="AA2" s="22"/>
      <c r="AB2" s="22"/>
      <c r="AC2" s="22"/>
      <c r="AD2" s="22"/>
    </row>
    <row r="3" spans="1:30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2"/>
      <c r="M3" s="23"/>
      <c r="N3" s="22"/>
      <c r="O3" s="22"/>
      <c r="P3" s="22"/>
      <c r="Q3" s="22"/>
      <c r="R3" s="20"/>
      <c r="S3" s="22"/>
      <c r="T3" s="22"/>
      <c r="U3" s="22"/>
      <c r="V3" s="22"/>
      <c r="W3" s="22"/>
      <c r="Y3" s="22"/>
      <c r="Z3" s="22"/>
      <c r="AA3" s="22"/>
      <c r="AB3" s="22"/>
      <c r="AC3" s="22"/>
      <c r="AD3" s="22"/>
    </row>
    <row r="4" spans="1:30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2"/>
      <c r="M4" s="23"/>
      <c r="N4" s="22"/>
      <c r="O4" s="22"/>
      <c r="P4" s="22"/>
      <c r="Q4" s="22"/>
      <c r="R4" s="20"/>
      <c r="S4" s="22"/>
      <c r="T4" s="22"/>
      <c r="U4" s="22"/>
      <c r="V4" s="22"/>
      <c r="W4" s="22"/>
      <c r="Y4" s="22"/>
      <c r="Z4" s="22"/>
      <c r="AA4" s="22"/>
      <c r="AB4" s="22"/>
      <c r="AC4" s="22"/>
      <c r="AD4" s="22"/>
    </row>
    <row r="5" spans="1:30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2"/>
      <c r="M5" s="23"/>
      <c r="N5" s="22"/>
      <c r="O5" s="22"/>
      <c r="P5" s="22"/>
      <c r="Q5" s="22"/>
      <c r="R5" s="20"/>
      <c r="S5" s="22"/>
      <c r="T5" s="22"/>
      <c r="U5" s="22"/>
      <c r="V5" s="22"/>
      <c r="W5" s="22"/>
      <c r="Y5" s="22"/>
      <c r="Z5" s="22"/>
      <c r="AA5" s="22"/>
      <c r="AB5" s="22"/>
      <c r="AC5" s="22"/>
      <c r="AD5" s="22"/>
    </row>
    <row r="6" spans="1:30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2"/>
      <c r="M6" s="23"/>
      <c r="N6" s="22"/>
      <c r="O6" s="22"/>
      <c r="P6" s="22"/>
      <c r="Q6" s="22"/>
      <c r="R6" s="20"/>
      <c r="S6" s="22"/>
      <c r="T6" s="22"/>
      <c r="U6" s="22"/>
      <c r="V6" s="22"/>
      <c r="W6" s="22"/>
      <c r="Y6" s="22"/>
      <c r="Z6" s="22"/>
      <c r="AA6" s="22"/>
      <c r="AB6" s="22"/>
      <c r="AC6" s="22"/>
      <c r="AD6" s="22"/>
    </row>
    <row r="7" spans="1:30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2"/>
      <c r="M7" s="23"/>
      <c r="N7" s="22"/>
      <c r="O7" s="22"/>
      <c r="P7" s="22"/>
      <c r="Q7" s="22"/>
      <c r="R7" s="20"/>
      <c r="S7" s="22"/>
      <c r="T7" s="22"/>
      <c r="U7" s="22"/>
      <c r="V7" s="22"/>
      <c r="W7" s="22"/>
      <c r="Y7" s="22"/>
      <c r="Z7" s="22"/>
      <c r="AA7" s="22"/>
      <c r="AB7" s="22"/>
      <c r="AC7" s="22"/>
      <c r="AD7" s="22"/>
    </row>
    <row r="8" spans="1:30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2"/>
      <c r="M8" s="23"/>
      <c r="N8" s="22"/>
      <c r="O8" s="22"/>
      <c r="P8" s="22"/>
      <c r="Q8" s="22"/>
      <c r="R8" s="20"/>
      <c r="S8" s="22"/>
      <c r="T8" s="22"/>
      <c r="U8" s="22"/>
      <c r="V8" s="22"/>
      <c r="W8" s="22"/>
      <c r="Y8" s="22"/>
      <c r="Z8" s="22"/>
      <c r="AA8" s="22"/>
      <c r="AB8" s="22"/>
      <c r="AC8" s="22"/>
      <c r="AD8" s="22"/>
    </row>
    <row r="9" spans="1:30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2"/>
      <c r="M9" s="23"/>
      <c r="N9" s="22"/>
      <c r="O9" s="22"/>
      <c r="P9" s="22"/>
      <c r="Q9" s="22"/>
      <c r="R9" s="20"/>
      <c r="S9" s="22"/>
      <c r="T9" s="22"/>
      <c r="U9" s="22"/>
      <c r="V9" s="22"/>
      <c r="W9" s="22"/>
      <c r="Y9" s="22"/>
      <c r="Z9" s="22"/>
      <c r="AA9" s="22"/>
      <c r="AB9" s="22"/>
      <c r="AC9" s="22"/>
      <c r="AD9" s="22"/>
    </row>
    <row r="10" spans="1:30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2"/>
      <c r="M10" s="23"/>
      <c r="N10" s="22"/>
      <c r="O10" s="22"/>
      <c r="P10" s="22"/>
      <c r="Q10" s="22"/>
      <c r="R10" s="20"/>
      <c r="S10" s="22"/>
      <c r="T10" s="22"/>
      <c r="U10" s="22"/>
      <c r="V10" s="22"/>
      <c r="W10" s="22"/>
      <c r="Y10" s="22"/>
      <c r="Z10" s="22"/>
      <c r="AA10" s="22"/>
      <c r="AB10" s="22"/>
      <c r="AC10" s="22"/>
      <c r="AD10" s="22"/>
    </row>
    <row r="11" spans="1:30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2"/>
      <c r="M11" s="23"/>
      <c r="N11" s="22"/>
      <c r="O11" s="22"/>
      <c r="P11" s="22"/>
      <c r="Q11" s="22"/>
      <c r="R11" s="20"/>
      <c r="S11" s="22"/>
      <c r="T11" s="22"/>
      <c r="U11" s="22"/>
      <c r="V11" s="22"/>
      <c r="W11" s="22"/>
      <c r="Y11" s="22"/>
      <c r="Z11" s="22"/>
      <c r="AA11" s="22"/>
      <c r="AB11" s="22"/>
      <c r="AC11" s="22"/>
      <c r="AD11" s="22"/>
    </row>
    <row r="12" spans="1:30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2"/>
      <c r="M12" s="23"/>
      <c r="N12" s="22"/>
      <c r="O12" s="22"/>
      <c r="P12" s="22"/>
      <c r="Q12" s="22"/>
      <c r="R12" s="20"/>
      <c r="S12" s="22"/>
      <c r="T12" s="22"/>
      <c r="U12" s="22"/>
      <c r="V12" s="22"/>
      <c r="W12" s="22"/>
      <c r="Y12" s="22"/>
      <c r="Z12" s="22"/>
      <c r="AA12" s="22"/>
      <c r="AB12" s="22"/>
      <c r="AC12" s="22"/>
      <c r="AD12" s="22"/>
    </row>
    <row r="13" spans="1:30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2"/>
      <c r="M13" s="23"/>
      <c r="N13" s="22"/>
      <c r="O13" s="22"/>
      <c r="P13" s="22"/>
      <c r="Q13" s="22"/>
      <c r="R13" s="20"/>
      <c r="S13" s="22"/>
      <c r="T13" s="22"/>
      <c r="U13" s="22"/>
      <c r="V13" s="22"/>
      <c r="W13" s="22"/>
      <c r="Y13" s="22"/>
      <c r="Z13" s="22"/>
      <c r="AA13" s="22"/>
      <c r="AB13" s="22"/>
      <c r="AC13" s="22"/>
      <c r="AD13" s="22"/>
    </row>
    <row r="14" spans="1:30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2"/>
      <c r="M14" s="23"/>
      <c r="N14" s="22"/>
      <c r="O14" s="22"/>
      <c r="P14" s="22"/>
      <c r="Q14" s="22"/>
      <c r="R14" s="20"/>
      <c r="S14" s="22"/>
      <c r="T14" s="22"/>
      <c r="U14" s="22"/>
      <c r="V14" s="22"/>
      <c r="W14" s="22"/>
      <c r="Y14" s="22"/>
      <c r="Z14" s="22"/>
      <c r="AA14" s="22"/>
      <c r="AB14" s="22"/>
      <c r="AC14" s="22"/>
      <c r="AD14" s="22"/>
    </row>
    <row r="15" spans="1:30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2"/>
      <c r="M15" s="23"/>
      <c r="N15" s="22"/>
      <c r="O15" s="22"/>
      <c r="P15" s="22"/>
      <c r="Q15" s="22"/>
      <c r="R15" s="20"/>
      <c r="S15" s="22"/>
      <c r="T15" s="22"/>
      <c r="U15" s="22"/>
      <c r="V15" s="22"/>
      <c r="W15" s="22"/>
      <c r="Y15" s="22"/>
      <c r="Z15" s="22"/>
      <c r="AA15" s="22"/>
      <c r="AB15" s="22"/>
      <c r="AC15" s="22"/>
      <c r="AD15" s="22"/>
    </row>
    <row r="16" spans="1:30">
      <c r="A16" s="22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2"/>
      <c r="M16" s="23"/>
      <c r="N16" s="22"/>
      <c r="O16" s="22"/>
      <c r="P16" s="22"/>
      <c r="Q16" s="22"/>
      <c r="R16" s="20"/>
      <c r="S16" s="22"/>
      <c r="T16" s="22"/>
      <c r="U16" s="22"/>
      <c r="V16" s="22"/>
      <c r="W16" s="22"/>
      <c r="Y16" s="22"/>
      <c r="Z16" s="22"/>
      <c r="AA16" s="22"/>
      <c r="AB16" s="22"/>
      <c r="AC16" s="22"/>
      <c r="AD16" s="22"/>
    </row>
    <row r="17" spans="1:30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2"/>
      <c r="M17" s="23"/>
      <c r="N17" s="22"/>
      <c r="O17" s="22"/>
      <c r="P17" s="22"/>
      <c r="Q17" s="22"/>
      <c r="R17" s="20"/>
      <c r="S17" s="22"/>
      <c r="T17" s="22"/>
      <c r="U17" s="22"/>
      <c r="V17" s="22"/>
      <c r="W17" s="22"/>
      <c r="Y17" s="22"/>
      <c r="Z17" s="22"/>
      <c r="AA17" s="22"/>
      <c r="AB17" s="22"/>
      <c r="AC17" s="22"/>
      <c r="AD17" s="22"/>
    </row>
    <row r="18" spans="1:30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2"/>
      <c r="M18" s="23"/>
      <c r="N18" s="22"/>
      <c r="O18" s="22"/>
      <c r="P18" s="22"/>
      <c r="Q18" s="22"/>
      <c r="R18" s="20"/>
      <c r="S18" s="22"/>
      <c r="T18" s="22"/>
      <c r="U18" s="22"/>
      <c r="V18" s="22"/>
      <c r="W18" s="22"/>
      <c r="Y18" s="22"/>
      <c r="Z18" s="22"/>
      <c r="AA18" s="22"/>
      <c r="AB18" s="22"/>
      <c r="AC18" s="22"/>
      <c r="AD18" s="22"/>
    </row>
    <row r="19" spans="1:30">
      <c r="A19" s="22"/>
      <c r="B19" s="22"/>
      <c r="C19" s="22"/>
      <c r="D19" s="22"/>
      <c r="E19" s="20"/>
      <c r="F19" s="22"/>
      <c r="G19" s="22"/>
      <c r="H19" s="22"/>
      <c r="I19" s="22"/>
      <c r="J19" s="20"/>
      <c r="K19" s="20"/>
      <c r="L19" s="22"/>
      <c r="M19" s="23"/>
      <c r="N19" s="22"/>
      <c r="O19" s="22"/>
      <c r="P19" s="22"/>
      <c r="Q19" s="22"/>
      <c r="R19" s="20"/>
      <c r="S19" s="22"/>
      <c r="T19" s="22"/>
      <c r="U19" s="22"/>
      <c r="V19" s="22"/>
      <c r="W19" s="22"/>
      <c r="Y19" s="22"/>
      <c r="Z19" s="22"/>
      <c r="AA19" s="22"/>
      <c r="AB19" s="22"/>
      <c r="AC19" s="22"/>
      <c r="AD19" s="22"/>
    </row>
    <row r="20" spans="1:30">
      <c r="E20" s="20"/>
      <c r="H20" s="22"/>
      <c r="I20" s="22"/>
      <c r="J20" s="20"/>
      <c r="K20" s="20"/>
      <c r="L20" s="22"/>
      <c r="M20" s="23"/>
      <c r="P20" s="22"/>
      <c r="Q20" s="22"/>
      <c r="V20" s="22"/>
      <c r="W20" s="2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1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1" t="s">
        <v>0</v>
      </c>
      <c r="B1" s="21" t="s">
        <v>1</v>
      </c>
      <c r="C1" s="21" t="s">
        <v>1787</v>
      </c>
      <c r="D1" s="21" t="s">
        <v>1788</v>
      </c>
      <c r="E1" s="21" t="s">
        <v>1789</v>
      </c>
      <c r="F1" s="21" t="s">
        <v>5</v>
      </c>
      <c r="G1" s="21" t="s">
        <v>1790</v>
      </c>
      <c r="H1" s="21" t="s">
        <v>6</v>
      </c>
      <c r="I1" s="21" t="s">
        <v>7</v>
      </c>
      <c r="J1" s="21" t="s">
        <v>138</v>
      </c>
      <c r="K1" s="21" t="s">
        <v>1791</v>
      </c>
      <c r="L1" s="21" t="s">
        <v>10</v>
      </c>
      <c r="M1" s="21" t="s">
        <v>11</v>
      </c>
      <c r="N1" s="21" t="s">
        <v>12</v>
      </c>
      <c r="O1" s="21" t="s">
        <v>14</v>
      </c>
      <c r="P1" s="21" t="s">
        <v>15</v>
      </c>
      <c r="Q1" s="21" t="s">
        <v>1792</v>
      </c>
      <c r="R1" s="21" t="s">
        <v>18</v>
      </c>
      <c r="S1" s="21" t="s">
        <v>1793</v>
      </c>
      <c r="T1" s="21" t="s">
        <v>20</v>
      </c>
      <c r="U1" s="21" t="s">
        <v>24</v>
      </c>
      <c r="V1" s="21" t="s">
        <v>25</v>
      </c>
    </row>
    <row r="2" spans="1:22">
      <c r="A2" s="22"/>
      <c r="B2" s="22"/>
      <c r="C2" s="23"/>
      <c r="D2" s="41"/>
      <c r="E2" s="30"/>
      <c r="F2" s="22"/>
      <c r="G2" s="22"/>
      <c r="H2" s="30"/>
      <c r="I2" s="30"/>
      <c r="J2" s="22"/>
      <c r="K2" s="23"/>
      <c r="M2" s="20"/>
      <c r="N2" s="22"/>
      <c r="O2" s="23"/>
      <c r="P2" s="22"/>
      <c r="R2" s="22"/>
      <c r="S2" s="23"/>
      <c r="T2" s="22"/>
      <c r="U2" s="22"/>
      <c r="V2" s="22"/>
    </row>
    <row r="3" spans="1:22">
      <c r="A3" s="22"/>
      <c r="B3" s="22"/>
      <c r="C3" s="23"/>
      <c r="E3" s="20"/>
      <c r="F3" s="22"/>
      <c r="G3" s="22"/>
      <c r="H3" s="30"/>
      <c r="I3" s="30"/>
      <c r="J3" s="22"/>
      <c r="K3" s="22"/>
      <c r="M3" s="20"/>
      <c r="N3" s="22"/>
      <c r="O3" s="22"/>
      <c r="P3" s="22"/>
      <c r="R3" s="22"/>
      <c r="T3" s="22"/>
      <c r="U3" s="22"/>
      <c r="V3" s="22"/>
    </row>
    <row r="4" spans="1:22">
      <c r="A4" s="22"/>
      <c r="B4" s="22"/>
      <c r="C4" s="23"/>
      <c r="E4" s="20"/>
      <c r="F4" s="22"/>
      <c r="G4" s="22"/>
      <c r="H4" s="30"/>
      <c r="I4" s="30"/>
      <c r="J4" s="22"/>
      <c r="K4" s="22"/>
      <c r="M4" s="20"/>
      <c r="N4" s="22"/>
      <c r="O4" s="22"/>
      <c r="P4" s="22"/>
      <c r="R4" s="22"/>
      <c r="T4" s="22"/>
      <c r="U4" s="22"/>
      <c r="V4" s="22"/>
    </row>
    <row r="5" spans="1:22">
      <c r="A5" s="22"/>
      <c r="B5" s="22"/>
      <c r="C5" s="23"/>
      <c r="E5" s="20"/>
      <c r="F5" s="22"/>
      <c r="G5" s="22"/>
      <c r="H5" s="30"/>
      <c r="I5" s="30"/>
      <c r="J5" s="22"/>
      <c r="K5" s="22"/>
      <c r="M5" s="20"/>
      <c r="N5" s="22"/>
      <c r="O5" s="22"/>
      <c r="P5" s="22"/>
      <c r="R5" s="22"/>
      <c r="T5" s="22"/>
      <c r="U5" s="22"/>
      <c r="V5" s="22"/>
    </row>
    <row r="6" spans="1:22">
      <c r="A6" s="22"/>
      <c r="B6" s="22"/>
      <c r="C6" s="23"/>
      <c r="E6" s="20"/>
      <c r="F6" s="22"/>
      <c r="G6" s="22"/>
      <c r="H6" s="30"/>
      <c r="I6" s="30"/>
      <c r="J6" s="22"/>
      <c r="K6" s="22"/>
      <c r="M6" s="20"/>
      <c r="N6" s="22"/>
      <c r="O6" s="22"/>
      <c r="P6" s="22"/>
      <c r="R6" s="22"/>
      <c r="T6" s="22"/>
      <c r="U6" s="22"/>
      <c r="V6" s="22"/>
    </row>
    <row r="7" spans="1:22">
      <c r="A7" s="22"/>
      <c r="B7" s="22"/>
      <c r="C7" s="23"/>
      <c r="E7" s="20"/>
      <c r="F7" s="22"/>
      <c r="G7" s="22"/>
      <c r="H7" s="30"/>
      <c r="I7" s="30"/>
      <c r="J7" s="22"/>
      <c r="K7" s="22"/>
      <c r="M7" s="20"/>
      <c r="N7" s="22"/>
      <c r="O7" s="22"/>
      <c r="P7" s="22"/>
      <c r="R7" s="22"/>
      <c r="S7" s="22"/>
      <c r="T7" s="22"/>
      <c r="U7" s="22"/>
      <c r="V7" s="22"/>
    </row>
    <row r="8" spans="1:22">
      <c r="A8" s="22"/>
      <c r="B8" s="22"/>
      <c r="C8" s="23"/>
      <c r="E8" s="20"/>
      <c r="F8" s="22"/>
      <c r="G8" s="22"/>
      <c r="H8" s="30"/>
      <c r="I8" s="30"/>
      <c r="J8" s="22"/>
      <c r="K8" s="22"/>
      <c r="M8" s="20"/>
      <c r="N8" s="22"/>
      <c r="O8" s="22"/>
      <c r="P8" s="22"/>
      <c r="R8" s="22"/>
      <c r="S8" s="22"/>
      <c r="T8" s="22"/>
      <c r="U8" s="22"/>
      <c r="V8" s="22"/>
    </row>
    <row r="9" spans="1:22">
      <c r="A9" s="22"/>
      <c r="B9" s="22"/>
      <c r="C9" s="23"/>
      <c r="E9" s="20"/>
      <c r="F9" s="22"/>
      <c r="G9" s="22"/>
      <c r="H9" s="30"/>
      <c r="I9" s="30"/>
      <c r="J9" s="22"/>
      <c r="K9" s="22"/>
      <c r="M9" s="20"/>
      <c r="N9" s="22"/>
      <c r="O9" s="22"/>
      <c r="P9" s="22"/>
      <c r="R9" s="22"/>
      <c r="S9" s="22"/>
      <c r="T9" s="22"/>
      <c r="U9" s="22"/>
      <c r="V9" s="22"/>
    </row>
    <row r="10" spans="1:22">
      <c r="A10" s="22"/>
      <c r="B10" s="22"/>
      <c r="C10" s="23"/>
      <c r="E10" s="20"/>
      <c r="F10" s="22"/>
      <c r="G10" s="22"/>
      <c r="H10" s="30"/>
      <c r="I10" s="30"/>
      <c r="J10" s="22"/>
      <c r="K10" s="22"/>
      <c r="M10" s="20"/>
      <c r="N10" s="22"/>
      <c r="O10" s="22"/>
      <c r="P10" s="22"/>
      <c r="R10" s="22"/>
      <c r="S10" s="22"/>
      <c r="T10" s="22"/>
      <c r="U10" s="22"/>
      <c r="V10" s="22"/>
    </row>
    <row r="11" spans="1:22">
      <c r="A11" s="22"/>
      <c r="B11" s="22"/>
      <c r="C11" s="23"/>
      <c r="E11" s="20"/>
      <c r="F11" s="22"/>
      <c r="G11" s="22"/>
      <c r="H11" s="30"/>
      <c r="I11" s="30"/>
      <c r="J11" s="22"/>
      <c r="K11" s="22"/>
      <c r="M11" s="20"/>
      <c r="N11" s="22"/>
      <c r="O11" s="22"/>
      <c r="P11" s="22"/>
      <c r="R11" s="22"/>
      <c r="S11" s="22"/>
      <c r="T11" s="22"/>
      <c r="U11" s="22"/>
      <c r="V11" s="22"/>
    </row>
    <row r="12" spans="1:22">
      <c r="A12" s="22"/>
      <c r="B12" s="22"/>
      <c r="C12" s="23"/>
      <c r="E12" s="20"/>
      <c r="F12" s="22"/>
      <c r="G12" s="22"/>
      <c r="H12" s="30"/>
      <c r="I12" s="30"/>
      <c r="J12" s="22"/>
      <c r="K12" s="22"/>
      <c r="M12" s="20"/>
      <c r="N12" s="22"/>
      <c r="O12" s="22"/>
      <c r="P12" s="22"/>
      <c r="R12" s="22"/>
      <c r="S12" s="22"/>
      <c r="T12" s="22"/>
      <c r="U12" s="22"/>
      <c r="V12" s="22"/>
    </row>
    <row r="13" spans="1:22">
      <c r="A13" s="22"/>
      <c r="B13" s="22"/>
      <c r="C13" s="23"/>
      <c r="E13" s="20"/>
      <c r="F13" s="22"/>
      <c r="G13" s="22"/>
      <c r="H13" s="30"/>
      <c r="I13" s="30"/>
      <c r="J13" s="22"/>
      <c r="K13" s="22"/>
      <c r="M13" s="20"/>
      <c r="N13" s="22"/>
      <c r="O13" s="22"/>
      <c r="P13" s="22"/>
      <c r="R13" s="22"/>
      <c r="S13" s="22"/>
      <c r="T13" s="22"/>
      <c r="U13" s="22"/>
      <c r="V13" s="22"/>
    </row>
    <row r="14" spans="1:22">
      <c r="A14" s="22"/>
      <c r="B14" s="22"/>
      <c r="C14" s="23"/>
      <c r="E14" s="20"/>
      <c r="F14" s="22"/>
      <c r="G14" s="22"/>
      <c r="H14" s="30"/>
      <c r="I14" s="30"/>
      <c r="J14" s="22"/>
      <c r="K14" s="22"/>
      <c r="M14" s="20"/>
      <c r="N14" s="22"/>
      <c r="O14" s="22"/>
      <c r="P14" s="22"/>
      <c r="R14" s="22"/>
      <c r="S14" s="22"/>
      <c r="T14" s="22"/>
      <c r="U14" s="22"/>
      <c r="V14" s="22"/>
    </row>
    <row r="15" spans="1:22">
      <c r="A15" s="22"/>
      <c r="B15" s="22"/>
      <c r="C15" s="23"/>
      <c r="E15" s="20"/>
      <c r="F15" s="22"/>
      <c r="G15" s="22"/>
      <c r="H15" s="30"/>
      <c r="I15" s="30"/>
      <c r="J15" s="22"/>
      <c r="K15" s="22"/>
      <c r="M15" s="20"/>
      <c r="N15" s="22"/>
      <c r="O15" s="22"/>
      <c r="P15" s="22"/>
      <c r="R15" s="22"/>
      <c r="S15" s="22"/>
      <c r="T15" s="22"/>
      <c r="U15" s="22"/>
      <c r="V15" s="22"/>
    </row>
    <row r="16" spans="1:22">
      <c r="A16" s="22"/>
      <c r="B16" s="22"/>
      <c r="C16" s="23"/>
      <c r="E16" s="20"/>
      <c r="F16" s="22"/>
      <c r="G16" s="22"/>
      <c r="H16" s="30"/>
      <c r="I16" s="30"/>
      <c r="J16" s="22"/>
      <c r="K16" s="22"/>
      <c r="M16" s="20"/>
      <c r="N16" s="22"/>
      <c r="O16" s="22"/>
      <c r="P16" s="22"/>
      <c r="R16" s="22"/>
      <c r="S16" s="22"/>
      <c r="T16" s="22"/>
      <c r="U16" s="22"/>
      <c r="V16" s="22"/>
    </row>
    <row r="17" spans="1:22">
      <c r="A17" s="22"/>
      <c r="B17" s="22"/>
      <c r="C17" s="23"/>
      <c r="E17" s="20"/>
      <c r="F17" s="22"/>
      <c r="G17" s="22"/>
      <c r="H17" s="30"/>
      <c r="I17" s="30"/>
      <c r="J17" s="22"/>
      <c r="K17" s="22"/>
      <c r="M17" s="20"/>
      <c r="N17" s="22"/>
      <c r="O17" s="22"/>
      <c r="P17" s="22"/>
      <c r="R17" s="22"/>
      <c r="S17" s="22"/>
      <c r="T17" s="22"/>
      <c r="U17" s="22"/>
      <c r="V17" s="22"/>
    </row>
    <row r="18" spans="1:22">
      <c r="A18" s="22"/>
      <c r="B18" s="22"/>
      <c r="C18" s="23"/>
      <c r="E18" s="20"/>
      <c r="F18" s="22"/>
      <c r="G18" s="22"/>
      <c r="H18" s="30"/>
      <c r="I18" s="30"/>
      <c r="J18" s="22"/>
      <c r="K18" s="22"/>
      <c r="M18" s="20"/>
      <c r="N18" s="22"/>
      <c r="O18" s="22"/>
      <c r="P18" s="22"/>
      <c r="R18" s="22"/>
      <c r="S18" s="22"/>
      <c r="T18" s="22"/>
      <c r="U18" s="22"/>
      <c r="V18" s="22"/>
    </row>
    <row r="19" spans="1:22">
      <c r="A19" s="22"/>
      <c r="B19" s="22"/>
      <c r="C19" s="23"/>
      <c r="E19" s="20"/>
      <c r="F19" s="22"/>
      <c r="G19" s="22"/>
      <c r="H19" s="30"/>
      <c r="I19" s="30"/>
      <c r="J19" s="22"/>
      <c r="K19" s="22"/>
      <c r="M19" s="20"/>
      <c r="N19" s="22"/>
      <c r="O19" s="22"/>
      <c r="P19" s="22"/>
      <c r="R19" s="22"/>
      <c r="S19" s="22"/>
      <c r="T19" s="22"/>
      <c r="U19" s="22"/>
      <c r="V19" s="22"/>
    </row>
    <row r="20" spans="1:22">
      <c r="E20" s="20"/>
      <c r="F20" s="22"/>
      <c r="H20" s="30"/>
      <c r="I20" s="30"/>
      <c r="J20" s="22"/>
    </row>
    <row r="21" spans="1:22" s="41" customFormat="1">
      <c r="E21" s="44"/>
      <c r="L21" s="4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1" t="s">
        <v>0</v>
      </c>
      <c r="B1" s="21" t="s">
        <v>1</v>
      </c>
      <c r="C1" s="21" t="s">
        <v>1794</v>
      </c>
      <c r="D1" s="21" t="s">
        <v>5</v>
      </c>
      <c r="E1" s="21" t="s">
        <v>1795</v>
      </c>
      <c r="F1" s="21" t="s">
        <v>138</v>
      </c>
      <c r="G1" s="21" t="s">
        <v>1364</v>
      </c>
      <c r="H1" s="21" t="s">
        <v>1796</v>
      </c>
      <c r="I1" s="21" t="s">
        <v>1797</v>
      </c>
      <c r="J1" s="21" t="s">
        <v>1798</v>
      </c>
      <c r="K1" s="21" t="s">
        <v>1799</v>
      </c>
      <c r="L1" s="21" t="s">
        <v>1800</v>
      </c>
      <c r="M1" s="21" t="s">
        <v>1370</v>
      </c>
      <c r="N1" s="21" t="s">
        <v>1372</v>
      </c>
      <c r="O1" s="21" t="s">
        <v>1371</v>
      </c>
      <c r="P1" s="21" t="s">
        <v>1373</v>
      </c>
      <c r="Q1" s="21" t="s">
        <v>11</v>
      </c>
      <c r="R1" s="21" t="s">
        <v>1771</v>
      </c>
      <c r="S1" s="21" t="s">
        <v>20</v>
      </c>
      <c r="T1" s="21" t="s">
        <v>21</v>
      </c>
      <c r="U1" s="21" t="s">
        <v>143</v>
      </c>
      <c r="V1" s="21" t="s">
        <v>22</v>
      </c>
      <c r="W1" s="21" t="s">
        <v>24</v>
      </c>
      <c r="X1" s="21" t="s">
        <v>25</v>
      </c>
    </row>
    <row r="2" spans="1:24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3"/>
      <c r="M2" s="23"/>
      <c r="N2" s="23"/>
      <c r="O2" s="23"/>
      <c r="P2" s="22"/>
      <c r="Q2" s="20"/>
      <c r="R2" s="22"/>
      <c r="S2" s="22"/>
      <c r="T2" s="23"/>
      <c r="U2" s="23"/>
      <c r="V2" s="22"/>
      <c r="W2" s="22"/>
      <c r="X2" s="22"/>
    </row>
    <row r="3" spans="1:24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3"/>
      <c r="M3" s="22"/>
      <c r="N3" s="23"/>
      <c r="O3" s="22"/>
      <c r="P3" s="22"/>
      <c r="Q3" s="20"/>
      <c r="R3" s="22"/>
      <c r="S3" s="22"/>
      <c r="T3" s="22"/>
      <c r="U3" s="22"/>
      <c r="V3" s="22"/>
      <c r="W3" s="22"/>
      <c r="X3" s="22"/>
    </row>
    <row r="4" spans="1:24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2"/>
      <c r="N4" s="22"/>
      <c r="O4" s="22"/>
      <c r="P4" s="22"/>
      <c r="Q4" s="20"/>
      <c r="R4" s="22"/>
      <c r="S4" s="22"/>
      <c r="T4" s="22"/>
      <c r="U4" s="22"/>
      <c r="V4" s="22"/>
      <c r="W4" s="22"/>
      <c r="X4" s="22"/>
    </row>
    <row r="5" spans="1:24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3"/>
      <c r="M5" s="22"/>
      <c r="N5" s="22"/>
      <c r="O5" s="22"/>
      <c r="P5" s="22"/>
      <c r="Q5" s="20"/>
      <c r="R5" s="22"/>
      <c r="S5" s="22"/>
      <c r="T5" s="22"/>
      <c r="U5" s="22"/>
      <c r="V5" s="22"/>
      <c r="W5" s="22"/>
      <c r="X5" s="22"/>
    </row>
    <row r="6" spans="1:24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3"/>
      <c r="M6" s="22"/>
      <c r="N6" s="22"/>
      <c r="O6" s="22"/>
      <c r="P6" s="22"/>
      <c r="Q6" s="20"/>
      <c r="R6" s="22"/>
      <c r="S6" s="22"/>
      <c r="T6" s="22"/>
      <c r="U6" s="22"/>
      <c r="V6" s="22"/>
      <c r="W6" s="22"/>
      <c r="X6" s="22"/>
    </row>
    <row r="7" spans="1:24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3"/>
      <c r="M7" s="22"/>
      <c r="N7" s="22"/>
      <c r="O7" s="22"/>
      <c r="P7" s="22"/>
      <c r="Q7" s="20"/>
      <c r="R7" s="22"/>
      <c r="S7" s="22"/>
      <c r="T7" s="22"/>
      <c r="U7" s="22"/>
      <c r="V7" s="22"/>
      <c r="W7" s="22"/>
      <c r="X7" s="22"/>
    </row>
    <row r="8" spans="1:24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  <c r="M8" s="22"/>
      <c r="N8" s="22"/>
      <c r="O8" s="22"/>
      <c r="P8" s="22"/>
      <c r="Q8" s="20"/>
      <c r="R8" s="22"/>
      <c r="S8" s="22"/>
      <c r="T8" s="22"/>
      <c r="U8" s="22"/>
      <c r="V8" s="22"/>
      <c r="W8" s="22"/>
      <c r="X8" s="22"/>
    </row>
    <row r="9" spans="1:24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  <c r="M9" s="22"/>
      <c r="N9" s="22"/>
      <c r="O9" s="22"/>
      <c r="P9" s="22"/>
      <c r="Q9" s="20"/>
      <c r="R9" s="22"/>
      <c r="S9" s="22"/>
      <c r="T9" s="22"/>
      <c r="U9" s="22"/>
      <c r="V9" s="22"/>
      <c r="W9" s="22"/>
      <c r="X9" s="22"/>
    </row>
    <row r="10" spans="1:24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3"/>
      <c r="M10" s="22"/>
      <c r="N10" s="22"/>
      <c r="O10" s="22"/>
      <c r="P10" s="22"/>
      <c r="Q10" s="20"/>
      <c r="R10" s="22"/>
      <c r="S10" s="22"/>
      <c r="T10" s="22"/>
      <c r="U10" s="22"/>
      <c r="V10" s="22"/>
      <c r="W10" s="22"/>
      <c r="X10" s="22"/>
    </row>
    <row r="11" spans="1:24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3"/>
      <c r="M11" s="22"/>
      <c r="N11" s="22"/>
      <c r="O11" s="22"/>
      <c r="P11" s="22"/>
      <c r="Q11" s="20"/>
      <c r="R11" s="22"/>
      <c r="S11" s="22"/>
      <c r="T11" s="22"/>
      <c r="U11" s="22"/>
      <c r="V11" s="22"/>
      <c r="W11" s="22"/>
      <c r="X11" s="22"/>
    </row>
    <row r="12" spans="1:24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3"/>
      <c r="M12" s="22"/>
      <c r="N12" s="22"/>
      <c r="O12" s="22"/>
      <c r="P12" s="22"/>
      <c r="Q12" s="20"/>
      <c r="R12" s="22"/>
      <c r="S12" s="22"/>
      <c r="T12" s="22"/>
      <c r="U12" s="22"/>
      <c r="V12" s="22"/>
      <c r="W12" s="22"/>
      <c r="X12" s="22"/>
    </row>
    <row r="13" spans="1:24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  <c r="M13" s="22"/>
      <c r="N13" s="22"/>
      <c r="O13" s="22"/>
      <c r="P13" s="22"/>
      <c r="Q13" s="20"/>
      <c r="R13" s="22"/>
      <c r="S13" s="22"/>
      <c r="T13" s="22"/>
      <c r="U13" s="22"/>
      <c r="V13" s="22"/>
      <c r="W13" s="22"/>
      <c r="X13" s="22"/>
    </row>
    <row r="14" spans="1:24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2"/>
      <c r="N14" s="22"/>
      <c r="O14" s="22"/>
      <c r="P14" s="22"/>
      <c r="Q14" s="20"/>
      <c r="R14" s="22"/>
      <c r="S14" s="22"/>
      <c r="T14" s="22"/>
      <c r="U14" s="22"/>
      <c r="V14" s="22"/>
      <c r="W14" s="22"/>
      <c r="X14" s="22"/>
    </row>
    <row r="15" spans="1:24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2"/>
      <c r="N15" s="22"/>
      <c r="O15" s="22"/>
      <c r="P15" s="22"/>
      <c r="Q15" s="20"/>
      <c r="R15" s="22"/>
      <c r="S15" s="22"/>
      <c r="T15" s="22"/>
      <c r="U15" s="22"/>
      <c r="V15" s="22"/>
      <c r="W15" s="22"/>
      <c r="X15" s="22"/>
    </row>
    <row r="16" spans="1:24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2"/>
      <c r="N16" s="22"/>
      <c r="O16" s="22"/>
      <c r="P16" s="22"/>
      <c r="Q16" s="20"/>
      <c r="R16" s="22"/>
      <c r="S16" s="22"/>
      <c r="T16" s="22"/>
      <c r="U16" s="22"/>
      <c r="V16" s="22"/>
      <c r="W16" s="22"/>
      <c r="X16" s="22"/>
    </row>
    <row r="17" spans="1:24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2"/>
      <c r="N17" s="22"/>
      <c r="O17" s="22"/>
      <c r="P17" s="22"/>
      <c r="Q17" s="20"/>
      <c r="R17" s="22"/>
      <c r="S17" s="22"/>
      <c r="T17" s="22"/>
      <c r="U17" s="22"/>
      <c r="V17" s="22"/>
      <c r="W17" s="22"/>
      <c r="X17" s="22"/>
    </row>
    <row r="18" spans="1:24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2"/>
      <c r="N18" s="22"/>
      <c r="O18" s="22"/>
      <c r="P18" s="22"/>
      <c r="Q18" s="20"/>
      <c r="R18" s="22"/>
      <c r="S18" s="22"/>
      <c r="T18" s="22"/>
      <c r="U18" s="22"/>
      <c r="V18" s="22"/>
      <c r="W18" s="22"/>
      <c r="X18" s="22"/>
    </row>
    <row r="19" spans="1:24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2"/>
      <c r="N19" s="22"/>
      <c r="O19" s="22"/>
      <c r="P19" s="22"/>
      <c r="Q19" s="20"/>
      <c r="R19" s="22"/>
      <c r="S19" s="22"/>
      <c r="T19" s="22"/>
      <c r="U19" s="22"/>
      <c r="V19" s="22"/>
      <c r="W19" s="22"/>
      <c r="X19" s="22"/>
    </row>
    <row r="20" spans="1:24">
      <c r="D20" s="22"/>
      <c r="E20" s="22"/>
      <c r="F20" s="22"/>
      <c r="H20" s="22"/>
      <c r="I20" s="22"/>
      <c r="L20" s="23"/>
      <c r="M20" s="22"/>
      <c r="O20" s="22"/>
      <c r="V20" s="22"/>
    </row>
    <row r="21" spans="1:24" s="41" customFormat="1">
      <c r="D21" s="22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1" t="s">
        <v>0</v>
      </c>
      <c r="B1" s="21" t="s">
        <v>1</v>
      </c>
      <c r="C1" s="21" t="s">
        <v>2</v>
      </c>
      <c r="D1" s="21" t="s">
        <v>134</v>
      </c>
      <c r="E1" s="21" t="s">
        <v>135</v>
      </c>
      <c r="F1" s="21" t="s">
        <v>3</v>
      </c>
      <c r="G1" s="21" t="s">
        <v>4</v>
      </c>
      <c r="H1" s="21" t="s">
        <v>136</v>
      </c>
      <c r="I1" s="21" t="s">
        <v>5</v>
      </c>
      <c r="J1" s="21" t="s">
        <v>6</v>
      </c>
      <c r="K1" s="21" t="s">
        <v>7</v>
      </c>
      <c r="L1" s="21" t="s">
        <v>137</v>
      </c>
      <c r="M1" s="21" t="s">
        <v>138</v>
      </c>
      <c r="N1" s="21" t="s">
        <v>11</v>
      </c>
      <c r="O1" s="21" t="s">
        <v>1370</v>
      </c>
      <c r="P1" s="21" t="s">
        <v>1371</v>
      </c>
      <c r="Q1" s="21" t="s">
        <v>1373</v>
      </c>
      <c r="R1" s="21" t="s">
        <v>1374</v>
      </c>
      <c r="S1" s="21" t="s">
        <v>1801</v>
      </c>
      <c r="T1" s="21" t="s">
        <v>1802</v>
      </c>
      <c r="U1" s="21" t="s">
        <v>20</v>
      </c>
      <c r="V1" s="21" t="s">
        <v>24</v>
      </c>
      <c r="W1" s="21" t="s">
        <v>25</v>
      </c>
    </row>
    <row r="2" spans="1:23">
      <c r="A2" s="22"/>
      <c r="B2" s="22"/>
      <c r="C2" s="22"/>
      <c r="D2" s="22"/>
      <c r="E2" s="20"/>
      <c r="F2" s="22"/>
      <c r="G2" s="22"/>
      <c r="H2" s="22"/>
      <c r="I2" s="22"/>
      <c r="J2" s="20"/>
      <c r="K2" s="20"/>
      <c r="L2" s="23"/>
      <c r="M2" s="22"/>
      <c r="N2" s="20"/>
      <c r="O2" s="22"/>
      <c r="P2" s="22"/>
      <c r="Q2" s="22"/>
      <c r="R2" s="22"/>
      <c r="S2" s="22"/>
      <c r="T2" s="23"/>
      <c r="U2" s="22"/>
      <c r="V2" s="22"/>
      <c r="W2" s="22"/>
    </row>
    <row r="3" spans="1:23">
      <c r="A3" s="22"/>
      <c r="B3" s="22"/>
      <c r="C3" s="22"/>
      <c r="D3" s="22"/>
      <c r="E3" s="20"/>
      <c r="F3" s="22"/>
      <c r="G3" s="22"/>
      <c r="H3" s="22"/>
      <c r="I3" s="22"/>
      <c r="J3" s="20"/>
      <c r="K3" s="20"/>
      <c r="L3" s="23"/>
      <c r="M3" s="22"/>
      <c r="N3" s="20"/>
      <c r="O3" s="22"/>
      <c r="P3" s="22"/>
      <c r="Q3" s="22"/>
      <c r="R3" s="22"/>
      <c r="S3" s="22"/>
      <c r="T3" s="22"/>
      <c r="U3" s="22"/>
      <c r="V3" s="22"/>
      <c r="W3" s="22"/>
    </row>
    <row r="4" spans="1:23">
      <c r="A4" s="22"/>
      <c r="B4" s="22"/>
      <c r="C4" s="22"/>
      <c r="D4" s="22"/>
      <c r="E4" s="20"/>
      <c r="F4" s="22"/>
      <c r="G4" s="22"/>
      <c r="H4" s="22"/>
      <c r="I4" s="22"/>
      <c r="J4" s="20"/>
      <c r="K4" s="20"/>
      <c r="L4" s="23"/>
      <c r="M4" s="22"/>
      <c r="N4" s="20"/>
      <c r="O4" s="22"/>
      <c r="P4" s="22"/>
      <c r="Q4" s="22"/>
      <c r="R4" s="22"/>
      <c r="S4" s="22"/>
      <c r="T4" s="22"/>
      <c r="U4" s="22"/>
      <c r="V4" s="22"/>
      <c r="W4" s="22"/>
    </row>
    <row r="5" spans="1:23">
      <c r="A5" s="22"/>
      <c r="B5" s="22"/>
      <c r="C5" s="22"/>
      <c r="D5" s="22"/>
      <c r="E5" s="20"/>
      <c r="F5" s="22"/>
      <c r="G5" s="22"/>
      <c r="H5" s="22"/>
      <c r="I5" s="22"/>
      <c r="J5" s="20"/>
      <c r="K5" s="20"/>
      <c r="L5" s="23"/>
      <c r="M5" s="22"/>
      <c r="N5" s="20"/>
      <c r="O5" s="22"/>
      <c r="P5" s="22"/>
      <c r="Q5" s="22"/>
      <c r="R5" s="22"/>
      <c r="S5" s="22"/>
      <c r="T5" s="22"/>
      <c r="U5" s="22"/>
      <c r="V5" s="22"/>
      <c r="W5" s="22"/>
    </row>
    <row r="6" spans="1:23">
      <c r="A6" s="22"/>
      <c r="B6" s="22"/>
      <c r="C6" s="22"/>
      <c r="D6" s="22"/>
      <c r="E6" s="20"/>
      <c r="F6" s="22"/>
      <c r="G6" s="22"/>
      <c r="H6" s="22"/>
      <c r="I6" s="22"/>
      <c r="J6" s="20"/>
      <c r="K6" s="20"/>
      <c r="L6" s="23"/>
      <c r="M6" s="22"/>
      <c r="N6" s="20"/>
      <c r="O6" s="22"/>
      <c r="P6" s="22"/>
      <c r="Q6" s="22"/>
      <c r="R6" s="22"/>
      <c r="S6" s="22"/>
      <c r="T6" s="22"/>
      <c r="U6" s="22"/>
      <c r="V6" s="22"/>
      <c r="W6" s="22"/>
    </row>
    <row r="7" spans="1:23">
      <c r="A7" s="22"/>
      <c r="B7" s="22"/>
      <c r="C7" s="22"/>
      <c r="D7" s="22"/>
      <c r="E7" s="20"/>
      <c r="F7" s="22"/>
      <c r="G7" s="22"/>
      <c r="H7" s="22"/>
      <c r="I7" s="22"/>
      <c r="J7" s="20"/>
      <c r="K7" s="20"/>
      <c r="L7" s="23"/>
      <c r="M7" s="22"/>
      <c r="N7" s="20"/>
      <c r="O7" s="22"/>
      <c r="P7" s="22"/>
      <c r="Q7" s="22"/>
      <c r="R7" s="22"/>
      <c r="S7" s="22"/>
      <c r="T7" s="22"/>
      <c r="U7" s="22"/>
      <c r="V7" s="22"/>
      <c r="W7" s="22"/>
    </row>
    <row r="8" spans="1:23">
      <c r="A8" s="22"/>
      <c r="B8" s="22"/>
      <c r="C8" s="22"/>
      <c r="D8" s="22"/>
      <c r="E8" s="20"/>
      <c r="F8" s="22"/>
      <c r="G8" s="22"/>
      <c r="H8" s="22"/>
      <c r="I8" s="22"/>
      <c r="J8" s="20"/>
      <c r="K8" s="20"/>
      <c r="L8" s="23"/>
      <c r="M8" s="22"/>
      <c r="N8" s="20"/>
      <c r="O8" s="22"/>
      <c r="P8" s="22"/>
      <c r="Q8" s="22"/>
      <c r="R8" s="22"/>
      <c r="S8" s="22"/>
      <c r="T8" s="22"/>
      <c r="U8" s="22"/>
      <c r="V8" s="22"/>
      <c r="W8" s="22"/>
    </row>
    <row r="9" spans="1:23">
      <c r="A9" s="22"/>
      <c r="B9" s="22"/>
      <c r="C9" s="22"/>
      <c r="D9" s="22"/>
      <c r="E9" s="20"/>
      <c r="F9" s="22"/>
      <c r="G9" s="22"/>
      <c r="H9" s="22"/>
      <c r="I9" s="22"/>
      <c r="J9" s="20"/>
      <c r="K9" s="20"/>
      <c r="L9" s="23"/>
      <c r="M9" s="22"/>
      <c r="N9" s="20"/>
      <c r="O9" s="22"/>
      <c r="P9" s="22"/>
      <c r="Q9" s="22"/>
      <c r="R9" s="22"/>
      <c r="S9" s="22"/>
      <c r="T9" s="22"/>
      <c r="U9" s="22"/>
      <c r="V9" s="22"/>
      <c r="W9" s="22"/>
    </row>
    <row r="10" spans="1:23">
      <c r="A10" s="22"/>
      <c r="B10" s="22"/>
      <c r="C10" s="22"/>
      <c r="D10" s="22"/>
      <c r="E10" s="20"/>
      <c r="F10" s="22"/>
      <c r="G10" s="22"/>
      <c r="H10" s="22"/>
      <c r="I10" s="22"/>
      <c r="J10" s="20"/>
      <c r="K10" s="20"/>
      <c r="L10" s="23"/>
      <c r="M10" s="22"/>
      <c r="N10" s="20"/>
      <c r="O10" s="22"/>
      <c r="P10" s="22"/>
      <c r="Q10" s="22"/>
      <c r="R10" s="22"/>
      <c r="S10" s="22"/>
      <c r="T10" s="22"/>
      <c r="U10" s="22"/>
      <c r="V10" s="22"/>
      <c r="W10" s="22"/>
    </row>
    <row r="11" spans="1:23">
      <c r="A11" s="22"/>
      <c r="B11" s="22"/>
      <c r="C11" s="22"/>
      <c r="D11" s="22"/>
      <c r="E11" s="20"/>
      <c r="F11" s="22"/>
      <c r="G11" s="22"/>
      <c r="H11" s="22"/>
      <c r="I11" s="22"/>
      <c r="J11" s="20"/>
      <c r="K11" s="20"/>
      <c r="L11" s="23"/>
      <c r="M11" s="22"/>
      <c r="N11" s="20"/>
      <c r="O11" s="22"/>
      <c r="P11" s="22"/>
      <c r="Q11" s="22"/>
      <c r="R11" s="22"/>
      <c r="S11" s="22"/>
      <c r="T11" s="22"/>
      <c r="U11" s="22"/>
      <c r="V11" s="22"/>
      <c r="W11" s="22"/>
    </row>
    <row r="12" spans="1:23">
      <c r="A12" s="22"/>
      <c r="B12" s="22"/>
      <c r="C12" s="22"/>
      <c r="D12" s="22"/>
      <c r="E12" s="20"/>
      <c r="F12" s="22"/>
      <c r="G12" s="22"/>
      <c r="H12" s="22"/>
      <c r="I12" s="22"/>
      <c r="J12" s="20"/>
      <c r="K12" s="20"/>
      <c r="L12" s="23"/>
      <c r="M12" s="22"/>
      <c r="N12" s="20"/>
      <c r="O12" s="22"/>
      <c r="P12" s="22"/>
      <c r="Q12" s="22"/>
      <c r="R12" s="22"/>
      <c r="S12" s="22"/>
      <c r="T12" s="22"/>
      <c r="U12" s="22"/>
      <c r="V12" s="22"/>
      <c r="W12" s="22"/>
    </row>
    <row r="13" spans="1:23">
      <c r="A13" s="22"/>
      <c r="B13" s="22"/>
      <c r="C13" s="22"/>
      <c r="D13" s="22"/>
      <c r="E13" s="20"/>
      <c r="F13" s="22"/>
      <c r="G13" s="22"/>
      <c r="H13" s="22"/>
      <c r="I13" s="22"/>
      <c r="J13" s="20"/>
      <c r="K13" s="20"/>
      <c r="L13" s="23"/>
      <c r="M13" s="22"/>
      <c r="N13" s="20"/>
      <c r="O13" s="22"/>
      <c r="P13" s="22"/>
      <c r="Q13" s="22"/>
      <c r="R13" s="22"/>
      <c r="S13" s="22"/>
      <c r="T13" s="22"/>
      <c r="U13" s="22"/>
      <c r="V13" s="22"/>
      <c r="W13" s="22"/>
    </row>
    <row r="14" spans="1:23">
      <c r="A14" s="22"/>
      <c r="B14" s="22"/>
      <c r="C14" s="22"/>
      <c r="D14" s="22"/>
      <c r="E14" s="20"/>
      <c r="F14" s="22"/>
      <c r="G14" s="22"/>
      <c r="H14" s="22"/>
      <c r="I14" s="22"/>
      <c r="J14" s="20"/>
      <c r="K14" s="20"/>
      <c r="L14" s="23"/>
      <c r="M14" s="22"/>
      <c r="N14" s="20"/>
      <c r="O14" s="22"/>
      <c r="P14" s="22"/>
      <c r="Q14" s="22"/>
      <c r="R14" s="22"/>
      <c r="S14" s="22"/>
      <c r="T14" s="22"/>
      <c r="U14" s="22"/>
      <c r="V14" s="22"/>
      <c r="W14" s="22"/>
    </row>
    <row r="15" spans="1:23">
      <c r="A15" s="22"/>
      <c r="B15" s="22"/>
      <c r="C15" s="22"/>
      <c r="D15" s="22"/>
      <c r="E15" s="20"/>
      <c r="F15" s="22"/>
      <c r="G15" s="22"/>
      <c r="H15" s="22"/>
      <c r="I15" s="22"/>
      <c r="J15" s="20"/>
      <c r="K15" s="20"/>
      <c r="L15" s="23"/>
      <c r="M15" s="22"/>
      <c r="N15" s="20"/>
      <c r="O15" s="22"/>
      <c r="P15" s="22"/>
      <c r="Q15" s="22"/>
      <c r="R15" s="22"/>
      <c r="S15" s="22"/>
      <c r="T15" s="22"/>
      <c r="U15" s="22"/>
      <c r="V15" s="22"/>
      <c r="W15" s="22"/>
    </row>
    <row r="16" spans="1:23" ht="15">
      <c r="A16" s="31"/>
      <c r="B16" s="22"/>
      <c r="C16" s="22"/>
      <c r="D16" s="22"/>
      <c r="E16" s="20"/>
      <c r="F16" s="22"/>
      <c r="G16" s="22"/>
      <c r="H16" s="22"/>
      <c r="I16" s="22"/>
      <c r="J16" s="20"/>
      <c r="K16" s="20"/>
      <c r="L16" s="23"/>
      <c r="M16" s="22"/>
      <c r="N16" s="20"/>
      <c r="O16" s="22"/>
      <c r="P16" s="22"/>
      <c r="Q16" s="22"/>
      <c r="R16" s="22"/>
      <c r="S16" s="22"/>
      <c r="T16" s="22"/>
      <c r="U16" s="22"/>
      <c r="V16" s="22"/>
      <c r="W16" s="22"/>
    </row>
    <row r="17" spans="1:23">
      <c r="A17" s="22"/>
      <c r="B17" s="22"/>
      <c r="C17" s="22"/>
      <c r="D17" s="22"/>
      <c r="E17" s="20"/>
      <c r="F17" s="22"/>
      <c r="G17" s="22"/>
      <c r="H17" s="22"/>
      <c r="I17" s="22"/>
      <c r="J17" s="20"/>
      <c r="K17" s="20"/>
      <c r="L17" s="23"/>
      <c r="M17" s="22"/>
      <c r="N17" s="20"/>
      <c r="O17" s="22"/>
      <c r="P17" s="22"/>
      <c r="Q17" s="22"/>
      <c r="R17" s="22"/>
      <c r="S17" s="22"/>
      <c r="T17" s="22"/>
      <c r="U17" s="22"/>
      <c r="V17" s="22"/>
      <c r="W17" s="22"/>
    </row>
    <row r="18" spans="1:23">
      <c r="A18" s="22"/>
      <c r="B18" s="22"/>
      <c r="C18" s="22"/>
      <c r="D18" s="22"/>
      <c r="E18" s="20"/>
      <c r="F18" s="22"/>
      <c r="G18" s="22"/>
      <c r="H18" s="22"/>
      <c r="I18" s="22"/>
      <c r="J18" s="20"/>
      <c r="K18" s="20"/>
      <c r="L18" s="23"/>
      <c r="M18" s="22"/>
      <c r="N18" s="20"/>
      <c r="O18" s="22"/>
      <c r="P18" s="22"/>
      <c r="Q18" s="22"/>
      <c r="R18" s="22"/>
      <c r="S18" s="22"/>
      <c r="T18" s="22"/>
      <c r="U18" s="22"/>
      <c r="V18" s="22"/>
      <c r="W18" s="22"/>
    </row>
    <row r="19" spans="1:23">
      <c r="A19" s="29"/>
      <c r="B19" s="22"/>
      <c r="C19" s="22"/>
      <c r="D19" s="22"/>
      <c r="E19" s="20"/>
      <c r="F19" s="22"/>
      <c r="G19" s="22"/>
      <c r="H19" s="22"/>
      <c r="J19" s="20"/>
      <c r="K19" s="20"/>
      <c r="L19" s="23"/>
      <c r="M19" s="22"/>
      <c r="N19" s="20"/>
      <c r="O19" s="22"/>
      <c r="P19" s="22"/>
      <c r="Q19" s="22"/>
      <c r="R19" s="22"/>
      <c r="S19" s="22"/>
      <c r="T19" s="22"/>
      <c r="U19" s="22"/>
      <c r="V19" s="22"/>
      <c r="W19" s="22"/>
    </row>
    <row r="20" spans="1:23">
      <c r="A20" s="9"/>
      <c r="E20" s="20"/>
      <c r="H20" s="22"/>
      <c r="I20" s="22"/>
      <c r="J20" s="20"/>
      <c r="K20" s="20"/>
      <c r="L20" s="23"/>
      <c r="M20" s="22"/>
      <c r="O20" s="22"/>
      <c r="P20" s="22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workbookViewId="0">
      <selection activeCell="A2" sqref="A2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1" t="s">
        <v>0</v>
      </c>
      <c r="B1" s="21" t="s">
        <v>1</v>
      </c>
      <c r="C1" s="21" t="s">
        <v>1803</v>
      </c>
      <c r="D1" s="21" t="s">
        <v>1804</v>
      </c>
      <c r="E1" s="21" t="s">
        <v>5</v>
      </c>
      <c r="F1" s="21" t="s">
        <v>6</v>
      </c>
      <c r="G1" s="21" t="s">
        <v>7</v>
      </c>
      <c r="H1" s="21" t="s">
        <v>138</v>
      </c>
      <c r="I1" s="177" t="s">
        <v>1805</v>
      </c>
      <c r="J1" s="21" t="s">
        <v>11</v>
      </c>
      <c r="K1" s="177" t="s">
        <v>1373</v>
      </c>
      <c r="L1" s="21" t="s">
        <v>1792</v>
      </c>
      <c r="M1" s="162" t="s">
        <v>18</v>
      </c>
      <c r="N1" s="21" t="s">
        <v>20</v>
      </c>
      <c r="O1" s="21" t="s">
        <v>21</v>
      </c>
      <c r="P1" s="21" t="s">
        <v>22</v>
      </c>
      <c r="Q1" s="164" t="s">
        <v>24</v>
      </c>
      <c r="R1" s="164" t="s">
        <v>25</v>
      </c>
    </row>
    <row r="2" spans="1:18">
      <c r="A2" s="22">
        <v>288</v>
      </c>
      <c r="B2" s="22">
        <v>288</v>
      </c>
      <c r="C2" s="39" t="s">
        <v>1806</v>
      </c>
      <c r="D2" s="39" t="s">
        <v>1807</v>
      </c>
      <c r="E2" s="39" t="s">
        <v>1808</v>
      </c>
      <c r="F2" s="20" t="s">
        <v>30</v>
      </c>
      <c r="G2" s="20" t="s">
        <v>30</v>
      </c>
      <c r="H2" s="22" t="s">
        <v>154</v>
      </c>
      <c r="I2" s="22"/>
      <c r="J2" s="20" t="s">
        <v>44</v>
      </c>
      <c r="K2" s="178" t="s">
        <v>1382</v>
      </c>
      <c r="L2" s="154">
        <v>-644.01099999999997</v>
      </c>
      <c r="M2" s="171">
        <v>1</v>
      </c>
      <c r="N2" s="156">
        <v>-644.01099999999997</v>
      </c>
      <c r="O2" s="22"/>
      <c r="P2" s="20" t="s">
        <v>36</v>
      </c>
      <c r="Q2" s="170">
        <v>0.93904854958070805</v>
      </c>
      <c r="R2" s="170">
        <v>-2.5117543535815899E-4</v>
      </c>
    </row>
    <row r="3" spans="1:18">
      <c r="A3" s="22">
        <v>288</v>
      </c>
      <c r="B3" s="22">
        <v>288</v>
      </c>
      <c r="C3" s="29" t="s">
        <v>1809</v>
      </c>
      <c r="D3" s="22" t="s">
        <v>1810</v>
      </c>
      <c r="E3" s="39" t="s">
        <v>1808</v>
      </c>
      <c r="F3" s="20" t="s">
        <v>30</v>
      </c>
      <c r="G3" s="20" t="s">
        <v>30</v>
      </c>
      <c r="H3" s="22" t="s">
        <v>154</v>
      </c>
      <c r="I3" s="22"/>
      <c r="J3" s="20" t="s">
        <v>44</v>
      </c>
      <c r="K3" s="178" t="s">
        <v>1382</v>
      </c>
      <c r="L3" s="154">
        <v>26.277000000000001</v>
      </c>
      <c r="M3" s="171">
        <v>1</v>
      </c>
      <c r="N3" s="156">
        <v>26.277000000000001</v>
      </c>
      <c r="O3" s="22"/>
      <c r="P3" s="20" t="s">
        <v>36</v>
      </c>
      <c r="Q3" s="170">
        <v>-3.8314658264139503E-2</v>
      </c>
      <c r="R3" s="170">
        <v>1.0248352946598299E-5</v>
      </c>
    </row>
    <row r="4" spans="1:18">
      <c r="A4" s="22">
        <v>288</v>
      </c>
      <c r="B4" s="22">
        <v>288</v>
      </c>
      <c r="C4" s="29" t="s">
        <v>1811</v>
      </c>
      <c r="D4" s="22" t="s">
        <v>1812</v>
      </c>
      <c r="E4" s="39" t="s">
        <v>1813</v>
      </c>
      <c r="F4" s="20" t="s">
        <v>30</v>
      </c>
      <c r="G4" s="20" t="s">
        <v>30</v>
      </c>
      <c r="H4" s="22" t="s">
        <v>154</v>
      </c>
      <c r="I4" s="22"/>
      <c r="J4" s="20" t="s">
        <v>44</v>
      </c>
      <c r="K4" s="178" t="s">
        <v>1382</v>
      </c>
      <c r="L4" s="154">
        <v>-68.078000000000003</v>
      </c>
      <c r="M4" s="171">
        <v>1</v>
      </c>
      <c r="N4" s="156">
        <v>-68.078000000000003</v>
      </c>
      <c r="O4" s="22"/>
      <c r="P4" s="20" t="s">
        <v>36</v>
      </c>
      <c r="Q4" s="170">
        <v>9.9266108683431803E-2</v>
      </c>
      <c r="R4" s="170">
        <v>-2.6551564427637099E-5</v>
      </c>
    </row>
    <row r="5" spans="1:18">
      <c r="A5" s="22">
        <v>288</v>
      </c>
      <c r="B5" s="22">
        <v>1451</v>
      </c>
      <c r="C5" s="29" t="s">
        <v>1806</v>
      </c>
      <c r="D5" s="22" t="s">
        <v>1807</v>
      </c>
      <c r="E5" s="39" t="s">
        <v>1808</v>
      </c>
      <c r="F5" s="20" t="s">
        <v>30</v>
      </c>
      <c r="G5" s="20" t="s">
        <v>30</v>
      </c>
      <c r="H5" s="22" t="s">
        <v>154</v>
      </c>
      <c r="I5" s="22"/>
      <c r="J5" s="20" t="s">
        <v>44</v>
      </c>
      <c r="K5" s="178" t="s">
        <v>1382</v>
      </c>
      <c r="L5" s="154">
        <v>-12.535</v>
      </c>
      <c r="M5" s="171">
        <v>1</v>
      </c>
      <c r="N5" s="156">
        <v>-12.535</v>
      </c>
      <c r="O5" s="22"/>
      <c r="P5" s="20" t="s">
        <v>36</v>
      </c>
      <c r="Q5" s="170">
        <v>0.56865226914331601</v>
      </c>
      <c r="R5" s="170">
        <v>-2.5238529842854901E-4</v>
      </c>
    </row>
    <row r="6" spans="1:18">
      <c r="A6" s="22">
        <v>288</v>
      </c>
      <c r="B6" s="22">
        <v>1451</v>
      </c>
      <c r="C6" s="29" t="s">
        <v>1811</v>
      </c>
      <c r="D6" s="22" t="s">
        <v>1812</v>
      </c>
      <c r="E6" s="39" t="s">
        <v>1813</v>
      </c>
      <c r="F6" s="20" t="s">
        <v>30</v>
      </c>
      <c r="G6" s="20" t="s">
        <v>30</v>
      </c>
      <c r="H6" s="22" t="s">
        <v>154</v>
      </c>
      <c r="I6" s="22"/>
      <c r="J6" s="20" t="s">
        <v>44</v>
      </c>
      <c r="K6" s="178" t="s">
        <v>1382</v>
      </c>
      <c r="L6" s="154">
        <v>-9.5079999999999991</v>
      </c>
      <c r="M6" s="171">
        <v>1</v>
      </c>
      <c r="N6" s="156">
        <v>-9.5079999999999991</v>
      </c>
      <c r="O6" s="22"/>
      <c r="P6" s="20" t="s">
        <v>36</v>
      </c>
      <c r="Q6" s="170">
        <v>0.43134773085668299</v>
      </c>
      <c r="R6" s="170">
        <v>-1.9144533783844599E-4</v>
      </c>
    </row>
    <row r="7" spans="1:18">
      <c r="A7" s="22">
        <v>288</v>
      </c>
      <c r="B7" s="22">
        <v>1452</v>
      </c>
      <c r="C7" s="29" t="s">
        <v>1806</v>
      </c>
      <c r="D7" s="22" t="s">
        <v>1807</v>
      </c>
      <c r="E7" s="39" t="s">
        <v>1808</v>
      </c>
      <c r="F7" s="20" t="s">
        <v>30</v>
      </c>
      <c r="G7" s="20" t="s">
        <v>30</v>
      </c>
      <c r="H7" s="22" t="s">
        <v>154</v>
      </c>
      <c r="I7" s="22"/>
      <c r="J7" s="20" t="s">
        <v>44</v>
      </c>
      <c r="K7" s="178" t="s">
        <v>1382</v>
      </c>
      <c r="L7" s="154">
        <v>-21.753</v>
      </c>
      <c r="M7" s="171">
        <v>1</v>
      </c>
      <c r="N7" s="156">
        <v>-21.753</v>
      </c>
      <c r="O7" s="22"/>
      <c r="P7" s="20" t="s">
        <v>36</v>
      </c>
      <c r="Q7" s="170">
        <v>1.0159406109376601</v>
      </c>
      <c r="R7" s="170">
        <v>-2.4657794570527499E-4</v>
      </c>
    </row>
    <row r="8" spans="1:18">
      <c r="A8" s="22">
        <v>288</v>
      </c>
      <c r="B8" s="22">
        <v>1452</v>
      </c>
      <c r="C8" s="29" t="s">
        <v>1809</v>
      </c>
      <c r="D8" s="22" t="s">
        <v>1810</v>
      </c>
      <c r="E8" s="39" t="s">
        <v>1808</v>
      </c>
      <c r="F8" s="20" t="s">
        <v>30</v>
      </c>
      <c r="G8" s="20" t="s">
        <v>30</v>
      </c>
      <c r="H8" s="22" t="s">
        <v>154</v>
      </c>
      <c r="I8" s="22"/>
      <c r="J8" s="20" t="s">
        <v>44</v>
      </c>
      <c r="K8" s="178" t="s">
        <v>1382</v>
      </c>
      <c r="L8" s="154">
        <v>0.754</v>
      </c>
      <c r="M8" s="171">
        <v>1</v>
      </c>
      <c r="N8" s="156">
        <v>0.754</v>
      </c>
      <c r="O8" s="22"/>
      <c r="P8" s="20" t="s">
        <v>36</v>
      </c>
      <c r="Q8" s="170">
        <v>-3.52201052245655E-2</v>
      </c>
      <c r="R8" s="170">
        <v>8.5482370724226503E-6</v>
      </c>
    </row>
    <row r="9" spans="1:18">
      <c r="A9" s="22">
        <v>288</v>
      </c>
      <c r="B9" s="22">
        <v>1452</v>
      </c>
      <c r="C9" s="29" t="s">
        <v>1811</v>
      </c>
      <c r="D9" s="22" t="s">
        <v>1812</v>
      </c>
      <c r="E9" s="39" t="s">
        <v>1813</v>
      </c>
      <c r="F9" s="20" t="s">
        <v>30</v>
      </c>
      <c r="G9" s="20" t="s">
        <v>30</v>
      </c>
      <c r="H9" s="22" t="s">
        <v>154</v>
      </c>
      <c r="I9" s="22"/>
      <c r="J9" s="20" t="s">
        <v>44</v>
      </c>
      <c r="K9" s="178" t="s">
        <v>1382</v>
      </c>
      <c r="L9" s="154">
        <v>-0.41299999999999998</v>
      </c>
      <c r="M9" s="171">
        <v>1</v>
      </c>
      <c r="N9" s="156">
        <v>-0.41299999999999998</v>
      </c>
      <c r="O9" s="22"/>
      <c r="P9" s="20" t="s">
        <v>36</v>
      </c>
      <c r="Q9" s="170">
        <v>1.9279494286908599E-2</v>
      </c>
      <c r="R9" s="170">
        <v>-4.6793070818528698E-6</v>
      </c>
    </row>
    <row r="10" spans="1:18">
      <c r="A10" s="22">
        <v>288</v>
      </c>
      <c r="B10" s="22">
        <v>15046</v>
      </c>
      <c r="C10" s="29" t="s">
        <v>1806</v>
      </c>
      <c r="D10" s="22" t="s">
        <v>1807</v>
      </c>
      <c r="E10" s="39" t="s">
        <v>1808</v>
      </c>
      <c r="F10" s="20" t="s">
        <v>30</v>
      </c>
      <c r="G10" s="20" t="s">
        <v>30</v>
      </c>
      <c r="H10" s="22" t="s">
        <v>154</v>
      </c>
      <c r="I10" s="22"/>
      <c r="J10" s="20" t="s">
        <v>44</v>
      </c>
      <c r="K10" s="178" t="s">
        <v>1382</v>
      </c>
      <c r="L10" s="154">
        <v>-14.436999999999999</v>
      </c>
      <c r="M10" s="171">
        <v>1</v>
      </c>
      <c r="N10" s="156">
        <v>-14.436999999999999</v>
      </c>
      <c r="O10" s="22"/>
      <c r="P10" s="20" t="s">
        <v>36</v>
      </c>
      <c r="Q10" s="170">
        <v>0.47583040297108897</v>
      </c>
      <c r="R10" s="170">
        <v>-2.43940529454682E-4</v>
      </c>
    </row>
    <row r="11" spans="1:18">
      <c r="A11" s="22">
        <v>288</v>
      </c>
      <c r="B11" s="22">
        <v>15046</v>
      </c>
      <c r="C11" s="29" t="s">
        <v>1811</v>
      </c>
      <c r="D11" s="22" t="s">
        <v>1812</v>
      </c>
      <c r="E11" s="39" t="s">
        <v>1813</v>
      </c>
      <c r="F11" s="20" t="s">
        <v>30</v>
      </c>
      <c r="G11" s="20" t="s">
        <v>30</v>
      </c>
      <c r="H11" s="22" t="s">
        <v>154</v>
      </c>
      <c r="I11" s="22"/>
      <c r="J11" s="20" t="s">
        <v>44</v>
      </c>
      <c r="K11" s="178" t="s">
        <v>1382</v>
      </c>
      <c r="L11" s="154">
        <v>-15.904</v>
      </c>
      <c r="M11" s="171">
        <v>1</v>
      </c>
      <c r="N11" s="156">
        <v>-15.904</v>
      </c>
      <c r="O11" s="22"/>
      <c r="P11" s="20" t="s">
        <v>36</v>
      </c>
      <c r="Q11" s="170">
        <v>0.52416959702891097</v>
      </c>
      <c r="R11" s="170">
        <v>-2.6872223427692403E-4</v>
      </c>
    </row>
    <row r="12" spans="1:18">
      <c r="A12" s="22"/>
      <c r="B12" s="22"/>
      <c r="C12" s="29"/>
      <c r="D12" s="22"/>
      <c r="E12" s="39"/>
      <c r="F12" s="20"/>
      <c r="G12" s="20"/>
      <c r="H12" s="22"/>
      <c r="I12" s="22"/>
      <c r="J12" s="20"/>
      <c r="K12" s="22"/>
      <c r="M12" s="22"/>
      <c r="N12" s="22"/>
      <c r="O12" s="22"/>
      <c r="P12" s="20"/>
      <c r="Q12" s="22"/>
      <c r="R12" s="22"/>
    </row>
    <row r="13" spans="1:18">
      <c r="A13" s="22"/>
      <c r="B13" s="22"/>
      <c r="C13" s="29"/>
      <c r="D13" s="22"/>
      <c r="E13" s="39"/>
      <c r="F13" s="20"/>
      <c r="G13" s="20"/>
      <c r="H13" s="22"/>
      <c r="I13" s="22"/>
      <c r="J13" s="20"/>
      <c r="K13" s="22"/>
      <c r="M13" s="22"/>
      <c r="N13" s="22"/>
      <c r="O13" s="22"/>
      <c r="P13" s="20"/>
      <c r="Q13" s="22"/>
      <c r="R13" s="22"/>
    </row>
    <row r="14" spans="1:18">
      <c r="A14" s="22"/>
      <c r="B14" s="22"/>
      <c r="C14" s="29"/>
      <c r="D14" s="22"/>
      <c r="E14" s="39"/>
      <c r="F14" s="20"/>
      <c r="G14" s="20"/>
      <c r="H14" s="22"/>
      <c r="I14" s="22"/>
      <c r="J14" s="20"/>
      <c r="K14" s="22"/>
      <c r="M14" s="22"/>
      <c r="N14" s="22"/>
      <c r="O14" s="22"/>
      <c r="P14" s="20"/>
      <c r="Q14" s="22"/>
      <c r="R14" s="22"/>
    </row>
    <row r="15" spans="1:18">
      <c r="A15" s="22"/>
      <c r="B15" s="22"/>
      <c r="C15" s="29"/>
      <c r="D15" s="22"/>
      <c r="E15" s="39"/>
      <c r="F15" s="20"/>
      <c r="G15" s="20"/>
      <c r="H15" s="22"/>
      <c r="I15" s="22"/>
      <c r="J15" s="20"/>
      <c r="K15" s="22"/>
      <c r="M15" s="22"/>
      <c r="N15" s="22"/>
      <c r="O15" s="22"/>
      <c r="P15" s="20"/>
      <c r="Q15" s="22"/>
      <c r="R15" s="22"/>
    </row>
    <row r="16" spans="1:18">
      <c r="A16" s="22"/>
      <c r="B16" s="22"/>
      <c r="C16" s="29"/>
      <c r="D16" s="22"/>
      <c r="E16" s="39"/>
      <c r="F16" s="20"/>
      <c r="G16" s="20"/>
      <c r="H16" s="22"/>
      <c r="I16" s="22"/>
      <c r="J16" s="20"/>
      <c r="K16" s="22"/>
      <c r="M16" s="22"/>
      <c r="N16" s="22"/>
      <c r="O16" s="22"/>
      <c r="P16" s="20"/>
      <c r="Q16" s="22"/>
      <c r="R16" s="22"/>
    </row>
    <row r="17" spans="1:18">
      <c r="A17" s="22"/>
      <c r="B17" s="22"/>
      <c r="C17" s="29"/>
      <c r="D17" s="22"/>
      <c r="E17" s="39"/>
      <c r="F17" s="20"/>
      <c r="G17" s="20"/>
      <c r="H17" s="22"/>
      <c r="I17" s="22"/>
      <c r="J17" s="20"/>
      <c r="K17" s="22"/>
      <c r="M17" s="22"/>
      <c r="N17" s="22"/>
      <c r="O17" s="22"/>
      <c r="P17" s="20"/>
      <c r="Q17" s="22"/>
      <c r="R17" s="22"/>
    </row>
    <row r="18" spans="1:18">
      <c r="A18" s="22"/>
      <c r="B18" s="22"/>
      <c r="C18" s="29"/>
      <c r="D18" s="22"/>
      <c r="E18" s="39"/>
      <c r="F18" s="20"/>
      <c r="G18" s="20"/>
      <c r="H18" s="22"/>
      <c r="I18" s="22"/>
      <c r="J18" s="20"/>
      <c r="K18" s="22"/>
      <c r="M18" s="22"/>
      <c r="N18" s="22"/>
      <c r="O18" s="22"/>
      <c r="P18" s="20"/>
      <c r="Q18" s="22"/>
      <c r="R18" s="22"/>
    </row>
    <row r="19" spans="1:18">
      <c r="A19" s="22"/>
      <c r="B19" s="22"/>
      <c r="C19" s="29"/>
      <c r="D19" s="22"/>
      <c r="E19" s="39"/>
      <c r="F19" s="20"/>
      <c r="G19" s="20"/>
      <c r="H19" s="22"/>
      <c r="I19" s="22"/>
      <c r="J19" s="20"/>
      <c r="K19" s="22"/>
      <c r="M19" s="22"/>
      <c r="N19" s="22"/>
      <c r="O19" s="22"/>
      <c r="P19" s="20"/>
      <c r="Q19" s="22"/>
      <c r="R19" s="22"/>
    </row>
    <row r="20" spans="1:18">
      <c r="E20" s="39"/>
      <c r="F20" s="20"/>
      <c r="G20" s="20"/>
      <c r="H20" s="22"/>
      <c r="P20" s="20"/>
    </row>
    <row r="21" spans="1:18" s="41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1" t="s">
        <v>0</v>
      </c>
      <c r="B1" s="21" t="s">
        <v>1</v>
      </c>
      <c r="C1" s="21" t="s">
        <v>1749</v>
      </c>
      <c r="D1" s="21" t="s">
        <v>1750</v>
      </c>
      <c r="E1" s="21" t="s">
        <v>1751</v>
      </c>
      <c r="F1" s="21" t="s">
        <v>1752</v>
      </c>
      <c r="G1" s="21" t="s">
        <v>1814</v>
      </c>
      <c r="H1" s="21" t="s">
        <v>6</v>
      </c>
      <c r="I1" s="21" t="s">
        <v>7</v>
      </c>
      <c r="J1" s="21" t="s">
        <v>138</v>
      </c>
      <c r="K1" s="21" t="s">
        <v>9</v>
      </c>
      <c r="L1" s="21" t="s">
        <v>10</v>
      </c>
      <c r="M1" s="21" t="s">
        <v>1757</v>
      </c>
      <c r="N1" s="21" t="s">
        <v>11</v>
      </c>
      <c r="O1" s="21" t="s">
        <v>18</v>
      </c>
      <c r="P1" s="21" t="s">
        <v>14</v>
      </c>
      <c r="Q1" s="21" t="s">
        <v>1758</v>
      </c>
      <c r="R1" s="21" t="s">
        <v>1815</v>
      </c>
      <c r="S1" s="21" t="s">
        <v>1816</v>
      </c>
      <c r="T1" s="21" t="s">
        <v>1817</v>
      </c>
    </row>
    <row r="2" spans="1:20" ht="14.1" customHeight="1">
      <c r="A2" s="6"/>
      <c r="B2" s="6"/>
      <c r="C2" s="43"/>
      <c r="D2" s="23"/>
      <c r="E2" s="43"/>
      <c r="F2" s="43"/>
      <c r="G2" s="30"/>
      <c r="H2" s="20"/>
      <c r="I2" s="30"/>
      <c r="J2" s="22"/>
      <c r="K2" s="22"/>
      <c r="L2" s="22"/>
      <c r="M2" s="22"/>
      <c r="N2" s="6"/>
      <c r="O2" s="6"/>
      <c r="Q2" s="23"/>
      <c r="R2" s="30"/>
      <c r="S2" s="30"/>
      <c r="T2" s="30"/>
    </row>
    <row r="3" spans="1:20" ht="14.1" customHeight="1">
      <c r="A3" s="6"/>
      <c r="B3" s="6"/>
      <c r="C3" s="6"/>
      <c r="D3" s="23"/>
      <c r="E3" s="6"/>
      <c r="F3" s="6"/>
      <c r="H3" s="20"/>
      <c r="I3" s="20"/>
      <c r="J3" s="22"/>
      <c r="K3" s="22"/>
      <c r="L3" s="22"/>
      <c r="M3" s="22"/>
      <c r="N3" s="6"/>
      <c r="O3" s="6"/>
      <c r="P3" s="6"/>
      <c r="Q3" s="22"/>
      <c r="R3" s="6"/>
      <c r="S3" s="6"/>
      <c r="T3" s="6"/>
    </row>
    <row r="4" spans="1:20" ht="14.1" customHeight="1">
      <c r="A4" s="6"/>
      <c r="B4" s="6"/>
      <c r="C4" s="6"/>
      <c r="D4" s="23"/>
      <c r="E4" s="6"/>
      <c r="F4" s="6"/>
      <c r="H4" s="20"/>
      <c r="I4" s="20"/>
      <c r="J4" s="22"/>
      <c r="K4" s="22"/>
      <c r="L4" s="22"/>
      <c r="M4" s="22"/>
      <c r="N4" s="6"/>
      <c r="O4" s="6"/>
      <c r="P4" s="6"/>
      <c r="Q4" s="22"/>
      <c r="R4" s="6"/>
      <c r="S4" s="6"/>
      <c r="T4" s="6"/>
    </row>
    <row r="5" spans="1:20" ht="14.1" customHeight="1">
      <c r="A5" s="6"/>
      <c r="B5" s="6"/>
      <c r="C5" s="6"/>
      <c r="D5" s="23"/>
      <c r="E5" s="6"/>
      <c r="F5" s="6"/>
      <c r="H5" s="20"/>
      <c r="I5" s="20"/>
      <c r="J5" s="22"/>
      <c r="K5" s="22"/>
      <c r="L5" s="22"/>
      <c r="M5" s="22"/>
      <c r="N5" s="6"/>
      <c r="O5" s="42"/>
      <c r="P5" s="6"/>
      <c r="Q5" s="22"/>
      <c r="R5" s="6"/>
      <c r="S5" s="6"/>
      <c r="T5" s="6"/>
    </row>
    <row r="6" spans="1:20" ht="14.1" customHeight="1">
      <c r="A6" s="6"/>
      <c r="B6" s="6"/>
      <c r="C6" s="6"/>
      <c r="D6" s="23"/>
      <c r="E6" s="6"/>
      <c r="F6" s="6"/>
      <c r="H6" s="20"/>
      <c r="I6" s="20"/>
      <c r="J6" s="22"/>
      <c r="K6" s="22"/>
      <c r="L6" s="22"/>
      <c r="M6" s="22"/>
      <c r="N6" s="6"/>
      <c r="O6" s="42"/>
      <c r="P6" s="6"/>
      <c r="Q6" s="22"/>
      <c r="R6" s="6"/>
      <c r="S6" s="6"/>
      <c r="T6" s="6"/>
    </row>
    <row r="7" spans="1:20" ht="14.1" customHeight="1">
      <c r="A7" s="6"/>
      <c r="B7" s="6"/>
      <c r="C7" s="6"/>
      <c r="D7" s="23"/>
      <c r="E7" s="6"/>
      <c r="F7" s="6"/>
      <c r="H7" s="20"/>
      <c r="I7" s="20"/>
      <c r="J7" s="22"/>
      <c r="K7" s="22"/>
      <c r="L7" s="22"/>
      <c r="M7" s="22"/>
      <c r="N7" s="6"/>
      <c r="O7" s="6"/>
      <c r="P7" s="6"/>
      <c r="Q7" s="22"/>
      <c r="R7" s="6"/>
      <c r="S7" s="6"/>
      <c r="T7" s="6"/>
    </row>
    <row r="8" spans="1:20" ht="14.1" customHeight="1">
      <c r="A8" s="6"/>
      <c r="B8" s="6"/>
      <c r="C8" s="6"/>
      <c r="D8" s="23"/>
      <c r="E8" s="6"/>
      <c r="F8" s="6"/>
      <c r="H8" s="20"/>
      <c r="I8" s="20"/>
      <c r="J8" s="22"/>
      <c r="K8" s="22"/>
      <c r="L8" s="22"/>
      <c r="M8" s="22"/>
      <c r="N8" s="42"/>
      <c r="O8" s="6"/>
      <c r="P8" s="6"/>
      <c r="Q8" s="22"/>
      <c r="R8" s="6"/>
      <c r="S8" s="6"/>
      <c r="T8" s="6"/>
    </row>
    <row r="9" spans="1:20" ht="14.1" customHeight="1">
      <c r="A9" s="6"/>
      <c r="B9" s="6"/>
      <c r="C9" s="6"/>
      <c r="D9" s="23"/>
      <c r="E9" s="6"/>
      <c r="F9" s="6"/>
      <c r="H9" s="20"/>
      <c r="I9" s="20"/>
      <c r="J9" s="22"/>
      <c r="K9" s="22"/>
      <c r="L9" s="22"/>
      <c r="M9" s="22"/>
      <c r="N9" s="6"/>
      <c r="O9" s="6"/>
      <c r="P9" s="6"/>
      <c r="Q9" s="22"/>
      <c r="R9" s="6"/>
      <c r="S9" s="6"/>
      <c r="T9" s="6"/>
    </row>
    <row r="10" spans="1:20" ht="13.7" customHeight="1">
      <c r="A10" s="6"/>
      <c r="B10" s="6"/>
      <c r="C10" s="6"/>
      <c r="D10" s="23"/>
      <c r="E10" s="6"/>
      <c r="F10" s="6"/>
      <c r="H10" s="20"/>
      <c r="I10" s="20"/>
      <c r="J10" s="22"/>
      <c r="K10" s="22"/>
      <c r="L10" s="22"/>
      <c r="M10" s="22"/>
      <c r="N10" s="6"/>
      <c r="O10" s="6"/>
      <c r="P10" s="6"/>
      <c r="Q10" s="22"/>
      <c r="R10" s="6"/>
      <c r="S10" s="6"/>
      <c r="T10" s="6"/>
    </row>
    <row r="11" spans="1:20" ht="13.7" customHeight="1">
      <c r="A11" s="6"/>
      <c r="B11" s="6"/>
      <c r="C11" s="6"/>
      <c r="D11" s="23"/>
      <c r="E11" s="6"/>
      <c r="F11" s="6"/>
      <c r="H11" s="20"/>
      <c r="I11" s="20"/>
      <c r="J11" s="22"/>
      <c r="K11" s="22"/>
      <c r="L11" s="22"/>
      <c r="M11" s="22"/>
      <c r="N11" s="6"/>
      <c r="O11" s="6"/>
      <c r="P11" s="6"/>
      <c r="Q11" s="22"/>
      <c r="R11" s="6"/>
      <c r="S11" s="6"/>
      <c r="T11" s="6"/>
    </row>
    <row r="12" spans="1:20" ht="14.1" customHeight="1">
      <c r="A12" s="6"/>
      <c r="B12" s="6"/>
      <c r="C12" s="6"/>
      <c r="D12" s="23"/>
      <c r="E12" s="6"/>
      <c r="F12" s="6"/>
      <c r="H12" s="20"/>
      <c r="I12" s="20"/>
      <c r="J12" s="22"/>
      <c r="K12" s="22"/>
      <c r="L12" s="22"/>
      <c r="M12" s="22"/>
      <c r="N12" s="6"/>
      <c r="O12" s="6"/>
      <c r="P12" s="6"/>
      <c r="Q12" s="22"/>
      <c r="R12" s="6"/>
      <c r="S12" s="6"/>
      <c r="T12" s="6"/>
    </row>
    <row r="13" spans="1:20" ht="14.1" customHeight="1">
      <c r="A13" s="6"/>
      <c r="B13" s="6"/>
      <c r="C13" s="6"/>
      <c r="D13" s="23"/>
      <c r="E13" s="6"/>
      <c r="F13" s="6"/>
      <c r="H13" s="20"/>
      <c r="I13" s="20"/>
      <c r="J13" s="22"/>
      <c r="K13" s="22"/>
      <c r="L13" s="22"/>
      <c r="M13" s="22"/>
      <c r="N13" s="6"/>
      <c r="O13" s="6"/>
      <c r="P13" s="6"/>
      <c r="Q13" s="22"/>
      <c r="R13" s="6"/>
      <c r="S13" s="6"/>
      <c r="T13" s="6"/>
    </row>
    <row r="14" spans="1:20" ht="14.1" customHeight="1">
      <c r="A14" s="6"/>
      <c r="B14" s="6"/>
      <c r="C14" s="6"/>
      <c r="D14" s="23"/>
      <c r="E14" s="6"/>
      <c r="F14" s="6"/>
      <c r="H14" s="20"/>
      <c r="I14" s="20"/>
      <c r="J14" s="22"/>
      <c r="K14" s="22"/>
      <c r="L14" s="22"/>
      <c r="M14" s="22"/>
      <c r="N14" s="6"/>
      <c r="O14" s="6"/>
      <c r="P14" s="6"/>
      <c r="Q14" s="22"/>
      <c r="R14" s="6"/>
      <c r="S14" s="6"/>
      <c r="T14" s="6"/>
    </row>
    <row r="15" spans="1:20" ht="14.1" customHeight="1">
      <c r="A15" s="6"/>
      <c r="B15" s="6"/>
      <c r="C15" s="6"/>
      <c r="D15" s="23"/>
      <c r="E15" s="6"/>
      <c r="F15" s="6"/>
      <c r="H15" s="20"/>
      <c r="I15" s="20"/>
      <c r="J15" s="22"/>
      <c r="K15" s="22"/>
      <c r="L15" s="22"/>
      <c r="M15" s="22"/>
      <c r="N15" s="6"/>
      <c r="O15" s="6"/>
      <c r="P15" s="6"/>
      <c r="Q15" s="22"/>
      <c r="R15" s="6"/>
      <c r="S15" s="6"/>
      <c r="T15" s="6"/>
    </row>
    <row r="16" spans="1:20" ht="14.1" customHeight="1">
      <c r="A16" s="6"/>
      <c r="B16" s="6"/>
      <c r="C16" s="6"/>
      <c r="D16" s="23"/>
      <c r="E16" s="6"/>
      <c r="F16" s="6"/>
      <c r="H16" s="20"/>
      <c r="I16" s="20"/>
      <c r="J16" s="22"/>
      <c r="K16" s="22"/>
      <c r="L16" s="22"/>
      <c r="M16" s="22"/>
      <c r="N16" s="6"/>
      <c r="O16" s="6"/>
      <c r="P16" s="6"/>
      <c r="Q16" s="22"/>
      <c r="R16" s="6"/>
      <c r="S16" s="6"/>
      <c r="T16" s="6"/>
    </row>
    <row r="17" spans="1:20" ht="14.1" customHeight="1">
      <c r="A17" s="6"/>
      <c r="B17" s="6"/>
      <c r="C17" s="6"/>
      <c r="D17" s="23"/>
      <c r="E17" s="6"/>
      <c r="F17" s="6"/>
      <c r="H17" s="20"/>
      <c r="I17" s="20"/>
      <c r="J17" s="22"/>
      <c r="K17" s="22"/>
      <c r="L17" s="22"/>
      <c r="M17" s="22"/>
      <c r="N17" s="6"/>
      <c r="O17" s="6"/>
      <c r="P17" s="6"/>
      <c r="Q17" s="22"/>
      <c r="R17" s="6"/>
      <c r="S17" s="6"/>
      <c r="T17" s="6"/>
    </row>
    <row r="18" spans="1:20" ht="14.1" customHeight="1">
      <c r="D18" s="23"/>
      <c r="H18" s="20"/>
      <c r="I18" s="20"/>
      <c r="J18" s="22"/>
      <c r="K18" s="22"/>
      <c r="L18" s="22"/>
      <c r="M18" s="22"/>
      <c r="Q18" s="22"/>
    </row>
    <row r="19" spans="1:20" ht="14.1" customHeight="1">
      <c r="D19" s="23"/>
      <c r="H19" s="20"/>
      <c r="I19" s="20"/>
      <c r="J19" s="22"/>
      <c r="K19" s="22"/>
      <c r="L19" s="22"/>
      <c r="M19" s="22"/>
      <c r="Q19" s="22"/>
    </row>
    <row r="20" spans="1:20" ht="14.1" customHeight="1">
      <c r="D20" s="23"/>
      <c r="H20" s="20"/>
      <c r="I20" s="20"/>
      <c r="J20" s="22"/>
      <c r="L20" s="22"/>
      <c r="M20" s="22"/>
      <c r="Q20" s="22"/>
    </row>
    <row r="21" spans="1:20" s="41" customFormat="1" ht="14.1" customHeight="1">
      <c r="D21" s="44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topLeftCell="E1" workbookViewId="0">
      <selection activeCell="Q25" sqref="Q25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1" t="s">
        <v>0</v>
      </c>
      <c r="B1" s="21" t="s">
        <v>1</v>
      </c>
      <c r="C1" s="21" t="s">
        <v>5</v>
      </c>
      <c r="D1" s="21" t="s">
        <v>1492</v>
      </c>
      <c r="E1" s="21" t="s">
        <v>1493</v>
      </c>
      <c r="F1" s="21" t="s">
        <v>1494</v>
      </c>
      <c r="G1" s="21" t="s">
        <v>1495</v>
      </c>
      <c r="H1" s="21" t="s">
        <v>1496</v>
      </c>
      <c r="I1" s="21" t="s">
        <v>1497</v>
      </c>
      <c r="J1" s="21" t="s">
        <v>11</v>
      </c>
      <c r="K1" s="177" t="s">
        <v>1818</v>
      </c>
      <c r="L1" s="21" t="s">
        <v>1819</v>
      </c>
      <c r="M1" s="21" t="s">
        <v>1820</v>
      </c>
      <c r="N1" s="21" t="s">
        <v>1821</v>
      </c>
      <c r="O1" s="21" t="s">
        <v>1822</v>
      </c>
      <c r="P1" s="21" t="s">
        <v>1823</v>
      </c>
      <c r="Q1" s="177" t="s">
        <v>1824</v>
      </c>
    </row>
    <row r="2" spans="1:17" ht="14.1" customHeight="1">
      <c r="A2" s="6">
        <v>288</v>
      </c>
      <c r="B2" s="6">
        <v>288</v>
      </c>
      <c r="C2" s="6" t="s">
        <v>1825</v>
      </c>
      <c r="D2" s="6" t="s">
        <v>1826</v>
      </c>
      <c r="E2" s="43" t="s">
        <v>1827</v>
      </c>
      <c r="F2" s="23" t="s">
        <v>1828</v>
      </c>
      <c r="G2" s="6" t="s">
        <v>1826</v>
      </c>
      <c r="H2" s="43" t="s">
        <v>1829</v>
      </c>
      <c r="I2" s="23" t="s">
        <v>43</v>
      </c>
      <c r="J2" s="3" t="s">
        <v>34</v>
      </c>
      <c r="K2" s="182">
        <v>45917</v>
      </c>
      <c r="L2" s="154">
        <v>3400000</v>
      </c>
      <c r="M2" s="154">
        <v>11240.4</v>
      </c>
      <c r="N2" s="154">
        <v>2845800</v>
      </c>
      <c r="O2" s="154">
        <v>9408.2099999999991</v>
      </c>
      <c r="P2" s="202" t="s">
        <v>2787</v>
      </c>
      <c r="Q2" s="179">
        <v>49571</v>
      </c>
    </row>
    <row r="3" spans="1:17" ht="14.1" customHeight="1">
      <c r="A3" s="6">
        <v>288</v>
      </c>
      <c r="B3" s="6">
        <v>288</v>
      </c>
      <c r="C3" s="6" t="s">
        <v>1825</v>
      </c>
      <c r="D3" s="6" t="s">
        <v>1830</v>
      </c>
      <c r="E3" s="6" t="s">
        <v>1831</v>
      </c>
      <c r="F3" s="23" t="s">
        <v>1828</v>
      </c>
      <c r="G3" s="6" t="s">
        <v>1576</v>
      </c>
      <c r="H3" s="3" t="s">
        <v>1832</v>
      </c>
      <c r="I3" s="23" t="s">
        <v>43</v>
      </c>
      <c r="J3" s="3" t="s">
        <v>34</v>
      </c>
      <c r="K3" s="178">
        <v>45716</v>
      </c>
      <c r="L3" s="154">
        <v>3400000</v>
      </c>
      <c r="M3" s="154">
        <v>11240.4</v>
      </c>
      <c r="N3" s="154">
        <v>2611687.9</v>
      </c>
      <c r="O3" s="154">
        <v>8634.24</v>
      </c>
      <c r="P3" s="202" t="s">
        <v>2788</v>
      </c>
      <c r="Q3" s="179">
        <v>49096</v>
      </c>
    </row>
    <row r="4" spans="1:17" ht="13.7" customHeight="1">
      <c r="A4" s="6">
        <v>288</v>
      </c>
      <c r="B4" s="6">
        <v>288</v>
      </c>
      <c r="C4" s="6" t="s">
        <v>1825</v>
      </c>
      <c r="D4" s="6" t="s">
        <v>1584</v>
      </c>
      <c r="E4" s="6" t="s">
        <v>1833</v>
      </c>
      <c r="F4" s="23" t="s">
        <v>1828</v>
      </c>
      <c r="G4" s="6" t="s">
        <v>1597</v>
      </c>
      <c r="H4" s="3" t="s">
        <v>1834</v>
      </c>
      <c r="I4" s="23" t="s">
        <v>43</v>
      </c>
      <c r="J4" s="3" t="s">
        <v>1032</v>
      </c>
      <c r="K4" s="178">
        <v>45362</v>
      </c>
      <c r="L4" s="154">
        <v>1700000</v>
      </c>
      <c r="M4" s="154">
        <v>7549.53</v>
      </c>
      <c r="N4" s="154">
        <v>935000</v>
      </c>
      <c r="O4" s="154">
        <v>4152.24</v>
      </c>
      <c r="P4" s="202" t="s">
        <v>2789</v>
      </c>
      <c r="Q4" s="179">
        <v>47178</v>
      </c>
    </row>
    <row r="5" spans="1:17" ht="13.7" customHeight="1">
      <c r="A5" s="6">
        <v>288</v>
      </c>
      <c r="B5" s="6">
        <v>288</v>
      </c>
      <c r="C5" s="6" t="s">
        <v>1825</v>
      </c>
      <c r="D5" s="6" t="s">
        <v>1601</v>
      </c>
      <c r="E5" s="6" t="s">
        <v>1602</v>
      </c>
      <c r="F5" s="23" t="s">
        <v>1828</v>
      </c>
      <c r="G5" s="6" t="s">
        <v>1603</v>
      </c>
      <c r="H5" s="3" t="s">
        <v>1835</v>
      </c>
      <c r="I5" s="23" t="s">
        <v>43</v>
      </c>
      <c r="J5" s="3" t="s">
        <v>34</v>
      </c>
      <c r="K5" s="178">
        <v>44854</v>
      </c>
      <c r="L5" s="154">
        <v>3000000</v>
      </c>
      <c r="M5" s="154">
        <v>9918</v>
      </c>
      <c r="N5" s="154">
        <v>149927</v>
      </c>
      <c r="O5" s="154">
        <v>495.65</v>
      </c>
      <c r="P5" s="202" t="s">
        <v>2790</v>
      </c>
      <c r="Q5" s="179">
        <v>47757</v>
      </c>
    </row>
    <row r="6" spans="1:17" ht="14.1" customHeight="1">
      <c r="A6" s="6">
        <v>288</v>
      </c>
      <c r="B6" s="6">
        <v>288</v>
      </c>
      <c r="C6" s="6" t="s">
        <v>1825</v>
      </c>
      <c r="D6" s="6" t="s">
        <v>1612</v>
      </c>
      <c r="E6" s="6" t="s">
        <v>1836</v>
      </c>
      <c r="F6" s="23" t="s">
        <v>1828</v>
      </c>
      <c r="G6" s="6" t="s">
        <v>1837</v>
      </c>
      <c r="H6" s="3" t="s">
        <v>1838</v>
      </c>
      <c r="I6" s="23" t="s">
        <v>43</v>
      </c>
      <c r="J6" s="3" t="s">
        <v>34</v>
      </c>
      <c r="K6" s="178">
        <v>43289</v>
      </c>
      <c r="L6" s="154">
        <v>3000000</v>
      </c>
      <c r="M6" s="154">
        <v>9918</v>
      </c>
      <c r="N6" s="154">
        <v>641806</v>
      </c>
      <c r="O6" s="154">
        <v>2121.81</v>
      </c>
      <c r="P6" s="202" t="s">
        <v>2791</v>
      </c>
      <c r="Q6" s="179">
        <v>46188</v>
      </c>
    </row>
    <row r="7" spans="1:17" ht="14.1" customHeight="1">
      <c r="A7" s="6">
        <v>288</v>
      </c>
      <c r="B7" s="6">
        <v>288</v>
      </c>
      <c r="C7" s="6" t="s">
        <v>1825</v>
      </c>
      <c r="D7" s="6" t="s">
        <v>1612</v>
      </c>
      <c r="E7" s="6" t="s">
        <v>1836</v>
      </c>
      <c r="F7" s="23" t="s">
        <v>1828</v>
      </c>
      <c r="G7" s="6" t="s">
        <v>1839</v>
      </c>
      <c r="H7" s="3" t="s">
        <v>1840</v>
      </c>
      <c r="I7" s="23" t="s">
        <v>43</v>
      </c>
      <c r="J7" s="3" t="s">
        <v>34</v>
      </c>
      <c r="K7" s="178">
        <v>43280</v>
      </c>
      <c r="L7" s="154">
        <v>1000000</v>
      </c>
      <c r="M7" s="154">
        <v>3306</v>
      </c>
      <c r="N7" s="154">
        <v>136920</v>
      </c>
      <c r="O7" s="154">
        <v>452.65</v>
      </c>
      <c r="P7" s="202" t="s">
        <v>2792</v>
      </c>
      <c r="Q7" s="179">
        <v>45444</v>
      </c>
    </row>
    <row r="8" spans="1:17" ht="14.1" customHeight="1">
      <c r="A8" s="6">
        <v>288</v>
      </c>
      <c r="B8" s="6">
        <v>288</v>
      </c>
      <c r="C8" s="6" t="s">
        <v>1825</v>
      </c>
      <c r="D8" s="6" t="s">
        <v>1622</v>
      </c>
      <c r="E8" s="6" t="s">
        <v>1841</v>
      </c>
      <c r="F8" s="23" t="s">
        <v>1828</v>
      </c>
      <c r="G8" s="6" t="s">
        <v>1842</v>
      </c>
      <c r="H8" s="3" t="s">
        <v>1843</v>
      </c>
      <c r="I8" s="23" t="s">
        <v>43</v>
      </c>
      <c r="J8" s="3" t="s">
        <v>34</v>
      </c>
      <c r="K8" s="178">
        <v>43445</v>
      </c>
      <c r="L8" s="154">
        <v>1000000</v>
      </c>
      <c r="M8" s="154">
        <v>3306</v>
      </c>
      <c r="N8" s="154">
        <v>135000</v>
      </c>
      <c r="O8" s="154">
        <v>446.31</v>
      </c>
      <c r="P8" s="202" t="s">
        <v>2793</v>
      </c>
      <c r="Q8" s="179">
        <v>46813</v>
      </c>
    </row>
    <row r="9" spans="1:17" ht="14.1" customHeight="1">
      <c r="A9" s="6">
        <v>288</v>
      </c>
      <c r="B9" s="6">
        <v>288</v>
      </c>
      <c r="C9" s="6" t="s">
        <v>1825</v>
      </c>
      <c r="D9" s="6" t="s">
        <v>1633</v>
      </c>
      <c r="E9" s="6" t="s">
        <v>1844</v>
      </c>
      <c r="F9" s="23" t="s">
        <v>1828</v>
      </c>
      <c r="G9" s="6" t="s">
        <v>1845</v>
      </c>
      <c r="H9" s="3" t="s">
        <v>1846</v>
      </c>
      <c r="I9" s="23" t="s">
        <v>43</v>
      </c>
      <c r="J9" s="3" t="s">
        <v>34</v>
      </c>
      <c r="K9" s="178">
        <v>43354</v>
      </c>
      <c r="L9" s="154">
        <v>2000000</v>
      </c>
      <c r="M9" s="154">
        <v>6612</v>
      </c>
      <c r="N9" s="154">
        <v>141677.89000000001</v>
      </c>
      <c r="O9" s="154">
        <v>468.38</v>
      </c>
      <c r="P9" s="202" t="s">
        <v>2794</v>
      </c>
      <c r="Q9" s="179">
        <v>46174</v>
      </c>
    </row>
    <row r="10" spans="1:17" ht="14.1" customHeight="1">
      <c r="A10" s="6">
        <v>288</v>
      </c>
      <c r="B10" s="6">
        <v>288</v>
      </c>
      <c r="C10" s="6" t="s">
        <v>1825</v>
      </c>
      <c r="D10" s="6" t="s">
        <v>1668</v>
      </c>
      <c r="E10" s="6" t="s">
        <v>1669</v>
      </c>
      <c r="F10" s="23" t="s">
        <v>1828</v>
      </c>
      <c r="G10" s="6" t="s">
        <v>1670</v>
      </c>
      <c r="H10" s="3" t="s">
        <v>1847</v>
      </c>
      <c r="I10" s="23" t="s">
        <v>43</v>
      </c>
      <c r="J10" s="3" t="s">
        <v>34</v>
      </c>
      <c r="K10" s="178">
        <v>45756</v>
      </c>
      <c r="L10" s="154">
        <v>4400000</v>
      </c>
      <c r="M10" s="154">
        <v>14546.4</v>
      </c>
      <c r="N10" s="154">
        <v>4083222.96</v>
      </c>
      <c r="O10" s="154">
        <v>13499.13</v>
      </c>
      <c r="P10" s="202" t="s">
        <v>2795</v>
      </c>
      <c r="Q10" s="179">
        <v>49218</v>
      </c>
    </row>
    <row r="11" spans="1:17" ht="14.1" customHeight="1">
      <c r="A11" s="3">
        <v>288</v>
      </c>
      <c r="B11" s="3">
        <v>288</v>
      </c>
      <c r="C11" s="6" t="s">
        <v>1825</v>
      </c>
      <c r="D11" s="3" t="s">
        <v>1644</v>
      </c>
      <c r="E11" s="3" t="s">
        <v>1645</v>
      </c>
      <c r="F11" s="23" t="s">
        <v>43</v>
      </c>
      <c r="G11" s="3" t="s">
        <v>1848</v>
      </c>
      <c r="H11" s="3" t="s">
        <v>1849</v>
      </c>
      <c r="I11" s="23" t="s">
        <v>43</v>
      </c>
      <c r="J11" s="3" t="s">
        <v>1032</v>
      </c>
      <c r="K11" s="178">
        <v>44951</v>
      </c>
      <c r="L11" s="154">
        <v>2500000</v>
      </c>
      <c r="M11" s="154">
        <v>11102.25</v>
      </c>
      <c r="N11" s="154">
        <v>2008661</v>
      </c>
      <c r="O11" s="154">
        <v>8920.26</v>
      </c>
      <c r="P11" s="203" t="s">
        <v>2796</v>
      </c>
      <c r="Q11" s="179">
        <v>48580</v>
      </c>
    </row>
    <row r="12" spans="1:17" ht="14.1" customHeight="1">
      <c r="A12" s="3">
        <v>288</v>
      </c>
      <c r="B12" s="3">
        <v>288</v>
      </c>
      <c r="C12" s="6" t="s">
        <v>1825</v>
      </c>
      <c r="D12" s="3" t="s">
        <v>1850</v>
      </c>
      <c r="E12" s="3" t="s">
        <v>1851</v>
      </c>
      <c r="F12" s="23" t="s">
        <v>1828</v>
      </c>
      <c r="G12" s="3" t="s">
        <v>1656</v>
      </c>
      <c r="H12" s="3" t="s">
        <v>1852</v>
      </c>
      <c r="I12" s="23" t="s">
        <v>43</v>
      </c>
      <c r="J12" s="3" t="s">
        <v>34</v>
      </c>
      <c r="K12" s="178">
        <v>45873</v>
      </c>
      <c r="L12" s="154">
        <v>3000000</v>
      </c>
      <c r="M12" s="154">
        <v>9918</v>
      </c>
      <c r="N12" s="154">
        <v>2921929</v>
      </c>
      <c r="O12" s="154">
        <v>9659.89</v>
      </c>
      <c r="P12" s="203" t="s">
        <v>2797</v>
      </c>
      <c r="Q12" s="179">
        <v>49430</v>
      </c>
    </row>
    <row r="13" spans="1:17" ht="14.1" customHeight="1">
      <c r="A13" s="3">
        <v>288</v>
      </c>
      <c r="B13" s="3">
        <v>288</v>
      </c>
      <c r="C13" s="6" t="s">
        <v>1825</v>
      </c>
      <c r="D13" s="3" t="s">
        <v>1658</v>
      </c>
      <c r="E13" s="3" t="s">
        <v>1659</v>
      </c>
      <c r="F13" s="23" t="s">
        <v>652</v>
      </c>
      <c r="G13" s="3" t="s">
        <v>1853</v>
      </c>
      <c r="H13" s="3" t="s">
        <v>1854</v>
      </c>
      <c r="I13" s="23" t="s">
        <v>43</v>
      </c>
      <c r="J13" s="3" t="s">
        <v>34</v>
      </c>
      <c r="K13" s="178">
        <v>43887</v>
      </c>
      <c r="L13" s="154">
        <v>1000000</v>
      </c>
      <c r="M13" s="154">
        <v>3306</v>
      </c>
      <c r="N13" s="154">
        <v>321748.89</v>
      </c>
      <c r="O13" s="154">
        <v>1063.7</v>
      </c>
      <c r="P13" s="203" t="s">
        <v>2798</v>
      </c>
      <c r="Q13" s="179">
        <v>47453</v>
      </c>
    </row>
    <row r="14" spans="1:17" ht="14.1" customHeight="1">
      <c r="A14" s="3">
        <v>288</v>
      </c>
      <c r="B14" s="3">
        <v>288</v>
      </c>
      <c r="C14" s="6" t="s">
        <v>1825</v>
      </c>
      <c r="D14" s="3" t="s">
        <v>1606</v>
      </c>
      <c r="E14" s="3" t="s">
        <v>1607</v>
      </c>
      <c r="F14" s="23" t="s">
        <v>1855</v>
      </c>
      <c r="G14" s="3" t="s">
        <v>1606</v>
      </c>
      <c r="H14" s="3" t="s">
        <v>1856</v>
      </c>
      <c r="I14" s="23" t="s">
        <v>43</v>
      </c>
      <c r="J14" s="3" t="s">
        <v>991</v>
      </c>
      <c r="K14" s="178">
        <v>42901</v>
      </c>
      <c r="L14" s="154">
        <v>1500000</v>
      </c>
      <c r="M14" s="154">
        <v>5821.05</v>
      </c>
      <c r="N14" s="154">
        <v>9256</v>
      </c>
      <c r="O14" s="154">
        <v>35.909999999999997</v>
      </c>
      <c r="P14" s="203" t="s">
        <v>2799</v>
      </c>
      <c r="Q14" s="179">
        <v>45814</v>
      </c>
    </row>
    <row r="15" spans="1:17" ht="14.1" customHeight="1">
      <c r="A15" s="3">
        <v>288</v>
      </c>
      <c r="B15" s="3">
        <v>288</v>
      </c>
      <c r="C15" s="6" t="s">
        <v>1825</v>
      </c>
      <c r="D15" s="3" t="s">
        <v>1857</v>
      </c>
      <c r="E15" s="3" t="s">
        <v>1858</v>
      </c>
      <c r="F15" s="23" t="s">
        <v>1855</v>
      </c>
      <c r="G15" s="3" t="s">
        <v>1859</v>
      </c>
      <c r="H15" s="3" t="s">
        <v>1860</v>
      </c>
      <c r="I15" s="23" t="s">
        <v>43</v>
      </c>
      <c r="J15" s="3" t="s">
        <v>34</v>
      </c>
      <c r="K15" s="178">
        <v>45651</v>
      </c>
      <c r="L15" s="154">
        <v>3200000</v>
      </c>
      <c r="M15" s="154">
        <v>10579.2</v>
      </c>
      <c r="N15" s="154">
        <v>2228259</v>
      </c>
      <c r="O15" s="154">
        <v>7366.62</v>
      </c>
      <c r="P15" s="203" t="s">
        <v>2800</v>
      </c>
      <c r="Q15" s="179">
        <v>49218</v>
      </c>
    </row>
    <row r="16" spans="1:17" ht="14.1" customHeight="1">
      <c r="A16" s="3">
        <v>288</v>
      </c>
      <c r="B16" s="3">
        <v>288</v>
      </c>
      <c r="C16" s="6" t="s">
        <v>1825</v>
      </c>
      <c r="D16" s="3" t="s">
        <v>1553</v>
      </c>
      <c r="E16" s="3" t="s">
        <v>1554</v>
      </c>
      <c r="F16" s="23" t="s">
        <v>1855</v>
      </c>
      <c r="G16" s="3" t="s">
        <v>1861</v>
      </c>
      <c r="H16" s="3" t="s">
        <v>1862</v>
      </c>
      <c r="I16" s="23" t="s">
        <v>43</v>
      </c>
      <c r="J16" s="3" t="s">
        <v>34</v>
      </c>
      <c r="K16" s="178">
        <v>44118</v>
      </c>
      <c r="L16" s="154">
        <v>1000000</v>
      </c>
      <c r="M16" s="154">
        <v>3306</v>
      </c>
      <c r="N16" s="154">
        <v>140000</v>
      </c>
      <c r="O16" s="154">
        <v>462.84</v>
      </c>
      <c r="P16" s="203" t="s">
        <v>2801</v>
      </c>
      <c r="Q16" s="179">
        <v>47757</v>
      </c>
    </row>
    <row r="17" spans="1:17" ht="14.1" customHeight="1">
      <c r="A17" s="3">
        <v>288</v>
      </c>
      <c r="B17" s="3">
        <v>288</v>
      </c>
      <c r="C17" s="6" t="s">
        <v>1825</v>
      </c>
      <c r="D17" s="3" t="s">
        <v>1863</v>
      </c>
      <c r="E17" s="3" t="s">
        <v>1864</v>
      </c>
      <c r="F17" s="23" t="s">
        <v>1828</v>
      </c>
      <c r="G17" s="3" t="s">
        <v>1865</v>
      </c>
      <c r="H17" s="3" t="s">
        <v>1866</v>
      </c>
      <c r="I17" s="23" t="s">
        <v>43</v>
      </c>
      <c r="J17" s="3" t="s">
        <v>991</v>
      </c>
      <c r="K17" s="178">
        <v>45238</v>
      </c>
      <c r="L17" s="154">
        <v>3800000</v>
      </c>
      <c r="M17" s="154">
        <v>14746.66</v>
      </c>
      <c r="N17" s="154">
        <v>2392826.0299999998</v>
      </c>
      <c r="O17" s="154">
        <v>9285.83</v>
      </c>
      <c r="P17" s="203" t="s">
        <v>2802</v>
      </c>
      <c r="Q17" s="179">
        <v>48153</v>
      </c>
    </row>
    <row r="18" spans="1:17" ht="14.1" customHeight="1">
      <c r="A18" s="3">
        <v>288</v>
      </c>
      <c r="B18" s="3">
        <v>288</v>
      </c>
      <c r="C18" s="6" t="s">
        <v>1825</v>
      </c>
      <c r="D18" s="3" t="s">
        <v>1579</v>
      </c>
      <c r="E18" s="3" t="s">
        <v>1580</v>
      </c>
      <c r="F18" s="23" t="s">
        <v>1828</v>
      </c>
      <c r="G18" s="3" t="s">
        <v>1579</v>
      </c>
      <c r="H18" s="3" t="s">
        <v>1867</v>
      </c>
      <c r="I18" s="23" t="s">
        <v>43</v>
      </c>
      <c r="J18" s="3" t="s">
        <v>991</v>
      </c>
      <c r="K18" s="178">
        <v>45643</v>
      </c>
      <c r="L18" s="154">
        <v>3000000</v>
      </c>
      <c r="M18" s="154">
        <v>11642.1</v>
      </c>
      <c r="N18" s="154">
        <v>2250000</v>
      </c>
      <c r="O18" s="154">
        <v>8731.57</v>
      </c>
      <c r="P18" s="203" t="s">
        <v>2803</v>
      </c>
      <c r="Q18" s="179">
        <v>47818</v>
      </c>
    </row>
    <row r="19" spans="1:17" ht="14.1" customHeight="1">
      <c r="A19" s="3">
        <v>288</v>
      </c>
      <c r="B19" s="3">
        <v>288</v>
      </c>
      <c r="C19" s="6" t="s">
        <v>1825</v>
      </c>
      <c r="D19" s="3" t="s">
        <v>1584</v>
      </c>
      <c r="E19" s="3" t="s">
        <v>1868</v>
      </c>
      <c r="F19" s="23" t="s">
        <v>1828</v>
      </c>
      <c r="G19" s="3" t="s">
        <v>1869</v>
      </c>
      <c r="H19" s="3" t="s">
        <v>1870</v>
      </c>
      <c r="I19" s="23" t="s">
        <v>43</v>
      </c>
      <c r="J19" s="3" t="s">
        <v>34</v>
      </c>
      <c r="K19" s="178">
        <v>45054</v>
      </c>
      <c r="L19" s="154">
        <v>2250000</v>
      </c>
      <c r="M19" s="154">
        <v>7438.5</v>
      </c>
      <c r="N19" s="154">
        <v>225000</v>
      </c>
      <c r="O19" s="154">
        <v>743.85</v>
      </c>
      <c r="P19" s="203" t="s">
        <v>2804</v>
      </c>
      <c r="Q19" s="179">
        <v>47453</v>
      </c>
    </row>
    <row r="20" spans="1:17" ht="14.1" customHeight="1">
      <c r="A20" s="3">
        <v>288</v>
      </c>
      <c r="B20" s="3">
        <v>288</v>
      </c>
      <c r="C20" s="3" t="s">
        <v>1825</v>
      </c>
      <c r="D20" s="3" t="s">
        <v>1612</v>
      </c>
      <c r="E20" s="3" t="s">
        <v>1836</v>
      </c>
      <c r="F20" s="23" t="s">
        <v>1828</v>
      </c>
      <c r="G20" s="3" t="s">
        <v>1871</v>
      </c>
      <c r="H20" s="3" t="s">
        <v>1872</v>
      </c>
      <c r="I20" s="23" t="s">
        <v>43</v>
      </c>
      <c r="J20" s="3" t="s">
        <v>34</v>
      </c>
      <c r="K20" s="179">
        <v>44284</v>
      </c>
      <c r="L20" s="154">
        <v>1500000</v>
      </c>
      <c r="M20" s="154">
        <v>4959</v>
      </c>
      <c r="N20" s="154">
        <v>128551</v>
      </c>
      <c r="O20" s="154">
        <v>424.98</v>
      </c>
      <c r="P20" s="203" t="s">
        <v>2805</v>
      </c>
      <c r="Q20" s="179">
        <v>46082</v>
      </c>
    </row>
    <row r="21" spans="1:17" ht="14.1" customHeight="1">
      <c r="A21" s="3">
        <v>288</v>
      </c>
      <c r="B21" s="3">
        <v>288</v>
      </c>
      <c r="C21" s="3" t="s">
        <v>1825</v>
      </c>
      <c r="D21" s="3" t="s">
        <v>1873</v>
      </c>
      <c r="E21" s="3" t="s">
        <v>1874</v>
      </c>
      <c r="F21" s="3" t="s">
        <v>1828</v>
      </c>
      <c r="G21" s="3" t="s">
        <v>1630</v>
      </c>
      <c r="H21" s="3" t="s">
        <v>1875</v>
      </c>
      <c r="I21" s="3" t="s">
        <v>43</v>
      </c>
      <c r="J21" s="3" t="s">
        <v>34</v>
      </c>
      <c r="K21" s="179">
        <v>45392</v>
      </c>
      <c r="L21" s="154">
        <v>2500000</v>
      </c>
      <c r="M21" s="154">
        <v>8265</v>
      </c>
      <c r="N21" s="154">
        <v>1680679</v>
      </c>
      <c r="O21" s="154">
        <v>5556.32</v>
      </c>
      <c r="P21" s="203" t="s">
        <v>2806</v>
      </c>
      <c r="Q21" s="179">
        <v>47574</v>
      </c>
    </row>
    <row r="22" spans="1:17" ht="14.1" customHeight="1">
      <c r="A22" s="3">
        <v>288</v>
      </c>
      <c r="B22" s="3">
        <v>288</v>
      </c>
      <c r="C22" s="3" t="s">
        <v>1825</v>
      </c>
      <c r="D22" s="3" t="s">
        <v>1503</v>
      </c>
      <c r="E22" s="3" t="s">
        <v>1876</v>
      </c>
      <c r="F22" s="3" t="s">
        <v>1828</v>
      </c>
      <c r="G22" s="3" t="s">
        <v>1505</v>
      </c>
      <c r="H22" s="3" t="s">
        <v>1877</v>
      </c>
      <c r="I22" s="3" t="s">
        <v>43</v>
      </c>
      <c r="J22" s="3" t="s">
        <v>44</v>
      </c>
      <c r="K22" s="179">
        <v>45040</v>
      </c>
      <c r="L22" s="154">
        <v>12000000</v>
      </c>
      <c r="M22" s="154">
        <v>12000</v>
      </c>
      <c r="N22" s="154">
        <v>6360000</v>
      </c>
      <c r="O22" s="154">
        <v>6360</v>
      </c>
      <c r="P22" s="203" t="s">
        <v>2807</v>
      </c>
      <c r="Q22" s="179">
        <v>47939</v>
      </c>
    </row>
    <row r="23" spans="1:17" ht="14.1" customHeight="1">
      <c r="A23" s="3">
        <v>288</v>
      </c>
      <c r="B23" s="3">
        <v>288</v>
      </c>
      <c r="C23" s="3" t="s">
        <v>1825</v>
      </c>
      <c r="D23" s="3" t="s">
        <v>1638</v>
      </c>
      <c r="E23" s="3" t="s">
        <v>1639</v>
      </c>
      <c r="F23" s="3" t="s">
        <v>1828</v>
      </c>
      <c r="G23" s="3" t="s">
        <v>1878</v>
      </c>
      <c r="H23" s="3" t="s">
        <v>1879</v>
      </c>
      <c r="I23" s="3" t="s">
        <v>43</v>
      </c>
      <c r="J23" s="3" t="s">
        <v>991</v>
      </c>
      <c r="K23" s="179">
        <v>44376</v>
      </c>
      <c r="L23" s="154">
        <v>700000</v>
      </c>
      <c r="M23" s="154">
        <v>2716.49</v>
      </c>
      <c r="N23" s="154">
        <v>62222.559999999998</v>
      </c>
      <c r="O23" s="154">
        <v>241.46</v>
      </c>
      <c r="P23" s="203" t="s">
        <v>2808</v>
      </c>
      <c r="Q23" s="179">
        <v>46753</v>
      </c>
    </row>
    <row r="24" spans="1:17" ht="14.1" customHeight="1">
      <c r="A24" s="3">
        <v>288</v>
      </c>
      <c r="B24" s="3">
        <v>288</v>
      </c>
      <c r="C24" s="3" t="s">
        <v>1825</v>
      </c>
      <c r="D24" s="3" t="s">
        <v>1880</v>
      </c>
      <c r="E24" s="3" t="s">
        <v>1650</v>
      </c>
      <c r="F24" s="3" t="s">
        <v>1828</v>
      </c>
      <c r="G24" s="3" t="s">
        <v>1651</v>
      </c>
      <c r="H24" s="3" t="s">
        <v>1881</v>
      </c>
      <c r="I24" s="3" t="s">
        <v>43</v>
      </c>
      <c r="J24" s="3" t="s">
        <v>991</v>
      </c>
      <c r="K24" s="191">
        <v>45804</v>
      </c>
      <c r="L24" s="154">
        <v>4000000</v>
      </c>
      <c r="M24" s="154">
        <v>15522.8</v>
      </c>
      <c r="N24" s="154">
        <v>3160000</v>
      </c>
      <c r="O24" s="154">
        <v>12263.01</v>
      </c>
      <c r="P24" s="203" t="s">
        <v>2809</v>
      </c>
      <c r="Q24" s="179">
        <v>48611</v>
      </c>
    </row>
    <row r="25" spans="1:17" ht="14.1" customHeight="1">
      <c r="A25" s="3">
        <v>288</v>
      </c>
      <c r="B25" s="3">
        <v>288</v>
      </c>
      <c r="C25" s="3" t="s">
        <v>1825</v>
      </c>
      <c r="D25" s="3" t="s">
        <v>1517</v>
      </c>
      <c r="E25" s="3" t="s">
        <v>1882</v>
      </c>
      <c r="F25" s="3" t="s">
        <v>1855</v>
      </c>
      <c r="G25" s="3" t="s">
        <v>1883</v>
      </c>
      <c r="H25" s="3" t="s">
        <v>1884</v>
      </c>
      <c r="I25" s="3" t="s">
        <v>43</v>
      </c>
      <c r="J25" s="3" t="s">
        <v>44</v>
      </c>
      <c r="K25" s="191">
        <v>43803</v>
      </c>
      <c r="L25" s="154">
        <v>7000000</v>
      </c>
      <c r="M25" s="154">
        <v>7000</v>
      </c>
      <c r="N25" s="154">
        <v>2075952</v>
      </c>
      <c r="O25" s="154">
        <v>2075.9499999999998</v>
      </c>
      <c r="P25" s="203" t="s">
        <v>2810</v>
      </c>
      <c r="Q25" s="179">
        <v>46327</v>
      </c>
    </row>
    <row r="26" spans="1:17" ht="14.1" customHeight="1">
      <c r="K26" s="9"/>
    </row>
    <row r="28" spans="1:17" ht="14.1" customHeight="1">
      <c r="K28" s="9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3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0" customFormat="1" ht="45">
      <c r="A1" s="59" t="s">
        <v>1885</v>
      </c>
      <c r="B1" s="59" t="s">
        <v>1886</v>
      </c>
      <c r="C1" s="59" t="s">
        <v>1887</v>
      </c>
      <c r="D1" s="59" t="s">
        <v>1888</v>
      </c>
      <c r="E1" s="18"/>
    </row>
    <row r="2" spans="1:5">
      <c r="A2" s="95"/>
      <c r="B2" s="95" t="s">
        <v>1889</v>
      </c>
      <c r="C2" s="24" t="s">
        <v>30</v>
      </c>
      <c r="D2" s="24"/>
    </row>
    <row r="3" spans="1:5">
      <c r="A3" s="96"/>
      <c r="B3" s="96"/>
      <c r="C3" s="24" t="s">
        <v>116</v>
      </c>
      <c r="D3" s="24"/>
    </row>
    <row r="4" spans="1:5" ht="42.75">
      <c r="A4" s="88"/>
      <c r="B4" s="115" t="s">
        <v>1890</v>
      </c>
      <c r="C4" s="25" t="s">
        <v>30</v>
      </c>
      <c r="D4" s="25"/>
    </row>
    <row r="5" spans="1:5">
      <c r="A5" s="89"/>
      <c r="B5" s="116"/>
      <c r="C5" s="25" t="s">
        <v>1891</v>
      </c>
      <c r="D5" s="25"/>
    </row>
    <row r="6" spans="1:5">
      <c r="A6" s="89"/>
      <c r="B6" s="116"/>
      <c r="C6" s="25" t="s">
        <v>1892</v>
      </c>
      <c r="D6" s="25"/>
    </row>
    <row r="7" spans="1:5">
      <c r="A7" s="89"/>
      <c r="B7" s="116"/>
      <c r="C7" s="25" t="s">
        <v>1893</v>
      </c>
      <c r="D7" s="25"/>
    </row>
    <row r="8" spans="1:5">
      <c r="A8" s="89"/>
      <c r="B8" s="116"/>
      <c r="C8" s="25" t="s">
        <v>1894</v>
      </c>
      <c r="D8" s="25"/>
    </row>
    <row r="9" spans="1:5">
      <c r="A9" s="89"/>
      <c r="B9" s="116"/>
      <c r="C9" s="25" t="s">
        <v>1895</v>
      </c>
      <c r="D9" s="25"/>
    </row>
    <row r="10" spans="1:5">
      <c r="A10" s="89"/>
      <c r="B10" s="116"/>
      <c r="C10" s="25" t="s">
        <v>1896</v>
      </c>
      <c r="D10" s="25"/>
    </row>
    <row r="11" spans="1:5">
      <c r="A11" s="89"/>
      <c r="B11" s="116"/>
      <c r="C11" s="25" t="s">
        <v>1897</v>
      </c>
      <c r="D11" s="25"/>
      <c r="E11" s="18" t="s">
        <v>1898</v>
      </c>
    </row>
    <row r="12" spans="1:5">
      <c r="A12" s="89"/>
      <c r="B12" s="116"/>
      <c r="C12" s="25" t="s">
        <v>1899</v>
      </c>
      <c r="D12" s="25"/>
      <c r="E12" s="18" t="s">
        <v>1898</v>
      </c>
    </row>
    <row r="13" spans="1:5">
      <c r="A13" s="89"/>
      <c r="B13" s="116"/>
      <c r="C13" s="25" t="s">
        <v>1900</v>
      </c>
      <c r="D13" s="25"/>
    </row>
    <row r="14" spans="1:5">
      <c r="A14" s="89"/>
      <c r="B14" s="116"/>
      <c r="C14" s="25" t="s">
        <v>1508</v>
      </c>
      <c r="D14" s="25"/>
    </row>
    <row r="15" spans="1:5">
      <c r="A15" s="89"/>
      <c r="B15" s="116"/>
      <c r="C15" s="25" t="s">
        <v>1901</v>
      </c>
      <c r="D15" s="25"/>
    </row>
    <row r="16" spans="1:5">
      <c r="A16" s="89"/>
      <c r="B16" s="116"/>
      <c r="C16" s="25" t="s">
        <v>1902</v>
      </c>
      <c r="D16" s="25"/>
    </row>
    <row r="17" spans="1:4">
      <c r="A17" s="89"/>
      <c r="B17" s="116"/>
      <c r="C17" s="25" t="s">
        <v>1903</v>
      </c>
      <c r="D17" s="25"/>
    </row>
    <row r="18" spans="1:4">
      <c r="A18" s="89"/>
      <c r="B18" s="116"/>
      <c r="C18" s="25" t="s">
        <v>1904</v>
      </c>
      <c r="D18" s="25"/>
    </row>
    <row r="19" spans="1:4">
      <c r="A19" s="89"/>
      <c r="B19" s="116"/>
      <c r="C19" s="25" t="s">
        <v>1905</v>
      </c>
      <c r="D19" s="25"/>
    </row>
    <row r="20" spans="1:4">
      <c r="A20" s="89"/>
      <c r="B20" s="116"/>
      <c r="C20" s="25" t="s">
        <v>1906</v>
      </c>
      <c r="D20" s="25"/>
    </row>
    <row r="21" spans="1:4">
      <c r="A21" s="89"/>
      <c r="B21" s="116"/>
      <c r="C21" s="25" t="s">
        <v>117</v>
      </c>
      <c r="D21" s="25"/>
    </row>
    <row r="22" spans="1:4">
      <c r="A22" s="89"/>
      <c r="B22" s="116"/>
      <c r="C22" s="25" t="s">
        <v>1907</v>
      </c>
      <c r="D22" s="25"/>
    </row>
    <row r="23" spans="1:4">
      <c r="A23" s="89"/>
      <c r="B23" s="116"/>
      <c r="C23" s="25" t="s">
        <v>1908</v>
      </c>
      <c r="D23" s="25"/>
    </row>
    <row r="24" spans="1:4">
      <c r="A24" s="89"/>
      <c r="B24" s="116"/>
      <c r="C24" s="25" t="s">
        <v>1909</v>
      </c>
      <c r="D24" s="25"/>
    </row>
    <row r="25" spans="1:4">
      <c r="A25" s="89"/>
      <c r="B25" s="116"/>
      <c r="C25" s="25" t="s">
        <v>1910</v>
      </c>
      <c r="D25" s="25"/>
    </row>
    <row r="26" spans="1:4">
      <c r="A26" s="89"/>
      <c r="B26" s="116"/>
      <c r="C26" s="25" t="s">
        <v>1911</v>
      </c>
      <c r="D26" s="25"/>
    </row>
    <row r="27" spans="1:4">
      <c r="A27" s="89"/>
      <c r="B27" s="116"/>
      <c r="C27" s="25" t="s">
        <v>1912</v>
      </c>
      <c r="D27" s="25"/>
    </row>
    <row r="28" spans="1:4">
      <c r="A28" s="89"/>
      <c r="B28" s="116"/>
      <c r="C28" s="25" t="s">
        <v>1913</v>
      </c>
      <c r="D28" s="25"/>
    </row>
    <row r="29" spans="1:4">
      <c r="A29" s="89"/>
      <c r="B29" s="116"/>
      <c r="C29" s="25" t="s">
        <v>1914</v>
      </c>
      <c r="D29" s="25"/>
    </row>
    <row r="30" spans="1:4">
      <c r="A30" s="89"/>
      <c r="B30" s="116"/>
      <c r="C30" s="25" t="s">
        <v>1157</v>
      </c>
      <c r="D30" s="25"/>
    </row>
    <row r="31" spans="1:4">
      <c r="A31" s="89"/>
      <c r="B31" s="116"/>
      <c r="C31" s="25" t="s">
        <v>1915</v>
      </c>
      <c r="D31" s="25"/>
    </row>
    <row r="32" spans="1:4">
      <c r="A32" s="89"/>
      <c r="B32" s="116"/>
      <c r="C32" s="25" t="s">
        <v>1916</v>
      </c>
      <c r="D32" s="25"/>
    </row>
    <row r="33" spans="1:5">
      <c r="A33" s="89"/>
      <c r="B33" s="116"/>
      <c r="C33" s="25" t="s">
        <v>1917</v>
      </c>
      <c r="D33" s="25"/>
    </row>
    <row r="34" spans="1:5">
      <c r="A34" s="89"/>
      <c r="B34" s="116"/>
      <c r="C34" s="25" t="s">
        <v>1918</v>
      </c>
      <c r="D34" s="25"/>
    </row>
    <row r="35" spans="1:5">
      <c r="A35" s="89"/>
      <c r="B35" s="116"/>
      <c r="C35" s="25" t="s">
        <v>1919</v>
      </c>
      <c r="D35" s="25"/>
    </row>
    <row r="36" spans="1:5">
      <c r="A36" s="89"/>
      <c r="B36" s="116"/>
      <c r="C36" s="25" t="s">
        <v>1920</v>
      </c>
      <c r="D36" s="25"/>
      <c r="E36" s="18" t="s">
        <v>1898</v>
      </c>
    </row>
    <row r="37" spans="1:5">
      <c r="A37" s="89"/>
      <c r="B37" s="116"/>
      <c r="C37" s="9" t="s">
        <v>1921</v>
      </c>
      <c r="D37" s="25"/>
      <c r="E37" s="18" t="s">
        <v>1898</v>
      </c>
    </row>
    <row r="38" spans="1:5">
      <c r="A38" s="89"/>
      <c r="B38" s="116"/>
      <c r="C38" s="25" t="s">
        <v>1922</v>
      </c>
      <c r="D38" s="25"/>
    </row>
    <row r="39" spans="1:5">
      <c r="A39" s="89"/>
      <c r="B39" s="116"/>
      <c r="C39" s="25" t="s">
        <v>1923</v>
      </c>
      <c r="D39" s="25"/>
    </row>
    <row r="40" spans="1:5">
      <c r="A40" s="89"/>
      <c r="B40" s="116"/>
      <c r="C40" s="25" t="s">
        <v>1924</v>
      </c>
      <c r="D40" s="25"/>
      <c r="E40" s="18" t="s">
        <v>1898</v>
      </c>
    </row>
    <row r="41" spans="1:5">
      <c r="A41" s="89"/>
      <c r="B41" s="116"/>
      <c r="C41" s="25" t="s">
        <v>1240</v>
      </c>
      <c r="D41" s="25"/>
    </row>
    <row r="42" spans="1:5">
      <c r="A42" s="89"/>
      <c r="B42" s="116"/>
      <c r="C42" s="25" t="s">
        <v>1030</v>
      </c>
      <c r="D42" s="25"/>
    </row>
    <row r="43" spans="1:5">
      <c r="A43" s="89"/>
      <c r="B43" s="116"/>
      <c r="C43" s="25" t="s">
        <v>1925</v>
      </c>
      <c r="D43" s="25"/>
    </row>
    <row r="44" spans="1:5">
      <c r="A44" s="89"/>
      <c r="B44" s="116"/>
      <c r="C44" s="25" t="s">
        <v>1926</v>
      </c>
      <c r="D44" s="25"/>
    </row>
    <row r="45" spans="1:5">
      <c r="A45" s="89"/>
      <c r="B45" s="116"/>
      <c r="C45" s="25" t="s">
        <v>1927</v>
      </c>
      <c r="D45" s="25"/>
    </row>
    <row r="46" spans="1:5">
      <c r="A46" s="89"/>
      <c r="B46" s="116"/>
      <c r="C46" s="25" t="s">
        <v>1928</v>
      </c>
      <c r="D46" s="25"/>
      <c r="E46" s="18" t="s">
        <v>1898</v>
      </c>
    </row>
    <row r="47" spans="1:5">
      <c r="A47" s="89"/>
      <c r="B47" s="116"/>
      <c r="C47" s="25" t="s">
        <v>1929</v>
      </c>
      <c r="D47" s="25"/>
    </row>
    <row r="48" spans="1:5">
      <c r="A48" s="89"/>
      <c r="B48" s="116"/>
      <c r="C48" s="25" t="s">
        <v>1122</v>
      </c>
      <c r="D48" s="25"/>
    </row>
    <row r="49" spans="1:5">
      <c r="A49" s="89"/>
      <c r="B49" s="116"/>
      <c r="C49" s="25" t="s">
        <v>1930</v>
      </c>
      <c r="D49" s="25"/>
    </row>
    <row r="50" spans="1:5">
      <c r="A50" s="89"/>
      <c r="B50" s="116"/>
      <c r="C50" s="25" t="s">
        <v>1572</v>
      </c>
      <c r="D50" s="25"/>
    </row>
    <row r="51" spans="1:5">
      <c r="A51" s="89"/>
      <c r="B51" s="116"/>
      <c r="C51" s="25" t="s">
        <v>1931</v>
      </c>
      <c r="D51" s="25"/>
    </row>
    <row r="52" spans="1:5">
      <c r="A52" s="89"/>
      <c r="B52" s="116"/>
      <c r="C52" s="25" t="s">
        <v>1932</v>
      </c>
      <c r="D52" s="25"/>
    </row>
    <row r="53" spans="1:5">
      <c r="A53" s="89"/>
      <c r="B53" s="116"/>
      <c r="C53" s="25" t="s">
        <v>1933</v>
      </c>
      <c r="D53" s="25"/>
    </row>
    <row r="54" spans="1:5">
      <c r="A54" s="89"/>
      <c r="B54" s="116"/>
      <c r="C54" s="25" t="s">
        <v>1934</v>
      </c>
      <c r="D54" s="25"/>
    </row>
    <row r="55" spans="1:5">
      <c r="A55" s="89"/>
      <c r="B55" s="116"/>
      <c r="C55" s="25" t="s">
        <v>1935</v>
      </c>
      <c r="D55" s="25"/>
    </row>
    <row r="56" spans="1:5">
      <c r="A56" s="89"/>
      <c r="B56" s="116"/>
      <c r="C56" s="25" t="s">
        <v>1936</v>
      </c>
      <c r="D56" s="25"/>
    </row>
    <row r="57" spans="1:5">
      <c r="A57" s="89"/>
      <c r="B57" s="116"/>
      <c r="C57" s="25" t="s">
        <v>1937</v>
      </c>
      <c r="D57" s="25"/>
    </row>
    <row r="58" spans="1:5">
      <c r="A58" s="89"/>
      <c r="B58" s="116"/>
      <c r="C58" s="25" t="s">
        <v>1938</v>
      </c>
      <c r="D58" s="25"/>
    </row>
    <row r="59" spans="1:5">
      <c r="A59" s="89"/>
      <c r="B59" s="116"/>
      <c r="C59" s="25" t="s">
        <v>1939</v>
      </c>
      <c r="D59" s="25"/>
    </row>
    <row r="60" spans="1:5">
      <c r="A60" s="89"/>
      <c r="B60" s="116"/>
      <c r="C60" s="25" t="s">
        <v>1940</v>
      </c>
      <c r="D60" s="25"/>
    </row>
    <row r="61" spans="1:5">
      <c r="A61" s="89"/>
      <c r="B61" s="116"/>
      <c r="C61" s="25" t="s">
        <v>1941</v>
      </c>
      <c r="D61" s="25"/>
    </row>
    <row r="62" spans="1:5">
      <c r="A62" s="89"/>
      <c r="B62" s="116"/>
      <c r="C62" s="25" t="s">
        <v>1942</v>
      </c>
      <c r="D62" s="25"/>
    </row>
    <row r="63" spans="1:5">
      <c r="A63" s="89"/>
      <c r="B63" s="116"/>
      <c r="C63" s="25" t="s">
        <v>1943</v>
      </c>
      <c r="D63" s="25"/>
      <c r="E63" s="18" t="s">
        <v>1898</v>
      </c>
    </row>
    <row r="64" spans="1:5">
      <c r="A64" s="89"/>
      <c r="B64" s="116"/>
      <c r="C64" s="25" t="s">
        <v>1944</v>
      </c>
      <c r="D64" s="25"/>
    </row>
    <row r="65" spans="1:4">
      <c r="A65" s="89"/>
      <c r="B65" s="116"/>
      <c r="C65" s="25" t="s">
        <v>916</v>
      </c>
      <c r="D65" s="25"/>
    </row>
    <row r="66" spans="1:4">
      <c r="A66" s="89"/>
      <c r="B66" s="116"/>
      <c r="C66" s="25" t="s">
        <v>1945</v>
      </c>
      <c r="D66" s="25"/>
    </row>
    <row r="67" spans="1:4">
      <c r="A67" s="89"/>
      <c r="B67" s="116"/>
      <c r="C67" s="25" t="s">
        <v>1946</v>
      </c>
      <c r="D67" s="25"/>
    </row>
    <row r="68" spans="1:4">
      <c r="A68" s="89"/>
      <c r="B68" s="116"/>
      <c r="C68" s="25" t="s">
        <v>1947</v>
      </c>
      <c r="D68" s="25"/>
    </row>
    <row r="69" spans="1:4">
      <c r="A69" s="89"/>
      <c r="B69" s="116"/>
      <c r="C69" s="25" t="s">
        <v>988</v>
      </c>
      <c r="D69" s="25"/>
    </row>
    <row r="70" spans="1:4">
      <c r="A70" s="89"/>
      <c r="B70" s="116"/>
      <c r="C70" s="25" t="s">
        <v>1948</v>
      </c>
      <c r="D70" s="25"/>
    </row>
    <row r="71" spans="1:4">
      <c r="A71" s="89"/>
      <c r="B71" s="116"/>
      <c r="C71" s="25" t="s">
        <v>1949</v>
      </c>
      <c r="D71" s="25"/>
    </row>
    <row r="72" spans="1:4">
      <c r="A72" s="89"/>
      <c r="B72" s="116"/>
      <c r="C72" s="25" t="s">
        <v>1950</v>
      </c>
      <c r="D72" s="25"/>
    </row>
    <row r="73" spans="1:4">
      <c r="A73" s="89"/>
      <c r="B73" s="116"/>
      <c r="C73" s="25" t="s">
        <v>1951</v>
      </c>
      <c r="D73" s="25"/>
    </row>
    <row r="74" spans="1:4">
      <c r="A74" s="89"/>
      <c r="B74" s="116"/>
      <c r="C74" s="25" t="s">
        <v>1952</v>
      </c>
      <c r="D74" s="25"/>
    </row>
    <row r="75" spans="1:4">
      <c r="A75" s="89"/>
      <c r="B75" s="116"/>
      <c r="C75" s="25" t="s">
        <v>1953</v>
      </c>
      <c r="D75" s="25"/>
    </row>
    <row r="76" spans="1:4">
      <c r="A76" s="89"/>
      <c r="B76" s="116"/>
      <c r="C76" s="25" t="s">
        <v>1954</v>
      </c>
      <c r="D76" s="25"/>
    </row>
    <row r="77" spans="1:4">
      <c r="A77" s="89"/>
      <c r="B77" s="116"/>
      <c r="C77" s="25" t="s">
        <v>1955</v>
      </c>
      <c r="D77" s="25"/>
    </row>
    <row r="78" spans="1:4">
      <c r="A78" s="89"/>
      <c r="B78" s="116"/>
      <c r="C78" s="25" t="s">
        <v>1956</v>
      </c>
      <c r="D78" s="25"/>
    </row>
    <row r="79" spans="1:4">
      <c r="A79" s="89"/>
      <c r="B79" s="116"/>
      <c r="C79" s="25" t="s">
        <v>1957</v>
      </c>
      <c r="D79" s="25"/>
    </row>
    <row r="80" spans="1:4">
      <c r="A80" s="89"/>
      <c r="B80" s="116"/>
      <c r="C80" s="25" t="s">
        <v>1958</v>
      </c>
      <c r="D80" s="25"/>
    </row>
    <row r="81" spans="1:5">
      <c r="A81" s="89"/>
      <c r="B81" s="116"/>
      <c r="C81" s="25" t="s">
        <v>1959</v>
      </c>
      <c r="D81" s="25"/>
    </row>
    <row r="82" spans="1:5">
      <c r="A82" s="89"/>
      <c r="B82" s="116"/>
      <c r="C82" s="25" t="s">
        <v>1960</v>
      </c>
      <c r="D82" s="25"/>
    </row>
    <row r="83" spans="1:5">
      <c r="A83" s="89"/>
      <c r="B83" s="116"/>
      <c r="C83" s="25" t="s">
        <v>1961</v>
      </c>
      <c r="D83" s="25"/>
    </row>
    <row r="84" spans="1:5">
      <c r="A84" s="89"/>
      <c r="B84" s="116"/>
      <c r="C84" s="25" t="s">
        <v>1962</v>
      </c>
      <c r="D84" s="25"/>
    </row>
    <row r="85" spans="1:5">
      <c r="A85" s="89"/>
      <c r="B85" s="116"/>
      <c r="C85" s="25" t="s">
        <v>1963</v>
      </c>
      <c r="D85" s="25"/>
    </row>
    <row r="86" spans="1:5">
      <c r="A86" s="89"/>
      <c r="B86" s="116"/>
      <c r="C86" s="25" t="s">
        <v>1964</v>
      </c>
      <c r="D86" s="25"/>
    </row>
    <row r="87" spans="1:5">
      <c r="A87" s="89"/>
      <c r="B87" s="116"/>
      <c r="C87" s="25" t="s">
        <v>1965</v>
      </c>
      <c r="D87" s="25"/>
    </row>
    <row r="88" spans="1:5">
      <c r="A88" s="89"/>
      <c r="B88" s="116"/>
      <c r="C88" s="25" t="s">
        <v>1966</v>
      </c>
      <c r="D88" s="25"/>
    </row>
    <row r="89" spans="1:5">
      <c r="A89" s="89"/>
      <c r="B89" s="116"/>
      <c r="C89" s="25" t="s">
        <v>1967</v>
      </c>
      <c r="D89" s="25"/>
    </row>
    <row r="90" spans="1:5">
      <c r="A90" s="89"/>
      <c r="B90" s="116"/>
      <c r="C90" s="25" t="s">
        <v>1078</v>
      </c>
      <c r="D90" s="25"/>
    </row>
    <row r="91" spans="1:5">
      <c r="A91" s="89"/>
      <c r="B91" s="116"/>
      <c r="C91" s="25" t="s">
        <v>1968</v>
      </c>
      <c r="D91" s="25"/>
    </row>
    <row r="92" spans="1:5">
      <c r="A92" s="89"/>
      <c r="B92" s="116"/>
      <c r="C92" s="25" t="s">
        <v>1969</v>
      </c>
      <c r="D92" s="25"/>
    </row>
    <row r="93" spans="1:5">
      <c r="A93" s="89"/>
      <c r="B93" s="116"/>
      <c r="C93" s="25" t="s">
        <v>267</v>
      </c>
      <c r="D93" s="25"/>
    </row>
    <row r="94" spans="1:5">
      <c r="A94" s="89"/>
      <c r="B94" s="116"/>
      <c r="C94" s="25" t="s">
        <v>1970</v>
      </c>
      <c r="D94" s="25" t="s">
        <v>1971</v>
      </c>
      <c r="E94" s="18" t="s">
        <v>1898</v>
      </c>
    </row>
    <row r="95" spans="1:5">
      <c r="A95" s="89"/>
      <c r="B95" s="116"/>
      <c r="C95" s="25" t="s">
        <v>1972</v>
      </c>
      <c r="D95" s="25" t="s">
        <v>1973</v>
      </c>
      <c r="E95" s="18" t="s">
        <v>1898</v>
      </c>
    </row>
    <row r="96" spans="1:5">
      <c r="A96" s="89"/>
      <c r="B96" s="116"/>
      <c r="C96" s="25" t="s">
        <v>1974</v>
      </c>
      <c r="D96" s="25" t="s">
        <v>1973</v>
      </c>
      <c r="E96" s="18" t="s">
        <v>1898</v>
      </c>
    </row>
    <row r="97" spans="1:5">
      <c r="A97" s="89"/>
      <c r="B97" s="116"/>
      <c r="C97" s="25" t="s">
        <v>1975</v>
      </c>
      <c r="D97" s="25" t="s">
        <v>1973</v>
      </c>
      <c r="E97" s="18" t="s">
        <v>1898</v>
      </c>
    </row>
    <row r="98" spans="1:5">
      <c r="A98" s="89"/>
      <c r="B98" s="116"/>
      <c r="C98" s="25" t="s">
        <v>1976</v>
      </c>
      <c r="D98" s="25" t="s">
        <v>1973</v>
      </c>
      <c r="E98" s="18" t="s">
        <v>1898</v>
      </c>
    </row>
    <row r="99" spans="1:5">
      <c r="A99" s="89"/>
      <c r="B99" s="116"/>
      <c r="C99" s="25" t="s">
        <v>1977</v>
      </c>
      <c r="D99" s="25" t="s">
        <v>1973</v>
      </c>
      <c r="E99" s="18" t="s">
        <v>1898</v>
      </c>
    </row>
    <row r="100" spans="1:5">
      <c r="A100" s="89"/>
      <c r="B100" s="116"/>
      <c r="C100" s="25" t="s">
        <v>1978</v>
      </c>
      <c r="D100" s="25" t="s">
        <v>1973</v>
      </c>
      <c r="E100" s="18" t="s">
        <v>1898</v>
      </c>
    </row>
    <row r="101" spans="1:5">
      <c r="A101" s="89"/>
      <c r="B101" s="116"/>
      <c r="C101" s="25" t="s">
        <v>1979</v>
      </c>
      <c r="D101" s="25" t="s">
        <v>1973</v>
      </c>
      <c r="E101" s="18" t="s">
        <v>1898</v>
      </c>
    </row>
    <row r="102" spans="1:5">
      <c r="A102" s="89"/>
      <c r="B102" s="116"/>
      <c r="C102" s="25" t="s">
        <v>1980</v>
      </c>
      <c r="D102" s="25" t="s">
        <v>1973</v>
      </c>
      <c r="E102" s="18" t="s">
        <v>1898</v>
      </c>
    </row>
    <row r="103" spans="1:5">
      <c r="A103" s="89"/>
      <c r="B103" s="116"/>
      <c r="C103" s="25" t="s">
        <v>1981</v>
      </c>
      <c r="D103" s="25" t="s">
        <v>1973</v>
      </c>
      <c r="E103" s="18" t="s">
        <v>1898</v>
      </c>
    </row>
    <row r="104" spans="1:5">
      <c r="A104" s="84"/>
      <c r="B104" s="84" t="s">
        <v>135</v>
      </c>
      <c r="C104" s="24" t="s">
        <v>147</v>
      </c>
      <c r="D104" s="24"/>
    </row>
    <row r="105" spans="1:5">
      <c r="A105" s="85"/>
      <c r="B105" s="85"/>
      <c r="C105" s="24" t="s">
        <v>134</v>
      </c>
      <c r="D105" s="24"/>
    </row>
    <row r="106" spans="1:5">
      <c r="A106" s="85"/>
      <c r="B106" s="85"/>
      <c r="C106" s="24" t="s">
        <v>332</v>
      </c>
      <c r="D106" s="24"/>
    </row>
    <row r="107" spans="1:5">
      <c r="A107" s="85"/>
      <c r="B107" s="85"/>
      <c r="C107" s="24" t="s">
        <v>162</v>
      </c>
      <c r="D107" s="24"/>
    </row>
    <row r="108" spans="1:5">
      <c r="A108" s="85"/>
      <c r="B108" s="85"/>
      <c r="C108" s="24" t="s">
        <v>43</v>
      </c>
      <c r="D108" s="24"/>
    </row>
    <row r="109" spans="1:5">
      <c r="A109" s="85"/>
      <c r="B109" s="85"/>
      <c r="C109" s="24" t="s">
        <v>652</v>
      </c>
      <c r="D109" s="24"/>
    </row>
    <row r="110" spans="1:5">
      <c r="A110" s="86"/>
      <c r="B110" s="86"/>
      <c r="C110" s="24" t="s">
        <v>31</v>
      </c>
      <c r="D110" s="24"/>
    </row>
    <row r="111" spans="1:5">
      <c r="A111" s="89"/>
      <c r="B111" s="75" t="s">
        <v>1789</v>
      </c>
      <c r="C111" s="25" t="s">
        <v>147</v>
      </c>
      <c r="D111" s="25"/>
    </row>
    <row r="112" spans="1:5">
      <c r="A112" s="89"/>
      <c r="B112" s="76"/>
      <c r="C112" s="25" t="s">
        <v>1982</v>
      </c>
      <c r="D112" s="25"/>
    </row>
    <row r="113" spans="1:4">
      <c r="A113" s="89"/>
      <c r="B113" s="77"/>
      <c r="C113" s="25" t="s">
        <v>1983</v>
      </c>
      <c r="D113" s="25"/>
    </row>
    <row r="114" spans="1:4">
      <c r="A114" s="102"/>
      <c r="B114" s="102" t="s">
        <v>1984</v>
      </c>
      <c r="C114" s="24" t="s">
        <v>147</v>
      </c>
      <c r="D114" s="24"/>
    </row>
    <row r="115" spans="1:4">
      <c r="A115" s="102"/>
      <c r="B115" s="102"/>
      <c r="C115" s="24" t="s">
        <v>332</v>
      </c>
      <c r="D115" s="24"/>
    </row>
    <row r="116" spans="1:4">
      <c r="A116" s="102"/>
      <c r="B116" s="102"/>
      <c r="C116" s="24" t="s">
        <v>162</v>
      </c>
      <c r="D116" s="24"/>
    </row>
    <row r="117" spans="1:4">
      <c r="A117" s="102"/>
      <c r="B117" s="102"/>
      <c r="C117" s="24" t="s">
        <v>652</v>
      </c>
      <c r="D117" s="24"/>
    </row>
    <row r="118" spans="1:4">
      <c r="A118" s="88"/>
      <c r="B118" s="103" t="s">
        <v>1750</v>
      </c>
      <c r="C118" s="25" t="s">
        <v>147</v>
      </c>
      <c r="D118" s="25"/>
    </row>
    <row r="119" spans="1:4">
      <c r="A119" s="126"/>
      <c r="B119" s="125"/>
      <c r="C119" s="25" t="s">
        <v>1985</v>
      </c>
      <c r="D119" s="25"/>
    </row>
    <row r="120" spans="1:4">
      <c r="A120" s="126"/>
      <c r="B120" s="125"/>
      <c r="C120" s="25" t="s">
        <v>162</v>
      </c>
      <c r="D120" s="25"/>
    </row>
    <row r="121" spans="1:4">
      <c r="A121" s="126"/>
      <c r="B121" s="125"/>
      <c r="C121" s="25" t="s">
        <v>43</v>
      </c>
      <c r="D121" s="25"/>
    </row>
    <row r="122" spans="1:4">
      <c r="A122" s="126"/>
      <c r="B122" s="125"/>
      <c r="C122" s="25" t="s">
        <v>332</v>
      </c>
      <c r="D122" s="25"/>
    </row>
    <row r="123" spans="1:4">
      <c r="A123" s="126"/>
      <c r="B123" s="125"/>
      <c r="C123" s="25" t="s">
        <v>1986</v>
      </c>
      <c r="D123" s="25"/>
    </row>
    <row r="124" spans="1:4">
      <c r="A124" s="126"/>
      <c r="B124" s="125"/>
      <c r="C124" s="25" t="s">
        <v>1987</v>
      </c>
      <c r="D124" s="25"/>
    </row>
    <row r="125" spans="1:4">
      <c r="A125" s="126"/>
      <c r="B125" s="125"/>
      <c r="C125" s="25" t="s">
        <v>652</v>
      </c>
      <c r="D125" s="25"/>
    </row>
    <row r="126" spans="1:4">
      <c r="A126" s="89"/>
      <c r="B126" s="104"/>
      <c r="C126" s="25" t="s">
        <v>31</v>
      </c>
      <c r="D126" s="25"/>
    </row>
    <row r="127" spans="1:4">
      <c r="A127" s="84"/>
      <c r="B127" s="84" t="s">
        <v>136</v>
      </c>
      <c r="C127" s="24" t="s">
        <v>150</v>
      </c>
      <c r="D127" s="24"/>
    </row>
    <row r="128" spans="1:4">
      <c r="A128" s="85"/>
      <c r="B128" s="85"/>
      <c r="C128" s="24" t="s">
        <v>1988</v>
      </c>
      <c r="D128" s="24"/>
    </row>
    <row r="129" spans="1:5">
      <c r="A129" s="85"/>
      <c r="B129" s="85"/>
      <c r="C129" s="24" t="s">
        <v>1989</v>
      </c>
      <c r="D129" s="24"/>
    </row>
    <row r="130" spans="1:5">
      <c r="A130" s="85"/>
      <c r="B130" s="85"/>
      <c r="C130" s="24" t="s">
        <v>1707</v>
      </c>
      <c r="D130" s="24"/>
    </row>
    <row r="131" spans="1:5">
      <c r="A131" s="85"/>
      <c r="B131" s="85"/>
      <c r="C131" s="24" t="s">
        <v>43</v>
      </c>
      <c r="D131" s="24"/>
    </row>
    <row r="132" spans="1:5">
      <c r="A132" s="89"/>
      <c r="B132" s="76" t="s">
        <v>1990</v>
      </c>
      <c r="C132" s="25" t="s">
        <v>150</v>
      </c>
      <c r="D132" s="25"/>
    </row>
    <row r="133" spans="1:5">
      <c r="A133" s="89"/>
      <c r="B133" s="76"/>
      <c r="C133" s="25" t="s">
        <v>43</v>
      </c>
      <c r="D133" s="25"/>
    </row>
    <row r="134" spans="1:5">
      <c r="A134" s="90"/>
      <c r="B134" s="77"/>
      <c r="C134" s="25" t="s">
        <v>31</v>
      </c>
      <c r="D134" s="25"/>
    </row>
    <row r="135" spans="1:5">
      <c r="A135" s="91"/>
      <c r="B135" s="91" t="s">
        <v>144</v>
      </c>
      <c r="C135" s="24" t="s">
        <v>152</v>
      </c>
      <c r="D135" s="24"/>
    </row>
    <row r="136" spans="1:5">
      <c r="A136" s="92"/>
      <c r="B136" s="92"/>
      <c r="C136" s="24" t="s">
        <v>1387</v>
      </c>
      <c r="D136" s="24"/>
      <c r="E136" s="18" t="s">
        <v>1898</v>
      </c>
    </row>
    <row r="137" spans="1:5">
      <c r="A137" s="92"/>
      <c r="B137" s="92"/>
      <c r="C137" s="24" t="s">
        <v>166</v>
      </c>
      <c r="D137" s="24" t="s">
        <v>1991</v>
      </c>
    </row>
    <row r="138" spans="1:5">
      <c r="A138" s="92"/>
      <c r="B138" s="92"/>
      <c r="C138" s="24" t="s">
        <v>1992</v>
      </c>
      <c r="D138" s="24" t="s">
        <v>1993</v>
      </c>
    </row>
    <row r="139" spans="1:5">
      <c r="A139" s="92"/>
      <c r="B139" s="92"/>
      <c r="C139" s="24" t="s">
        <v>1994</v>
      </c>
      <c r="D139" s="24"/>
    </row>
    <row r="140" spans="1:5">
      <c r="A140" s="92"/>
      <c r="B140" s="92"/>
      <c r="C140" s="24" t="s">
        <v>1995</v>
      </c>
      <c r="D140" s="24"/>
    </row>
    <row r="141" spans="1:5">
      <c r="A141" s="92"/>
      <c r="B141" s="92"/>
      <c r="C141" s="24" t="s">
        <v>1996</v>
      </c>
      <c r="D141" s="24"/>
    </row>
    <row r="142" spans="1:5">
      <c r="A142" s="92"/>
      <c r="B142" s="92"/>
      <c r="C142" s="24" t="s">
        <v>1997</v>
      </c>
      <c r="D142" s="24"/>
    </row>
    <row r="143" spans="1:5">
      <c r="A143" s="92"/>
      <c r="B143" s="92"/>
      <c r="C143" s="24" t="s">
        <v>1998</v>
      </c>
      <c r="D143" s="24"/>
    </row>
    <row r="144" spans="1:5">
      <c r="A144" s="92"/>
      <c r="B144" s="92"/>
      <c r="C144" s="24" t="s">
        <v>1999</v>
      </c>
      <c r="D144" s="24"/>
    </row>
    <row r="145" spans="1:4">
      <c r="A145" s="92"/>
      <c r="B145" s="92"/>
      <c r="C145" s="24" t="s">
        <v>31</v>
      </c>
      <c r="D145" s="24"/>
    </row>
    <row r="146" spans="1:4">
      <c r="A146" s="88"/>
      <c r="B146" s="81" t="s">
        <v>2000</v>
      </c>
      <c r="C146" s="25" t="s">
        <v>787</v>
      </c>
      <c r="D146" s="25"/>
    </row>
    <row r="147" spans="1:4">
      <c r="A147" s="90"/>
      <c r="B147" s="83"/>
      <c r="C147" s="25" t="s">
        <v>154</v>
      </c>
      <c r="D147" s="25"/>
    </row>
    <row r="148" spans="1:4">
      <c r="A148" s="70"/>
      <c r="B148" s="124" t="s">
        <v>8</v>
      </c>
      <c r="C148" s="24" t="s">
        <v>41</v>
      </c>
      <c r="D148" s="24" t="s">
        <v>2001</v>
      </c>
    </row>
    <row r="149" spans="1:4">
      <c r="A149" s="71"/>
      <c r="B149" s="71"/>
      <c r="C149" s="24" t="s">
        <v>2002</v>
      </c>
      <c r="D149" s="24" t="s">
        <v>2003</v>
      </c>
    </row>
    <row r="150" spans="1:4">
      <c r="A150" s="71"/>
      <c r="B150" s="71"/>
      <c r="C150" s="24" t="s">
        <v>923</v>
      </c>
      <c r="D150" s="24" t="s">
        <v>2004</v>
      </c>
    </row>
    <row r="151" spans="1:4">
      <c r="A151" s="71"/>
      <c r="B151" s="71"/>
      <c r="C151" s="24" t="s">
        <v>740</v>
      </c>
      <c r="D151" s="24" t="s">
        <v>2005</v>
      </c>
    </row>
    <row r="152" spans="1:4">
      <c r="A152" s="71"/>
      <c r="B152" s="71"/>
      <c r="C152" s="24" t="s">
        <v>1200</v>
      </c>
      <c r="D152" s="24" t="s">
        <v>2006</v>
      </c>
    </row>
    <row r="153" spans="1:4">
      <c r="A153" s="71"/>
      <c r="B153" s="71"/>
      <c r="C153" s="24" t="s">
        <v>2007</v>
      </c>
      <c r="D153" s="24" t="s">
        <v>2008</v>
      </c>
    </row>
    <row r="154" spans="1:4">
      <c r="A154" s="71"/>
      <c r="B154" s="71"/>
      <c r="C154" s="24" t="s">
        <v>2009</v>
      </c>
      <c r="D154" s="24" t="s">
        <v>2010</v>
      </c>
    </row>
    <row r="155" spans="1:4">
      <c r="A155" s="71"/>
      <c r="B155" s="71"/>
      <c r="C155" s="24" t="s">
        <v>2011</v>
      </c>
      <c r="D155" s="24" t="s">
        <v>2012</v>
      </c>
    </row>
    <row r="156" spans="1:4">
      <c r="A156" s="71"/>
      <c r="B156" s="71"/>
      <c r="C156" s="24" t="s">
        <v>2013</v>
      </c>
      <c r="D156" s="24" t="s">
        <v>2014</v>
      </c>
    </row>
    <row r="157" spans="1:4">
      <c r="A157" s="71"/>
      <c r="B157" s="71"/>
      <c r="C157" s="24" t="s">
        <v>2015</v>
      </c>
      <c r="D157" s="24" t="s">
        <v>2016</v>
      </c>
    </row>
    <row r="158" spans="1:4">
      <c r="A158" s="71"/>
      <c r="B158" s="71"/>
      <c r="C158" s="24" t="s">
        <v>2017</v>
      </c>
      <c r="D158" s="24" t="s">
        <v>2018</v>
      </c>
    </row>
    <row r="159" spans="1:4">
      <c r="A159" s="71"/>
      <c r="B159" s="71"/>
      <c r="C159" s="24" t="s">
        <v>1356</v>
      </c>
      <c r="D159" s="24" t="s">
        <v>2019</v>
      </c>
    </row>
    <row r="160" spans="1:4">
      <c r="A160" s="71"/>
      <c r="B160" s="71"/>
      <c r="C160" s="24" t="s">
        <v>1163</v>
      </c>
      <c r="D160" s="24" t="s">
        <v>2020</v>
      </c>
    </row>
    <row r="161" spans="1:4">
      <c r="A161" s="71"/>
      <c r="B161" s="71"/>
      <c r="C161" s="24" t="s">
        <v>2021</v>
      </c>
      <c r="D161" s="24" t="s">
        <v>2022</v>
      </c>
    </row>
    <row r="162" spans="1:4">
      <c r="A162" s="71"/>
      <c r="B162" s="71"/>
      <c r="C162" s="24" t="s">
        <v>1173</v>
      </c>
      <c r="D162" s="24" t="s">
        <v>2023</v>
      </c>
    </row>
    <row r="163" spans="1:4">
      <c r="A163" s="71"/>
      <c r="B163" s="71"/>
      <c r="C163" s="24" t="s">
        <v>917</v>
      </c>
      <c r="D163" s="24" t="s">
        <v>2024</v>
      </c>
    </row>
    <row r="164" spans="1:4">
      <c r="A164" s="71"/>
      <c r="B164" s="71"/>
      <c r="C164" s="24" t="s">
        <v>2025</v>
      </c>
      <c r="D164" s="24" t="s">
        <v>2026</v>
      </c>
    </row>
    <row r="165" spans="1:4">
      <c r="A165" s="71"/>
      <c r="B165" s="71"/>
      <c r="C165" s="24" t="s">
        <v>2027</v>
      </c>
      <c r="D165" s="24" t="s">
        <v>2028</v>
      </c>
    </row>
    <row r="166" spans="1:4">
      <c r="A166" s="71"/>
      <c r="B166" s="71"/>
      <c r="C166" s="24" t="s">
        <v>2029</v>
      </c>
      <c r="D166" s="24" t="s">
        <v>2030</v>
      </c>
    </row>
    <row r="167" spans="1:4">
      <c r="A167" s="71"/>
      <c r="B167" s="71"/>
      <c r="C167" s="24" t="s">
        <v>2031</v>
      </c>
      <c r="D167" s="24" t="s">
        <v>2032</v>
      </c>
    </row>
    <row r="168" spans="1:4">
      <c r="A168" s="71"/>
      <c r="B168" s="71"/>
      <c r="C168" s="24" t="s">
        <v>1031</v>
      </c>
      <c r="D168" s="24" t="s">
        <v>2033</v>
      </c>
    </row>
    <row r="169" spans="1:4">
      <c r="A169" s="71"/>
      <c r="B169" s="71"/>
      <c r="C169" s="24" t="s">
        <v>2034</v>
      </c>
      <c r="D169" s="24" t="s">
        <v>2035</v>
      </c>
    </row>
    <row r="170" spans="1:4">
      <c r="A170" s="71"/>
      <c r="B170" s="71"/>
      <c r="C170" s="24" t="s">
        <v>2036</v>
      </c>
      <c r="D170" s="24" t="s">
        <v>2037</v>
      </c>
    </row>
    <row r="171" spans="1:4">
      <c r="A171" s="71"/>
      <c r="B171" s="71"/>
      <c r="C171" s="24" t="s">
        <v>2038</v>
      </c>
      <c r="D171" s="24" t="s">
        <v>2039</v>
      </c>
    </row>
    <row r="172" spans="1:4">
      <c r="A172" s="71"/>
      <c r="B172" s="71"/>
      <c r="C172" s="24" t="s">
        <v>2040</v>
      </c>
      <c r="D172" s="24" t="s">
        <v>2041</v>
      </c>
    </row>
    <row r="173" spans="1:4">
      <c r="A173" s="71"/>
      <c r="B173" s="71"/>
      <c r="C173" s="24" t="s">
        <v>2042</v>
      </c>
      <c r="D173" s="24" t="s">
        <v>2043</v>
      </c>
    </row>
    <row r="174" spans="1:4">
      <c r="A174" s="71"/>
      <c r="B174" s="71"/>
      <c r="C174" s="24" t="s">
        <v>2044</v>
      </c>
      <c r="D174" s="24" t="s">
        <v>2045</v>
      </c>
    </row>
    <row r="175" spans="1:4">
      <c r="A175" s="71"/>
      <c r="B175" s="71"/>
      <c r="C175" s="24" t="s">
        <v>989</v>
      </c>
      <c r="D175" s="24" t="s">
        <v>2046</v>
      </c>
    </row>
    <row r="176" spans="1:4">
      <c r="A176" s="71"/>
      <c r="B176" s="71"/>
      <c r="C176" s="24" t="s">
        <v>2047</v>
      </c>
      <c r="D176" s="24" t="s">
        <v>2048</v>
      </c>
    </row>
    <row r="177" spans="1:5">
      <c r="A177" s="71"/>
      <c r="B177" s="71"/>
      <c r="C177" s="24" t="s">
        <v>2049</v>
      </c>
      <c r="D177" s="24" t="s">
        <v>2050</v>
      </c>
    </row>
    <row r="178" spans="1:5">
      <c r="A178" s="71"/>
      <c r="B178" s="71"/>
      <c r="C178" s="24" t="s">
        <v>2051</v>
      </c>
      <c r="D178" s="24" t="s">
        <v>2052</v>
      </c>
    </row>
    <row r="179" spans="1:5">
      <c r="A179" s="71"/>
      <c r="B179" s="71"/>
      <c r="C179" s="24" t="s">
        <v>2053</v>
      </c>
      <c r="D179" s="24" t="s">
        <v>2054</v>
      </c>
    </row>
    <row r="180" spans="1:5">
      <c r="A180" s="71"/>
      <c r="B180" s="71"/>
      <c r="C180" s="24" t="s">
        <v>2055</v>
      </c>
      <c r="D180" s="24" t="s">
        <v>2056</v>
      </c>
      <c r="E180" s="18" t="s">
        <v>1898</v>
      </c>
    </row>
    <row r="181" spans="1:5">
      <c r="A181" s="71"/>
      <c r="B181" s="71"/>
      <c r="C181" s="24" t="s">
        <v>31</v>
      </c>
      <c r="D181" s="24" t="s">
        <v>31</v>
      </c>
    </row>
    <row r="182" spans="1:5">
      <c r="A182" s="88"/>
      <c r="B182" s="81" t="s">
        <v>2057</v>
      </c>
      <c r="C182" s="62" t="s">
        <v>157</v>
      </c>
      <c r="D182" s="62"/>
    </row>
    <row r="183" spans="1:5">
      <c r="A183" s="89"/>
      <c r="B183" s="82"/>
      <c r="C183" s="62" t="s">
        <v>1778</v>
      </c>
      <c r="D183" s="62"/>
    </row>
    <row r="184" spans="1:5">
      <c r="A184" s="89"/>
      <c r="B184" s="82"/>
      <c r="C184" s="62" t="s">
        <v>2058</v>
      </c>
      <c r="D184" s="62"/>
    </row>
    <row r="185" spans="1:5">
      <c r="A185" s="90"/>
      <c r="B185" s="83"/>
      <c r="C185" s="64" t="s">
        <v>118</v>
      </c>
      <c r="D185" s="64"/>
    </row>
    <row r="186" spans="1:5">
      <c r="A186" s="84"/>
      <c r="B186" s="84" t="s">
        <v>141</v>
      </c>
      <c r="C186" s="61" t="s">
        <v>171</v>
      </c>
      <c r="D186" s="61"/>
    </row>
    <row r="187" spans="1:5">
      <c r="A187" s="85"/>
      <c r="B187" s="85"/>
      <c r="C187" s="61" t="s">
        <v>159</v>
      </c>
      <c r="D187" s="61"/>
    </row>
    <row r="188" spans="1:5">
      <c r="A188" s="88"/>
      <c r="B188" s="81" t="s">
        <v>10</v>
      </c>
      <c r="C188" s="64" t="s">
        <v>156</v>
      </c>
      <c r="D188" s="64" t="s">
        <v>2059</v>
      </c>
    </row>
    <row r="189" spans="1:5">
      <c r="A189" s="89"/>
      <c r="B189" s="82"/>
      <c r="C189" s="64" t="s">
        <v>169</v>
      </c>
      <c r="D189" s="64" t="s">
        <v>2060</v>
      </c>
    </row>
    <row r="190" spans="1:5">
      <c r="A190" s="89"/>
      <c r="B190" s="82"/>
      <c r="C190" s="64" t="s">
        <v>43</v>
      </c>
      <c r="D190" s="64" t="s">
        <v>43</v>
      </c>
    </row>
    <row r="191" spans="1:5">
      <c r="A191" s="89"/>
      <c r="B191" s="82"/>
      <c r="C191" s="64" t="s">
        <v>2061</v>
      </c>
      <c r="D191" s="64" t="s">
        <v>2062</v>
      </c>
    </row>
    <row r="192" spans="1:5">
      <c r="A192" s="89"/>
      <c r="B192" s="82"/>
      <c r="C192" s="64" t="s">
        <v>2063</v>
      </c>
      <c r="D192" s="64" t="s">
        <v>2064</v>
      </c>
    </row>
    <row r="193" spans="1:4">
      <c r="A193" s="89"/>
      <c r="B193" s="82"/>
      <c r="C193" s="64" t="s">
        <v>2065</v>
      </c>
      <c r="D193" s="64" t="s">
        <v>2066</v>
      </c>
    </row>
    <row r="194" spans="1:4">
      <c r="A194" s="89"/>
      <c r="B194" s="82"/>
      <c r="C194" s="64" t="s">
        <v>2067</v>
      </c>
      <c r="D194" s="64" t="s">
        <v>2068</v>
      </c>
    </row>
    <row r="195" spans="1:4">
      <c r="A195" s="89"/>
      <c r="B195" s="82"/>
      <c r="C195" s="64" t="s">
        <v>2069</v>
      </c>
      <c r="D195" s="64" t="s">
        <v>2070</v>
      </c>
    </row>
    <row r="196" spans="1:4">
      <c r="A196" s="89"/>
      <c r="B196" s="82"/>
      <c r="C196" s="64" t="s">
        <v>2071</v>
      </c>
      <c r="D196" s="64" t="s">
        <v>2072</v>
      </c>
    </row>
    <row r="197" spans="1:4">
      <c r="A197" s="89"/>
      <c r="B197" s="82"/>
      <c r="C197" s="64" t="s">
        <v>2073</v>
      </c>
      <c r="D197" s="64" t="s">
        <v>2074</v>
      </c>
    </row>
    <row r="198" spans="1:4">
      <c r="A198" s="89"/>
      <c r="B198" s="82"/>
      <c r="C198" s="64" t="s">
        <v>33</v>
      </c>
      <c r="D198" s="64" t="s">
        <v>2075</v>
      </c>
    </row>
    <row r="199" spans="1:4">
      <c r="A199" s="89"/>
      <c r="B199" s="82"/>
      <c r="C199" s="64" t="s">
        <v>656</v>
      </c>
      <c r="D199" s="64" t="s">
        <v>2076</v>
      </c>
    </row>
    <row r="200" spans="1:4">
      <c r="A200" s="89"/>
      <c r="B200" s="82"/>
      <c r="C200" s="64" t="s">
        <v>31</v>
      </c>
      <c r="D200" s="64" t="s">
        <v>31</v>
      </c>
    </row>
    <row r="201" spans="1:4">
      <c r="A201" s="90"/>
      <c r="B201" s="83"/>
      <c r="C201" s="64" t="s">
        <v>118</v>
      </c>
      <c r="D201" s="64" t="s">
        <v>2077</v>
      </c>
    </row>
    <row r="202" spans="1:4">
      <c r="A202" s="124"/>
      <c r="B202" s="124" t="s">
        <v>137</v>
      </c>
      <c r="C202" s="24" t="s">
        <v>2078</v>
      </c>
      <c r="D202" s="24"/>
    </row>
    <row r="203" spans="1:4">
      <c r="A203" s="71"/>
      <c r="B203" s="71"/>
      <c r="C203" s="24" t="s">
        <v>292</v>
      </c>
      <c r="D203" s="24"/>
    </row>
    <row r="204" spans="1:4">
      <c r="A204" s="71"/>
      <c r="B204" s="71"/>
      <c r="C204" s="24" t="s">
        <v>2079</v>
      </c>
      <c r="D204" s="24"/>
    </row>
    <row r="205" spans="1:4">
      <c r="A205" s="71"/>
      <c r="B205" s="71"/>
      <c r="C205" s="24" t="s">
        <v>813</v>
      </c>
      <c r="D205" s="24"/>
    </row>
    <row r="206" spans="1:4">
      <c r="A206" s="71"/>
      <c r="B206" s="71"/>
      <c r="C206" s="24" t="s">
        <v>234</v>
      </c>
      <c r="D206" s="24"/>
    </row>
    <row r="207" spans="1:4">
      <c r="A207" s="71"/>
      <c r="B207" s="71"/>
      <c r="C207" s="24" t="s">
        <v>222</v>
      </c>
      <c r="D207" s="24"/>
    </row>
    <row r="208" spans="1:4">
      <c r="A208" s="71"/>
      <c r="B208" s="71"/>
      <c r="C208" s="24" t="s">
        <v>2080</v>
      </c>
      <c r="D208" s="24"/>
    </row>
    <row r="209" spans="1:5">
      <c r="A209" s="71"/>
      <c r="B209" s="71"/>
      <c r="C209" s="24" t="s">
        <v>425</v>
      </c>
      <c r="D209" s="24"/>
    </row>
    <row r="210" spans="1:5">
      <c r="A210" s="71"/>
      <c r="B210" s="71"/>
      <c r="C210" s="24" t="s">
        <v>1459</v>
      </c>
      <c r="D210" s="24"/>
    </row>
    <row r="211" spans="1:5">
      <c r="A211" s="71"/>
      <c r="B211" s="71"/>
      <c r="C211" s="24" t="s">
        <v>176</v>
      </c>
      <c r="D211" s="24"/>
    </row>
    <row r="212" spans="1:5">
      <c r="A212" s="71"/>
      <c r="B212" s="71"/>
      <c r="C212" s="24" t="s">
        <v>554</v>
      </c>
      <c r="D212" s="24"/>
    </row>
    <row r="213" spans="1:5">
      <c r="A213" s="71"/>
      <c r="B213" s="71"/>
      <c r="C213" s="24" t="s">
        <v>645</v>
      </c>
      <c r="D213" s="24"/>
    </row>
    <row r="214" spans="1:5">
      <c r="A214" s="71"/>
      <c r="B214" s="71"/>
      <c r="C214" s="24" t="s">
        <v>282</v>
      </c>
      <c r="D214" s="24"/>
    </row>
    <row r="215" spans="1:5">
      <c r="A215" s="71"/>
      <c r="B215" s="71"/>
      <c r="C215" s="24" t="s">
        <v>2081</v>
      </c>
      <c r="D215" s="24"/>
    </row>
    <row r="216" spans="1:5">
      <c r="A216" s="71"/>
      <c r="B216" s="71"/>
      <c r="C216" s="24" t="s">
        <v>2082</v>
      </c>
      <c r="D216" s="24"/>
    </row>
    <row r="217" spans="1:5">
      <c r="A217" s="71"/>
      <c r="B217" s="71"/>
      <c r="C217" s="24" t="s">
        <v>208</v>
      </c>
      <c r="D217" s="24"/>
    </row>
    <row r="218" spans="1:5">
      <c r="A218" s="71"/>
      <c r="B218" s="71"/>
      <c r="C218" s="24" t="s">
        <v>1388</v>
      </c>
      <c r="D218" s="24" t="s">
        <v>2083</v>
      </c>
      <c r="E218" s="18" t="s">
        <v>1898</v>
      </c>
    </row>
    <row r="219" spans="1:5">
      <c r="A219" s="71"/>
      <c r="B219" s="71"/>
      <c r="C219" s="24" t="s">
        <v>335</v>
      </c>
      <c r="D219" s="24"/>
    </row>
    <row r="220" spans="1:5">
      <c r="A220" s="71"/>
      <c r="B220" s="71"/>
      <c r="C220" s="24" t="s">
        <v>2084</v>
      </c>
      <c r="D220" s="24"/>
    </row>
    <row r="221" spans="1:5">
      <c r="A221" s="71"/>
      <c r="B221" s="71"/>
      <c r="C221" s="24" t="s">
        <v>548</v>
      </c>
      <c r="D221" s="24"/>
    </row>
    <row r="222" spans="1:5">
      <c r="A222" s="71"/>
      <c r="B222" s="71"/>
      <c r="C222" s="24" t="s">
        <v>2085</v>
      </c>
      <c r="D222" s="24"/>
    </row>
    <row r="223" spans="1:5">
      <c r="A223" s="71"/>
      <c r="B223" s="71"/>
      <c r="C223" s="24" t="s">
        <v>741</v>
      </c>
      <c r="D223" s="24"/>
    </row>
    <row r="224" spans="1:5">
      <c r="A224" s="71"/>
      <c r="B224" s="71"/>
      <c r="C224" s="24" t="s">
        <v>639</v>
      </c>
      <c r="D224" s="24"/>
    </row>
    <row r="225" spans="1:4">
      <c r="A225" s="71"/>
      <c r="B225" s="71"/>
      <c r="C225" s="24" t="s">
        <v>2086</v>
      </c>
      <c r="D225" s="24"/>
    </row>
    <row r="226" spans="1:4">
      <c r="A226" s="71"/>
      <c r="B226" s="71"/>
      <c r="C226" s="24" t="s">
        <v>728</v>
      </c>
      <c r="D226" s="24"/>
    </row>
    <row r="227" spans="1:4">
      <c r="A227" s="71"/>
      <c r="B227" s="71"/>
      <c r="C227" s="24" t="s">
        <v>502</v>
      </c>
      <c r="D227" s="24"/>
    </row>
    <row r="228" spans="1:4">
      <c r="A228" s="71"/>
      <c r="B228" s="71"/>
      <c r="C228" s="24" t="s">
        <v>826</v>
      </c>
      <c r="D228" s="24"/>
    </row>
    <row r="229" spans="1:4">
      <c r="A229" s="71"/>
      <c r="B229" s="71"/>
      <c r="C229" s="24" t="s">
        <v>184</v>
      </c>
      <c r="D229" s="24"/>
    </row>
    <row r="230" spans="1:4">
      <c r="A230" s="71"/>
      <c r="B230" s="71"/>
      <c r="C230" s="24" t="s">
        <v>167</v>
      </c>
      <c r="D230" s="24"/>
    </row>
    <row r="231" spans="1:4">
      <c r="A231" s="71"/>
      <c r="B231" s="71"/>
      <c r="C231" s="24" t="s">
        <v>153</v>
      </c>
      <c r="D231" s="24"/>
    </row>
    <row r="232" spans="1:4">
      <c r="A232" s="71"/>
      <c r="B232" s="71"/>
      <c r="C232" s="24" t="s">
        <v>774</v>
      </c>
      <c r="D232" s="24"/>
    </row>
    <row r="233" spans="1:4">
      <c r="A233" s="71"/>
      <c r="B233" s="71"/>
      <c r="C233" s="24" t="s">
        <v>2087</v>
      </c>
      <c r="D233" s="24"/>
    </row>
    <row r="234" spans="1:4">
      <c r="A234" s="71"/>
      <c r="B234" s="71"/>
      <c r="C234" s="24" t="s">
        <v>2088</v>
      </c>
      <c r="D234" s="24"/>
    </row>
    <row r="235" spans="1:4">
      <c r="A235" s="71"/>
      <c r="B235" s="71"/>
      <c r="C235" s="24" t="s">
        <v>2089</v>
      </c>
      <c r="D235" s="24"/>
    </row>
    <row r="236" spans="1:4">
      <c r="A236" s="71"/>
      <c r="B236" s="71"/>
      <c r="C236" s="24" t="s">
        <v>2090</v>
      </c>
      <c r="D236" s="24"/>
    </row>
    <row r="237" spans="1:4">
      <c r="A237" s="71"/>
      <c r="B237" s="71"/>
      <c r="C237" s="24" t="s">
        <v>2091</v>
      </c>
      <c r="D237" s="24"/>
    </row>
    <row r="238" spans="1:4">
      <c r="A238" s="71"/>
      <c r="B238" s="71"/>
      <c r="C238" s="24" t="s">
        <v>2092</v>
      </c>
      <c r="D238" s="24"/>
    </row>
    <row r="239" spans="1:4">
      <c r="A239" s="71"/>
      <c r="B239" s="71"/>
      <c r="C239" s="24" t="s">
        <v>2093</v>
      </c>
      <c r="D239" s="24"/>
    </row>
    <row r="240" spans="1:4">
      <c r="A240" s="71"/>
      <c r="B240" s="71"/>
      <c r="C240" s="24" t="s">
        <v>2094</v>
      </c>
      <c r="D240" s="24"/>
    </row>
    <row r="241" spans="1:4">
      <c r="A241" s="71"/>
      <c r="B241" s="71"/>
      <c r="C241" s="24" t="s">
        <v>520</v>
      </c>
      <c r="D241" s="24"/>
    </row>
    <row r="242" spans="1:4">
      <c r="A242" s="71"/>
      <c r="B242" s="71"/>
      <c r="C242" s="24" t="s">
        <v>484</v>
      </c>
      <c r="D242" s="24"/>
    </row>
    <row r="243" spans="1:4">
      <c r="A243" s="71"/>
      <c r="B243" s="71"/>
      <c r="C243" s="24" t="s">
        <v>193</v>
      </c>
      <c r="D243" s="24"/>
    </row>
    <row r="244" spans="1:4">
      <c r="A244" s="71"/>
      <c r="B244" s="71"/>
      <c r="C244" s="24" t="s">
        <v>353</v>
      </c>
      <c r="D244" s="24"/>
    </row>
    <row r="245" spans="1:4">
      <c r="A245" s="71"/>
      <c r="B245" s="71"/>
      <c r="C245" s="24" t="s">
        <v>2095</v>
      </c>
      <c r="D245" s="24"/>
    </row>
    <row r="246" spans="1:4">
      <c r="A246" s="71"/>
      <c r="B246" s="71"/>
      <c r="C246" s="24" t="s">
        <v>809</v>
      </c>
      <c r="D246" s="24"/>
    </row>
    <row r="247" spans="1:4">
      <c r="A247" s="71"/>
      <c r="B247" s="71"/>
      <c r="C247" s="24" t="s">
        <v>2096</v>
      </c>
      <c r="D247" s="24"/>
    </row>
    <row r="248" spans="1:4">
      <c r="A248" s="71"/>
      <c r="B248" s="71"/>
      <c r="C248" s="24" t="s">
        <v>2097</v>
      </c>
      <c r="D248" s="24"/>
    </row>
    <row r="249" spans="1:4">
      <c r="A249" s="71"/>
      <c r="B249" s="71"/>
      <c r="C249" s="24" t="s">
        <v>2098</v>
      </c>
      <c r="D249" s="24"/>
    </row>
    <row r="250" spans="1:4">
      <c r="A250" s="71"/>
      <c r="B250" s="71"/>
      <c r="C250" s="24" t="s">
        <v>240</v>
      </c>
      <c r="D250" s="24"/>
    </row>
    <row r="251" spans="1:4">
      <c r="A251" s="71"/>
      <c r="B251" s="71"/>
      <c r="C251" s="24" t="s">
        <v>2099</v>
      </c>
      <c r="D251" s="24"/>
    </row>
    <row r="252" spans="1:4">
      <c r="A252" s="71"/>
      <c r="B252" s="71"/>
      <c r="C252" s="24" t="s">
        <v>31</v>
      </c>
      <c r="D252" s="24"/>
    </row>
    <row r="253" spans="1:4">
      <c r="A253" s="71"/>
      <c r="B253" s="71"/>
      <c r="C253" s="24" t="s">
        <v>978</v>
      </c>
      <c r="D253" s="24"/>
    </row>
    <row r="254" spans="1:4">
      <c r="A254" s="71"/>
      <c r="B254" s="71"/>
      <c r="C254" s="24" t="s">
        <v>2100</v>
      </c>
      <c r="D254" s="24"/>
    </row>
    <row r="255" spans="1:4">
      <c r="A255" s="71"/>
      <c r="B255" s="71"/>
      <c r="C255" s="24" t="s">
        <v>2101</v>
      </c>
      <c r="D255" s="24"/>
    </row>
    <row r="256" spans="1:4">
      <c r="A256" s="71"/>
      <c r="B256" s="71"/>
      <c r="C256" s="24" t="s">
        <v>983</v>
      </c>
      <c r="D256" s="24"/>
    </row>
    <row r="257" spans="1:5">
      <c r="A257" s="71"/>
      <c r="B257" s="71"/>
      <c r="C257" s="24" t="s">
        <v>2102</v>
      </c>
      <c r="D257" s="24"/>
    </row>
    <row r="258" spans="1:5">
      <c r="A258" s="71"/>
      <c r="B258" s="71"/>
      <c r="C258" s="24" t="s">
        <v>2103</v>
      </c>
      <c r="D258" s="24"/>
    </row>
    <row r="259" spans="1:5">
      <c r="A259" s="71"/>
      <c r="B259" s="71"/>
      <c r="C259" s="24" t="s">
        <v>2104</v>
      </c>
      <c r="D259" s="24"/>
    </row>
    <row r="260" spans="1:5">
      <c r="A260" s="71"/>
      <c r="B260" s="71"/>
      <c r="C260" s="24" t="s">
        <v>2105</v>
      </c>
      <c r="D260" s="24"/>
    </row>
    <row r="261" spans="1:5">
      <c r="A261" s="71"/>
      <c r="B261" s="71"/>
      <c r="C261" s="24" t="s">
        <v>2106</v>
      </c>
      <c r="D261" s="24"/>
    </row>
    <row r="262" spans="1:5">
      <c r="A262" s="71"/>
      <c r="B262" s="71"/>
      <c r="C262" s="24" t="s">
        <v>2107</v>
      </c>
      <c r="D262" s="24"/>
    </row>
    <row r="263" spans="1:5">
      <c r="A263" s="71"/>
      <c r="B263" s="71"/>
      <c r="C263" s="24" t="s">
        <v>2108</v>
      </c>
      <c r="D263" s="24"/>
    </row>
    <row r="264" spans="1:5">
      <c r="A264" s="71"/>
      <c r="B264" s="71"/>
      <c r="C264" s="24" t="s">
        <v>2109</v>
      </c>
      <c r="D264" s="24"/>
    </row>
    <row r="265" spans="1:5">
      <c r="A265" s="71"/>
      <c r="B265" s="71"/>
      <c r="C265" s="24" t="s">
        <v>2110</v>
      </c>
      <c r="D265" s="24"/>
    </row>
    <row r="266" spans="1:5">
      <c r="A266" s="71"/>
      <c r="B266" s="71"/>
      <c r="C266" s="24" t="s">
        <v>2111</v>
      </c>
      <c r="D266" s="24"/>
    </row>
    <row r="267" spans="1:5">
      <c r="A267" s="71"/>
      <c r="B267" s="71"/>
      <c r="C267" s="24" t="s">
        <v>2112</v>
      </c>
      <c r="D267" s="24"/>
    </row>
    <row r="268" spans="1:5">
      <c r="A268" s="71"/>
      <c r="B268" s="71"/>
      <c r="C268" s="24" t="s">
        <v>2113</v>
      </c>
      <c r="D268" s="24"/>
    </row>
    <row r="269" spans="1:5">
      <c r="A269" s="71"/>
      <c r="B269" s="71"/>
      <c r="C269" s="24" t="s">
        <v>2114</v>
      </c>
      <c r="D269" s="24"/>
    </row>
    <row r="270" spans="1:5">
      <c r="A270" s="71"/>
      <c r="B270" s="71"/>
      <c r="C270" s="24" t="s">
        <v>2115</v>
      </c>
      <c r="D270" s="24" t="s">
        <v>2116</v>
      </c>
      <c r="E270" s="18" t="s">
        <v>1898</v>
      </c>
    </row>
    <row r="271" spans="1:5">
      <c r="A271" s="71"/>
      <c r="B271" s="71"/>
      <c r="C271" s="24" t="s">
        <v>2117</v>
      </c>
      <c r="D271" s="24" t="s">
        <v>2118</v>
      </c>
      <c r="E271" s="18" t="s">
        <v>1898</v>
      </c>
    </row>
    <row r="272" spans="1:5">
      <c r="A272" s="71"/>
      <c r="B272" s="71"/>
      <c r="C272" s="24" t="s">
        <v>2119</v>
      </c>
      <c r="D272" s="24" t="s">
        <v>2120</v>
      </c>
      <c r="E272" s="18" t="s">
        <v>1898</v>
      </c>
    </row>
    <row r="273" spans="1:5">
      <c r="A273" s="71"/>
      <c r="B273" s="71"/>
      <c r="C273" s="24" t="s">
        <v>1037</v>
      </c>
      <c r="D273" s="24"/>
    </row>
    <row r="274" spans="1:5">
      <c r="A274" s="71"/>
      <c r="B274" s="71"/>
      <c r="C274" s="24" t="s">
        <v>2121</v>
      </c>
      <c r="D274" s="24" t="s">
        <v>2122</v>
      </c>
      <c r="E274" s="18" t="s">
        <v>1898</v>
      </c>
    </row>
    <row r="275" spans="1:5">
      <c r="A275" s="71"/>
      <c r="B275" s="71"/>
      <c r="C275" s="24" t="s">
        <v>953</v>
      </c>
      <c r="D275" s="24"/>
    </row>
    <row r="276" spans="1:5">
      <c r="A276" s="71"/>
      <c r="B276" s="71"/>
      <c r="C276" s="24" t="s">
        <v>2123</v>
      </c>
      <c r="D276" s="24"/>
    </row>
    <row r="277" spans="1:5">
      <c r="A277" s="71"/>
      <c r="B277" s="71"/>
      <c r="C277" s="24" t="s">
        <v>2124</v>
      </c>
      <c r="D277" s="24"/>
    </row>
    <row r="278" spans="1:5">
      <c r="A278" s="71"/>
      <c r="B278" s="71"/>
      <c r="C278" s="24" t="s">
        <v>888</v>
      </c>
      <c r="D278" s="24"/>
    </row>
    <row r="279" spans="1:5">
      <c r="A279" s="71"/>
      <c r="B279" s="71"/>
      <c r="C279" s="24" t="s">
        <v>2125</v>
      </c>
      <c r="D279" s="24"/>
    </row>
    <row r="280" spans="1:5">
      <c r="A280" s="71"/>
      <c r="B280" s="71"/>
      <c r="C280" s="24" t="s">
        <v>2126</v>
      </c>
      <c r="D280" s="24"/>
    </row>
    <row r="281" spans="1:5">
      <c r="A281" s="71"/>
      <c r="B281" s="71"/>
      <c r="C281" s="24" t="s">
        <v>2127</v>
      </c>
      <c r="D281" s="24"/>
    </row>
    <row r="282" spans="1:5">
      <c r="A282" s="71"/>
      <c r="B282" s="71"/>
      <c r="C282" s="24" t="s">
        <v>2128</v>
      </c>
      <c r="D282" s="24" t="s">
        <v>2129</v>
      </c>
      <c r="E282" s="18" t="s">
        <v>1898</v>
      </c>
    </row>
    <row r="283" spans="1:5">
      <c r="A283" s="71"/>
      <c r="B283" s="71"/>
      <c r="C283" s="24" t="s">
        <v>2130</v>
      </c>
      <c r="D283" s="24"/>
    </row>
    <row r="284" spans="1:5">
      <c r="A284" s="71"/>
      <c r="B284" s="71"/>
      <c r="C284" s="24" t="s">
        <v>904</v>
      </c>
      <c r="D284" s="24" t="s">
        <v>2131</v>
      </c>
      <c r="E284" s="18" t="s">
        <v>1898</v>
      </c>
    </row>
    <row r="285" spans="1:5">
      <c r="A285" s="71"/>
      <c r="B285" s="71"/>
      <c r="C285" s="24" t="s">
        <v>2132</v>
      </c>
      <c r="D285" s="24"/>
    </row>
    <row r="286" spans="1:5">
      <c r="A286" s="71"/>
      <c r="B286" s="71"/>
      <c r="C286" s="24" t="s">
        <v>2133</v>
      </c>
      <c r="D286" s="24"/>
    </row>
    <row r="287" spans="1:5">
      <c r="A287" s="71"/>
      <c r="B287" s="71"/>
      <c r="C287" s="24" t="s">
        <v>2134</v>
      </c>
      <c r="D287" s="24"/>
    </row>
    <row r="288" spans="1:5">
      <c r="A288" s="71"/>
      <c r="B288" s="71"/>
      <c r="C288" s="24" t="s">
        <v>974</v>
      </c>
      <c r="D288" s="24"/>
    </row>
    <row r="289" spans="1:5">
      <c r="A289" s="71"/>
      <c r="B289" s="71"/>
      <c r="C289" s="24" t="s">
        <v>2135</v>
      </c>
      <c r="D289" s="24" t="s">
        <v>2136</v>
      </c>
      <c r="E289" s="18" t="s">
        <v>1898</v>
      </c>
    </row>
    <row r="290" spans="1:5">
      <c r="A290" s="71"/>
      <c r="B290" s="71"/>
      <c r="C290" s="24" t="s">
        <v>1042</v>
      </c>
      <c r="D290" s="24"/>
    </row>
    <row r="291" spans="1:5">
      <c r="A291" s="71"/>
      <c r="B291" s="71"/>
      <c r="C291" s="24" t="s">
        <v>2137</v>
      </c>
      <c r="D291" s="24"/>
    </row>
    <row r="292" spans="1:5">
      <c r="A292" s="71"/>
      <c r="B292" s="71"/>
      <c r="C292" s="24" t="s">
        <v>2138</v>
      </c>
      <c r="D292" s="24"/>
    </row>
    <row r="293" spans="1:5">
      <c r="A293" s="71"/>
      <c r="B293" s="71"/>
      <c r="C293" s="24" t="s">
        <v>2139</v>
      </c>
      <c r="D293" s="24"/>
    </row>
    <row r="294" spans="1:5">
      <c r="A294" s="71"/>
      <c r="B294" s="71"/>
      <c r="C294" s="24" t="s">
        <v>2140</v>
      </c>
      <c r="D294" s="24"/>
    </row>
    <row r="295" spans="1:5">
      <c r="A295" s="71"/>
      <c r="B295" s="71"/>
      <c r="C295" s="24" t="s">
        <v>2141</v>
      </c>
      <c r="D295" s="24"/>
    </row>
    <row r="296" spans="1:5">
      <c r="A296" s="71"/>
      <c r="B296" s="71"/>
      <c r="C296" s="24" t="s">
        <v>655</v>
      </c>
      <c r="D296" s="24"/>
    </row>
    <row r="297" spans="1:5">
      <c r="A297" s="71"/>
      <c r="B297" s="71"/>
      <c r="C297" s="24" t="s">
        <v>2142</v>
      </c>
      <c r="D297" s="24" t="s">
        <v>2143</v>
      </c>
      <c r="E297" s="18" t="s">
        <v>1898</v>
      </c>
    </row>
    <row r="298" spans="1:5">
      <c r="A298" s="71"/>
      <c r="B298" s="71"/>
      <c r="C298" s="24" t="s">
        <v>2144</v>
      </c>
      <c r="D298" s="24"/>
    </row>
    <row r="299" spans="1:5">
      <c r="A299" s="71"/>
      <c r="B299" s="71"/>
      <c r="C299" s="24" t="s">
        <v>2145</v>
      </c>
      <c r="D299" s="24"/>
    </row>
    <row r="300" spans="1:5">
      <c r="A300" s="71"/>
      <c r="B300" s="71"/>
      <c r="C300" s="24" t="s">
        <v>2146</v>
      </c>
      <c r="D300" s="24"/>
      <c r="E300" s="18" t="s">
        <v>1898</v>
      </c>
    </row>
    <row r="301" spans="1:5">
      <c r="A301" s="71"/>
      <c r="B301" s="71"/>
      <c r="C301" s="24" t="s">
        <v>1025</v>
      </c>
      <c r="D301" s="24"/>
    </row>
    <row r="302" spans="1:5">
      <c r="A302" s="71"/>
      <c r="B302" s="71"/>
      <c r="C302" s="24" t="s">
        <v>2147</v>
      </c>
      <c r="D302" s="24"/>
    </row>
    <row r="303" spans="1:5">
      <c r="A303" s="71"/>
      <c r="B303" s="71"/>
      <c r="C303" s="24" t="s">
        <v>929</v>
      </c>
      <c r="D303" s="24"/>
    </row>
    <row r="304" spans="1:5">
      <c r="A304" s="71"/>
      <c r="B304" s="71"/>
      <c r="C304" s="24" t="s">
        <v>2148</v>
      </c>
      <c r="D304" s="24"/>
    </row>
    <row r="305" spans="1:5">
      <c r="A305" s="71"/>
      <c r="B305" s="71"/>
      <c r="C305" s="24" t="s">
        <v>945</v>
      </c>
      <c r="D305" s="24"/>
    </row>
    <row r="306" spans="1:5">
      <c r="A306" s="71"/>
      <c r="B306" s="71"/>
      <c r="C306" s="24" t="s">
        <v>2149</v>
      </c>
      <c r="D306" s="24"/>
    </row>
    <row r="307" spans="1:5">
      <c r="A307" s="71"/>
      <c r="B307" s="71"/>
      <c r="C307" s="24" t="s">
        <v>883</v>
      </c>
      <c r="D307" s="24"/>
    </row>
    <row r="308" spans="1:5">
      <c r="A308" s="71"/>
      <c r="B308" s="71"/>
      <c r="C308" s="24" t="s">
        <v>909</v>
      </c>
      <c r="D308" s="24"/>
    </row>
    <row r="309" spans="1:5">
      <c r="A309" s="71"/>
      <c r="B309" s="71"/>
      <c r="C309" s="24" t="s">
        <v>2150</v>
      </c>
      <c r="D309" s="24"/>
    </row>
    <row r="310" spans="1:5">
      <c r="A310" s="71"/>
      <c r="B310" s="71"/>
      <c r="C310" s="24" t="s">
        <v>2151</v>
      </c>
      <c r="D310" s="24"/>
      <c r="E310" s="18" t="s">
        <v>1898</v>
      </c>
    </row>
    <row r="311" spans="1:5">
      <c r="A311" s="71"/>
      <c r="B311" s="71"/>
      <c r="C311" s="24" t="s">
        <v>2152</v>
      </c>
      <c r="D311" s="24"/>
      <c r="E311" s="18" t="s">
        <v>1898</v>
      </c>
    </row>
    <row r="312" spans="1:5">
      <c r="A312" s="71"/>
      <c r="B312" s="71"/>
      <c r="C312" s="24" t="s">
        <v>2153</v>
      </c>
      <c r="D312" s="24"/>
      <c r="E312" s="18" t="s">
        <v>1898</v>
      </c>
    </row>
    <row r="313" spans="1:5">
      <c r="A313" s="71"/>
      <c r="B313" s="71"/>
      <c r="C313" s="24" t="s">
        <v>2154</v>
      </c>
      <c r="D313" s="24"/>
    </row>
    <row r="314" spans="1:5">
      <c r="A314" s="71"/>
      <c r="B314" s="71"/>
      <c r="C314" s="24" t="s">
        <v>2155</v>
      </c>
      <c r="D314" s="24"/>
    </row>
    <row r="315" spans="1:5">
      <c r="A315" s="71"/>
      <c r="B315" s="71"/>
      <c r="C315" s="24" t="s">
        <v>2156</v>
      </c>
      <c r="D315" s="24"/>
    </row>
    <row r="316" spans="1:5">
      <c r="A316" s="71"/>
      <c r="B316" s="71"/>
      <c r="C316" s="24" t="s">
        <v>940</v>
      </c>
      <c r="D316" s="24"/>
    </row>
    <row r="317" spans="1:5">
      <c r="A317" s="71"/>
      <c r="B317" s="71"/>
      <c r="C317" s="24" t="s">
        <v>2157</v>
      </c>
      <c r="D317" s="24"/>
    </row>
    <row r="318" spans="1:5">
      <c r="A318" s="71"/>
      <c r="B318" s="71"/>
      <c r="C318" s="24" t="s">
        <v>2158</v>
      </c>
      <c r="D318" s="139" t="s">
        <v>2159</v>
      </c>
      <c r="E318" s="18" t="s">
        <v>1898</v>
      </c>
    </row>
    <row r="319" spans="1:5">
      <c r="A319" s="71"/>
      <c r="B319" s="71"/>
      <c r="C319" s="24" t="s">
        <v>2160</v>
      </c>
      <c r="D319" s="24"/>
    </row>
    <row r="320" spans="1:5">
      <c r="A320" s="71"/>
      <c r="B320" s="71"/>
      <c r="C320" s="24" t="s">
        <v>2161</v>
      </c>
      <c r="D320" s="24"/>
    </row>
    <row r="321" spans="1:5">
      <c r="A321" s="71"/>
      <c r="B321" s="71"/>
      <c r="C321" s="24" t="s">
        <v>2162</v>
      </c>
      <c r="D321" s="24"/>
    </row>
    <row r="322" spans="1:5">
      <c r="A322" s="71"/>
      <c r="B322" s="71"/>
      <c r="C322" s="24" t="s">
        <v>2163</v>
      </c>
      <c r="D322" s="24"/>
    </row>
    <row r="323" spans="1:5">
      <c r="A323" s="71"/>
      <c r="B323" s="71"/>
      <c r="C323" s="24" t="s">
        <v>2164</v>
      </c>
      <c r="D323" s="24"/>
    </row>
    <row r="324" spans="1:5">
      <c r="A324" s="71"/>
      <c r="B324" s="71"/>
      <c r="C324" s="24" t="s">
        <v>2165</v>
      </c>
      <c r="D324" s="24"/>
    </row>
    <row r="325" spans="1:5">
      <c r="A325" s="71"/>
      <c r="B325" s="71"/>
      <c r="C325" s="24" t="s">
        <v>2166</v>
      </c>
      <c r="D325" s="24"/>
    </row>
    <row r="326" spans="1:5">
      <c r="A326" s="71"/>
      <c r="B326" s="71"/>
      <c r="C326" s="24" t="s">
        <v>990</v>
      </c>
      <c r="D326" s="24"/>
    </row>
    <row r="327" spans="1:5">
      <c r="A327" s="71"/>
      <c r="B327" s="71"/>
      <c r="C327" s="24" t="s">
        <v>999</v>
      </c>
      <c r="D327" s="24"/>
    </row>
    <row r="328" spans="1:5">
      <c r="A328" s="88"/>
      <c r="B328" s="78" t="s">
        <v>1056</v>
      </c>
      <c r="C328" s="64" t="s">
        <v>2167</v>
      </c>
      <c r="D328" s="64"/>
      <c r="E328" s="18" t="s">
        <v>1898</v>
      </c>
    </row>
    <row r="329" spans="1:5">
      <c r="A329" s="89"/>
      <c r="B329" s="79"/>
      <c r="C329" s="64" t="s">
        <v>2168</v>
      </c>
      <c r="D329" s="64"/>
      <c r="E329" s="18" t="s">
        <v>1898</v>
      </c>
    </row>
    <row r="330" spans="1:5">
      <c r="A330" s="89"/>
      <c r="B330" s="79"/>
      <c r="C330" s="141" t="s">
        <v>1072</v>
      </c>
      <c r="D330" s="64"/>
      <c r="E330" s="18" t="s">
        <v>1898</v>
      </c>
    </row>
    <row r="331" spans="1:5">
      <c r="A331" s="89"/>
      <c r="B331" s="79"/>
      <c r="C331" s="140" t="s">
        <v>2169</v>
      </c>
      <c r="D331" s="64"/>
      <c r="E331" s="18" t="s">
        <v>1898</v>
      </c>
    </row>
    <row r="332" spans="1:5">
      <c r="A332" s="89"/>
      <c r="B332" s="79"/>
      <c r="C332" s="140" t="s">
        <v>2170</v>
      </c>
      <c r="D332" s="64"/>
      <c r="E332" s="18" t="s">
        <v>1898</v>
      </c>
    </row>
    <row r="333" spans="1:5">
      <c r="A333" s="89"/>
      <c r="B333" s="79"/>
      <c r="C333" s="140" t="s">
        <v>2171</v>
      </c>
      <c r="D333" s="64"/>
      <c r="E333" s="18" t="s">
        <v>1898</v>
      </c>
    </row>
    <row r="334" spans="1:5">
      <c r="A334" s="89"/>
      <c r="B334" s="79"/>
      <c r="C334" s="140" t="s">
        <v>1108</v>
      </c>
      <c r="D334" s="64"/>
      <c r="E334" s="18" t="s">
        <v>1898</v>
      </c>
    </row>
    <row r="335" spans="1:5">
      <c r="A335" s="89"/>
      <c r="B335" s="79"/>
      <c r="C335" s="64" t="s">
        <v>1075</v>
      </c>
      <c r="D335" s="64"/>
      <c r="E335" s="18" t="s">
        <v>1898</v>
      </c>
    </row>
    <row r="336" spans="1:5">
      <c r="A336" s="89"/>
      <c r="B336" s="79"/>
      <c r="C336" s="64" t="s">
        <v>2172</v>
      </c>
      <c r="D336" s="64"/>
      <c r="E336" s="18" t="s">
        <v>1898</v>
      </c>
    </row>
    <row r="337" spans="1:5">
      <c r="A337" s="89"/>
      <c r="B337" s="79"/>
      <c r="C337" s="64" t="s">
        <v>2173</v>
      </c>
      <c r="D337" s="64"/>
      <c r="E337" s="18" t="s">
        <v>1898</v>
      </c>
    </row>
    <row r="338" spans="1:5">
      <c r="A338" s="89"/>
      <c r="B338" s="79"/>
      <c r="C338" s="64" t="s">
        <v>1241</v>
      </c>
      <c r="D338" s="64"/>
      <c r="E338" s="18" t="s">
        <v>1898</v>
      </c>
    </row>
    <row r="339" spans="1:5">
      <c r="A339" s="89"/>
      <c r="B339" s="79"/>
      <c r="C339" s="64" t="s">
        <v>2174</v>
      </c>
      <c r="D339" s="64"/>
      <c r="E339" s="18" t="s">
        <v>1898</v>
      </c>
    </row>
    <row r="340" spans="1:5">
      <c r="A340" s="89"/>
      <c r="B340" s="79"/>
      <c r="C340" s="64" t="s">
        <v>2175</v>
      </c>
      <c r="D340" s="64"/>
      <c r="E340" s="18" t="s">
        <v>1898</v>
      </c>
    </row>
    <row r="341" spans="1:5">
      <c r="A341" s="89"/>
      <c r="B341" s="79"/>
      <c r="C341" s="64" t="s">
        <v>2176</v>
      </c>
      <c r="D341" s="64"/>
      <c r="E341" s="18" t="s">
        <v>1898</v>
      </c>
    </row>
    <row r="342" spans="1:5">
      <c r="A342" s="89"/>
      <c r="B342" s="79"/>
      <c r="C342" s="64" t="s">
        <v>1149</v>
      </c>
      <c r="D342" s="64"/>
      <c r="E342" s="18" t="s">
        <v>1898</v>
      </c>
    </row>
    <row r="343" spans="1:5">
      <c r="A343" s="89"/>
      <c r="B343" s="79"/>
      <c r="C343" s="64" t="s">
        <v>2177</v>
      </c>
      <c r="D343" s="64"/>
      <c r="E343" s="18" t="s">
        <v>1898</v>
      </c>
    </row>
    <row r="344" spans="1:5">
      <c r="A344" s="89"/>
      <c r="B344" s="79"/>
      <c r="C344" s="64" t="s">
        <v>1170</v>
      </c>
      <c r="D344" s="64"/>
      <c r="E344" s="18" t="s">
        <v>1898</v>
      </c>
    </row>
    <row r="345" spans="1:5">
      <c r="A345" s="89"/>
      <c r="B345" s="79"/>
      <c r="C345" s="64" t="s">
        <v>1158</v>
      </c>
      <c r="D345" s="64"/>
      <c r="E345" s="18" t="s">
        <v>1898</v>
      </c>
    </row>
    <row r="346" spans="1:5">
      <c r="A346" s="89"/>
      <c r="B346" s="79"/>
      <c r="C346" s="64" t="s">
        <v>1185</v>
      </c>
      <c r="D346" s="64"/>
      <c r="E346" s="18" t="s">
        <v>1898</v>
      </c>
    </row>
    <row r="347" spans="1:5">
      <c r="A347" s="89"/>
      <c r="B347" s="79"/>
      <c r="C347" s="64" t="s">
        <v>1133</v>
      </c>
      <c r="D347" s="64"/>
      <c r="E347" s="18" t="s">
        <v>1898</v>
      </c>
    </row>
    <row r="348" spans="1:5">
      <c r="A348" s="89"/>
      <c r="B348" s="79"/>
      <c r="C348" s="64" t="s">
        <v>2178</v>
      </c>
      <c r="D348" s="64"/>
      <c r="E348" s="18" t="s">
        <v>1898</v>
      </c>
    </row>
    <row r="349" spans="1:5">
      <c r="A349" s="89"/>
      <c r="B349" s="79"/>
      <c r="C349" s="64" t="s">
        <v>2179</v>
      </c>
      <c r="D349" s="64"/>
      <c r="E349" s="18" t="s">
        <v>1898</v>
      </c>
    </row>
    <row r="350" spans="1:5">
      <c r="A350" s="89"/>
      <c r="B350" s="79"/>
      <c r="C350" s="64" t="s">
        <v>2180</v>
      </c>
      <c r="D350" s="64"/>
      <c r="E350" s="18" t="s">
        <v>1898</v>
      </c>
    </row>
    <row r="351" spans="1:5">
      <c r="A351" s="89"/>
      <c r="B351" s="79"/>
      <c r="C351" s="64" t="s">
        <v>2181</v>
      </c>
      <c r="D351" s="64"/>
      <c r="E351" s="18" t="s">
        <v>1898</v>
      </c>
    </row>
    <row r="352" spans="1:5">
      <c r="A352" s="89"/>
      <c r="B352" s="79"/>
      <c r="C352" s="64" t="s">
        <v>2182</v>
      </c>
      <c r="D352" s="64"/>
      <c r="E352" s="18" t="s">
        <v>1898</v>
      </c>
    </row>
    <row r="353" spans="1:5">
      <c r="A353" s="89"/>
      <c r="B353" s="79"/>
      <c r="C353" s="64" t="s">
        <v>1237</v>
      </c>
      <c r="D353" s="64"/>
      <c r="E353" s="18" t="s">
        <v>1898</v>
      </c>
    </row>
    <row r="354" spans="1:5">
      <c r="A354" s="89"/>
      <c r="B354" s="79"/>
      <c r="C354" s="64" t="s">
        <v>1218</v>
      </c>
      <c r="D354" s="64"/>
      <c r="E354" s="18" t="s">
        <v>1898</v>
      </c>
    </row>
    <row r="355" spans="1:5">
      <c r="A355" s="89"/>
      <c r="B355" s="79"/>
      <c r="C355" s="64" t="s">
        <v>1099</v>
      </c>
      <c r="D355" s="64"/>
      <c r="E355" s="18" t="s">
        <v>1898</v>
      </c>
    </row>
    <row r="356" spans="1:5">
      <c r="A356" s="89"/>
      <c r="B356" s="79"/>
      <c r="C356" s="64" t="s">
        <v>2183</v>
      </c>
      <c r="D356" s="64"/>
      <c r="E356" s="18" t="s">
        <v>1898</v>
      </c>
    </row>
    <row r="357" spans="1:5">
      <c r="A357" s="89"/>
      <c r="B357" s="79"/>
      <c r="C357" s="64" t="s">
        <v>1123</v>
      </c>
      <c r="D357" s="64"/>
      <c r="E357" s="18" t="s">
        <v>1898</v>
      </c>
    </row>
    <row r="358" spans="1:5">
      <c r="A358" s="89"/>
      <c r="B358" s="79"/>
      <c r="C358" s="64" t="s">
        <v>2184</v>
      </c>
      <c r="D358" s="64"/>
      <c r="E358" s="18" t="s">
        <v>1898</v>
      </c>
    </row>
    <row r="359" spans="1:5">
      <c r="A359" s="89"/>
      <c r="B359" s="79"/>
      <c r="C359" s="64" t="s">
        <v>1176</v>
      </c>
      <c r="D359" s="64"/>
      <c r="E359" s="18" t="s">
        <v>1898</v>
      </c>
    </row>
    <row r="360" spans="1:5">
      <c r="A360" s="89"/>
      <c r="B360" s="79"/>
      <c r="C360" s="64" t="s">
        <v>1117</v>
      </c>
      <c r="D360" s="64"/>
      <c r="E360" s="18" t="s">
        <v>1898</v>
      </c>
    </row>
    <row r="361" spans="1:5">
      <c r="A361" s="89"/>
      <c r="B361" s="79"/>
      <c r="C361" s="64" t="s">
        <v>2185</v>
      </c>
      <c r="D361" s="64"/>
      <c r="E361" s="18" t="s">
        <v>1898</v>
      </c>
    </row>
    <row r="362" spans="1:5">
      <c r="A362" s="89"/>
      <c r="B362" s="79"/>
      <c r="C362" s="64" t="s">
        <v>1084</v>
      </c>
      <c r="D362" s="64"/>
      <c r="E362" s="18" t="s">
        <v>1898</v>
      </c>
    </row>
    <row r="363" spans="1:5">
      <c r="A363" s="89"/>
      <c r="B363" s="79"/>
      <c r="C363" s="64" t="s">
        <v>2186</v>
      </c>
      <c r="D363" s="64"/>
      <c r="E363" s="18" t="s">
        <v>1898</v>
      </c>
    </row>
    <row r="364" spans="1:5">
      <c r="A364" s="89"/>
      <c r="B364" s="79"/>
      <c r="C364" s="64" t="s">
        <v>2187</v>
      </c>
      <c r="D364" s="64"/>
      <c r="E364" s="18" t="s">
        <v>1898</v>
      </c>
    </row>
    <row r="365" spans="1:5">
      <c r="A365" s="89"/>
      <c r="B365" s="79"/>
      <c r="C365" s="64" t="s">
        <v>2188</v>
      </c>
      <c r="D365" s="64"/>
      <c r="E365" s="18" t="s">
        <v>1898</v>
      </c>
    </row>
    <row r="366" spans="1:5">
      <c r="A366" s="89"/>
      <c r="B366" s="79"/>
      <c r="C366" s="64" t="s">
        <v>2189</v>
      </c>
      <c r="D366" s="64"/>
      <c r="E366" s="18" t="s">
        <v>1898</v>
      </c>
    </row>
    <row r="367" spans="1:5">
      <c r="A367" s="89"/>
      <c r="B367" s="79"/>
      <c r="C367" s="64" t="s">
        <v>2190</v>
      </c>
      <c r="D367" s="64"/>
      <c r="E367" s="18" t="s">
        <v>1898</v>
      </c>
    </row>
    <row r="368" spans="1:5">
      <c r="A368" s="89"/>
      <c r="B368" s="79"/>
      <c r="C368" s="64" t="s">
        <v>1079</v>
      </c>
      <c r="D368" s="64"/>
      <c r="E368" s="18" t="s">
        <v>1898</v>
      </c>
    </row>
    <row r="369" spans="1:5">
      <c r="A369" s="89"/>
      <c r="B369" s="79"/>
      <c r="C369" s="64" t="s">
        <v>1128</v>
      </c>
      <c r="D369" s="64"/>
      <c r="E369" s="18" t="s">
        <v>1898</v>
      </c>
    </row>
    <row r="370" spans="1:5">
      <c r="A370" s="89"/>
      <c r="B370" s="79"/>
      <c r="C370" s="64" t="s">
        <v>2191</v>
      </c>
      <c r="D370" s="64"/>
      <c r="E370" s="18" t="s">
        <v>1898</v>
      </c>
    </row>
    <row r="371" spans="1:5">
      <c r="A371" s="89"/>
      <c r="B371" s="79"/>
      <c r="C371" s="64" t="s">
        <v>2192</v>
      </c>
      <c r="D371" s="64"/>
      <c r="E371" s="18" t="s">
        <v>1898</v>
      </c>
    </row>
    <row r="372" spans="1:5">
      <c r="A372" s="89"/>
      <c r="B372" s="79"/>
      <c r="C372" s="64" t="s">
        <v>2193</v>
      </c>
      <c r="D372" s="64"/>
      <c r="E372" s="18" t="s">
        <v>1898</v>
      </c>
    </row>
    <row r="373" spans="1:5">
      <c r="A373" s="89"/>
      <c r="B373" s="79"/>
      <c r="C373" s="64" t="s">
        <v>2194</v>
      </c>
      <c r="D373" s="64"/>
      <c r="E373" s="18" t="s">
        <v>1898</v>
      </c>
    </row>
    <row r="374" spans="1:5">
      <c r="A374" s="89"/>
      <c r="B374" s="79"/>
      <c r="C374" s="64" t="s">
        <v>2195</v>
      </c>
      <c r="D374" s="64"/>
      <c r="E374" s="18" t="s">
        <v>1898</v>
      </c>
    </row>
    <row r="375" spans="1:5">
      <c r="A375" s="89"/>
      <c r="B375" s="79"/>
      <c r="C375" s="64" t="s">
        <v>2196</v>
      </c>
      <c r="D375" s="64"/>
      <c r="E375" s="18" t="s">
        <v>1898</v>
      </c>
    </row>
    <row r="376" spans="1:5">
      <c r="A376" s="89"/>
      <c r="B376" s="79"/>
      <c r="C376" s="64" t="s">
        <v>2197</v>
      </c>
      <c r="D376" s="64"/>
      <c r="E376" s="18" t="s">
        <v>1898</v>
      </c>
    </row>
    <row r="377" spans="1:5">
      <c r="A377" s="89"/>
      <c r="B377" s="79"/>
      <c r="C377" s="64" t="s">
        <v>2198</v>
      </c>
      <c r="D377" s="64"/>
      <c r="E377" s="18" t="s">
        <v>1898</v>
      </c>
    </row>
    <row r="378" spans="1:5">
      <c r="A378" s="89"/>
      <c r="B378" s="79"/>
      <c r="C378" s="64" t="s">
        <v>2199</v>
      </c>
      <c r="D378" s="64"/>
      <c r="E378" s="18" t="s">
        <v>1898</v>
      </c>
    </row>
    <row r="379" spans="1:5">
      <c r="A379" s="89"/>
      <c r="B379" s="79"/>
      <c r="C379" s="64" t="s">
        <v>2200</v>
      </c>
      <c r="D379" s="64"/>
      <c r="E379" s="18" t="s">
        <v>1898</v>
      </c>
    </row>
    <row r="380" spans="1:5">
      <c r="A380" s="89"/>
      <c r="B380" s="79"/>
      <c r="C380" s="64" t="s">
        <v>2201</v>
      </c>
      <c r="D380" s="64"/>
      <c r="E380" s="18" t="s">
        <v>1898</v>
      </c>
    </row>
    <row r="381" spans="1:5">
      <c r="A381" s="89"/>
      <c r="B381" s="79"/>
      <c r="C381" s="64" t="s">
        <v>2202</v>
      </c>
      <c r="D381" s="64"/>
      <c r="E381" s="18" t="s">
        <v>1898</v>
      </c>
    </row>
    <row r="382" spans="1:5">
      <c r="A382" s="89"/>
      <c r="B382" s="79"/>
      <c r="C382" s="64" t="s">
        <v>2203</v>
      </c>
      <c r="D382" s="64"/>
      <c r="E382" s="18" t="s">
        <v>1898</v>
      </c>
    </row>
    <row r="383" spans="1:5">
      <c r="A383" s="89"/>
      <c r="B383" s="79"/>
      <c r="C383" s="64" t="s">
        <v>2204</v>
      </c>
      <c r="D383" s="64"/>
      <c r="E383" s="18" t="s">
        <v>1898</v>
      </c>
    </row>
    <row r="384" spans="1:5">
      <c r="A384" s="89"/>
      <c r="B384" s="79"/>
      <c r="C384" s="64" t="s">
        <v>2205</v>
      </c>
      <c r="D384" s="64"/>
      <c r="E384" s="18" t="s">
        <v>1898</v>
      </c>
    </row>
    <row r="385" spans="1:5">
      <c r="A385" s="89"/>
      <c r="B385" s="79"/>
      <c r="C385" s="64" t="s">
        <v>2206</v>
      </c>
      <c r="D385" s="64"/>
      <c r="E385" s="18" t="s">
        <v>1898</v>
      </c>
    </row>
    <row r="386" spans="1:5">
      <c r="A386" s="89"/>
      <c r="B386" s="79"/>
      <c r="C386" s="64" t="s">
        <v>2207</v>
      </c>
      <c r="D386" s="64"/>
      <c r="E386" s="18" t="s">
        <v>1898</v>
      </c>
    </row>
    <row r="387" spans="1:5">
      <c r="A387" s="89"/>
      <c r="B387" s="79"/>
      <c r="C387" s="64" t="s">
        <v>2208</v>
      </c>
      <c r="D387" s="64"/>
      <c r="E387" s="18" t="s">
        <v>1898</v>
      </c>
    </row>
    <row r="388" spans="1:5">
      <c r="A388" s="89"/>
      <c r="B388" s="79"/>
      <c r="C388" s="64" t="s">
        <v>2209</v>
      </c>
      <c r="D388" s="64"/>
      <c r="E388" s="18" t="s">
        <v>1898</v>
      </c>
    </row>
    <row r="389" spans="1:5">
      <c r="A389" s="89"/>
      <c r="B389" s="79"/>
      <c r="C389" s="64" t="s">
        <v>2210</v>
      </c>
      <c r="D389" s="64"/>
      <c r="E389" s="18" t="s">
        <v>1898</v>
      </c>
    </row>
    <row r="390" spans="1:5">
      <c r="A390" s="89"/>
      <c r="B390" s="79"/>
      <c r="C390" s="64" t="s">
        <v>2211</v>
      </c>
      <c r="D390" s="64"/>
      <c r="E390" s="18" t="s">
        <v>1898</v>
      </c>
    </row>
    <row r="391" spans="1:5">
      <c r="A391" s="89"/>
      <c r="B391" s="79"/>
      <c r="C391" s="64" t="s">
        <v>2212</v>
      </c>
      <c r="D391" s="64"/>
      <c r="E391" s="18" t="s">
        <v>1898</v>
      </c>
    </row>
    <row r="392" spans="1:5">
      <c r="A392" s="89"/>
      <c r="B392" s="79"/>
      <c r="C392" s="64" t="s">
        <v>1090</v>
      </c>
      <c r="D392" s="64"/>
      <c r="E392" s="18" t="s">
        <v>1898</v>
      </c>
    </row>
    <row r="393" spans="1:5">
      <c r="A393" s="89"/>
      <c r="B393" s="79"/>
      <c r="C393" s="64" t="s">
        <v>2213</v>
      </c>
      <c r="D393" s="64"/>
      <c r="E393" s="18" t="s">
        <v>1898</v>
      </c>
    </row>
    <row r="394" spans="1:5">
      <c r="A394" s="89"/>
      <c r="B394" s="79"/>
      <c r="C394" s="64" t="s">
        <v>2214</v>
      </c>
      <c r="D394" s="64"/>
      <c r="E394" s="18" t="s">
        <v>1898</v>
      </c>
    </row>
    <row r="395" spans="1:5">
      <c r="A395" s="89"/>
      <c r="B395" s="79"/>
      <c r="C395" s="64" t="s">
        <v>2215</v>
      </c>
      <c r="D395" s="64"/>
      <c r="E395" s="18" t="s">
        <v>1898</v>
      </c>
    </row>
    <row r="396" spans="1:5">
      <c r="A396" s="89"/>
      <c r="B396" s="79"/>
      <c r="C396" s="64" t="s">
        <v>2216</v>
      </c>
      <c r="D396" s="64"/>
      <c r="E396" s="18" t="s">
        <v>1898</v>
      </c>
    </row>
    <row r="397" spans="1:5">
      <c r="A397" s="89"/>
      <c r="B397" s="79"/>
      <c r="C397" s="64" t="s">
        <v>2217</v>
      </c>
      <c r="D397" s="64"/>
      <c r="E397" s="18" t="s">
        <v>1898</v>
      </c>
    </row>
    <row r="398" spans="1:5">
      <c r="A398" s="89"/>
      <c r="B398" s="79"/>
      <c r="C398" s="64" t="s">
        <v>2218</v>
      </c>
      <c r="D398" s="64"/>
      <c r="E398" s="18" t="s">
        <v>1898</v>
      </c>
    </row>
    <row r="399" spans="1:5">
      <c r="A399" s="89"/>
      <c r="B399" s="79"/>
      <c r="C399" s="64" t="s">
        <v>2219</v>
      </c>
      <c r="D399" s="64"/>
      <c r="E399" s="18" t="s">
        <v>1898</v>
      </c>
    </row>
    <row r="400" spans="1:5">
      <c r="A400" s="89"/>
      <c r="B400" s="79"/>
      <c r="C400" s="64" t="s">
        <v>2220</v>
      </c>
      <c r="D400" s="64"/>
      <c r="E400" s="18" t="s">
        <v>1898</v>
      </c>
    </row>
    <row r="401" spans="1:5">
      <c r="A401" s="89"/>
      <c r="B401" s="79"/>
      <c r="C401" s="64" t="s">
        <v>2221</v>
      </c>
      <c r="D401" s="64"/>
      <c r="E401" s="18" t="s">
        <v>1898</v>
      </c>
    </row>
    <row r="402" spans="1:5">
      <c r="A402" s="89"/>
      <c r="B402" s="79"/>
      <c r="C402" s="64" t="s">
        <v>2222</v>
      </c>
      <c r="D402" s="64"/>
      <c r="E402" s="18" t="s">
        <v>1898</v>
      </c>
    </row>
    <row r="403" spans="1:5">
      <c r="A403" s="89"/>
      <c r="B403" s="79"/>
      <c r="C403" s="64" t="s">
        <v>2223</v>
      </c>
      <c r="D403" s="64"/>
      <c r="E403" s="18" t="s">
        <v>1898</v>
      </c>
    </row>
    <row r="404" spans="1:5">
      <c r="A404" s="89"/>
      <c r="B404" s="79"/>
      <c r="C404" s="64" t="s">
        <v>2224</v>
      </c>
      <c r="D404" s="64"/>
      <c r="E404" s="18" t="s">
        <v>1898</v>
      </c>
    </row>
    <row r="405" spans="1:5">
      <c r="A405" s="89"/>
      <c r="B405" s="79"/>
      <c r="C405" s="64" t="s">
        <v>1306</v>
      </c>
      <c r="D405" s="64"/>
      <c r="E405" s="18" t="s">
        <v>1898</v>
      </c>
    </row>
    <row r="406" spans="1:5">
      <c r="A406" s="89"/>
      <c r="B406" s="79"/>
      <c r="C406" s="64" t="s">
        <v>2225</v>
      </c>
      <c r="D406" s="64"/>
      <c r="E406" s="18" t="s">
        <v>1898</v>
      </c>
    </row>
    <row r="407" spans="1:5">
      <c r="A407" s="89"/>
      <c r="B407" s="79"/>
      <c r="C407" s="64" t="s">
        <v>2226</v>
      </c>
      <c r="D407" s="64"/>
      <c r="E407" s="18" t="s">
        <v>1898</v>
      </c>
    </row>
    <row r="408" spans="1:5">
      <c r="A408" s="89"/>
      <c r="B408" s="79"/>
      <c r="C408" s="64" t="s">
        <v>2227</v>
      </c>
      <c r="D408" s="64"/>
      <c r="E408" s="18" t="s">
        <v>1898</v>
      </c>
    </row>
    <row r="409" spans="1:5">
      <c r="A409" s="89"/>
      <c r="B409" s="79"/>
      <c r="C409" s="64" t="s">
        <v>2228</v>
      </c>
      <c r="D409" s="64"/>
      <c r="E409" s="18" t="s">
        <v>1898</v>
      </c>
    </row>
    <row r="410" spans="1:5">
      <c r="A410" s="89"/>
      <c r="B410" s="79"/>
      <c r="C410" s="64" t="s">
        <v>2229</v>
      </c>
      <c r="D410" s="64"/>
      <c r="E410" s="18" t="s">
        <v>1898</v>
      </c>
    </row>
    <row r="411" spans="1:5">
      <c r="A411" s="89"/>
      <c r="B411" s="79"/>
      <c r="C411" s="64" t="s">
        <v>2230</v>
      </c>
      <c r="D411" s="64"/>
      <c r="E411" s="18" t="s">
        <v>1898</v>
      </c>
    </row>
    <row r="412" spans="1:5">
      <c r="A412" s="89"/>
      <c r="B412" s="79"/>
      <c r="C412" s="64" t="s">
        <v>2231</v>
      </c>
      <c r="D412" s="64"/>
      <c r="E412" s="18" t="s">
        <v>1898</v>
      </c>
    </row>
    <row r="413" spans="1:5">
      <c r="A413" s="89"/>
      <c r="B413" s="79"/>
      <c r="C413" s="64" t="s">
        <v>2232</v>
      </c>
      <c r="D413" s="64"/>
      <c r="E413" s="18" t="s">
        <v>1898</v>
      </c>
    </row>
    <row r="414" spans="1:5">
      <c r="A414" s="89"/>
      <c r="B414" s="79"/>
      <c r="C414" s="64" t="s">
        <v>2233</v>
      </c>
      <c r="D414" s="64"/>
      <c r="E414" s="18" t="s">
        <v>1898</v>
      </c>
    </row>
    <row r="415" spans="1:5">
      <c r="A415" s="89"/>
      <c r="B415" s="79"/>
      <c r="C415" s="64" t="s">
        <v>2234</v>
      </c>
      <c r="D415" s="64"/>
      <c r="E415" s="18" t="s">
        <v>1898</v>
      </c>
    </row>
    <row r="416" spans="1:5">
      <c r="A416" s="89"/>
      <c r="B416" s="79"/>
      <c r="C416" s="64" t="s">
        <v>2235</v>
      </c>
      <c r="D416" s="64"/>
      <c r="E416" s="18" t="s">
        <v>1898</v>
      </c>
    </row>
    <row r="417" spans="1:5">
      <c r="A417" s="89"/>
      <c r="B417" s="79"/>
      <c r="C417" s="64" t="s">
        <v>2236</v>
      </c>
      <c r="D417" s="64"/>
      <c r="E417" s="18" t="s">
        <v>1898</v>
      </c>
    </row>
    <row r="418" spans="1:5">
      <c r="A418" s="89"/>
      <c r="B418" s="79"/>
      <c r="C418" s="64" t="s">
        <v>2237</v>
      </c>
      <c r="D418" s="64"/>
      <c r="E418" s="18" t="s">
        <v>1898</v>
      </c>
    </row>
    <row r="419" spans="1:5">
      <c r="A419" s="89"/>
      <c r="B419" s="79"/>
      <c r="C419" s="64" t="s">
        <v>2238</v>
      </c>
      <c r="D419" s="64"/>
      <c r="E419" s="18" t="s">
        <v>1898</v>
      </c>
    </row>
    <row r="420" spans="1:5">
      <c r="A420" s="89"/>
      <c r="B420" s="79"/>
      <c r="C420" s="64" t="s">
        <v>2239</v>
      </c>
      <c r="D420" s="64"/>
      <c r="E420" s="18" t="s">
        <v>1898</v>
      </c>
    </row>
    <row r="421" spans="1:5">
      <c r="A421" s="89"/>
      <c r="B421" s="79"/>
      <c r="C421" s="64" t="s">
        <v>2240</v>
      </c>
      <c r="D421" s="64"/>
      <c r="E421" s="18" t="s">
        <v>1898</v>
      </c>
    </row>
    <row r="422" spans="1:5">
      <c r="A422" s="89"/>
      <c r="B422" s="79"/>
      <c r="C422" s="64" t="s">
        <v>2241</v>
      </c>
      <c r="D422" s="64"/>
      <c r="E422" s="18" t="s">
        <v>1898</v>
      </c>
    </row>
    <row r="423" spans="1:5">
      <c r="A423" s="89"/>
      <c r="B423" s="79"/>
      <c r="C423" s="64" t="s">
        <v>2242</v>
      </c>
      <c r="D423" s="64"/>
      <c r="E423" s="18" t="s">
        <v>1898</v>
      </c>
    </row>
    <row r="424" spans="1:5">
      <c r="A424" s="89"/>
      <c r="B424" s="79"/>
      <c r="C424" s="64" t="s">
        <v>2243</v>
      </c>
      <c r="D424" s="64"/>
      <c r="E424" s="18" t="s">
        <v>1898</v>
      </c>
    </row>
    <row r="425" spans="1:5">
      <c r="A425" s="89"/>
      <c r="B425" s="79"/>
      <c r="C425" s="64" t="s">
        <v>2244</v>
      </c>
      <c r="D425" s="64"/>
      <c r="E425" s="18" t="s">
        <v>1898</v>
      </c>
    </row>
    <row r="426" spans="1:5">
      <c r="A426" s="89"/>
      <c r="B426" s="79"/>
      <c r="C426" s="64" t="s">
        <v>2245</v>
      </c>
      <c r="D426" s="64"/>
      <c r="E426" s="18" t="s">
        <v>1898</v>
      </c>
    </row>
    <row r="427" spans="1:5">
      <c r="A427" s="89"/>
      <c r="B427" s="79"/>
      <c r="C427" s="64" t="s">
        <v>2246</v>
      </c>
      <c r="D427" s="64"/>
      <c r="E427" s="18" t="s">
        <v>1898</v>
      </c>
    </row>
    <row r="428" spans="1:5">
      <c r="A428" s="89"/>
      <c r="B428" s="79"/>
      <c r="C428" s="64" t="s">
        <v>2247</v>
      </c>
      <c r="D428" s="64"/>
      <c r="E428" s="18" t="s">
        <v>1898</v>
      </c>
    </row>
    <row r="429" spans="1:5">
      <c r="A429" s="89"/>
      <c r="B429" s="79"/>
      <c r="C429" s="64" t="s">
        <v>2248</v>
      </c>
      <c r="D429" s="64"/>
      <c r="E429" s="18" t="s">
        <v>1898</v>
      </c>
    </row>
    <row r="430" spans="1:5">
      <c r="A430" s="89"/>
      <c r="B430" s="79"/>
      <c r="C430" s="64" t="s">
        <v>2249</v>
      </c>
      <c r="D430" s="64"/>
      <c r="E430" s="18" t="s">
        <v>1898</v>
      </c>
    </row>
    <row r="431" spans="1:5">
      <c r="A431" s="89"/>
      <c r="B431" s="79"/>
      <c r="C431" s="64" t="s">
        <v>2250</v>
      </c>
      <c r="D431" s="64"/>
      <c r="E431" s="18" t="s">
        <v>1898</v>
      </c>
    </row>
    <row r="432" spans="1:5">
      <c r="A432" s="89"/>
      <c r="B432" s="79"/>
      <c r="C432" s="64" t="s">
        <v>2251</v>
      </c>
      <c r="D432" s="64"/>
      <c r="E432" s="18" t="s">
        <v>1898</v>
      </c>
    </row>
    <row r="433" spans="1:5">
      <c r="A433" s="89"/>
      <c r="B433" s="79"/>
      <c r="C433" s="64" t="s">
        <v>2252</v>
      </c>
      <c r="D433" s="64"/>
      <c r="E433" s="18" t="s">
        <v>1898</v>
      </c>
    </row>
    <row r="434" spans="1:5">
      <c r="A434" s="89"/>
      <c r="B434" s="79"/>
      <c r="C434" s="64" t="s">
        <v>2253</v>
      </c>
      <c r="D434" s="64"/>
      <c r="E434" s="18" t="s">
        <v>1898</v>
      </c>
    </row>
    <row r="435" spans="1:5">
      <c r="A435" s="89"/>
      <c r="B435" s="79"/>
      <c r="C435" s="64" t="s">
        <v>2254</v>
      </c>
      <c r="D435" s="64"/>
      <c r="E435" s="18" t="s">
        <v>1898</v>
      </c>
    </row>
    <row r="436" spans="1:5">
      <c r="A436" s="89"/>
      <c r="B436" s="79"/>
      <c r="C436" s="64" t="s">
        <v>1180</v>
      </c>
      <c r="D436" s="64"/>
      <c r="E436" s="18" t="s">
        <v>1898</v>
      </c>
    </row>
    <row r="437" spans="1:5">
      <c r="A437" s="89"/>
      <c r="B437" s="79"/>
      <c r="C437" s="64" t="s">
        <v>2255</v>
      </c>
      <c r="D437" s="64"/>
      <c r="E437" s="18" t="s">
        <v>1898</v>
      </c>
    </row>
    <row r="438" spans="1:5">
      <c r="A438" s="89"/>
      <c r="B438" s="79"/>
      <c r="C438" s="64" t="s">
        <v>2256</v>
      </c>
      <c r="D438" s="64"/>
      <c r="E438" s="18" t="s">
        <v>1898</v>
      </c>
    </row>
    <row r="439" spans="1:5">
      <c r="A439" s="89"/>
      <c r="B439" s="79"/>
      <c r="C439" s="64" t="s">
        <v>2257</v>
      </c>
      <c r="D439" s="64"/>
      <c r="E439" s="18" t="s">
        <v>1898</v>
      </c>
    </row>
    <row r="440" spans="1:5">
      <c r="A440" s="89"/>
      <c r="B440" s="79"/>
      <c r="C440" s="64" t="s">
        <v>2258</v>
      </c>
      <c r="D440" s="64"/>
      <c r="E440" s="18" t="s">
        <v>1898</v>
      </c>
    </row>
    <row r="441" spans="1:5">
      <c r="A441" s="89"/>
      <c r="B441" s="79"/>
      <c r="C441" s="64" t="s">
        <v>2259</v>
      </c>
      <c r="D441" s="64"/>
      <c r="E441" s="18" t="s">
        <v>1898</v>
      </c>
    </row>
    <row r="442" spans="1:5">
      <c r="A442" s="89"/>
      <c r="B442" s="79"/>
      <c r="C442" s="64" t="s">
        <v>2260</v>
      </c>
      <c r="D442" s="64"/>
      <c r="E442" s="18" t="s">
        <v>1898</v>
      </c>
    </row>
    <row r="443" spans="1:5">
      <c r="A443" s="89"/>
      <c r="B443" s="79"/>
      <c r="C443" s="64" t="s">
        <v>2261</v>
      </c>
      <c r="D443" s="64"/>
      <c r="E443" s="18" t="s">
        <v>1898</v>
      </c>
    </row>
    <row r="444" spans="1:5">
      <c r="A444" s="89"/>
      <c r="B444" s="79"/>
      <c r="C444" s="64" t="s">
        <v>2262</v>
      </c>
      <c r="D444" s="64"/>
      <c r="E444" s="18" t="s">
        <v>1898</v>
      </c>
    </row>
    <row r="445" spans="1:5">
      <c r="A445" s="89"/>
      <c r="B445" s="79"/>
      <c r="C445" s="64" t="s">
        <v>2263</v>
      </c>
      <c r="D445" s="64"/>
      <c r="E445" s="18" t="s">
        <v>1898</v>
      </c>
    </row>
    <row r="446" spans="1:5">
      <c r="A446" s="89"/>
      <c r="B446" s="79"/>
      <c r="C446" s="64" t="s">
        <v>2264</v>
      </c>
      <c r="D446" s="64"/>
      <c r="E446" s="18" t="s">
        <v>1898</v>
      </c>
    </row>
    <row r="447" spans="1:5">
      <c r="A447" s="89"/>
      <c r="B447" s="79"/>
      <c r="C447" s="64" t="s">
        <v>2265</v>
      </c>
      <c r="D447" s="64"/>
      <c r="E447" s="18" t="s">
        <v>1898</v>
      </c>
    </row>
    <row r="448" spans="1:5">
      <c r="A448" s="89"/>
      <c r="B448" s="79"/>
      <c r="C448" s="64" t="s">
        <v>2266</v>
      </c>
      <c r="D448" s="64"/>
      <c r="E448" s="18" t="s">
        <v>1898</v>
      </c>
    </row>
    <row r="449" spans="1:5">
      <c r="A449" s="89"/>
      <c r="B449" s="79"/>
      <c r="C449" s="64" t="s">
        <v>2267</v>
      </c>
      <c r="D449" s="64"/>
      <c r="E449" s="18" t="s">
        <v>1898</v>
      </c>
    </row>
    <row r="450" spans="1:5">
      <c r="A450" s="89"/>
      <c r="B450" s="79"/>
      <c r="C450" s="64" t="s">
        <v>2268</v>
      </c>
      <c r="D450" s="64"/>
      <c r="E450" s="18" t="s">
        <v>1898</v>
      </c>
    </row>
    <row r="451" spans="1:5">
      <c r="A451" s="89"/>
      <c r="B451" s="79"/>
      <c r="C451" s="64" t="s">
        <v>2269</v>
      </c>
      <c r="D451" s="64"/>
      <c r="E451" s="18" t="s">
        <v>1898</v>
      </c>
    </row>
    <row r="452" spans="1:5">
      <c r="A452" s="89"/>
      <c r="B452" s="79"/>
      <c r="C452" s="64" t="s">
        <v>2270</v>
      </c>
      <c r="D452" s="64"/>
      <c r="E452" s="18" t="s">
        <v>1898</v>
      </c>
    </row>
    <row r="453" spans="1:5">
      <c r="A453" s="89"/>
      <c r="B453" s="79"/>
      <c r="C453" s="64" t="s">
        <v>1300</v>
      </c>
      <c r="D453" s="64"/>
      <c r="E453" s="18" t="s">
        <v>1898</v>
      </c>
    </row>
    <row r="454" spans="1:5">
      <c r="A454" s="89"/>
      <c r="B454" s="79"/>
      <c r="C454" s="64" t="s">
        <v>2271</v>
      </c>
      <c r="D454" s="64"/>
      <c r="E454" s="18" t="s">
        <v>1898</v>
      </c>
    </row>
    <row r="455" spans="1:5">
      <c r="A455" s="89"/>
      <c r="B455" s="79"/>
      <c r="C455" s="64" t="s">
        <v>1138</v>
      </c>
      <c r="D455" s="64"/>
      <c r="E455" s="18" t="s">
        <v>1898</v>
      </c>
    </row>
    <row r="456" spans="1:5">
      <c r="A456" s="89"/>
      <c r="B456" s="79"/>
      <c r="C456" s="64" t="s">
        <v>2272</v>
      </c>
      <c r="D456" s="64"/>
      <c r="E456" s="18" t="s">
        <v>1898</v>
      </c>
    </row>
    <row r="457" spans="1:5">
      <c r="A457" s="89"/>
      <c r="B457" s="79"/>
      <c r="C457" s="64" t="s">
        <v>2273</v>
      </c>
      <c r="D457" s="64"/>
      <c r="E457" s="18" t="s">
        <v>1898</v>
      </c>
    </row>
    <row r="458" spans="1:5">
      <c r="A458" s="89"/>
      <c r="B458" s="79"/>
      <c r="C458" s="64" t="s">
        <v>1154</v>
      </c>
      <c r="D458" s="64"/>
      <c r="E458" s="18" t="s">
        <v>1898</v>
      </c>
    </row>
    <row r="459" spans="1:5">
      <c r="A459" s="89"/>
      <c r="B459" s="79"/>
      <c r="C459" s="64" t="s">
        <v>2274</v>
      </c>
      <c r="D459" s="64"/>
      <c r="E459" s="18" t="s">
        <v>1898</v>
      </c>
    </row>
    <row r="460" spans="1:5">
      <c r="A460" s="89"/>
      <c r="B460" s="79"/>
      <c r="C460" s="64" t="s">
        <v>1062</v>
      </c>
      <c r="D460" s="64"/>
      <c r="E460" s="18" t="s">
        <v>1898</v>
      </c>
    </row>
    <row r="461" spans="1:5">
      <c r="A461" s="89"/>
      <c r="B461" s="79"/>
      <c r="C461" s="64" t="s">
        <v>2275</v>
      </c>
      <c r="D461" s="64"/>
      <c r="E461" s="18" t="s">
        <v>1898</v>
      </c>
    </row>
    <row r="462" spans="1:5">
      <c r="A462" s="89"/>
      <c r="B462" s="79"/>
      <c r="C462" s="64" t="s">
        <v>2276</v>
      </c>
      <c r="D462" s="64"/>
      <c r="E462" s="18" t="s">
        <v>1898</v>
      </c>
    </row>
    <row r="463" spans="1:5">
      <c r="A463" s="89"/>
      <c r="B463" s="79"/>
      <c r="C463" s="64" t="s">
        <v>2277</v>
      </c>
      <c r="D463" s="64"/>
      <c r="E463" s="18" t="s">
        <v>1898</v>
      </c>
    </row>
    <row r="464" spans="1:5">
      <c r="A464" s="89"/>
      <c r="B464" s="79"/>
      <c r="C464" s="64" t="s">
        <v>2278</v>
      </c>
      <c r="D464" s="64"/>
      <c r="E464" s="18" t="s">
        <v>1898</v>
      </c>
    </row>
    <row r="465" spans="1:5">
      <c r="A465" s="89"/>
      <c r="B465" s="79"/>
      <c r="C465" s="64" t="s">
        <v>2279</v>
      </c>
      <c r="D465" s="64"/>
      <c r="E465" s="18" t="s">
        <v>1898</v>
      </c>
    </row>
    <row r="466" spans="1:5">
      <c r="A466" s="89"/>
      <c r="B466" s="79"/>
      <c r="C466" s="64" t="s">
        <v>2280</v>
      </c>
      <c r="D466" s="64"/>
      <c r="E466" s="18" t="s">
        <v>1898</v>
      </c>
    </row>
    <row r="467" spans="1:5">
      <c r="A467" s="89"/>
      <c r="B467" s="79"/>
      <c r="C467" s="64" t="s">
        <v>2281</v>
      </c>
      <c r="D467" s="64"/>
      <c r="E467" s="18" t="s">
        <v>1898</v>
      </c>
    </row>
    <row r="468" spans="1:5">
      <c r="A468" s="89"/>
      <c r="B468" s="79"/>
      <c r="C468" s="64" t="s">
        <v>2282</v>
      </c>
      <c r="D468" s="64"/>
      <c r="E468" s="18" t="s">
        <v>1898</v>
      </c>
    </row>
    <row r="469" spans="1:5">
      <c r="A469" s="89"/>
      <c r="B469" s="79"/>
      <c r="C469" s="64" t="s">
        <v>2283</v>
      </c>
      <c r="D469" s="64"/>
      <c r="E469" s="18" t="s">
        <v>1898</v>
      </c>
    </row>
    <row r="470" spans="1:5">
      <c r="A470" s="89"/>
      <c r="B470" s="79"/>
      <c r="C470" s="64" t="s">
        <v>2284</v>
      </c>
      <c r="D470" s="64"/>
      <c r="E470" s="18" t="s">
        <v>1898</v>
      </c>
    </row>
    <row r="471" spans="1:5">
      <c r="A471" s="89"/>
      <c r="B471" s="79"/>
      <c r="C471" s="64" t="s">
        <v>2285</v>
      </c>
      <c r="D471" s="64"/>
      <c r="E471" s="18" t="s">
        <v>1898</v>
      </c>
    </row>
    <row r="472" spans="1:5">
      <c r="A472" s="89"/>
      <c r="B472" s="79"/>
      <c r="C472" s="64" t="s">
        <v>2286</v>
      </c>
      <c r="D472" s="64"/>
      <c r="E472" s="18" t="s">
        <v>1898</v>
      </c>
    </row>
    <row r="473" spans="1:5">
      <c r="A473" s="89"/>
      <c r="B473" s="79"/>
      <c r="C473" s="64" t="s">
        <v>2287</v>
      </c>
      <c r="D473" s="64"/>
      <c r="E473" s="18" t="s">
        <v>1898</v>
      </c>
    </row>
    <row r="474" spans="1:5">
      <c r="A474" s="89"/>
      <c r="B474" s="79"/>
      <c r="C474" s="64" t="s">
        <v>2288</v>
      </c>
      <c r="D474" s="64"/>
      <c r="E474" s="18" t="s">
        <v>1898</v>
      </c>
    </row>
    <row r="475" spans="1:5">
      <c r="A475" s="89"/>
      <c r="B475" s="79"/>
      <c r="C475" s="64" t="s">
        <v>2289</v>
      </c>
      <c r="D475" s="64"/>
      <c r="E475" s="18" t="s">
        <v>1898</v>
      </c>
    </row>
    <row r="476" spans="1:5">
      <c r="A476" s="89"/>
      <c r="B476" s="79"/>
      <c r="C476" s="64" t="s">
        <v>2290</v>
      </c>
      <c r="D476" s="64"/>
      <c r="E476" s="18" t="s">
        <v>1898</v>
      </c>
    </row>
    <row r="477" spans="1:5">
      <c r="A477" s="89"/>
      <c r="B477" s="79"/>
      <c r="C477" s="64" t="s">
        <v>2291</v>
      </c>
      <c r="D477" s="64"/>
      <c r="E477" s="18" t="s">
        <v>1898</v>
      </c>
    </row>
    <row r="478" spans="1:5">
      <c r="A478" s="89"/>
      <c r="B478" s="79"/>
      <c r="C478" s="64" t="s">
        <v>2292</v>
      </c>
      <c r="D478" s="64"/>
      <c r="E478" s="18" t="s">
        <v>1898</v>
      </c>
    </row>
    <row r="479" spans="1:5">
      <c r="A479" s="89"/>
      <c r="B479" s="79"/>
      <c r="C479" s="64" t="s">
        <v>2293</v>
      </c>
      <c r="D479" s="64"/>
      <c r="E479" s="18" t="s">
        <v>1898</v>
      </c>
    </row>
    <row r="480" spans="1:5">
      <c r="A480" s="89"/>
      <c r="B480" s="79"/>
      <c r="C480" s="64" t="s">
        <v>2294</v>
      </c>
      <c r="D480" s="64"/>
      <c r="E480" s="18" t="s">
        <v>1898</v>
      </c>
    </row>
    <row r="481" spans="1:5">
      <c r="A481" s="89"/>
      <c r="B481" s="79"/>
      <c r="C481" s="64" t="s">
        <v>2295</v>
      </c>
      <c r="D481" s="64"/>
      <c r="E481" s="18" t="s">
        <v>1898</v>
      </c>
    </row>
    <row r="482" spans="1:5">
      <c r="A482" s="89"/>
      <c r="B482" s="79"/>
      <c r="C482" s="64" t="s">
        <v>2296</v>
      </c>
      <c r="D482" s="64"/>
      <c r="E482" s="18" t="s">
        <v>1898</v>
      </c>
    </row>
    <row r="483" spans="1:5">
      <c r="A483" s="89"/>
      <c r="B483" s="79"/>
      <c r="C483" s="64" t="s">
        <v>2297</v>
      </c>
      <c r="D483" s="64"/>
      <c r="E483" s="18" t="s">
        <v>1898</v>
      </c>
    </row>
    <row r="484" spans="1:5">
      <c r="A484" s="89"/>
      <c r="B484" s="79"/>
      <c r="C484" s="64" t="s">
        <v>2298</v>
      </c>
      <c r="D484" s="64"/>
      <c r="E484" s="18" t="s">
        <v>1898</v>
      </c>
    </row>
    <row r="485" spans="1:5">
      <c r="A485" s="89"/>
      <c r="B485" s="79"/>
      <c r="C485" s="64" t="s">
        <v>2299</v>
      </c>
      <c r="D485" s="64"/>
      <c r="E485" s="18" t="s">
        <v>1898</v>
      </c>
    </row>
    <row r="486" spans="1:5">
      <c r="A486" s="89"/>
      <c r="B486" s="79"/>
      <c r="C486" s="64" t="s">
        <v>2300</v>
      </c>
      <c r="D486" s="64"/>
      <c r="E486" s="18" t="s">
        <v>1898</v>
      </c>
    </row>
    <row r="487" spans="1:5">
      <c r="A487" s="89"/>
      <c r="B487" s="79"/>
      <c r="C487" s="64" t="s">
        <v>2301</v>
      </c>
      <c r="D487" s="64"/>
      <c r="E487" s="18" t="s">
        <v>1898</v>
      </c>
    </row>
    <row r="488" spans="1:5">
      <c r="A488" s="89"/>
      <c r="B488" s="79"/>
      <c r="C488" s="64" t="s">
        <v>2302</v>
      </c>
      <c r="D488" s="64"/>
      <c r="E488" s="18" t="s">
        <v>1898</v>
      </c>
    </row>
    <row r="489" spans="1:5">
      <c r="A489" s="89"/>
      <c r="B489" s="79"/>
      <c r="C489" s="64" t="s">
        <v>31</v>
      </c>
      <c r="D489" s="64"/>
    </row>
    <row r="490" spans="1:5">
      <c r="A490" s="89"/>
      <c r="B490" s="79"/>
      <c r="C490" s="64" t="s">
        <v>2303</v>
      </c>
      <c r="D490" s="64"/>
    </row>
    <row r="491" spans="1:5">
      <c r="A491" s="89"/>
      <c r="B491" s="79"/>
      <c r="C491" s="64" t="s">
        <v>2304</v>
      </c>
      <c r="D491" s="64"/>
    </row>
    <row r="492" spans="1:5">
      <c r="A492" s="89"/>
      <c r="B492" s="79"/>
      <c r="C492" s="64" t="s">
        <v>2305</v>
      </c>
      <c r="D492" s="64"/>
    </row>
    <row r="493" spans="1:5">
      <c r="A493" s="89"/>
      <c r="B493" s="79"/>
      <c r="C493" s="64" t="s">
        <v>2306</v>
      </c>
      <c r="D493" s="64"/>
    </row>
    <row r="494" spans="1:5">
      <c r="A494" s="89"/>
      <c r="B494" s="79"/>
      <c r="C494" s="64" t="s">
        <v>1192</v>
      </c>
      <c r="D494" s="64"/>
    </row>
    <row r="495" spans="1:5">
      <c r="A495" s="89"/>
      <c r="B495" s="79"/>
      <c r="C495" s="64" t="s">
        <v>2307</v>
      </c>
      <c r="D495" s="64"/>
    </row>
    <row r="496" spans="1:5">
      <c r="A496" s="89"/>
      <c r="B496" s="79"/>
      <c r="C496" s="64" t="s">
        <v>2308</v>
      </c>
      <c r="D496" s="64"/>
    </row>
    <row r="497" spans="1:4">
      <c r="A497" s="89"/>
      <c r="B497" s="79"/>
      <c r="C497" s="64" t="s">
        <v>2309</v>
      </c>
      <c r="D497" s="64"/>
    </row>
    <row r="498" spans="1:4">
      <c r="A498" s="90"/>
      <c r="B498" s="80"/>
      <c r="C498" s="64" t="s">
        <v>999</v>
      </c>
      <c r="D498" s="64"/>
    </row>
    <row r="499" spans="1:4">
      <c r="A499" s="124"/>
      <c r="B499" s="129" t="s">
        <v>2310</v>
      </c>
      <c r="C499" s="61" t="s">
        <v>234</v>
      </c>
      <c r="D499" s="61"/>
    </row>
    <row r="500" spans="1:4">
      <c r="A500" s="71"/>
      <c r="B500" s="129"/>
      <c r="C500" s="61" t="s">
        <v>2311</v>
      </c>
      <c r="D500" s="61"/>
    </row>
    <row r="501" spans="1:4">
      <c r="A501" s="71"/>
      <c r="B501" s="129"/>
      <c r="C501" s="61" t="s">
        <v>2312</v>
      </c>
      <c r="D501" s="61"/>
    </row>
    <row r="502" spans="1:4">
      <c r="A502" s="71"/>
      <c r="B502" s="129"/>
      <c r="C502" s="61" t="s">
        <v>2313</v>
      </c>
      <c r="D502" s="61"/>
    </row>
    <row r="503" spans="1:4">
      <c r="A503" s="71"/>
      <c r="B503" s="129"/>
      <c r="C503" s="61" t="s">
        <v>2314</v>
      </c>
      <c r="D503" s="61"/>
    </row>
    <row r="504" spans="1:4">
      <c r="A504" s="71"/>
      <c r="B504" s="129"/>
      <c r="C504" s="61" t="s">
        <v>1363</v>
      </c>
      <c r="D504" s="61"/>
    </row>
    <row r="505" spans="1:4">
      <c r="A505" s="71"/>
      <c r="B505" s="129"/>
      <c r="C505" s="61" t="s">
        <v>2315</v>
      </c>
      <c r="D505" s="61"/>
    </row>
    <row r="506" spans="1:4">
      <c r="A506" s="71"/>
      <c r="B506" s="129"/>
      <c r="C506" s="61" t="s">
        <v>1724</v>
      </c>
      <c r="D506" s="61"/>
    </row>
    <row r="507" spans="1:4">
      <c r="A507" s="71"/>
      <c r="B507" s="129"/>
      <c r="C507" s="61" t="s">
        <v>1357</v>
      </c>
      <c r="D507" s="61"/>
    </row>
    <row r="508" spans="1:4">
      <c r="A508" s="71"/>
      <c r="B508" s="129"/>
      <c r="C508" s="61" t="s">
        <v>2316</v>
      </c>
      <c r="D508" s="61"/>
    </row>
    <row r="509" spans="1:4">
      <c r="A509" s="71"/>
      <c r="B509" s="129"/>
      <c r="C509" s="61" t="s">
        <v>2317</v>
      </c>
      <c r="D509" s="61"/>
    </row>
    <row r="510" spans="1:4">
      <c r="A510" s="71"/>
      <c r="B510" s="129"/>
      <c r="C510" s="61" t="s">
        <v>2318</v>
      </c>
      <c r="D510" s="61"/>
    </row>
    <row r="511" spans="1:4">
      <c r="A511" s="71"/>
      <c r="B511" s="129"/>
      <c r="C511" s="61" t="s">
        <v>2319</v>
      </c>
      <c r="D511" s="61"/>
    </row>
    <row r="512" spans="1:4">
      <c r="A512" s="71"/>
      <c r="B512" s="129"/>
      <c r="C512" s="61" t="s">
        <v>2099</v>
      </c>
      <c r="D512" s="61"/>
    </row>
    <row r="513" spans="1:4">
      <c r="A513" s="71"/>
      <c r="B513" s="129"/>
      <c r="C513" s="61" t="s">
        <v>31</v>
      </c>
      <c r="D513" s="61"/>
    </row>
    <row r="514" spans="1:4">
      <c r="A514" s="89"/>
      <c r="B514" s="75" t="s">
        <v>2320</v>
      </c>
      <c r="C514" s="64" t="s">
        <v>787</v>
      </c>
      <c r="D514" s="64"/>
    </row>
    <row r="515" spans="1:4">
      <c r="A515" s="90"/>
      <c r="B515" s="77"/>
      <c r="C515" s="64" t="s">
        <v>154</v>
      </c>
      <c r="D515" s="64"/>
    </row>
    <row r="516" spans="1:4">
      <c r="A516" s="71"/>
      <c r="B516" s="129" t="s">
        <v>1365</v>
      </c>
      <c r="C516" s="61" t="s">
        <v>1780</v>
      </c>
      <c r="D516" s="61"/>
    </row>
    <row r="517" spans="1:4">
      <c r="A517" s="71"/>
      <c r="B517" s="129"/>
      <c r="C517" s="61" t="s">
        <v>183</v>
      </c>
      <c r="D517" s="61"/>
    </row>
    <row r="518" spans="1:4">
      <c r="A518" s="71"/>
      <c r="B518" s="129"/>
      <c r="C518" s="61" t="s">
        <v>151</v>
      </c>
      <c r="D518" s="61"/>
    </row>
    <row r="519" spans="1:4">
      <c r="A519" s="71"/>
      <c r="B519" s="129"/>
      <c r="C519" s="61" t="s">
        <v>2321</v>
      </c>
      <c r="D519" s="61"/>
    </row>
    <row r="520" spans="1:4">
      <c r="A520" s="127"/>
      <c r="B520" s="75" t="s">
        <v>1760</v>
      </c>
      <c r="C520" s="64" t="s">
        <v>2322</v>
      </c>
      <c r="D520" s="64"/>
    </row>
    <row r="521" spans="1:4">
      <c r="A521" s="87"/>
      <c r="B521" s="76"/>
      <c r="C521" s="64" t="s">
        <v>2323</v>
      </c>
      <c r="D521" s="64"/>
    </row>
    <row r="522" spans="1:4">
      <c r="A522" s="87"/>
      <c r="B522" s="76"/>
      <c r="C522" s="64" t="s">
        <v>2324</v>
      </c>
      <c r="D522" s="64"/>
    </row>
    <row r="523" spans="1:4">
      <c r="A523" s="87"/>
      <c r="B523" s="76"/>
      <c r="C523" s="64" t="s">
        <v>2325</v>
      </c>
      <c r="D523" s="64"/>
    </row>
    <row r="524" spans="1:4">
      <c r="A524" s="87"/>
      <c r="B524" s="76"/>
      <c r="C524" s="64" t="s">
        <v>2326</v>
      </c>
      <c r="D524" s="64"/>
    </row>
    <row r="525" spans="1:4">
      <c r="A525" s="87"/>
      <c r="B525" s="76"/>
      <c r="C525" s="64" t="s">
        <v>2327</v>
      </c>
      <c r="D525" s="64"/>
    </row>
    <row r="526" spans="1:4">
      <c r="A526" s="87"/>
      <c r="B526" s="76"/>
      <c r="C526" s="64" t="s">
        <v>2328</v>
      </c>
      <c r="D526" s="64"/>
    </row>
    <row r="527" spans="1:4">
      <c r="A527" s="87"/>
      <c r="B527" s="76"/>
      <c r="C527" s="64" t="s">
        <v>2329</v>
      </c>
      <c r="D527" s="64"/>
    </row>
    <row r="528" spans="1:4">
      <c r="A528" s="87"/>
      <c r="B528" s="76"/>
      <c r="C528" s="64" t="s">
        <v>1458</v>
      </c>
      <c r="D528" s="64"/>
    </row>
    <row r="529" spans="1:4">
      <c r="A529" s="87"/>
      <c r="B529" s="76"/>
      <c r="C529" s="64" t="s">
        <v>2316</v>
      </c>
      <c r="D529" s="64"/>
    </row>
    <row r="530" spans="1:4">
      <c r="B530" s="76"/>
      <c r="C530" s="64" t="s">
        <v>2330</v>
      </c>
      <c r="D530" s="64"/>
    </row>
    <row r="531" spans="1:4" ht="15">
      <c r="A531" s="87"/>
      <c r="B531" s="76"/>
      <c r="C531" s="64" t="s">
        <v>2331</v>
      </c>
      <c r="D531" s="64" t="s">
        <v>2332</v>
      </c>
    </row>
    <row r="532" spans="1:4" ht="15">
      <c r="A532" s="87"/>
      <c r="B532" s="76"/>
      <c r="C532" s="64" t="s">
        <v>2333</v>
      </c>
      <c r="D532" s="64" t="s">
        <v>2332</v>
      </c>
    </row>
    <row r="533" spans="1:4" ht="15">
      <c r="A533" s="87"/>
      <c r="B533" s="76"/>
      <c r="C533" s="64" t="s">
        <v>2334</v>
      </c>
      <c r="D533" s="64" t="s">
        <v>2332</v>
      </c>
    </row>
    <row r="534" spans="1:4">
      <c r="A534" s="87"/>
      <c r="B534" s="76"/>
      <c r="C534" s="64" t="s">
        <v>2335</v>
      </c>
      <c r="D534" s="64"/>
    </row>
    <row r="535" spans="1:4">
      <c r="A535" s="87"/>
      <c r="B535" s="76"/>
      <c r="C535" s="64" t="s">
        <v>2336</v>
      </c>
      <c r="D535" s="64"/>
    </row>
    <row r="536" spans="1:4">
      <c r="A536" s="87"/>
      <c r="B536" s="76"/>
      <c r="C536" s="64" t="s">
        <v>2337</v>
      </c>
      <c r="D536" s="64"/>
    </row>
    <row r="537" spans="1:4">
      <c r="A537" s="87"/>
      <c r="B537" s="76"/>
      <c r="C537" s="64" t="s">
        <v>2338</v>
      </c>
      <c r="D537" s="64"/>
    </row>
    <row r="538" spans="1:4">
      <c r="A538" s="87"/>
      <c r="B538" s="76"/>
      <c r="C538" s="64" t="s">
        <v>2339</v>
      </c>
      <c r="D538" s="64"/>
    </row>
    <row r="539" spans="1:4">
      <c r="A539" s="87"/>
      <c r="B539" s="76"/>
      <c r="C539" s="64" t="s">
        <v>2340</v>
      </c>
      <c r="D539" s="64"/>
    </row>
    <row r="540" spans="1:4">
      <c r="A540" s="87"/>
      <c r="B540" s="76"/>
      <c r="C540" s="64" t="s">
        <v>2341</v>
      </c>
      <c r="D540" s="64"/>
    </row>
    <row r="541" spans="1:4">
      <c r="A541" s="87"/>
      <c r="B541" s="76"/>
      <c r="C541" s="64" t="s">
        <v>2342</v>
      </c>
      <c r="D541" s="64"/>
    </row>
    <row r="542" spans="1:4">
      <c r="A542" s="87"/>
      <c r="B542" s="76"/>
      <c r="C542" s="64" t="s">
        <v>2099</v>
      </c>
      <c r="D542" s="64"/>
    </row>
    <row r="543" spans="1:4">
      <c r="A543" s="87"/>
      <c r="B543" s="76"/>
      <c r="C543" s="64" t="s">
        <v>31</v>
      </c>
      <c r="D543" s="65"/>
    </row>
    <row r="544" spans="1:4">
      <c r="A544" s="93"/>
      <c r="B544" s="66" t="s">
        <v>1764</v>
      </c>
      <c r="C544" s="61" t="s">
        <v>787</v>
      </c>
      <c r="D544" s="61"/>
    </row>
    <row r="545" spans="1:4">
      <c r="A545" s="94"/>
      <c r="B545" s="128"/>
      <c r="C545" s="61" t="s">
        <v>154</v>
      </c>
      <c r="D545" s="61"/>
    </row>
    <row r="546" spans="1:4">
      <c r="A546" s="87"/>
      <c r="B546" s="75" t="s">
        <v>1765</v>
      </c>
      <c r="C546" s="64" t="s">
        <v>2343</v>
      </c>
      <c r="D546" s="64"/>
    </row>
    <row r="547" spans="1:4">
      <c r="A547" s="87"/>
      <c r="B547" s="76"/>
      <c r="C547" s="64" t="s">
        <v>2344</v>
      </c>
      <c r="D547" s="64"/>
    </row>
    <row r="548" spans="1:4">
      <c r="A548" s="87"/>
      <c r="B548" s="76"/>
      <c r="C548" s="64" t="s">
        <v>2345</v>
      </c>
      <c r="D548" s="64"/>
    </row>
    <row r="549" spans="1:4">
      <c r="A549" s="87"/>
      <c r="B549" s="76"/>
      <c r="C549" s="64" t="s">
        <v>2346</v>
      </c>
      <c r="D549" s="64"/>
    </row>
    <row r="550" spans="1:4">
      <c r="A550" s="87"/>
      <c r="B550" s="76"/>
      <c r="C550" s="64" t="s">
        <v>1783</v>
      </c>
      <c r="D550" s="64"/>
    </row>
    <row r="551" spans="1:4">
      <c r="A551" s="93"/>
      <c r="B551" s="66" t="s">
        <v>1767</v>
      </c>
      <c r="C551" s="61" t="s">
        <v>787</v>
      </c>
      <c r="D551" s="61"/>
    </row>
    <row r="552" spans="1:4">
      <c r="A552" s="94"/>
      <c r="B552" s="128"/>
      <c r="C552" s="61" t="s">
        <v>154</v>
      </c>
      <c r="D552" s="61"/>
    </row>
    <row r="553" spans="1:4">
      <c r="A553" s="72"/>
      <c r="B553" s="75" t="s">
        <v>2347</v>
      </c>
      <c r="C553" s="64" t="s">
        <v>2348</v>
      </c>
      <c r="D553" s="64"/>
    </row>
    <row r="554" spans="1:4">
      <c r="A554" s="73"/>
      <c r="B554" s="73"/>
      <c r="C554" s="64" t="s">
        <v>2349</v>
      </c>
      <c r="D554" s="64"/>
    </row>
    <row r="555" spans="1:4">
      <c r="A555" s="73"/>
      <c r="B555" s="73"/>
      <c r="C555" s="64" t="s">
        <v>2350</v>
      </c>
      <c r="D555" s="64"/>
    </row>
    <row r="556" spans="1:4">
      <c r="A556" s="73"/>
      <c r="B556" s="73"/>
      <c r="C556" s="64" t="s">
        <v>2351</v>
      </c>
      <c r="D556" s="64"/>
    </row>
    <row r="557" spans="1:4">
      <c r="A557" s="73"/>
      <c r="B557" s="73"/>
      <c r="C557" s="64" t="s">
        <v>2352</v>
      </c>
      <c r="D557" s="64"/>
    </row>
    <row r="558" spans="1:4">
      <c r="A558" s="73"/>
      <c r="B558" s="73"/>
      <c r="C558" s="64" t="s">
        <v>2353</v>
      </c>
      <c r="D558" s="64"/>
    </row>
    <row r="559" spans="1:4">
      <c r="A559" s="73"/>
      <c r="B559" s="73"/>
      <c r="C559" s="64" t="s">
        <v>2354</v>
      </c>
      <c r="D559" s="64"/>
    </row>
    <row r="560" spans="1:4">
      <c r="A560" s="73"/>
      <c r="B560" s="73"/>
      <c r="C560" s="64" t="s">
        <v>2355</v>
      </c>
      <c r="D560" s="64"/>
    </row>
    <row r="561" spans="1:4">
      <c r="A561" s="73"/>
      <c r="B561" s="73"/>
      <c r="C561" s="64" t="s">
        <v>2356</v>
      </c>
      <c r="D561" s="64"/>
    </row>
    <row r="562" spans="1:4">
      <c r="A562" s="73"/>
      <c r="B562" s="73"/>
      <c r="C562" s="64" t="s">
        <v>2357</v>
      </c>
      <c r="D562" s="64"/>
    </row>
    <row r="563" spans="1:4">
      <c r="A563" s="73"/>
      <c r="B563" s="73"/>
      <c r="C563" s="64" t="s">
        <v>2358</v>
      </c>
      <c r="D563" s="64"/>
    </row>
    <row r="564" spans="1:4">
      <c r="A564" s="73"/>
      <c r="B564" s="73"/>
      <c r="C564" s="64" t="s">
        <v>2359</v>
      </c>
      <c r="D564" s="64"/>
    </row>
    <row r="565" spans="1:4">
      <c r="A565" s="73"/>
      <c r="B565" s="73"/>
      <c r="C565" s="64" t="s">
        <v>2360</v>
      </c>
      <c r="D565" s="64"/>
    </row>
    <row r="566" spans="1:4">
      <c r="A566" s="73"/>
      <c r="B566" s="73"/>
      <c r="C566" s="64" t="s">
        <v>2361</v>
      </c>
      <c r="D566" s="64"/>
    </row>
    <row r="567" spans="1:4">
      <c r="A567" s="73"/>
      <c r="B567" s="73"/>
      <c r="C567" s="64" t="s">
        <v>2362</v>
      </c>
      <c r="D567" s="64"/>
    </row>
    <row r="568" spans="1:4">
      <c r="A568" s="73"/>
      <c r="B568" s="73"/>
      <c r="C568" s="64" t="s">
        <v>2363</v>
      </c>
      <c r="D568" s="64"/>
    </row>
    <row r="569" spans="1:4">
      <c r="A569" s="73"/>
      <c r="B569" s="73"/>
      <c r="C569" s="64" t="s">
        <v>2364</v>
      </c>
      <c r="D569" s="64"/>
    </row>
    <row r="570" spans="1:4">
      <c r="A570" s="73"/>
      <c r="B570" s="73"/>
      <c r="C570" s="64" t="s">
        <v>2365</v>
      </c>
      <c r="D570" s="64"/>
    </row>
    <row r="571" spans="1:4">
      <c r="A571" s="73"/>
      <c r="B571" s="73"/>
      <c r="C571" s="64" t="s">
        <v>2366</v>
      </c>
      <c r="D571" s="64"/>
    </row>
    <row r="572" spans="1:4">
      <c r="A572" s="73"/>
      <c r="B572" s="73"/>
      <c r="C572" s="64" t="s">
        <v>2367</v>
      </c>
      <c r="D572" s="64"/>
    </row>
    <row r="573" spans="1:4">
      <c r="A573" s="73"/>
      <c r="B573" s="73"/>
      <c r="C573" s="64" t="s">
        <v>2368</v>
      </c>
      <c r="D573" s="64"/>
    </row>
    <row r="574" spans="1:4">
      <c r="A574" s="73"/>
      <c r="B574" s="73"/>
      <c r="C574" s="64" t="s">
        <v>2369</v>
      </c>
      <c r="D574" s="64"/>
    </row>
    <row r="575" spans="1:4">
      <c r="A575" s="73"/>
      <c r="B575" s="73"/>
      <c r="C575" s="64" t="s">
        <v>2370</v>
      </c>
      <c r="D575" s="64"/>
    </row>
    <row r="576" spans="1:4">
      <c r="A576" s="73"/>
      <c r="B576" s="73"/>
      <c r="C576" s="64" t="s">
        <v>2371</v>
      </c>
      <c r="D576" s="64"/>
    </row>
    <row r="577" spans="1:5">
      <c r="A577" s="73"/>
      <c r="B577" s="73"/>
      <c r="C577" s="64" t="s">
        <v>2372</v>
      </c>
      <c r="D577" s="64"/>
    </row>
    <row r="578" spans="1:5">
      <c r="A578" s="73"/>
      <c r="B578" s="73"/>
      <c r="C578" s="64" t="s">
        <v>2373</v>
      </c>
      <c r="D578" s="64"/>
    </row>
    <row r="579" spans="1:5">
      <c r="A579" s="73"/>
      <c r="B579" s="73"/>
      <c r="C579" s="64" t="s">
        <v>2374</v>
      </c>
      <c r="D579" s="64"/>
    </row>
    <row r="580" spans="1:5">
      <c r="A580" s="73"/>
      <c r="B580" s="73"/>
      <c r="C580" s="64" t="s">
        <v>2375</v>
      </c>
      <c r="D580" s="64"/>
      <c r="E580" s="18" t="s">
        <v>1898</v>
      </c>
    </row>
    <row r="581" spans="1:5">
      <c r="A581" s="73"/>
      <c r="B581" s="73"/>
      <c r="C581" s="64" t="s">
        <v>2376</v>
      </c>
      <c r="D581" s="64"/>
      <c r="E581" s="18" t="s">
        <v>1898</v>
      </c>
    </row>
    <row r="582" spans="1:5">
      <c r="A582" s="73"/>
      <c r="B582" s="73"/>
      <c r="C582" s="64" t="s">
        <v>2377</v>
      </c>
      <c r="D582" s="64"/>
    </row>
    <row r="583" spans="1:5">
      <c r="A583" s="73"/>
      <c r="B583" s="73"/>
      <c r="C583" s="64" t="s">
        <v>2378</v>
      </c>
      <c r="D583" s="64"/>
    </row>
    <row r="584" spans="1:5">
      <c r="A584" s="73"/>
      <c r="B584" s="73"/>
      <c r="C584" s="64" t="s">
        <v>2379</v>
      </c>
      <c r="D584" s="64"/>
    </row>
    <row r="585" spans="1:5">
      <c r="A585" s="73"/>
      <c r="B585" s="73"/>
      <c r="C585" s="64" t="s">
        <v>2380</v>
      </c>
      <c r="D585" s="64"/>
    </row>
    <row r="586" spans="1:5">
      <c r="A586" s="73"/>
      <c r="B586" s="73"/>
      <c r="C586" s="64" t="s">
        <v>2381</v>
      </c>
      <c r="D586" s="64"/>
    </row>
    <row r="587" spans="1:5">
      <c r="A587" s="73"/>
      <c r="B587" s="73"/>
      <c r="C587" s="64" t="s">
        <v>2382</v>
      </c>
      <c r="D587" s="64"/>
    </row>
    <row r="588" spans="1:5">
      <c r="A588" s="73"/>
      <c r="B588" s="73"/>
      <c r="C588" s="64" t="s">
        <v>2383</v>
      </c>
      <c r="D588" s="64"/>
    </row>
    <row r="589" spans="1:5">
      <c r="A589" s="73"/>
      <c r="B589" s="73"/>
      <c r="C589" s="64" t="s">
        <v>2384</v>
      </c>
      <c r="D589" s="64"/>
    </row>
    <row r="590" spans="1:5">
      <c r="A590" s="73"/>
      <c r="B590" s="73"/>
      <c r="C590" s="64" t="s">
        <v>2385</v>
      </c>
      <c r="D590" s="64"/>
    </row>
    <row r="591" spans="1:5">
      <c r="A591" s="74"/>
      <c r="B591" s="74"/>
      <c r="C591" s="64" t="s">
        <v>2386</v>
      </c>
      <c r="D591" s="64"/>
    </row>
    <row r="592" spans="1:5">
      <c r="A592" s="71"/>
      <c r="B592" s="129" t="s">
        <v>1758</v>
      </c>
      <c r="C592" s="61" t="s">
        <v>1779</v>
      </c>
      <c r="D592" s="61"/>
    </row>
    <row r="593" spans="1:5">
      <c r="A593" s="71"/>
      <c r="B593" s="129"/>
      <c r="C593" s="61" t="s">
        <v>2387</v>
      </c>
      <c r="D593" s="61"/>
    </row>
    <row r="594" spans="1:5">
      <c r="A594" s="71"/>
      <c r="B594" s="129"/>
      <c r="C594" s="61" t="s">
        <v>31</v>
      </c>
      <c r="D594" s="61"/>
    </row>
    <row r="595" spans="1:5">
      <c r="A595" s="75"/>
      <c r="B595" s="81" t="s">
        <v>142</v>
      </c>
      <c r="C595" s="64" t="s">
        <v>787</v>
      </c>
      <c r="D595" s="64"/>
      <c r="E595" s="136"/>
    </row>
    <row r="596" spans="1:5">
      <c r="A596" s="130"/>
      <c r="B596" s="132"/>
      <c r="C596" s="131" t="s">
        <v>154</v>
      </c>
      <c r="D596" s="64"/>
    </row>
    <row r="597" spans="1:5">
      <c r="A597" s="124"/>
      <c r="B597" s="124" t="s">
        <v>1498</v>
      </c>
      <c r="C597" s="61" t="s">
        <v>2388</v>
      </c>
      <c r="D597" s="61"/>
    </row>
    <row r="598" spans="1:5">
      <c r="A598" s="71"/>
      <c r="B598" s="71"/>
      <c r="C598" s="61" t="s">
        <v>1619</v>
      </c>
      <c r="D598" s="61"/>
    </row>
    <row r="599" spans="1:5">
      <c r="A599" s="71"/>
      <c r="B599" s="71"/>
      <c r="C599" s="61" t="s">
        <v>2389</v>
      </c>
      <c r="D599" s="61"/>
    </row>
    <row r="600" spans="1:5">
      <c r="A600" s="71"/>
      <c r="B600" s="71"/>
      <c r="C600" s="61" t="s">
        <v>2390</v>
      </c>
      <c r="D600" s="61"/>
    </row>
    <row r="601" spans="1:5">
      <c r="A601" s="71"/>
      <c r="B601" s="71"/>
      <c r="C601" s="61" t="s">
        <v>2391</v>
      </c>
      <c r="D601" s="61"/>
    </row>
    <row r="602" spans="1:5">
      <c r="A602" s="71"/>
      <c r="B602" s="71"/>
      <c r="C602" s="61" t="s">
        <v>2392</v>
      </c>
      <c r="D602" s="61"/>
    </row>
    <row r="603" spans="1:5">
      <c r="A603" s="71"/>
      <c r="B603" s="71"/>
      <c r="C603" s="61" t="s">
        <v>1556</v>
      </c>
      <c r="D603" s="61"/>
    </row>
    <row r="604" spans="1:5">
      <c r="A604" s="71"/>
      <c r="B604" s="71"/>
      <c r="C604" s="61" t="s">
        <v>1593</v>
      </c>
      <c r="D604" s="61"/>
    </row>
    <row r="605" spans="1:5">
      <c r="A605" s="71"/>
      <c r="B605" s="71"/>
      <c r="C605" s="61" t="s">
        <v>2393</v>
      </c>
      <c r="D605" s="61"/>
    </row>
    <row r="606" spans="1:5">
      <c r="A606" s="71"/>
      <c r="B606" s="71"/>
      <c r="C606" s="61" t="s">
        <v>2394</v>
      </c>
      <c r="D606" s="61"/>
    </row>
    <row r="607" spans="1:5">
      <c r="A607" s="71"/>
      <c r="B607" s="71"/>
      <c r="C607" s="61" t="s">
        <v>1571</v>
      </c>
      <c r="D607" s="61"/>
    </row>
    <row r="608" spans="1:5">
      <c r="A608" s="71"/>
      <c r="B608" s="71"/>
      <c r="C608" s="61" t="s">
        <v>1563</v>
      </c>
      <c r="D608" s="61"/>
    </row>
    <row r="609" spans="1:5">
      <c r="A609" s="71"/>
      <c r="B609" s="71"/>
      <c r="C609" s="61" t="s">
        <v>1588</v>
      </c>
      <c r="D609" s="61"/>
    </row>
    <row r="610" spans="1:5">
      <c r="A610" s="71"/>
      <c r="B610" s="71"/>
      <c r="C610" s="61" t="s">
        <v>1507</v>
      </c>
      <c r="D610" s="61"/>
    </row>
    <row r="611" spans="1:5">
      <c r="A611" s="71"/>
      <c r="B611" s="71"/>
      <c r="C611" s="61" t="s">
        <v>2395</v>
      </c>
      <c r="D611" s="61"/>
    </row>
    <row r="612" spans="1:5">
      <c r="A612" s="71"/>
      <c r="B612" s="71"/>
      <c r="C612" s="61" t="s">
        <v>1521</v>
      </c>
      <c r="D612" s="61"/>
    </row>
    <row r="613" spans="1:5">
      <c r="A613" s="71"/>
      <c r="B613" s="71"/>
      <c r="C613" s="61" t="s">
        <v>2396</v>
      </c>
      <c r="D613" s="61"/>
    </row>
    <row r="614" spans="1:5">
      <c r="A614" s="71"/>
      <c r="B614" s="71"/>
      <c r="C614" s="61" t="s">
        <v>1535</v>
      </c>
      <c r="D614" s="61"/>
    </row>
    <row r="615" spans="1:5">
      <c r="A615" s="71"/>
      <c r="B615" s="71"/>
      <c r="C615" s="61" t="s">
        <v>2397</v>
      </c>
      <c r="D615" s="61"/>
    </row>
    <row r="616" spans="1:5">
      <c r="A616" s="71"/>
      <c r="B616" s="71"/>
      <c r="C616" s="61" t="s">
        <v>2398</v>
      </c>
      <c r="D616" s="61"/>
    </row>
    <row r="617" spans="1:5">
      <c r="A617" s="71"/>
      <c r="B617" s="71"/>
      <c r="C617" s="61" t="s">
        <v>2399</v>
      </c>
      <c r="D617" s="61"/>
    </row>
    <row r="618" spans="1:5">
      <c r="A618" s="71"/>
      <c r="B618" s="71"/>
      <c r="C618" s="61" t="s">
        <v>2400</v>
      </c>
      <c r="D618" s="61"/>
    </row>
    <row r="619" spans="1:5">
      <c r="A619" s="71"/>
      <c r="B619" s="71"/>
      <c r="C619" s="61" t="s">
        <v>2401</v>
      </c>
      <c r="D619" s="61"/>
    </row>
    <row r="620" spans="1:5">
      <c r="A620" s="71"/>
      <c r="B620" s="71"/>
      <c r="C620" s="61" t="s">
        <v>999</v>
      </c>
      <c r="D620" s="61"/>
    </row>
    <row r="621" spans="1:5">
      <c r="A621" s="71"/>
      <c r="B621" s="71"/>
      <c r="C621" s="61" t="s">
        <v>2402</v>
      </c>
      <c r="D621" s="61"/>
      <c r="E621" s="18" t="s">
        <v>1898</v>
      </c>
    </row>
    <row r="622" spans="1:5">
      <c r="A622" s="75"/>
      <c r="B622" s="75" t="s">
        <v>1796</v>
      </c>
      <c r="C622" s="64" t="s">
        <v>2403</v>
      </c>
      <c r="D622" s="64"/>
    </row>
    <row r="623" spans="1:5">
      <c r="A623" s="76"/>
      <c r="B623" s="76"/>
      <c r="C623" s="64" t="s">
        <v>2404</v>
      </c>
      <c r="D623" s="64"/>
    </row>
    <row r="624" spans="1:5">
      <c r="A624" s="76"/>
      <c r="B624" s="76"/>
      <c r="C624" s="64" t="s">
        <v>2405</v>
      </c>
      <c r="D624" s="64"/>
    </row>
    <row r="625" spans="1:5">
      <c r="A625" s="76"/>
      <c r="B625" s="76"/>
      <c r="C625" s="64" t="s">
        <v>2406</v>
      </c>
      <c r="D625" s="64"/>
    </row>
    <row r="626" spans="1:5">
      <c r="A626" s="76"/>
      <c r="B626" s="76"/>
      <c r="C626" s="64" t="s">
        <v>2407</v>
      </c>
      <c r="D626" s="64"/>
      <c r="E626" s="18" t="s">
        <v>1898</v>
      </c>
    </row>
    <row r="627" spans="1:5">
      <c r="A627" s="76"/>
      <c r="B627" s="76"/>
      <c r="C627" s="64" t="s">
        <v>2408</v>
      </c>
      <c r="D627" s="64"/>
    </row>
    <row r="628" spans="1:5">
      <c r="A628" s="76"/>
      <c r="B628" s="76"/>
      <c r="C628" s="64" t="s">
        <v>2409</v>
      </c>
      <c r="D628" s="64"/>
    </row>
    <row r="629" spans="1:5">
      <c r="A629" s="76"/>
      <c r="B629" s="76"/>
      <c r="C629" s="64" t="s">
        <v>502</v>
      </c>
      <c r="D629" s="64"/>
    </row>
    <row r="630" spans="1:5">
      <c r="A630" s="76"/>
      <c r="B630" s="76"/>
      <c r="C630" s="64" t="s">
        <v>2410</v>
      </c>
      <c r="D630" s="64"/>
    </row>
    <row r="631" spans="1:5">
      <c r="A631" s="76"/>
      <c r="B631" s="76"/>
      <c r="C631" s="64" t="s">
        <v>2411</v>
      </c>
      <c r="D631" s="64"/>
    </row>
    <row r="632" spans="1:5">
      <c r="A632" s="76"/>
      <c r="B632" s="76"/>
      <c r="C632" s="64" t="s">
        <v>2412</v>
      </c>
      <c r="D632" s="64"/>
    </row>
    <row r="633" spans="1:5">
      <c r="A633" s="77"/>
      <c r="B633" s="77"/>
      <c r="C633" s="64" t="s">
        <v>31</v>
      </c>
      <c r="D633" s="64"/>
    </row>
    <row r="634" spans="1:5">
      <c r="A634" s="71"/>
      <c r="B634" s="129" t="s">
        <v>1797</v>
      </c>
      <c r="C634" s="61" t="s">
        <v>2413</v>
      </c>
      <c r="D634" s="61" t="s">
        <v>2414</v>
      </c>
    </row>
    <row r="635" spans="1:5">
      <c r="A635" s="71"/>
      <c r="B635" s="129"/>
      <c r="C635" s="61" t="s">
        <v>2415</v>
      </c>
      <c r="D635" s="61" t="s">
        <v>2416</v>
      </c>
    </row>
    <row r="636" spans="1:5">
      <c r="A636" s="71"/>
      <c r="B636" s="129"/>
      <c r="C636" s="61" t="s">
        <v>2417</v>
      </c>
      <c r="D636" s="61" t="s">
        <v>2418</v>
      </c>
    </row>
    <row r="637" spans="1:5">
      <c r="A637" s="71"/>
      <c r="B637" s="129"/>
      <c r="C637" s="61" t="s">
        <v>2419</v>
      </c>
      <c r="D637" s="61" t="s">
        <v>2420</v>
      </c>
    </row>
    <row r="638" spans="1:5">
      <c r="A638" s="71"/>
      <c r="B638" s="129"/>
      <c r="C638" s="61" t="s">
        <v>2421</v>
      </c>
      <c r="D638" s="61" t="s">
        <v>2422</v>
      </c>
    </row>
    <row r="639" spans="1:5">
      <c r="A639" s="71"/>
      <c r="B639" s="129"/>
      <c r="C639" s="61" t="s">
        <v>2423</v>
      </c>
      <c r="D639" s="61" t="s">
        <v>2424</v>
      </c>
    </row>
    <row r="640" spans="1:5">
      <c r="A640" s="71"/>
      <c r="B640" s="129"/>
      <c r="C640" s="61" t="s">
        <v>2425</v>
      </c>
      <c r="D640" s="61" t="s">
        <v>2426</v>
      </c>
    </row>
    <row r="641" spans="1:4">
      <c r="A641" s="71"/>
      <c r="B641" s="129"/>
      <c r="C641" s="61" t="s">
        <v>2427</v>
      </c>
      <c r="D641" s="61" t="s">
        <v>2427</v>
      </c>
    </row>
    <row r="642" spans="1:4">
      <c r="A642" s="71"/>
      <c r="B642" s="129"/>
      <c r="C642" s="61" t="s">
        <v>31</v>
      </c>
      <c r="D642" s="61"/>
    </row>
    <row r="643" spans="1:4">
      <c r="A643" s="78"/>
      <c r="B643" s="78" t="s">
        <v>2428</v>
      </c>
      <c r="C643" s="64" t="s">
        <v>2429</v>
      </c>
      <c r="D643" s="64" t="s">
        <v>2430</v>
      </c>
    </row>
    <row r="644" spans="1:4">
      <c r="A644" s="79"/>
      <c r="B644" s="79"/>
      <c r="C644" s="64" t="s">
        <v>2431</v>
      </c>
      <c r="D644" s="64" t="s">
        <v>2432</v>
      </c>
    </row>
    <row r="645" spans="1:4">
      <c r="A645" s="79"/>
      <c r="B645" s="79"/>
      <c r="C645" s="64" t="s">
        <v>2433</v>
      </c>
      <c r="D645" s="64" t="s">
        <v>2434</v>
      </c>
    </row>
    <row r="646" spans="1:4">
      <c r="A646" s="79"/>
      <c r="B646" s="79"/>
      <c r="C646" s="64" t="s">
        <v>2435</v>
      </c>
      <c r="D646" s="64" t="s">
        <v>2436</v>
      </c>
    </row>
    <row r="647" spans="1:4">
      <c r="A647" s="79"/>
      <c r="B647" s="79"/>
      <c r="C647" s="64" t="s">
        <v>2437</v>
      </c>
      <c r="D647" s="64"/>
    </row>
    <row r="648" spans="1:4">
      <c r="A648" s="80"/>
      <c r="B648" s="80"/>
      <c r="C648" s="64" t="s">
        <v>31</v>
      </c>
      <c r="D648" s="64"/>
    </row>
    <row r="649" spans="1:4">
      <c r="A649" s="71"/>
      <c r="B649" s="129" t="s">
        <v>1370</v>
      </c>
      <c r="C649" s="61" t="s">
        <v>1391</v>
      </c>
      <c r="D649" s="61"/>
    </row>
    <row r="650" spans="1:4">
      <c r="A650" s="71"/>
      <c r="B650" s="129"/>
      <c r="C650" s="61" t="s">
        <v>1511</v>
      </c>
      <c r="D650" s="61"/>
    </row>
    <row r="651" spans="1:4">
      <c r="A651" s="71"/>
      <c r="B651" s="129"/>
      <c r="C651" s="61" t="s">
        <v>1413</v>
      </c>
      <c r="D651" s="61"/>
    </row>
    <row r="652" spans="1:4">
      <c r="A652" s="71"/>
      <c r="B652" s="129"/>
      <c r="C652" s="61" t="s">
        <v>1478</v>
      </c>
      <c r="D652" s="61"/>
    </row>
    <row r="653" spans="1:4">
      <c r="A653" s="71"/>
      <c r="B653" s="129"/>
      <c r="C653" s="61" t="s">
        <v>31</v>
      </c>
      <c r="D653" s="61"/>
    </row>
    <row r="654" spans="1:4">
      <c r="A654" s="78"/>
      <c r="B654" s="78" t="s">
        <v>1371</v>
      </c>
      <c r="C654" s="64" t="s">
        <v>1381</v>
      </c>
      <c r="D654" s="64"/>
    </row>
    <row r="655" spans="1:4">
      <c r="A655" s="79"/>
      <c r="B655" s="79"/>
      <c r="C655" s="64" t="s">
        <v>1392</v>
      </c>
      <c r="D655" s="64"/>
    </row>
    <row r="656" spans="1:4">
      <c r="A656" s="71"/>
      <c r="B656" s="129" t="s">
        <v>22</v>
      </c>
      <c r="C656" s="61" t="s">
        <v>36</v>
      </c>
      <c r="D656" s="61"/>
    </row>
    <row r="657" spans="1:4">
      <c r="A657" s="71"/>
      <c r="B657" s="129"/>
      <c r="C657" s="61" t="s">
        <v>2438</v>
      </c>
      <c r="D657" s="61"/>
    </row>
    <row r="658" spans="1:4">
      <c r="A658" s="78"/>
      <c r="B658" s="78" t="s">
        <v>1710</v>
      </c>
      <c r="C658" s="64" t="s">
        <v>2439</v>
      </c>
      <c r="D658" s="64"/>
    </row>
    <row r="659" spans="1:4">
      <c r="A659" s="79"/>
      <c r="B659" s="79"/>
      <c r="C659" s="64" t="s">
        <v>1733</v>
      </c>
      <c r="D659" s="64"/>
    </row>
    <row r="660" spans="1:4">
      <c r="A660" s="79"/>
      <c r="B660" s="79"/>
      <c r="C660" s="64" t="s">
        <v>2440</v>
      </c>
      <c r="D660" s="64"/>
    </row>
    <row r="661" spans="1:4">
      <c r="A661" s="79"/>
      <c r="B661" s="79"/>
      <c r="C661" s="64" t="s">
        <v>1743</v>
      </c>
      <c r="D661" s="64"/>
    </row>
    <row r="662" spans="1:4">
      <c r="A662" s="79"/>
      <c r="B662" s="79"/>
      <c r="C662" s="64" t="s">
        <v>2441</v>
      </c>
      <c r="D662" s="64"/>
    </row>
    <row r="663" spans="1:4">
      <c r="A663" s="79"/>
      <c r="B663" s="79"/>
      <c r="C663" s="64" t="s">
        <v>2442</v>
      </c>
      <c r="D663" s="64"/>
    </row>
    <row r="664" spans="1:4">
      <c r="A664" s="79"/>
      <c r="B664" s="79"/>
      <c r="C664" s="64" t="s">
        <v>31</v>
      </c>
      <c r="D664" s="64"/>
    </row>
    <row r="665" spans="1:4">
      <c r="A665" s="80"/>
      <c r="B665" s="80"/>
      <c r="C665" s="64" t="s">
        <v>1730</v>
      </c>
      <c r="D665" s="64"/>
    </row>
    <row r="666" spans="1:4">
      <c r="A666" s="71"/>
      <c r="B666" s="129" t="s">
        <v>1711</v>
      </c>
      <c r="C666" s="61" t="s">
        <v>2443</v>
      </c>
      <c r="D666" s="61"/>
    </row>
    <row r="667" spans="1:4">
      <c r="A667" s="71"/>
      <c r="B667" s="129"/>
      <c r="C667" s="61" t="s">
        <v>2444</v>
      </c>
      <c r="D667" s="61"/>
    </row>
    <row r="668" spans="1:4">
      <c r="A668" s="78"/>
      <c r="B668" s="78" t="s">
        <v>140</v>
      </c>
      <c r="C668" s="64" t="s">
        <v>2445</v>
      </c>
      <c r="D668" s="64"/>
    </row>
    <row r="669" spans="1:4">
      <c r="A669" s="79"/>
      <c r="B669" s="79"/>
      <c r="C669" s="64" t="s">
        <v>2446</v>
      </c>
      <c r="D669" s="64"/>
    </row>
    <row r="670" spans="1:4">
      <c r="A670" s="79"/>
      <c r="B670" s="79"/>
      <c r="C670" s="64" t="s">
        <v>2447</v>
      </c>
      <c r="D670" s="64"/>
    </row>
    <row r="671" spans="1:4">
      <c r="A671" s="79"/>
      <c r="B671" s="79"/>
      <c r="C671" s="64" t="s">
        <v>2448</v>
      </c>
      <c r="D671" s="64"/>
    </row>
    <row r="672" spans="1:4">
      <c r="A672" s="79"/>
      <c r="B672" s="79"/>
      <c r="C672" s="64" t="s">
        <v>2449</v>
      </c>
      <c r="D672" s="64"/>
    </row>
    <row r="673" spans="1:4">
      <c r="A673" s="79"/>
      <c r="B673" s="79"/>
      <c r="C673" s="64" t="s">
        <v>2450</v>
      </c>
      <c r="D673" s="64"/>
    </row>
    <row r="674" spans="1:4">
      <c r="A674" s="79"/>
      <c r="B674" s="79"/>
      <c r="C674" s="64" t="s">
        <v>2451</v>
      </c>
      <c r="D674" s="64"/>
    </row>
    <row r="675" spans="1:4">
      <c r="A675" s="79"/>
      <c r="B675" s="79"/>
      <c r="C675" s="64" t="s">
        <v>2452</v>
      </c>
      <c r="D675" s="64"/>
    </row>
    <row r="676" spans="1:4">
      <c r="A676" s="79"/>
      <c r="B676" s="79"/>
      <c r="C676" s="64" t="s">
        <v>2453</v>
      </c>
      <c r="D676" s="64"/>
    </row>
    <row r="677" spans="1:4">
      <c r="A677" s="79"/>
      <c r="B677" s="79"/>
      <c r="C677" s="64" t="s">
        <v>2454</v>
      </c>
      <c r="D677" s="64"/>
    </row>
    <row r="678" spans="1:4">
      <c r="A678" s="79"/>
      <c r="B678" s="79"/>
      <c r="C678" s="64" t="s">
        <v>999</v>
      </c>
      <c r="D678" s="64"/>
    </row>
    <row r="679" spans="1:4">
      <c r="A679" s="80"/>
      <c r="B679" s="80"/>
      <c r="C679" s="64" t="s">
        <v>1730</v>
      </c>
      <c r="D679" s="64"/>
    </row>
    <row r="680" spans="1:4">
      <c r="A680" s="100"/>
      <c r="B680" s="100" t="s">
        <v>1714</v>
      </c>
      <c r="C680" s="61" t="s">
        <v>2439</v>
      </c>
      <c r="D680" s="61"/>
    </row>
    <row r="681" spans="1:4">
      <c r="A681" s="102"/>
      <c r="B681" s="102"/>
      <c r="C681" s="61" t="s">
        <v>1733</v>
      </c>
      <c r="D681" s="61"/>
    </row>
    <row r="682" spans="1:4">
      <c r="A682" s="102"/>
      <c r="B682" s="102"/>
      <c r="C682" s="61" t="s">
        <v>2440</v>
      </c>
      <c r="D682" s="61"/>
    </row>
    <row r="683" spans="1:4">
      <c r="A683" s="102"/>
      <c r="B683" s="102"/>
      <c r="C683" s="61" t="s">
        <v>1743</v>
      </c>
      <c r="D683" s="61"/>
    </row>
    <row r="684" spans="1:4">
      <c r="A684" s="102"/>
      <c r="B684" s="102"/>
      <c r="C684" s="61" t="s">
        <v>2441</v>
      </c>
      <c r="D684" s="61"/>
    </row>
    <row r="685" spans="1:4">
      <c r="A685" s="102"/>
      <c r="B685" s="102"/>
      <c r="C685" s="61" t="s">
        <v>2442</v>
      </c>
      <c r="D685" s="61"/>
    </row>
    <row r="686" spans="1:4">
      <c r="A686" s="102"/>
      <c r="B686" s="102"/>
      <c r="C686" s="61" t="s">
        <v>31</v>
      </c>
      <c r="D686" s="61"/>
    </row>
    <row r="687" spans="1:4">
      <c r="A687" s="102"/>
      <c r="B687" s="102"/>
      <c r="C687" s="61" t="s">
        <v>1730</v>
      </c>
      <c r="D687" s="61"/>
    </row>
    <row r="688" spans="1:4">
      <c r="A688" s="78"/>
      <c r="B688" s="75" t="s">
        <v>2455</v>
      </c>
      <c r="C688" s="64" t="s">
        <v>2456</v>
      </c>
      <c r="D688" s="64"/>
    </row>
    <row r="689" spans="1:4">
      <c r="A689" s="79"/>
      <c r="B689" s="77"/>
      <c r="C689" s="64" t="s">
        <v>2457</v>
      </c>
      <c r="D689" s="64"/>
    </row>
    <row r="690" spans="1:4">
      <c r="A690" s="100"/>
      <c r="B690" s="100" t="s">
        <v>1713</v>
      </c>
      <c r="C690" s="61" t="s">
        <v>1732</v>
      </c>
      <c r="D690" s="61"/>
    </row>
    <row r="691" spans="1:4">
      <c r="A691" s="102"/>
      <c r="B691" s="102"/>
      <c r="C691" s="61" t="s">
        <v>2458</v>
      </c>
      <c r="D691" s="61"/>
    </row>
    <row r="692" spans="1:4">
      <c r="A692" s="78"/>
      <c r="B692" s="78" t="s">
        <v>1705</v>
      </c>
      <c r="C692" s="64" t="s">
        <v>2459</v>
      </c>
      <c r="D692" s="64"/>
    </row>
    <row r="693" spans="1:4">
      <c r="A693" s="79"/>
      <c r="B693" s="79"/>
      <c r="C693" s="64" t="s">
        <v>2315</v>
      </c>
      <c r="D693" s="64"/>
    </row>
    <row r="694" spans="1:4">
      <c r="A694" s="79"/>
      <c r="B694" s="79"/>
      <c r="C694" s="64" t="s">
        <v>1725</v>
      </c>
      <c r="D694" s="64"/>
    </row>
    <row r="695" spans="1:4">
      <c r="A695" s="79"/>
      <c r="B695" s="79"/>
      <c r="C695" s="64" t="s">
        <v>2460</v>
      </c>
      <c r="D695" s="64"/>
    </row>
    <row r="696" spans="1:4">
      <c r="A696" s="79"/>
      <c r="B696" s="79"/>
      <c r="C696" s="64" t="s">
        <v>739</v>
      </c>
      <c r="D696" s="64"/>
    </row>
    <row r="697" spans="1:4">
      <c r="A697" s="79"/>
      <c r="B697" s="79"/>
      <c r="C697" s="64" t="s">
        <v>137</v>
      </c>
      <c r="D697" s="64"/>
    </row>
    <row r="698" spans="1:4">
      <c r="A698" s="79"/>
      <c r="B698" s="79"/>
      <c r="C698" s="64" t="s">
        <v>2461</v>
      </c>
      <c r="D698" s="64"/>
    </row>
    <row r="699" spans="1:4">
      <c r="A699" s="79"/>
      <c r="B699" s="79"/>
      <c r="C699" s="64" t="s">
        <v>2462</v>
      </c>
      <c r="D699" s="64"/>
    </row>
    <row r="700" spans="1:4">
      <c r="A700" s="79"/>
      <c r="B700" s="79"/>
      <c r="C700" s="64" t="s">
        <v>31</v>
      </c>
      <c r="D700" s="64"/>
    </row>
    <row r="701" spans="1:4">
      <c r="A701" s="100"/>
      <c r="B701" s="100" t="s">
        <v>1706</v>
      </c>
      <c r="C701" s="61" t="s">
        <v>2078</v>
      </c>
      <c r="D701" s="61"/>
    </row>
    <row r="702" spans="1:4">
      <c r="A702" s="102"/>
      <c r="B702" s="102"/>
      <c r="C702" s="61" t="s">
        <v>292</v>
      </c>
      <c r="D702" s="61"/>
    </row>
    <row r="703" spans="1:4">
      <c r="A703" s="102"/>
      <c r="B703" s="102"/>
      <c r="C703" s="61" t="s">
        <v>2079</v>
      </c>
      <c r="D703" s="61"/>
    </row>
    <row r="704" spans="1:4">
      <c r="A704" s="102"/>
      <c r="B704" s="102"/>
      <c r="C704" s="61" t="s">
        <v>813</v>
      </c>
      <c r="D704" s="61"/>
    </row>
    <row r="705" spans="1:5">
      <c r="A705" s="102"/>
      <c r="B705" s="102"/>
      <c r="C705" s="61" t="s">
        <v>234</v>
      </c>
      <c r="D705" s="61"/>
    </row>
    <row r="706" spans="1:5">
      <c r="A706" s="102"/>
      <c r="B706" s="102"/>
      <c r="C706" s="61" t="s">
        <v>222</v>
      </c>
      <c r="D706" s="61"/>
    </row>
    <row r="707" spans="1:5">
      <c r="A707" s="102"/>
      <c r="B707" s="102"/>
      <c r="C707" s="61" t="s">
        <v>425</v>
      </c>
      <c r="D707" s="61"/>
    </row>
    <row r="708" spans="1:5">
      <c r="A708" s="102"/>
      <c r="B708" s="102"/>
      <c r="C708" s="61" t="s">
        <v>1459</v>
      </c>
      <c r="D708" s="61"/>
    </row>
    <row r="709" spans="1:5">
      <c r="A709" s="102"/>
      <c r="B709" s="102"/>
      <c r="C709" s="61" t="s">
        <v>176</v>
      </c>
      <c r="D709" s="61"/>
    </row>
    <row r="710" spans="1:5">
      <c r="A710" s="102"/>
      <c r="B710" s="102"/>
      <c r="C710" s="61" t="s">
        <v>554</v>
      </c>
      <c r="D710" s="61"/>
    </row>
    <row r="711" spans="1:5">
      <c r="A711" s="102"/>
      <c r="B711" s="102"/>
      <c r="C711" s="61" t="s">
        <v>645</v>
      </c>
      <c r="D711" s="61"/>
    </row>
    <row r="712" spans="1:5">
      <c r="A712" s="102"/>
      <c r="B712" s="102"/>
      <c r="C712" s="61" t="s">
        <v>282</v>
      </c>
      <c r="D712" s="61"/>
    </row>
    <row r="713" spans="1:5">
      <c r="A713" s="102"/>
      <c r="B713" s="102"/>
      <c r="C713" s="61" t="s">
        <v>2081</v>
      </c>
      <c r="D713" s="61"/>
    </row>
    <row r="714" spans="1:5">
      <c r="A714" s="102"/>
      <c r="B714" s="102"/>
      <c r="C714" s="61" t="s">
        <v>2082</v>
      </c>
      <c r="D714" s="61"/>
    </row>
    <row r="715" spans="1:5">
      <c r="A715" s="102"/>
      <c r="B715" s="102"/>
      <c r="C715" s="61" t="s">
        <v>208</v>
      </c>
      <c r="D715" s="61"/>
    </row>
    <row r="716" spans="1:5">
      <c r="A716" s="102"/>
      <c r="B716" s="102"/>
      <c r="C716" s="61" t="s">
        <v>1388</v>
      </c>
      <c r="D716" s="61" t="s">
        <v>2083</v>
      </c>
      <c r="E716" s="18" t="s">
        <v>1898</v>
      </c>
    </row>
    <row r="717" spans="1:5">
      <c r="A717" s="102"/>
      <c r="B717" s="102"/>
      <c r="C717" s="61" t="s">
        <v>335</v>
      </c>
      <c r="D717" s="61"/>
    </row>
    <row r="718" spans="1:5">
      <c r="A718" s="102"/>
      <c r="B718" s="102"/>
      <c r="C718" s="61" t="s">
        <v>2084</v>
      </c>
      <c r="D718" s="61"/>
    </row>
    <row r="719" spans="1:5">
      <c r="A719" s="102"/>
      <c r="B719" s="102"/>
      <c r="C719" s="61" t="s">
        <v>548</v>
      </c>
      <c r="D719" s="61"/>
    </row>
    <row r="720" spans="1:5">
      <c r="A720" s="102"/>
      <c r="B720" s="102"/>
      <c r="C720" s="61" t="s">
        <v>2085</v>
      </c>
      <c r="D720" s="61"/>
    </row>
    <row r="721" spans="1:4">
      <c r="A721" s="102"/>
      <c r="B721" s="102"/>
      <c r="C721" s="61" t="s">
        <v>741</v>
      </c>
      <c r="D721" s="61"/>
    </row>
    <row r="722" spans="1:4">
      <c r="A722" s="102"/>
      <c r="B722" s="102"/>
      <c r="C722" s="61" t="s">
        <v>639</v>
      </c>
      <c r="D722" s="61"/>
    </row>
    <row r="723" spans="1:4">
      <c r="A723" s="102"/>
      <c r="B723" s="102"/>
      <c r="C723" s="61" t="s">
        <v>2086</v>
      </c>
      <c r="D723" s="61"/>
    </row>
    <row r="724" spans="1:4">
      <c r="A724" s="102"/>
      <c r="B724" s="102"/>
      <c r="C724" s="61" t="s">
        <v>728</v>
      </c>
      <c r="D724" s="61"/>
    </row>
    <row r="725" spans="1:4">
      <c r="A725" s="102"/>
      <c r="B725" s="102"/>
      <c r="C725" s="61" t="s">
        <v>502</v>
      </c>
      <c r="D725" s="61"/>
    </row>
    <row r="726" spans="1:4">
      <c r="A726" s="102"/>
      <c r="B726" s="102"/>
      <c r="C726" s="61" t="s">
        <v>826</v>
      </c>
      <c r="D726" s="61"/>
    </row>
    <row r="727" spans="1:4">
      <c r="A727" s="102"/>
      <c r="B727" s="102"/>
      <c r="C727" s="61" t="s">
        <v>184</v>
      </c>
      <c r="D727" s="61"/>
    </row>
    <row r="728" spans="1:4">
      <c r="A728" s="102"/>
      <c r="B728" s="102"/>
      <c r="C728" s="61" t="s">
        <v>167</v>
      </c>
      <c r="D728" s="61"/>
    </row>
    <row r="729" spans="1:4">
      <c r="A729" s="102"/>
      <c r="B729" s="102"/>
      <c r="C729" s="61" t="s">
        <v>153</v>
      </c>
      <c r="D729" s="61"/>
    </row>
    <row r="730" spans="1:4">
      <c r="A730" s="102"/>
      <c r="B730" s="102"/>
      <c r="C730" s="61" t="s">
        <v>774</v>
      </c>
      <c r="D730" s="61"/>
    </row>
    <row r="731" spans="1:4">
      <c r="A731" s="102"/>
      <c r="B731" s="102"/>
      <c r="C731" s="61" t="s">
        <v>2087</v>
      </c>
      <c r="D731" s="61"/>
    </row>
    <row r="732" spans="1:4">
      <c r="A732" s="102"/>
      <c r="B732" s="102"/>
      <c r="C732" s="61" t="s">
        <v>2088</v>
      </c>
      <c r="D732" s="61"/>
    </row>
    <row r="733" spans="1:4">
      <c r="A733" s="102"/>
      <c r="B733" s="102"/>
      <c r="C733" s="61" t="s">
        <v>2089</v>
      </c>
      <c r="D733" s="61"/>
    </row>
    <row r="734" spans="1:4">
      <c r="A734" s="102"/>
      <c r="B734" s="102"/>
      <c r="C734" s="61" t="s">
        <v>2090</v>
      </c>
      <c r="D734" s="61"/>
    </row>
    <row r="735" spans="1:4">
      <c r="A735" s="102"/>
      <c r="B735" s="102"/>
      <c r="C735" s="61" t="s">
        <v>2091</v>
      </c>
      <c r="D735" s="61"/>
    </row>
    <row r="736" spans="1:4">
      <c r="A736" s="102"/>
      <c r="B736" s="102"/>
      <c r="C736" s="61" t="s">
        <v>2092</v>
      </c>
      <c r="D736" s="61"/>
    </row>
    <row r="737" spans="1:4">
      <c r="A737" s="102"/>
      <c r="B737" s="102"/>
      <c r="C737" s="61" t="s">
        <v>2093</v>
      </c>
      <c r="D737" s="61"/>
    </row>
    <row r="738" spans="1:4">
      <c r="A738" s="102"/>
      <c r="B738" s="102"/>
      <c r="C738" s="61" t="s">
        <v>2094</v>
      </c>
      <c r="D738" s="61"/>
    </row>
    <row r="739" spans="1:4">
      <c r="A739" s="102"/>
      <c r="B739" s="102"/>
      <c r="C739" s="61" t="s">
        <v>520</v>
      </c>
      <c r="D739" s="61"/>
    </row>
    <row r="740" spans="1:4">
      <c r="A740" s="102"/>
      <c r="B740" s="102"/>
      <c r="C740" s="61" t="s">
        <v>484</v>
      </c>
      <c r="D740" s="61"/>
    </row>
    <row r="741" spans="1:4">
      <c r="A741" s="102"/>
      <c r="B741" s="102"/>
      <c r="C741" s="61" t="s">
        <v>193</v>
      </c>
      <c r="D741" s="61"/>
    </row>
    <row r="742" spans="1:4">
      <c r="A742" s="102"/>
      <c r="B742" s="102"/>
      <c r="C742" s="61" t="s">
        <v>353</v>
      </c>
      <c r="D742" s="61"/>
    </row>
    <row r="743" spans="1:4">
      <c r="A743" s="102"/>
      <c r="B743" s="102"/>
      <c r="C743" s="61" t="s">
        <v>2095</v>
      </c>
      <c r="D743" s="61"/>
    </row>
    <row r="744" spans="1:4">
      <c r="A744" s="102"/>
      <c r="B744" s="102"/>
      <c r="C744" s="61" t="s">
        <v>809</v>
      </c>
      <c r="D744" s="61"/>
    </row>
    <row r="745" spans="1:4">
      <c r="A745" s="102"/>
      <c r="B745" s="102"/>
      <c r="C745" s="61" t="s">
        <v>2096</v>
      </c>
      <c r="D745" s="61"/>
    </row>
    <row r="746" spans="1:4">
      <c r="A746" s="102"/>
      <c r="B746" s="102"/>
      <c r="C746" s="61" t="s">
        <v>2097</v>
      </c>
      <c r="D746" s="61"/>
    </row>
    <row r="747" spans="1:4">
      <c r="A747" s="102"/>
      <c r="B747" s="102"/>
      <c r="C747" s="61" t="s">
        <v>2098</v>
      </c>
      <c r="D747" s="61"/>
    </row>
    <row r="748" spans="1:4">
      <c r="A748" s="102"/>
      <c r="B748" s="102"/>
      <c r="C748" s="61" t="s">
        <v>240</v>
      </c>
      <c r="D748" s="61"/>
    </row>
    <row r="749" spans="1:4">
      <c r="A749" s="102"/>
      <c r="B749" s="102"/>
      <c r="C749" s="61" t="s">
        <v>2099</v>
      </c>
      <c r="D749" s="61"/>
    </row>
    <row r="750" spans="1:4">
      <c r="A750" s="102"/>
      <c r="B750" s="102"/>
      <c r="C750" s="61" t="s">
        <v>30</v>
      </c>
      <c r="D750" s="61"/>
    </row>
    <row r="751" spans="1:4">
      <c r="A751" s="102"/>
      <c r="B751" s="102"/>
      <c r="C751" s="61" t="s">
        <v>1891</v>
      </c>
      <c r="D751" s="61"/>
    </row>
    <row r="752" spans="1:4">
      <c r="A752" s="102"/>
      <c r="B752" s="102"/>
      <c r="C752" s="61" t="s">
        <v>1892</v>
      </c>
      <c r="D752" s="61"/>
    </row>
    <row r="753" spans="1:4">
      <c r="A753" s="102"/>
      <c r="B753" s="102"/>
      <c r="C753" s="61" t="s">
        <v>1893</v>
      </c>
      <c r="D753" s="61"/>
    </row>
    <row r="754" spans="1:4">
      <c r="A754" s="102"/>
      <c r="B754" s="102"/>
      <c r="C754" s="61" t="s">
        <v>1894</v>
      </c>
      <c r="D754" s="61"/>
    </row>
    <row r="755" spans="1:4">
      <c r="A755" s="102"/>
      <c r="B755" s="102"/>
      <c r="C755" s="61" t="s">
        <v>1895</v>
      </c>
      <c r="D755" s="61"/>
    </row>
    <row r="756" spans="1:4">
      <c r="A756" s="102"/>
      <c r="B756" s="102"/>
      <c r="C756" s="61" t="s">
        <v>1896</v>
      </c>
      <c r="D756" s="61"/>
    </row>
    <row r="757" spans="1:4">
      <c r="A757" s="102"/>
      <c r="B757" s="102"/>
      <c r="C757" s="61" t="s">
        <v>1897</v>
      </c>
      <c r="D757" s="61"/>
    </row>
    <row r="758" spans="1:4">
      <c r="A758" s="102"/>
      <c r="B758" s="102"/>
      <c r="C758" s="61" t="s">
        <v>1899</v>
      </c>
      <c r="D758" s="61"/>
    </row>
    <row r="759" spans="1:4">
      <c r="A759" s="102"/>
      <c r="B759" s="102"/>
      <c r="C759" s="61" t="s">
        <v>1900</v>
      </c>
      <c r="D759" s="61"/>
    </row>
    <row r="760" spans="1:4">
      <c r="A760" s="102"/>
      <c r="B760" s="102"/>
      <c r="C760" s="61" t="s">
        <v>1508</v>
      </c>
      <c r="D760" s="61"/>
    </row>
    <row r="761" spans="1:4">
      <c r="A761" s="102"/>
      <c r="B761" s="102"/>
      <c r="C761" s="61" t="s">
        <v>1901</v>
      </c>
      <c r="D761" s="61"/>
    </row>
    <row r="762" spans="1:4">
      <c r="A762" s="102"/>
      <c r="B762" s="102"/>
      <c r="C762" s="61" t="s">
        <v>1902</v>
      </c>
      <c r="D762" s="61"/>
    </row>
    <row r="763" spans="1:4">
      <c r="A763" s="102"/>
      <c r="B763" s="102"/>
      <c r="C763" s="61" t="s">
        <v>1903</v>
      </c>
      <c r="D763" s="61"/>
    </row>
    <row r="764" spans="1:4">
      <c r="A764" s="102"/>
      <c r="B764" s="102"/>
      <c r="C764" s="61" t="s">
        <v>1904</v>
      </c>
      <c r="D764" s="61"/>
    </row>
    <row r="765" spans="1:4">
      <c r="A765" s="102"/>
      <c r="B765" s="102"/>
      <c r="C765" s="61" t="s">
        <v>1905</v>
      </c>
      <c r="D765" s="61"/>
    </row>
    <row r="766" spans="1:4">
      <c r="A766" s="102"/>
      <c r="B766" s="102"/>
      <c r="C766" s="61" t="s">
        <v>1906</v>
      </c>
      <c r="D766" s="61"/>
    </row>
    <row r="767" spans="1:4">
      <c r="A767" s="102"/>
      <c r="B767" s="102"/>
      <c r="C767" s="61" t="s">
        <v>117</v>
      </c>
      <c r="D767" s="61"/>
    </row>
    <row r="768" spans="1:4">
      <c r="A768" s="102"/>
      <c r="B768" s="102"/>
      <c r="C768" s="61" t="s">
        <v>1907</v>
      </c>
      <c r="D768" s="61"/>
    </row>
    <row r="769" spans="1:5">
      <c r="A769" s="102"/>
      <c r="B769" s="102"/>
      <c r="C769" s="61" t="s">
        <v>1908</v>
      </c>
      <c r="D769" s="61"/>
    </row>
    <row r="770" spans="1:5">
      <c r="A770" s="102"/>
      <c r="B770" s="102"/>
      <c r="C770" s="61" t="s">
        <v>1909</v>
      </c>
      <c r="D770" s="61"/>
    </row>
    <row r="771" spans="1:5">
      <c r="A771" s="102"/>
      <c r="B771" s="102"/>
      <c r="C771" s="61" t="s">
        <v>1910</v>
      </c>
      <c r="D771" s="61"/>
    </row>
    <row r="772" spans="1:5">
      <c r="A772" s="102"/>
      <c r="B772" s="102"/>
      <c r="C772" s="61" t="s">
        <v>1911</v>
      </c>
      <c r="D772" s="61"/>
    </row>
    <row r="773" spans="1:5">
      <c r="A773" s="102"/>
      <c r="B773" s="102"/>
      <c r="C773" s="61" t="s">
        <v>1912</v>
      </c>
      <c r="D773" s="61"/>
    </row>
    <row r="774" spans="1:5">
      <c r="A774" s="102"/>
      <c r="B774" s="102"/>
      <c r="C774" s="61" t="s">
        <v>1913</v>
      </c>
      <c r="D774" s="61"/>
    </row>
    <row r="775" spans="1:5">
      <c r="A775" s="102"/>
      <c r="B775" s="102"/>
      <c r="C775" s="61" t="s">
        <v>1914</v>
      </c>
      <c r="D775" s="61"/>
    </row>
    <row r="776" spans="1:5">
      <c r="A776" s="102"/>
      <c r="B776" s="102"/>
      <c r="C776" s="61" t="s">
        <v>1157</v>
      </c>
      <c r="D776" s="61"/>
    </row>
    <row r="777" spans="1:5">
      <c r="A777" s="102"/>
      <c r="B777" s="102"/>
      <c r="C777" s="61" t="s">
        <v>1915</v>
      </c>
      <c r="D777" s="61"/>
    </row>
    <row r="778" spans="1:5">
      <c r="A778" s="102"/>
      <c r="B778" s="102"/>
      <c r="C778" s="61" t="s">
        <v>1916</v>
      </c>
      <c r="D778" s="61"/>
    </row>
    <row r="779" spans="1:5">
      <c r="A779" s="102"/>
      <c r="B779" s="102"/>
      <c r="C779" s="61" t="s">
        <v>1917</v>
      </c>
      <c r="D779" s="61"/>
    </row>
    <row r="780" spans="1:5">
      <c r="A780" s="102"/>
      <c r="B780" s="102"/>
      <c r="C780" s="61" t="s">
        <v>1918</v>
      </c>
      <c r="D780" s="61"/>
    </row>
    <row r="781" spans="1:5">
      <c r="A781" s="102"/>
      <c r="B781" s="102"/>
      <c r="C781" s="61" t="s">
        <v>1919</v>
      </c>
      <c r="D781" s="61"/>
    </row>
    <row r="782" spans="1:5">
      <c r="A782" s="102"/>
      <c r="B782" s="102"/>
      <c r="C782" s="61" t="s">
        <v>1920</v>
      </c>
      <c r="D782" s="61"/>
      <c r="E782" s="18" t="s">
        <v>1898</v>
      </c>
    </row>
    <row r="783" spans="1:5">
      <c r="A783" s="102"/>
      <c r="B783" s="102"/>
      <c r="C783" s="61" t="s">
        <v>1921</v>
      </c>
      <c r="D783" s="61"/>
      <c r="E783" s="18" t="s">
        <v>1898</v>
      </c>
    </row>
    <row r="784" spans="1:5">
      <c r="A784" s="102"/>
      <c r="B784" s="102"/>
      <c r="C784" s="61" t="s">
        <v>1924</v>
      </c>
      <c r="D784" s="61"/>
      <c r="E784" s="18" t="s">
        <v>1898</v>
      </c>
    </row>
    <row r="785" spans="1:5">
      <c r="A785" s="102"/>
      <c r="B785" s="102"/>
      <c r="C785" s="61" t="s">
        <v>1240</v>
      </c>
      <c r="D785" s="61"/>
    </row>
    <row r="786" spans="1:5">
      <c r="A786" s="102"/>
      <c r="B786" s="102"/>
      <c r="C786" s="61" t="s">
        <v>1030</v>
      </c>
      <c r="D786" s="61"/>
    </row>
    <row r="787" spans="1:5">
      <c r="A787" s="102"/>
      <c r="B787" s="102"/>
      <c r="C787" s="61" t="s">
        <v>1925</v>
      </c>
      <c r="D787" s="61"/>
    </row>
    <row r="788" spans="1:5">
      <c r="A788" s="102"/>
      <c r="B788" s="102"/>
      <c r="C788" s="61" t="s">
        <v>1926</v>
      </c>
      <c r="D788" s="61"/>
    </row>
    <row r="789" spans="1:5">
      <c r="A789" s="102"/>
      <c r="B789" s="102"/>
      <c r="C789" s="61" t="s">
        <v>1927</v>
      </c>
      <c r="D789" s="61"/>
    </row>
    <row r="790" spans="1:5">
      <c r="A790" s="102"/>
      <c r="B790" s="102"/>
      <c r="C790" s="61" t="s">
        <v>1928</v>
      </c>
      <c r="D790" s="61"/>
      <c r="E790" s="18" t="s">
        <v>1898</v>
      </c>
    </row>
    <row r="791" spans="1:5">
      <c r="A791" s="102"/>
      <c r="B791" s="102"/>
      <c r="C791" s="61" t="s">
        <v>1929</v>
      </c>
      <c r="D791" s="61"/>
    </row>
    <row r="792" spans="1:5">
      <c r="A792" s="102"/>
      <c r="B792" s="102"/>
      <c r="C792" s="61" t="s">
        <v>1122</v>
      </c>
      <c r="D792" s="61"/>
    </row>
    <row r="793" spans="1:5">
      <c r="A793" s="102"/>
      <c r="B793" s="102"/>
      <c r="C793" s="61" t="s">
        <v>1930</v>
      </c>
      <c r="D793" s="61"/>
    </row>
    <row r="794" spans="1:5">
      <c r="A794" s="102"/>
      <c r="B794" s="102"/>
      <c r="C794" s="61" t="s">
        <v>2463</v>
      </c>
      <c r="D794" s="61"/>
    </row>
    <row r="795" spans="1:5">
      <c r="A795" s="102"/>
      <c r="B795" s="102"/>
      <c r="C795" s="61" t="s">
        <v>1572</v>
      </c>
      <c r="D795" s="61"/>
    </row>
    <row r="796" spans="1:5">
      <c r="A796" s="102"/>
      <c r="B796" s="102"/>
      <c r="C796" s="61" t="s">
        <v>1931</v>
      </c>
      <c r="D796" s="61"/>
    </row>
    <row r="797" spans="1:5">
      <c r="A797" s="102"/>
      <c r="B797" s="102"/>
      <c r="C797" s="61" t="s">
        <v>1932</v>
      </c>
      <c r="D797" s="61"/>
    </row>
    <row r="798" spans="1:5">
      <c r="A798" s="102"/>
      <c r="B798" s="102"/>
      <c r="C798" s="61" t="s">
        <v>1933</v>
      </c>
      <c r="D798" s="61"/>
    </row>
    <row r="799" spans="1:5">
      <c r="A799" s="102"/>
      <c r="B799" s="102"/>
      <c r="C799" s="61" t="s">
        <v>1934</v>
      </c>
      <c r="D799" s="61"/>
    </row>
    <row r="800" spans="1:5">
      <c r="A800" s="102"/>
      <c r="B800" s="102"/>
      <c r="C800" s="61" t="s">
        <v>1935</v>
      </c>
      <c r="D800" s="61"/>
    </row>
    <row r="801" spans="1:5">
      <c r="A801" s="102"/>
      <c r="B801" s="102"/>
      <c r="C801" s="61" t="s">
        <v>1936</v>
      </c>
      <c r="D801" s="61"/>
    </row>
    <row r="802" spans="1:5">
      <c r="A802" s="102"/>
      <c r="B802" s="102"/>
      <c r="C802" s="61" t="s">
        <v>1937</v>
      </c>
      <c r="D802" s="61"/>
    </row>
    <row r="803" spans="1:5">
      <c r="A803" s="102"/>
      <c r="B803" s="102"/>
      <c r="C803" s="61" t="s">
        <v>1938</v>
      </c>
      <c r="D803" s="61"/>
    </row>
    <row r="804" spans="1:5">
      <c r="A804" s="102"/>
      <c r="B804" s="102"/>
      <c r="C804" s="61" t="s">
        <v>1939</v>
      </c>
      <c r="D804" s="61"/>
    </row>
    <row r="805" spans="1:5">
      <c r="A805" s="102"/>
      <c r="B805" s="102"/>
      <c r="C805" s="61" t="s">
        <v>1940</v>
      </c>
      <c r="D805" s="61"/>
    </row>
    <row r="806" spans="1:5">
      <c r="A806" s="102"/>
      <c r="B806" s="102"/>
      <c r="C806" s="61" t="s">
        <v>1941</v>
      </c>
      <c r="D806" s="61"/>
    </row>
    <row r="807" spans="1:5">
      <c r="A807" s="102"/>
      <c r="B807" s="102"/>
      <c r="C807" s="61" t="s">
        <v>1942</v>
      </c>
      <c r="D807" s="61"/>
    </row>
    <row r="808" spans="1:5">
      <c r="A808" s="102"/>
      <c r="B808" s="102"/>
      <c r="C808" s="61" t="s">
        <v>1944</v>
      </c>
      <c r="D808" s="61"/>
    </row>
    <row r="809" spans="1:5">
      <c r="A809" s="102"/>
      <c r="B809" s="102"/>
      <c r="C809" s="61" t="s">
        <v>1943</v>
      </c>
      <c r="D809" s="61"/>
      <c r="E809" s="18" t="s">
        <v>1898</v>
      </c>
    </row>
    <row r="810" spans="1:5">
      <c r="A810" s="102"/>
      <c r="B810" s="102"/>
      <c r="C810" s="61" t="s">
        <v>916</v>
      </c>
      <c r="D810" s="61"/>
    </row>
    <row r="811" spans="1:5">
      <c r="A811" s="102"/>
      <c r="B811" s="102"/>
      <c r="C811" s="61" t="s">
        <v>1945</v>
      </c>
      <c r="D811" s="61"/>
    </row>
    <row r="812" spans="1:5">
      <c r="A812" s="102"/>
      <c r="B812" s="102"/>
      <c r="C812" s="61" t="s">
        <v>1946</v>
      </c>
      <c r="D812" s="61"/>
    </row>
    <row r="813" spans="1:5">
      <c r="A813" s="102"/>
      <c r="B813" s="102"/>
      <c r="C813" s="61" t="s">
        <v>1947</v>
      </c>
      <c r="D813" s="61"/>
    </row>
    <row r="814" spans="1:5">
      <c r="A814" s="102"/>
      <c r="B814" s="102"/>
      <c r="C814" s="61" t="s">
        <v>988</v>
      </c>
      <c r="D814" s="61"/>
    </row>
    <row r="815" spans="1:5">
      <c r="A815" s="102"/>
      <c r="B815" s="102"/>
      <c r="C815" s="61" t="s">
        <v>1948</v>
      </c>
      <c r="D815" s="61"/>
    </row>
    <row r="816" spans="1:5">
      <c r="A816" s="102"/>
      <c r="B816" s="102"/>
      <c r="C816" s="61" t="s">
        <v>1949</v>
      </c>
      <c r="D816" s="61"/>
    </row>
    <row r="817" spans="1:4">
      <c r="A817" s="102"/>
      <c r="B817" s="102"/>
      <c r="C817" s="61" t="s">
        <v>1950</v>
      </c>
      <c r="D817" s="61"/>
    </row>
    <row r="818" spans="1:4">
      <c r="A818" s="102"/>
      <c r="B818" s="102"/>
      <c r="C818" s="61" t="s">
        <v>1951</v>
      </c>
      <c r="D818" s="61"/>
    </row>
    <row r="819" spans="1:4">
      <c r="A819" s="102"/>
      <c r="B819" s="102"/>
      <c r="C819" s="61" t="s">
        <v>1952</v>
      </c>
      <c r="D819" s="61"/>
    </row>
    <row r="820" spans="1:4">
      <c r="A820" s="102"/>
      <c r="B820" s="102"/>
      <c r="C820" s="61" t="s">
        <v>1953</v>
      </c>
      <c r="D820" s="61"/>
    </row>
    <row r="821" spans="1:4">
      <c r="A821" s="102"/>
      <c r="B821" s="102"/>
      <c r="C821" s="61" t="s">
        <v>1954</v>
      </c>
      <c r="D821" s="61"/>
    </row>
    <row r="822" spans="1:4">
      <c r="A822" s="102"/>
      <c r="B822" s="102"/>
      <c r="C822" s="61" t="s">
        <v>1955</v>
      </c>
      <c r="D822" s="61"/>
    </row>
    <row r="823" spans="1:4">
      <c r="A823" s="102"/>
      <c r="B823" s="102"/>
      <c r="C823" s="61" t="s">
        <v>1956</v>
      </c>
      <c r="D823" s="61"/>
    </row>
    <row r="824" spans="1:4">
      <c r="A824" s="102"/>
      <c r="B824" s="102"/>
      <c r="C824" s="61" t="s">
        <v>1957</v>
      </c>
      <c r="D824" s="61"/>
    </row>
    <row r="825" spans="1:4">
      <c r="A825" s="102"/>
      <c r="B825" s="102"/>
      <c r="C825" s="61" t="s">
        <v>1958</v>
      </c>
      <c r="D825" s="61"/>
    </row>
    <row r="826" spans="1:4">
      <c r="A826" s="102"/>
      <c r="B826" s="102"/>
      <c r="C826" s="61" t="s">
        <v>1959</v>
      </c>
      <c r="D826" s="61"/>
    </row>
    <row r="827" spans="1:4">
      <c r="A827" s="102"/>
      <c r="B827" s="102"/>
      <c r="C827" s="61" t="s">
        <v>1960</v>
      </c>
      <c r="D827" s="61"/>
    </row>
    <row r="828" spans="1:4">
      <c r="A828" s="102"/>
      <c r="B828" s="102"/>
      <c r="C828" s="61" t="s">
        <v>1961</v>
      </c>
      <c r="D828" s="61"/>
    </row>
    <row r="829" spans="1:4">
      <c r="A829" s="102"/>
      <c r="B829" s="102"/>
      <c r="C829" s="61" t="s">
        <v>1962</v>
      </c>
      <c r="D829" s="61"/>
    </row>
    <row r="830" spans="1:4">
      <c r="A830" s="102"/>
      <c r="B830" s="102"/>
      <c r="C830" s="61" t="s">
        <v>1963</v>
      </c>
      <c r="D830" s="61"/>
    </row>
    <row r="831" spans="1:4">
      <c r="A831" s="102"/>
      <c r="B831" s="102"/>
      <c r="C831" s="61" t="s">
        <v>2464</v>
      </c>
      <c r="D831" s="137" t="s">
        <v>2465</v>
      </c>
    </row>
    <row r="832" spans="1:4">
      <c r="A832" s="102"/>
      <c r="B832" s="102"/>
      <c r="C832" s="61" t="s">
        <v>2466</v>
      </c>
      <c r="D832" s="137" t="s">
        <v>1973</v>
      </c>
    </row>
    <row r="833" spans="1:4">
      <c r="A833" s="102"/>
      <c r="B833" s="102"/>
      <c r="C833" s="61" t="s">
        <v>2467</v>
      </c>
      <c r="D833" s="137" t="s">
        <v>1973</v>
      </c>
    </row>
    <row r="834" spans="1:4" ht="15">
      <c r="A834" s="102"/>
      <c r="B834" s="102"/>
      <c r="C834" s="61" t="s">
        <v>2468</v>
      </c>
      <c r="D834" s="135"/>
    </row>
    <row r="835" spans="1:4">
      <c r="A835" s="102"/>
      <c r="B835" s="102"/>
      <c r="C835" s="61" t="s">
        <v>267</v>
      </c>
      <c r="D835" s="61"/>
    </row>
    <row r="836" spans="1:4">
      <c r="A836" s="102"/>
      <c r="B836" s="102"/>
      <c r="C836" s="61" t="s">
        <v>1966</v>
      </c>
      <c r="D836" s="61"/>
    </row>
    <row r="837" spans="1:4">
      <c r="A837" s="102"/>
      <c r="B837" s="102"/>
      <c r="C837" s="61" t="s">
        <v>1967</v>
      </c>
      <c r="D837" s="61"/>
    </row>
    <row r="838" spans="1:4">
      <c r="A838" s="102"/>
      <c r="B838" s="102"/>
      <c r="C838" s="61" t="s">
        <v>1964</v>
      </c>
      <c r="D838" s="61"/>
    </row>
    <row r="839" spans="1:4">
      <c r="A839" s="102"/>
      <c r="B839" s="102"/>
      <c r="C839" s="61" t="s">
        <v>1078</v>
      </c>
      <c r="D839" s="61"/>
    </row>
    <row r="840" spans="1:4">
      <c r="A840" s="102"/>
      <c r="B840" s="102"/>
      <c r="C840" s="61" t="s">
        <v>1965</v>
      </c>
      <c r="D840" s="61"/>
    </row>
    <row r="841" spans="1:4">
      <c r="A841" s="102"/>
      <c r="B841" s="102"/>
      <c r="C841" s="61" t="s">
        <v>1968</v>
      </c>
      <c r="D841" s="61"/>
    </row>
    <row r="842" spans="1:4">
      <c r="A842" s="102"/>
      <c r="B842" s="102"/>
      <c r="C842" s="61" t="s">
        <v>2469</v>
      </c>
      <c r="D842" s="61"/>
    </row>
    <row r="843" spans="1:4">
      <c r="A843" s="102"/>
      <c r="B843" s="102"/>
      <c r="C843" s="61" t="s">
        <v>2470</v>
      </c>
      <c r="D843" s="61"/>
    </row>
    <row r="844" spans="1:4">
      <c r="A844" s="102"/>
      <c r="B844" s="102"/>
      <c r="C844" s="61" t="s">
        <v>1726</v>
      </c>
      <c r="D844" s="61"/>
    </row>
    <row r="845" spans="1:4">
      <c r="A845" s="102"/>
      <c r="B845" s="102"/>
      <c r="C845" s="61" t="s">
        <v>2471</v>
      </c>
      <c r="D845" s="61"/>
    </row>
    <row r="846" spans="1:4">
      <c r="A846" s="102"/>
      <c r="B846" s="102"/>
      <c r="C846" s="61" t="s">
        <v>2472</v>
      </c>
      <c r="D846" s="61"/>
    </row>
    <row r="847" spans="1:4">
      <c r="A847" s="102"/>
      <c r="B847" s="102"/>
      <c r="C847" s="61" t="s">
        <v>2473</v>
      </c>
      <c r="D847" s="61"/>
    </row>
    <row r="848" spans="1:4">
      <c r="A848" s="102"/>
      <c r="B848" s="102"/>
      <c r="C848" s="61" t="s">
        <v>2474</v>
      </c>
      <c r="D848" s="61"/>
    </row>
    <row r="849" spans="1:4">
      <c r="A849" s="102"/>
      <c r="B849" s="102"/>
      <c r="C849" s="61" t="s">
        <v>2475</v>
      </c>
      <c r="D849" s="61"/>
    </row>
    <row r="850" spans="1:4">
      <c r="A850" s="102"/>
      <c r="B850" s="102"/>
      <c r="C850" s="61" t="s">
        <v>31</v>
      </c>
      <c r="D850" s="61"/>
    </row>
    <row r="851" spans="1:4">
      <c r="A851" s="75" t="s">
        <v>1718</v>
      </c>
      <c r="B851" s="75"/>
      <c r="C851" s="64" t="s">
        <v>787</v>
      </c>
      <c r="D851" s="64"/>
    </row>
    <row r="852" spans="1:4">
      <c r="A852" s="76"/>
      <c r="B852" s="76"/>
      <c r="C852" s="64" t="s">
        <v>154</v>
      </c>
      <c r="D852" s="64"/>
    </row>
    <row r="853" spans="1:4">
      <c r="A853" s="102" t="s">
        <v>2476</v>
      </c>
      <c r="B853" s="102" t="s">
        <v>5</v>
      </c>
      <c r="C853" s="61" t="s">
        <v>2477</v>
      </c>
      <c r="D853" s="61"/>
    </row>
    <row r="854" spans="1:4">
      <c r="A854" s="102"/>
      <c r="B854" s="102"/>
      <c r="C854" s="61" t="s">
        <v>2478</v>
      </c>
      <c r="D854" s="61"/>
    </row>
    <row r="855" spans="1:4">
      <c r="A855" s="102"/>
      <c r="B855" s="102"/>
      <c r="C855" s="61" t="s">
        <v>2479</v>
      </c>
      <c r="D855" s="61"/>
    </row>
    <row r="856" spans="1:4">
      <c r="A856" s="102"/>
      <c r="B856" s="102"/>
      <c r="C856" s="61" t="s">
        <v>2480</v>
      </c>
      <c r="D856" s="61"/>
    </row>
    <row r="857" spans="1:4">
      <c r="A857" s="102"/>
      <c r="B857" s="102"/>
      <c r="C857" s="61" t="s">
        <v>2481</v>
      </c>
      <c r="D857" s="61"/>
    </row>
    <row r="858" spans="1:4">
      <c r="A858" s="102"/>
      <c r="B858" s="102"/>
      <c r="C858" s="61" t="s">
        <v>2482</v>
      </c>
      <c r="D858" s="61"/>
    </row>
    <row r="859" spans="1:4">
      <c r="A859" s="102"/>
      <c r="B859" s="102"/>
      <c r="C859" s="61" t="s">
        <v>2483</v>
      </c>
      <c r="D859" s="61"/>
    </row>
    <row r="860" spans="1:4">
      <c r="A860" s="102"/>
      <c r="B860" s="102"/>
      <c r="C860" s="61" t="s">
        <v>2484</v>
      </c>
      <c r="D860" s="61"/>
    </row>
    <row r="861" spans="1:4">
      <c r="A861" s="102"/>
      <c r="B861" s="102"/>
      <c r="C861" s="61" t="s">
        <v>2485</v>
      </c>
      <c r="D861" s="61"/>
    </row>
    <row r="862" spans="1:4">
      <c r="A862" s="75" t="s">
        <v>2486</v>
      </c>
      <c r="B862" s="75" t="s">
        <v>5</v>
      </c>
      <c r="C862" s="64" t="s">
        <v>55</v>
      </c>
      <c r="D862" s="64"/>
    </row>
    <row r="863" spans="1:4">
      <c r="A863" s="76"/>
      <c r="B863" s="76"/>
      <c r="C863" s="64" t="s">
        <v>2487</v>
      </c>
      <c r="D863" s="64"/>
    </row>
    <row r="864" spans="1:4">
      <c r="A864" s="76"/>
      <c r="B864" s="76"/>
      <c r="C864" s="64" t="s">
        <v>63</v>
      </c>
      <c r="D864" s="64"/>
    </row>
    <row r="865" spans="1:4">
      <c r="A865" s="76"/>
      <c r="B865" s="76"/>
      <c r="C865" s="64" t="s">
        <v>2488</v>
      </c>
      <c r="D865" s="64"/>
    </row>
    <row r="866" spans="1:4">
      <c r="A866" s="76"/>
      <c r="B866" s="76"/>
      <c r="C866" s="64" t="s">
        <v>29</v>
      </c>
      <c r="D866" s="64"/>
    </row>
    <row r="867" spans="1:4">
      <c r="A867" s="76"/>
      <c r="B867" s="76"/>
      <c r="C867" s="64" t="s">
        <v>2489</v>
      </c>
      <c r="D867" s="64"/>
    </row>
    <row r="868" spans="1:4">
      <c r="A868" s="76"/>
      <c r="B868" s="76"/>
      <c r="C868" s="64" t="s">
        <v>40</v>
      </c>
      <c r="D868" s="64"/>
    </row>
    <row r="869" spans="1:4">
      <c r="A869" s="76"/>
      <c r="B869" s="76"/>
      <c r="C869" s="64" t="s">
        <v>2490</v>
      </c>
      <c r="D869" s="64"/>
    </row>
    <row r="870" spans="1:4">
      <c r="A870" s="102" t="s">
        <v>2491</v>
      </c>
      <c r="B870" s="102" t="s">
        <v>5</v>
      </c>
      <c r="C870" s="61" t="s">
        <v>55</v>
      </c>
      <c r="D870" s="61"/>
    </row>
    <row r="871" spans="1:4">
      <c r="A871" s="102"/>
      <c r="B871" s="102"/>
      <c r="C871" s="61" t="s">
        <v>63</v>
      </c>
      <c r="D871" s="61"/>
    </row>
    <row r="872" spans="1:4">
      <c r="A872" s="102"/>
      <c r="B872" s="102"/>
      <c r="C872" s="61" t="s">
        <v>29</v>
      </c>
      <c r="D872" s="61"/>
    </row>
    <row r="873" spans="1:4">
      <c r="A873" s="102"/>
      <c r="B873" s="102"/>
      <c r="C873" s="61" t="s">
        <v>31</v>
      </c>
      <c r="D873" s="61"/>
    </row>
    <row r="874" spans="1:4">
      <c r="A874" s="75" t="s">
        <v>2492</v>
      </c>
      <c r="B874" s="75" t="s">
        <v>5</v>
      </c>
      <c r="C874" s="64" t="s">
        <v>165</v>
      </c>
      <c r="D874" s="64"/>
    </row>
    <row r="875" spans="1:4">
      <c r="A875" s="76"/>
      <c r="B875" s="76"/>
      <c r="C875" s="64" t="s">
        <v>183</v>
      </c>
      <c r="D875" s="64"/>
    </row>
    <row r="876" spans="1:4">
      <c r="A876" s="76"/>
      <c r="B876" s="76"/>
      <c r="C876" s="64" t="s">
        <v>151</v>
      </c>
      <c r="D876" s="64"/>
    </row>
    <row r="877" spans="1:4">
      <c r="A877" s="76"/>
      <c r="B877" s="76"/>
      <c r="C877" s="64" t="s">
        <v>2321</v>
      </c>
      <c r="D877" s="64"/>
    </row>
    <row r="878" spans="1:4">
      <c r="A878" s="76"/>
      <c r="B878" s="76"/>
      <c r="C878" s="64" t="s">
        <v>2493</v>
      </c>
      <c r="D878" s="64"/>
    </row>
    <row r="879" spans="1:4">
      <c r="A879" s="76"/>
      <c r="B879" s="76"/>
      <c r="C879" s="64" t="s">
        <v>2494</v>
      </c>
      <c r="D879" s="64"/>
    </row>
    <row r="880" spans="1:4">
      <c r="A880" s="76"/>
      <c r="B880" s="76"/>
      <c r="C880" s="64" t="s">
        <v>2495</v>
      </c>
      <c r="D880" s="64"/>
    </row>
    <row r="881" spans="1:5">
      <c r="A881" s="76"/>
      <c r="B881" s="76"/>
      <c r="C881" s="64" t="s">
        <v>2496</v>
      </c>
      <c r="D881" s="64"/>
    </row>
    <row r="882" spans="1:5">
      <c r="A882" s="76"/>
      <c r="B882" s="76"/>
      <c r="C882" s="64" t="s">
        <v>2497</v>
      </c>
      <c r="D882" s="64" t="s">
        <v>2497</v>
      </c>
      <c r="E882" s="18" t="s">
        <v>1898</v>
      </c>
    </row>
    <row r="883" spans="1:5">
      <c r="A883" s="77"/>
      <c r="B883" s="77"/>
      <c r="C883" s="64" t="s">
        <v>31</v>
      </c>
      <c r="D883" s="64"/>
    </row>
    <row r="884" spans="1:5">
      <c r="A884" s="91" t="s">
        <v>2498</v>
      </c>
      <c r="B884" s="91" t="s">
        <v>5</v>
      </c>
      <c r="C884" s="61" t="s">
        <v>739</v>
      </c>
      <c r="D884" s="61"/>
    </row>
    <row r="885" spans="1:5">
      <c r="A885" s="92"/>
      <c r="B885" s="92"/>
      <c r="C885" s="61" t="s">
        <v>2499</v>
      </c>
      <c r="D885" s="61"/>
    </row>
    <row r="886" spans="1:5">
      <c r="A886" s="92"/>
      <c r="B886" s="92"/>
      <c r="C886" s="61" t="s">
        <v>2500</v>
      </c>
      <c r="D886" s="61"/>
    </row>
    <row r="887" spans="1:5">
      <c r="A887" s="92"/>
      <c r="B887" s="92"/>
      <c r="C887" s="61" t="s">
        <v>2501</v>
      </c>
      <c r="D887" s="61"/>
    </row>
    <row r="888" spans="1:5">
      <c r="A888" s="92"/>
      <c r="B888" s="92"/>
      <c r="C888" s="61" t="s">
        <v>2502</v>
      </c>
      <c r="D888" s="61"/>
    </row>
    <row r="889" spans="1:5">
      <c r="A889" s="92"/>
      <c r="B889" s="92"/>
      <c r="C889" s="61" t="s">
        <v>2503</v>
      </c>
      <c r="D889" s="61" t="s">
        <v>2504</v>
      </c>
    </row>
    <row r="890" spans="1:5">
      <c r="A890" s="92"/>
      <c r="B890" s="92"/>
      <c r="C890" s="61" t="s">
        <v>2505</v>
      </c>
      <c r="D890" s="61"/>
    </row>
    <row r="891" spans="1:5">
      <c r="A891" s="75" t="s">
        <v>2092</v>
      </c>
      <c r="B891" s="75" t="s">
        <v>5</v>
      </c>
      <c r="C891" s="64" t="s">
        <v>1071</v>
      </c>
      <c r="D891" s="64"/>
    </row>
    <row r="892" spans="1:5">
      <c r="A892" s="76"/>
      <c r="B892" s="76"/>
      <c r="C892" s="64" t="s">
        <v>1061</v>
      </c>
      <c r="D892" s="64"/>
    </row>
    <row r="893" spans="1:5">
      <c r="A893" s="76"/>
      <c r="B893" s="76"/>
      <c r="C893" s="64" t="s">
        <v>1089</v>
      </c>
      <c r="D893" s="64"/>
    </row>
    <row r="894" spans="1:5">
      <c r="A894" s="76"/>
      <c r="B894" s="76"/>
      <c r="C894" s="64" t="s">
        <v>1179</v>
      </c>
      <c r="D894" s="64"/>
    </row>
    <row r="895" spans="1:5">
      <c r="A895" s="76"/>
      <c r="B895" s="76"/>
      <c r="C895" s="64" t="s">
        <v>2506</v>
      </c>
      <c r="D895" s="64"/>
    </row>
    <row r="896" spans="1:5">
      <c r="A896" s="76"/>
      <c r="B896" s="76"/>
      <c r="C896" s="64" t="s">
        <v>31</v>
      </c>
      <c r="D896" s="64"/>
    </row>
    <row r="897" spans="1:4">
      <c r="A897" s="91" t="s">
        <v>2507</v>
      </c>
      <c r="B897" s="91" t="s">
        <v>5</v>
      </c>
      <c r="C897" s="61" t="s">
        <v>1305</v>
      </c>
      <c r="D897" s="61"/>
    </row>
    <row r="898" spans="1:4">
      <c r="A898" s="92"/>
      <c r="B898" s="92"/>
      <c r="C898" s="61" t="s">
        <v>2508</v>
      </c>
      <c r="D898" s="61"/>
    </row>
    <row r="899" spans="1:4">
      <c r="A899" s="92"/>
      <c r="B899" s="92"/>
      <c r="C899" s="61" t="s">
        <v>739</v>
      </c>
      <c r="D899" s="61"/>
    </row>
    <row r="900" spans="1:4">
      <c r="A900" s="92"/>
      <c r="B900" s="92"/>
      <c r="C900" s="61" t="s">
        <v>31</v>
      </c>
      <c r="D900" s="61"/>
    </row>
    <row r="901" spans="1:4">
      <c r="A901" s="75" t="s">
        <v>2509</v>
      </c>
      <c r="B901" s="75" t="s">
        <v>5</v>
      </c>
      <c r="C901" s="64" t="s">
        <v>2510</v>
      </c>
      <c r="D901" s="64"/>
    </row>
    <row r="902" spans="1:4">
      <c r="A902" s="76"/>
      <c r="B902" s="76"/>
      <c r="C902" s="64" t="s">
        <v>2511</v>
      </c>
      <c r="D902" s="64"/>
    </row>
    <row r="903" spans="1:4">
      <c r="A903" s="76"/>
      <c r="B903" s="76"/>
      <c r="C903" s="64" t="s">
        <v>1724</v>
      </c>
      <c r="D903" s="64"/>
    </row>
    <row r="904" spans="1:4">
      <c r="A904" s="76"/>
      <c r="B904" s="76"/>
      <c r="C904" s="64" t="s">
        <v>2512</v>
      </c>
      <c r="D904" s="64"/>
    </row>
    <row r="905" spans="1:4">
      <c r="A905" s="76"/>
      <c r="B905" s="76"/>
      <c r="C905" s="64" t="s">
        <v>2513</v>
      </c>
      <c r="D905" s="64"/>
    </row>
    <row r="906" spans="1:4">
      <c r="A906" s="101" t="s">
        <v>2514</v>
      </c>
      <c r="B906" s="101" t="s">
        <v>5</v>
      </c>
      <c r="C906" s="67" t="s">
        <v>1362</v>
      </c>
      <c r="D906" s="67"/>
    </row>
    <row r="907" spans="1:4">
      <c r="A907" s="102"/>
      <c r="B907" s="102"/>
      <c r="C907" s="67" t="s">
        <v>2515</v>
      </c>
      <c r="D907" s="67"/>
    </row>
    <row r="908" spans="1:4">
      <c r="A908" s="102"/>
      <c r="B908" s="102"/>
      <c r="C908" s="61" t="s">
        <v>2516</v>
      </c>
      <c r="D908" s="61"/>
    </row>
    <row r="909" spans="1:4">
      <c r="A909" s="102"/>
      <c r="B909" s="102"/>
      <c r="C909" s="61" t="s">
        <v>2517</v>
      </c>
      <c r="D909" s="61"/>
    </row>
    <row r="910" spans="1:4">
      <c r="A910" s="102"/>
      <c r="B910" s="102"/>
      <c r="C910" s="61" t="s">
        <v>2518</v>
      </c>
      <c r="D910" s="61"/>
    </row>
    <row r="911" spans="1:4">
      <c r="A911" s="102"/>
      <c r="B911" s="102"/>
      <c r="C911" s="61" t="s">
        <v>2519</v>
      </c>
      <c r="D911" s="61"/>
    </row>
    <row r="912" spans="1:4">
      <c r="A912" s="97" t="s">
        <v>2520</v>
      </c>
      <c r="B912" s="97" t="s">
        <v>5</v>
      </c>
      <c r="C912" s="69" t="s">
        <v>55</v>
      </c>
      <c r="D912" s="69"/>
    </row>
    <row r="913" spans="1:5">
      <c r="A913" s="79"/>
      <c r="B913" s="79"/>
      <c r="C913" s="69" t="s">
        <v>2487</v>
      </c>
      <c r="D913" s="69"/>
    </row>
    <row r="914" spans="1:5">
      <c r="A914" s="79"/>
      <c r="B914" s="79"/>
      <c r="C914" s="64" t="s">
        <v>63</v>
      </c>
      <c r="D914" s="64"/>
    </row>
    <row r="915" spans="1:5">
      <c r="A915" s="79"/>
      <c r="B915" s="79"/>
      <c r="C915" s="64" t="s">
        <v>2488</v>
      </c>
      <c r="D915" s="64"/>
    </row>
    <row r="916" spans="1:5">
      <c r="A916" s="79"/>
      <c r="B916" s="79"/>
      <c r="C916" s="64" t="s">
        <v>29</v>
      </c>
      <c r="D916" s="64"/>
    </row>
    <row r="917" spans="1:5">
      <c r="A917" s="79"/>
      <c r="B917" s="79"/>
      <c r="C917" s="64" t="s">
        <v>2489</v>
      </c>
      <c r="D917" s="64"/>
    </row>
    <row r="918" spans="1:5">
      <c r="A918" s="79"/>
      <c r="B918" s="79"/>
      <c r="C918" s="69" t="s">
        <v>40</v>
      </c>
      <c r="D918" s="69"/>
    </row>
    <row r="919" spans="1:5">
      <c r="A919" s="79"/>
      <c r="B919" s="79"/>
      <c r="C919" s="69" t="s">
        <v>2490</v>
      </c>
      <c r="D919" s="69"/>
    </row>
    <row r="920" spans="1:5" ht="15">
      <c r="A920" s="101" t="s">
        <v>2521</v>
      </c>
      <c r="B920" s="101" t="s">
        <v>5</v>
      </c>
      <c r="C920" s="67" t="s">
        <v>2522</v>
      </c>
      <c r="D920" s="67"/>
      <c r="E920" s="68"/>
    </row>
    <row r="921" spans="1:5" ht="15">
      <c r="A921" s="102"/>
      <c r="B921" s="102"/>
      <c r="C921" s="67" t="s">
        <v>2523</v>
      </c>
      <c r="D921" s="67"/>
      <c r="E921" s="68"/>
    </row>
    <row r="922" spans="1:5" ht="15">
      <c r="A922" s="102"/>
      <c r="B922" s="102"/>
      <c r="C922" s="61" t="s">
        <v>2524</v>
      </c>
      <c r="D922" s="61"/>
      <c r="E922" s="68"/>
    </row>
    <row r="923" spans="1:5" ht="15">
      <c r="A923" s="102"/>
      <c r="B923" s="102"/>
      <c r="C923" s="61" t="s">
        <v>2525</v>
      </c>
      <c r="D923" s="61"/>
      <c r="E923" s="68"/>
    </row>
    <row r="924" spans="1:5" ht="15">
      <c r="A924" s="102"/>
      <c r="B924" s="102"/>
      <c r="C924" s="61" t="s">
        <v>2526</v>
      </c>
      <c r="D924" s="61"/>
      <c r="E924" s="68"/>
    </row>
    <row r="925" spans="1:5">
      <c r="A925" s="102"/>
      <c r="B925" s="102"/>
      <c r="C925" s="61" t="s">
        <v>31</v>
      </c>
      <c r="D925" s="61"/>
    </row>
    <row r="926" spans="1:5">
      <c r="A926" s="97" t="s">
        <v>2527</v>
      </c>
      <c r="B926" s="97" t="s">
        <v>5</v>
      </c>
      <c r="C926" s="64" t="s">
        <v>2528</v>
      </c>
      <c r="D926" s="64"/>
    </row>
    <row r="927" spans="1:5">
      <c r="A927" s="79"/>
      <c r="B927" s="79"/>
      <c r="C927" s="64" t="s">
        <v>2529</v>
      </c>
      <c r="D927" s="64"/>
    </row>
    <row r="928" spans="1:5">
      <c r="A928" s="79"/>
      <c r="B928" s="79"/>
      <c r="C928" s="64" t="s">
        <v>2530</v>
      </c>
      <c r="D928" s="64"/>
    </row>
    <row r="929" spans="1:5">
      <c r="A929" s="98" t="s">
        <v>2531</v>
      </c>
      <c r="B929" s="98" t="s">
        <v>5</v>
      </c>
      <c r="C929" s="67" t="s">
        <v>2532</v>
      </c>
      <c r="D929" s="67"/>
    </row>
    <row r="930" spans="1:5">
      <c r="A930" s="99"/>
      <c r="B930" s="99"/>
      <c r="C930" s="67" t="s">
        <v>183</v>
      </c>
      <c r="D930" s="67"/>
    </row>
    <row r="931" spans="1:5">
      <c r="A931" s="99"/>
      <c r="B931" s="99"/>
      <c r="C931" s="61" t="s">
        <v>165</v>
      </c>
      <c r="D931" s="61"/>
    </row>
    <row r="932" spans="1:5">
      <c r="A932" s="99"/>
      <c r="B932" s="99"/>
      <c r="C932" s="61" t="s">
        <v>151</v>
      </c>
      <c r="D932" s="61"/>
    </row>
    <row r="933" spans="1:5">
      <c r="A933" s="99"/>
      <c r="B933" s="99"/>
      <c r="C933" s="61" t="s">
        <v>31</v>
      </c>
      <c r="D933" s="61"/>
    </row>
    <row r="934" spans="1:5">
      <c r="A934" s="105" t="s">
        <v>2533</v>
      </c>
      <c r="B934" s="105" t="s">
        <v>5</v>
      </c>
      <c r="C934" s="69" t="s">
        <v>165</v>
      </c>
      <c r="D934" s="69"/>
    </row>
    <row r="935" spans="1:5">
      <c r="A935" s="106"/>
      <c r="B935" s="106"/>
      <c r="C935" s="69" t="s">
        <v>183</v>
      </c>
      <c r="D935" s="69"/>
    </row>
    <row r="936" spans="1:5">
      <c r="A936" s="106"/>
      <c r="B936" s="106"/>
      <c r="C936" s="64" t="s">
        <v>151</v>
      </c>
      <c r="D936" s="64"/>
    </row>
    <row r="937" spans="1:5">
      <c r="A937" s="106"/>
      <c r="B937" s="106"/>
      <c r="C937" s="64" t="s">
        <v>2321</v>
      </c>
      <c r="D937" s="64"/>
    </row>
    <row r="938" spans="1:5">
      <c r="A938" s="106"/>
      <c r="B938" s="106"/>
      <c r="C938" s="64" t="s">
        <v>2534</v>
      </c>
      <c r="D938" s="64"/>
    </row>
    <row r="939" spans="1:5">
      <c r="A939" s="106"/>
      <c r="B939" s="106"/>
      <c r="C939" s="69" t="s">
        <v>2534</v>
      </c>
      <c r="D939" s="69"/>
    </row>
    <row r="940" spans="1:5">
      <c r="A940" s="106"/>
      <c r="B940" s="106"/>
      <c r="C940" s="69" t="s">
        <v>2494</v>
      </c>
      <c r="D940" s="69"/>
    </row>
    <row r="941" spans="1:5">
      <c r="A941" s="106"/>
      <c r="B941" s="106"/>
      <c r="C941" s="64" t="s">
        <v>2495</v>
      </c>
      <c r="D941" s="64"/>
    </row>
    <row r="942" spans="1:5">
      <c r="A942" s="106"/>
      <c r="B942" s="106"/>
      <c r="C942" s="69" t="s">
        <v>2496</v>
      </c>
      <c r="D942" s="69"/>
    </row>
    <row r="943" spans="1:5">
      <c r="A943" s="106"/>
      <c r="B943" s="106"/>
      <c r="C943" s="69" t="s">
        <v>2532</v>
      </c>
      <c r="D943" s="69"/>
    </row>
    <row r="944" spans="1:5">
      <c r="A944" s="106"/>
      <c r="B944" s="106"/>
      <c r="C944" s="64" t="s">
        <v>2535</v>
      </c>
      <c r="D944" s="64" t="s">
        <v>2535</v>
      </c>
      <c r="E944" s="18" t="s">
        <v>1898</v>
      </c>
    </row>
    <row r="945" spans="1:4">
      <c r="A945" s="133"/>
      <c r="B945" s="133"/>
      <c r="C945" s="64" t="s">
        <v>31</v>
      </c>
      <c r="D945" s="64"/>
    </row>
    <row r="946" spans="1:4" ht="14.25" customHeight="1">
      <c r="A946" s="98" t="s">
        <v>2536</v>
      </c>
      <c r="B946" s="98" t="s">
        <v>5</v>
      </c>
      <c r="C946" s="67" t="s">
        <v>2537</v>
      </c>
      <c r="D946" s="67"/>
    </row>
    <row r="947" spans="1:4">
      <c r="A947" s="99"/>
      <c r="B947" s="99"/>
      <c r="C947" s="67" t="s">
        <v>2538</v>
      </c>
      <c r="D947" s="67"/>
    </row>
    <row r="948" spans="1:4">
      <c r="A948" s="99"/>
      <c r="B948" s="99"/>
      <c r="C948" s="61" t="s">
        <v>2539</v>
      </c>
      <c r="D948" s="61"/>
    </row>
    <row r="949" spans="1:4">
      <c r="A949" s="99"/>
      <c r="B949" s="99"/>
      <c r="C949" s="61" t="s">
        <v>2540</v>
      </c>
      <c r="D949" s="61"/>
    </row>
    <row r="950" spans="1:4">
      <c r="A950" s="99"/>
      <c r="B950" s="99"/>
      <c r="C950" s="61" t="s">
        <v>2541</v>
      </c>
      <c r="D950" s="61"/>
    </row>
    <row r="951" spans="1:4">
      <c r="A951" s="99"/>
      <c r="B951" s="99"/>
      <c r="C951" s="67" t="s">
        <v>1458</v>
      </c>
      <c r="D951" s="67"/>
    </row>
    <row r="952" spans="1:4">
      <c r="A952" s="99"/>
      <c r="B952" s="99"/>
      <c r="C952" s="67" t="s">
        <v>2532</v>
      </c>
      <c r="D952" s="67"/>
    </row>
    <row r="953" spans="1:4">
      <c r="A953" s="99"/>
      <c r="B953" s="99"/>
      <c r="C953" s="61" t="s">
        <v>2542</v>
      </c>
      <c r="D953" s="61" t="s">
        <v>2543</v>
      </c>
    </row>
    <row r="954" spans="1:4">
      <c r="A954" s="99"/>
      <c r="B954" s="99"/>
      <c r="C954" s="61" t="s">
        <v>2503</v>
      </c>
      <c r="D954" s="61" t="s">
        <v>2504</v>
      </c>
    </row>
    <row r="955" spans="1:4">
      <c r="A955" s="99"/>
      <c r="B955" s="99"/>
      <c r="C955" s="61" t="s">
        <v>31</v>
      </c>
      <c r="D955" s="61"/>
    </row>
    <row r="956" spans="1:4">
      <c r="A956" s="105" t="s">
        <v>2337</v>
      </c>
      <c r="B956" s="105" t="s">
        <v>5</v>
      </c>
      <c r="C956" s="64" t="s">
        <v>2544</v>
      </c>
      <c r="D956" s="64"/>
    </row>
    <row r="957" spans="1:4">
      <c r="A957" s="106"/>
      <c r="B957" s="106"/>
      <c r="C957" s="64" t="s">
        <v>1506</v>
      </c>
      <c r="D957" s="64"/>
    </row>
    <row r="958" spans="1:4">
      <c r="A958" s="106"/>
      <c r="B958" s="106"/>
      <c r="C958" s="64" t="s">
        <v>2545</v>
      </c>
      <c r="D958" s="64"/>
    </row>
    <row r="959" spans="1:4">
      <c r="A959" s="106"/>
      <c r="B959" s="106"/>
      <c r="C959" s="64" t="s">
        <v>1541</v>
      </c>
      <c r="D959" s="64"/>
    </row>
    <row r="960" spans="1:4">
      <c r="A960" s="106"/>
      <c r="B960" s="106"/>
      <c r="C960" s="64" t="s">
        <v>1520</v>
      </c>
      <c r="D960" s="64"/>
    </row>
    <row r="961" spans="1:5">
      <c r="A961" s="106"/>
      <c r="B961" s="106"/>
      <c r="C961" s="64" t="s">
        <v>1587</v>
      </c>
      <c r="D961" s="64"/>
    </row>
    <row r="962" spans="1:5">
      <c r="A962" s="106"/>
      <c r="B962" s="106"/>
      <c r="C962" s="64" t="s">
        <v>2546</v>
      </c>
      <c r="D962" s="64"/>
    </row>
    <row r="963" spans="1:5">
      <c r="A963" s="106"/>
      <c r="B963" s="106"/>
      <c r="C963" s="64" t="s">
        <v>2402</v>
      </c>
      <c r="D963" s="64"/>
      <c r="E963" s="18" t="s">
        <v>1898</v>
      </c>
    </row>
    <row r="964" spans="1:5">
      <c r="A964" s="107" t="s">
        <v>2547</v>
      </c>
      <c r="B964" s="98" t="s">
        <v>5</v>
      </c>
      <c r="C964" s="61" t="s">
        <v>2510</v>
      </c>
      <c r="D964" s="61"/>
    </row>
    <row r="965" spans="1:5">
      <c r="A965" s="108"/>
      <c r="B965" s="99"/>
      <c r="C965" s="61" t="s">
        <v>2511</v>
      </c>
      <c r="D965" s="61"/>
    </row>
    <row r="966" spans="1:5">
      <c r="A966" s="108"/>
      <c r="B966" s="99"/>
      <c r="C966" s="61" t="s">
        <v>1724</v>
      </c>
      <c r="D966" s="61"/>
    </row>
    <row r="967" spans="1:5">
      <c r="A967" s="108"/>
      <c r="B967" s="99"/>
      <c r="C967" s="61" t="s">
        <v>2512</v>
      </c>
      <c r="D967" s="61"/>
    </row>
    <row r="968" spans="1:5">
      <c r="A968" s="108"/>
      <c r="B968" s="99"/>
      <c r="C968" s="61" t="s">
        <v>2513</v>
      </c>
      <c r="D968" s="61"/>
    </row>
    <row r="969" spans="1:5">
      <c r="A969" s="108"/>
      <c r="B969" s="99"/>
      <c r="C969" s="61" t="s">
        <v>2548</v>
      </c>
      <c r="D969" s="61"/>
      <c r="E969" s="18" t="s">
        <v>1898</v>
      </c>
    </row>
    <row r="970" spans="1:5">
      <c r="A970" s="109" t="s">
        <v>2549</v>
      </c>
      <c r="B970" s="105" t="s">
        <v>5</v>
      </c>
      <c r="C970" s="64" t="s">
        <v>2550</v>
      </c>
      <c r="D970" s="64"/>
    </row>
    <row r="971" spans="1:5">
      <c r="A971" s="110"/>
      <c r="B971" s="106"/>
      <c r="C971" s="64" t="s">
        <v>2551</v>
      </c>
      <c r="D971" s="64"/>
    </row>
    <row r="972" spans="1:5">
      <c r="A972" s="110"/>
      <c r="B972" s="106"/>
      <c r="C972" s="64" t="s">
        <v>2552</v>
      </c>
      <c r="D972" s="64"/>
    </row>
    <row r="973" spans="1:5">
      <c r="A973" s="110"/>
      <c r="B973" s="106"/>
      <c r="C973" s="64" t="s">
        <v>2553</v>
      </c>
      <c r="D973" s="64"/>
    </row>
    <row r="974" spans="1:5">
      <c r="A974" s="110"/>
      <c r="B974" s="106"/>
      <c r="C974" s="64" t="s">
        <v>1775</v>
      </c>
      <c r="D974" s="64"/>
    </row>
    <row r="975" spans="1:5">
      <c r="A975" s="110"/>
      <c r="B975" s="106"/>
      <c r="C975" s="64" t="s">
        <v>2554</v>
      </c>
      <c r="D975" s="64"/>
    </row>
    <row r="976" spans="1:5">
      <c r="A976" s="134"/>
      <c r="B976" s="133"/>
      <c r="C976" s="64" t="s">
        <v>31</v>
      </c>
      <c r="D976" s="64"/>
    </row>
    <row r="977" spans="1:5">
      <c r="A977" s="98" t="s">
        <v>2555</v>
      </c>
      <c r="B977" s="98" t="s">
        <v>5</v>
      </c>
      <c r="C977" s="61" t="s">
        <v>2556</v>
      </c>
      <c r="D977" s="61"/>
      <c r="E977" s="18" t="s">
        <v>2557</v>
      </c>
    </row>
    <row r="978" spans="1:5">
      <c r="A978" s="99"/>
      <c r="B978" s="99"/>
      <c r="C978" s="61" t="s">
        <v>2558</v>
      </c>
      <c r="D978" s="61"/>
    </row>
    <row r="979" spans="1:5">
      <c r="A979" s="99"/>
      <c r="B979" s="99"/>
      <c r="C979" s="61" t="s">
        <v>2559</v>
      </c>
      <c r="D979" s="61"/>
    </row>
    <row r="980" spans="1:5">
      <c r="A980" s="99"/>
      <c r="B980" s="99"/>
      <c r="C980" s="61" t="s">
        <v>1722</v>
      </c>
      <c r="D980" s="61"/>
    </row>
    <row r="981" spans="1:5">
      <c r="A981" s="99"/>
      <c r="B981" s="99"/>
      <c r="C981" s="61" t="s">
        <v>2560</v>
      </c>
      <c r="D981" s="61"/>
    </row>
    <row r="982" spans="1:5">
      <c r="A982" s="99"/>
      <c r="B982" s="99"/>
      <c r="C982" s="61" t="s">
        <v>2561</v>
      </c>
      <c r="D982" s="61"/>
    </row>
    <row r="983" spans="1:5">
      <c r="A983" s="99"/>
      <c r="B983" s="99"/>
      <c r="C983" s="61" t="s">
        <v>2562</v>
      </c>
      <c r="D983" s="61"/>
    </row>
    <row r="984" spans="1:5">
      <c r="A984" s="99"/>
      <c r="B984" s="99"/>
      <c r="C984" s="61" t="s">
        <v>2563</v>
      </c>
      <c r="D984" s="61"/>
    </row>
    <row r="985" spans="1:5">
      <c r="A985" s="99"/>
      <c r="B985" s="99"/>
      <c r="C985" s="61" t="s">
        <v>2564</v>
      </c>
      <c r="D985" s="61" t="s">
        <v>2565</v>
      </c>
      <c r="E985" s="18" t="s">
        <v>1898</v>
      </c>
    </row>
    <row r="986" spans="1:5">
      <c r="A986" s="109" t="s">
        <v>2566</v>
      </c>
      <c r="B986" s="105" t="s">
        <v>5</v>
      </c>
      <c r="C986" s="64" t="s">
        <v>1362</v>
      </c>
      <c r="D986" s="64"/>
    </row>
    <row r="987" spans="1:5">
      <c r="A987" s="110"/>
      <c r="B987" s="106"/>
      <c r="C987" s="64" t="s">
        <v>2515</v>
      </c>
      <c r="D987" s="64"/>
    </row>
    <row r="988" spans="1:5">
      <c r="A988" s="110"/>
      <c r="B988" s="106"/>
      <c r="C988" s="64" t="s">
        <v>2567</v>
      </c>
      <c r="D988" s="64"/>
    </row>
    <row r="989" spans="1:5">
      <c r="A989" s="110"/>
      <c r="B989" s="106"/>
      <c r="C989" s="64" t="s">
        <v>2568</v>
      </c>
      <c r="D989" s="64"/>
    </row>
    <row r="990" spans="1:5">
      <c r="A990" s="110"/>
      <c r="B990" s="106"/>
      <c r="C990" s="64" t="s">
        <v>2569</v>
      </c>
      <c r="D990" s="64"/>
    </row>
    <row r="991" spans="1:5">
      <c r="A991" s="110"/>
      <c r="B991" s="106"/>
      <c r="C991" s="64" t="s">
        <v>2570</v>
      </c>
      <c r="D991" s="64"/>
    </row>
    <row r="992" spans="1:5">
      <c r="A992" s="98" t="s">
        <v>2571</v>
      </c>
      <c r="B992" s="98" t="s">
        <v>5</v>
      </c>
      <c r="C992" s="61" t="s">
        <v>183</v>
      </c>
      <c r="D992" s="61"/>
    </row>
    <row r="993" spans="1:5">
      <c r="A993" s="99"/>
      <c r="B993" s="99"/>
      <c r="C993" s="61" t="s">
        <v>165</v>
      </c>
      <c r="D993" s="61"/>
    </row>
    <row r="994" spans="1:5">
      <c r="A994" s="99"/>
      <c r="B994" s="99"/>
      <c r="C994" s="61" t="s">
        <v>2490</v>
      </c>
      <c r="D994" s="61"/>
    </row>
    <row r="995" spans="1:5">
      <c r="A995" s="99"/>
      <c r="B995" s="99"/>
      <c r="C995" s="61" t="s">
        <v>151</v>
      </c>
      <c r="D995" s="61"/>
    </row>
    <row r="996" spans="1:5">
      <c r="A996" s="99"/>
      <c r="B996" s="99"/>
      <c r="C996" s="61" t="s">
        <v>2572</v>
      </c>
      <c r="D996" s="61" t="s">
        <v>2573</v>
      </c>
    </row>
    <row r="997" spans="1:5">
      <c r="A997" s="99"/>
      <c r="B997" s="99"/>
      <c r="C997" s="61" t="s">
        <v>31</v>
      </c>
      <c r="D997" s="61"/>
    </row>
    <row r="998" spans="1:5">
      <c r="A998" s="105" t="s">
        <v>2574</v>
      </c>
      <c r="B998" s="105" t="s">
        <v>5</v>
      </c>
      <c r="C998" s="64" t="s">
        <v>2575</v>
      </c>
      <c r="D998" s="64"/>
      <c r="E998" s="18" t="s">
        <v>2557</v>
      </c>
    </row>
    <row r="999" spans="1:5">
      <c r="A999" s="106"/>
      <c r="B999" s="106"/>
      <c r="C999" s="64" t="s">
        <v>2576</v>
      </c>
      <c r="D999" s="64"/>
    </row>
    <row r="1000" spans="1:5">
      <c r="A1000" s="98" t="s">
        <v>2577</v>
      </c>
      <c r="B1000" s="98" t="s">
        <v>5</v>
      </c>
      <c r="C1000" s="61" t="s">
        <v>2578</v>
      </c>
      <c r="D1000" s="61"/>
    </row>
    <row r="1001" spans="1:5">
      <c r="A1001" s="99"/>
      <c r="B1001" s="99"/>
      <c r="C1001" s="61" t="s">
        <v>2579</v>
      </c>
      <c r="D1001" s="61"/>
    </row>
    <row r="1002" spans="1:5">
      <c r="A1002" s="99"/>
      <c r="B1002" s="99"/>
      <c r="C1002" s="61" t="s">
        <v>2580</v>
      </c>
      <c r="D1002" s="61"/>
    </row>
    <row r="1003" spans="1:5">
      <c r="A1003" s="99"/>
      <c r="B1003" s="99"/>
      <c r="C1003" s="61" t="s">
        <v>2581</v>
      </c>
      <c r="D1003" s="61"/>
      <c r="E1003" s="18" t="s">
        <v>1898</v>
      </c>
    </row>
    <row r="1004" spans="1:5">
      <c r="A1004" s="99"/>
      <c r="B1004" s="99"/>
      <c r="C1004" s="61" t="s">
        <v>2582</v>
      </c>
      <c r="D1004" s="61"/>
    </row>
    <row r="1005" spans="1:5">
      <c r="A1005" s="99"/>
      <c r="B1005" s="99"/>
      <c r="C1005" s="61" t="s">
        <v>2583</v>
      </c>
      <c r="D1005" s="61"/>
    </row>
    <row r="1006" spans="1:5">
      <c r="A1006" s="99"/>
      <c r="B1006" s="99"/>
      <c r="C1006" s="61" t="s">
        <v>2584</v>
      </c>
      <c r="D1006" s="61"/>
      <c r="E1006" s="18" t="s">
        <v>1898</v>
      </c>
    </row>
    <row r="1007" spans="1:5">
      <c r="A1007" s="99"/>
      <c r="B1007" s="99"/>
      <c r="C1007" s="61" t="s">
        <v>2585</v>
      </c>
      <c r="D1007" s="61"/>
    </row>
    <row r="1008" spans="1:5">
      <c r="A1008" s="99"/>
      <c r="B1008" s="99"/>
      <c r="C1008" s="61" t="s">
        <v>2586</v>
      </c>
      <c r="D1008" s="61"/>
    </row>
    <row r="1009" spans="1:4">
      <c r="A1009" s="99"/>
      <c r="B1009" s="99"/>
      <c r="C1009" s="61" t="s">
        <v>2587</v>
      </c>
      <c r="D1009" s="61"/>
    </row>
    <row r="1010" spans="1:4">
      <c r="A1010" s="99"/>
      <c r="B1010" s="99"/>
      <c r="C1010" s="61" t="s">
        <v>2588</v>
      </c>
      <c r="D1010" s="61"/>
    </row>
    <row r="1011" spans="1:4">
      <c r="A1011" s="99"/>
      <c r="B1011" s="99"/>
      <c r="C1011" s="61" t="s">
        <v>2589</v>
      </c>
      <c r="D1011" s="61"/>
    </row>
    <row r="1012" spans="1:4">
      <c r="A1012" s="99"/>
      <c r="B1012" s="99"/>
      <c r="C1012" s="61" t="s">
        <v>2590</v>
      </c>
      <c r="D1012" s="61"/>
    </row>
    <row r="1013" spans="1:4">
      <c r="A1013" s="99"/>
      <c r="B1013" s="99"/>
      <c r="C1013" s="61" t="s">
        <v>2591</v>
      </c>
      <c r="D1013" s="61"/>
    </row>
    <row r="1014" spans="1:4">
      <c r="A1014" s="99"/>
      <c r="B1014" s="99"/>
      <c r="C1014" s="61" t="s">
        <v>2592</v>
      </c>
      <c r="D1014" s="61"/>
    </row>
    <row r="1015" spans="1:4">
      <c r="A1015" s="99"/>
      <c r="B1015" s="99"/>
      <c r="C1015" s="61" t="s">
        <v>1808</v>
      </c>
      <c r="D1015" s="61"/>
    </row>
    <row r="1016" spans="1:4">
      <c r="A1016" s="99"/>
      <c r="B1016" s="99"/>
      <c r="C1016" s="61" t="s">
        <v>2593</v>
      </c>
      <c r="D1016" s="61"/>
    </row>
    <row r="1017" spans="1:4">
      <c r="A1017" s="99"/>
      <c r="B1017" s="99"/>
      <c r="C1017" s="61" t="s">
        <v>1813</v>
      </c>
      <c r="D1017" s="61"/>
    </row>
    <row r="1018" spans="1:4">
      <c r="A1018" s="99"/>
      <c r="B1018" s="99"/>
      <c r="C1018" s="61" t="s">
        <v>2594</v>
      </c>
      <c r="D1018" s="61"/>
    </row>
    <row r="1019" spans="1:4">
      <c r="A1019" s="99"/>
      <c r="B1019" s="99"/>
      <c r="C1019" s="61" t="s">
        <v>2595</v>
      </c>
      <c r="D1019" s="61"/>
    </row>
    <row r="1020" spans="1:4">
      <c r="A1020" s="99"/>
      <c r="B1020" s="99"/>
      <c r="C1020" s="61" t="s">
        <v>2596</v>
      </c>
      <c r="D1020" s="61"/>
    </row>
    <row r="1021" spans="1:4">
      <c r="A1021" s="99"/>
      <c r="B1021" s="99"/>
      <c r="C1021" s="61" t="s">
        <v>2597</v>
      </c>
      <c r="D1021" s="61"/>
    </row>
    <row r="1022" spans="1:4">
      <c r="A1022" s="99"/>
      <c r="B1022" s="99"/>
      <c r="C1022" s="61" t="s">
        <v>2598</v>
      </c>
      <c r="D1022" s="61"/>
    </row>
    <row r="1023" spans="1:4">
      <c r="A1023" s="99"/>
      <c r="B1023" s="99"/>
      <c r="C1023" s="61" t="s">
        <v>2599</v>
      </c>
      <c r="D1023" s="61"/>
    </row>
    <row r="1024" spans="1:4">
      <c r="A1024" s="99"/>
      <c r="B1024" s="99"/>
      <c r="C1024" s="61" t="s">
        <v>2600</v>
      </c>
      <c r="D1024" s="61"/>
    </row>
    <row r="1025" spans="1:5">
      <c r="A1025" s="99"/>
      <c r="B1025" s="99"/>
      <c r="C1025" s="61" t="s">
        <v>2601</v>
      </c>
      <c r="D1025" s="61"/>
    </row>
    <row r="1026" spans="1:5">
      <c r="A1026" s="99"/>
      <c r="B1026" s="99"/>
      <c r="C1026" s="61" t="s">
        <v>2602</v>
      </c>
      <c r="D1026" s="61"/>
    </row>
    <row r="1027" spans="1:5">
      <c r="A1027" s="99"/>
      <c r="B1027" s="99"/>
      <c r="C1027" s="61" t="s">
        <v>2603</v>
      </c>
      <c r="D1027" s="61"/>
    </row>
    <row r="1028" spans="1:5">
      <c r="A1028" s="99"/>
      <c r="B1028" s="99"/>
      <c r="C1028" s="61" t="s">
        <v>2604</v>
      </c>
      <c r="D1028" s="61"/>
    </row>
    <row r="1029" spans="1:5">
      <c r="A1029" s="99"/>
      <c r="B1029" s="99"/>
      <c r="C1029" s="61" t="s">
        <v>2605</v>
      </c>
      <c r="D1029" s="61"/>
    </row>
    <row r="1030" spans="1:5">
      <c r="A1030" s="99"/>
      <c r="B1030" s="99"/>
      <c r="C1030" s="61" t="s">
        <v>2606</v>
      </c>
      <c r="D1030" s="61"/>
    </row>
    <row r="1031" spans="1:5">
      <c r="A1031" s="99"/>
      <c r="B1031" s="99"/>
      <c r="C1031" s="143" t="s">
        <v>2607</v>
      </c>
      <c r="D1031" s="61"/>
      <c r="E1031" s="18" t="s">
        <v>1898</v>
      </c>
    </row>
    <row r="1032" spans="1:5">
      <c r="A1032" s="99"/>
      <c r="B1032" s="99"/>
      <c r="C1032" s="61" t="s">
        <v>2608</v>
      </c>
      <c r="D1032" s="61"/>
    </row>
    <row r="1033" spans="1:5">
      <c r="A1033" s="99"/>
      <c r="B1033" s="99"/>
      <c r="C1033" s="61" t="s">
        <v>31</v>
      </c>
      <c r="D1033" s="61"/>
    </row>
    <row r="1034" spans="1:5">
      <c r="A1034" s="75" t="s">
        <v>2609</v>
      </c>
      <c r="B1034" s="75" t="s">
        <v>5</v>
      </c>
      <c r="C1034" s="64" t="s">
        <v>2610</v>
      </c>
      <c r="D1034" s="64"/>
      <c r="E1034" s="18" t="s">
        <v>2557</v>
      </c>
    </row>
    <row r="1035" spans="1:5">
      <c r="A1035" s="76"/>
      <c r="B1035" s="76"/>
      <c r="C1035" s="64" t="s">
        <v>2611</v>
      </c>
      <c r="D1035" s="64"/>
    </row>
    <row r="1036" spans="1:5">
      <c r="A1036" s="76"/>
      <c r="B1036" s="76"/>
      <c r="C1036" s="64" t="s">
        <v>31</v>
      </c>
      <c r="D1036" s="64"/>
    </row>
    <row r="1037" spans="1:5">
      <c r="A1037" s="98" t="s">
        <v>2612</v>
      </c>
      <c r="B1037" s="98" t="s">
        <v>5</v>
      </c>
      <c r="C1037" s="61" t="s">
        <v>1825</v>
      </c>
      <c r="D1037" s="61"/>
    </row>
    <row r="1038" spans="1:5">
      <c r="A1038" s="99"/>
      <c r="B1038" s="99"/>
      <c r="C1038" s="61" t="s">
        <v>2613</v>
      </c>
      <c r="D1038" s="61" t="s">
        <v>2614</v>
      </c>
    </row>
    <row r="1039" spans="1:5">
      <c r="A1039" s="99"/>
      <c r="B1039" s="99"/>
      <c r="C1039" s="61" t="s">
        <v>2615</v>
      </c>
      <c r="D1039" s="61" t="s">
        <v>2616</v>
      </c>
    </row>
    <row r="1040" spans="1:5">
      <c r="A1040" s="99"/>
      <c r="B1040" s="99"/>
      <c r="C1040" s="61" t="s">
        <v>2617</v>
      </c>
      <c r="D1040" s="61" t="s">
        <v>2618</v>
      </c>
    </row>
    <row r="1044" spans="4:4">
      <c r="D1044" s="63"/>
    </row>
    <row r="1045" spans="4:4">
      <c r="D1045" s="63"/>
    </row>
    <row r="1046" spans="4:4">
      <c r="D1046" s="63"/>
    </row>
    <row r="1047" spans="4:4">
      <c r="D1047" s="63"/>
    </row>
    <row r="1065" spans="1:4">
      <c r="D1065" s="38"/>
    </row>
    <row r="1070" spans="1:4">
      <c r="A1070" s="38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0"/>
      <c r="B1074" s="18"/>
      <c r="C1074" s="18"/>
      <c r="E1074" s="18"/>
    </row>
    <row r="1075" spans="1:5" s="9" customFormat="1">
      <c r="B1075" s="18"/>
      <c r="C1075" s="63"/>
      <c r="E1075" s="18"/>
    </row>
    <row r="1076" spans="1:5" s="9" customFormat="1">
      <c r="B1076" s="18"/>
      <c r="C1076" s="63" t="s">
        <v>147</v>
      </c>
      <c r="E1076" s="18"/>
    </row>
    <row r="1077" spans="1:5" s="9" customFormat="1">
      <c r="B1077" s="18"/>
      <c r="C1077" s="63" t="s">
        <v>134</v>
      </c>
      <c r="E1077" s="18"/>
    </row>
    <row r="1078" spans="1:5" s="9" customFormat="1">
      <c r="B1078" s="18"/>
      <c r="C1078" s="63" t="s">
        <v>332</v>
      </c>
      <c r="E1078" s="18"/>
    </row>
    <row r="1079" spans="1:5" s="9" customFormat="1">
      <c r="B1079" s="18"/>
      <c r="C1079" s="63" t="s">
        <v>652</v>
      </c>
      <c r="E1079" s="18"/>
    </row>
    <row r="1080" spans="1:5" s="9" customFormat="1">
      <c r="B1080" s="18"/>
      <c r="C1080" s="63"/>
      <c r="E1080" s="18"/>
    </row>
    <row r="1081" spans="1:5" s="9" customFormat="1">
      <c r="B1081" s="18"/>
      <c r="C1081" s="63" t="s">
        <v>147</v>
      </c>
      <c r="E1081" s="18"/>
    </row>
    <row r="1082" spans="1:5" s="9" customFormat="1">
      <c r="B1082" s="18"/>
      <c r="C1082" s="63" t="s">
        <v>134</v>
      </c>
      <c r="E1082" s="18"/>
    </row>
    <row r="1083" spans="1:5" s="9" customFormat="1">
      <c r="B1083" s="18"/>
      <c r="C1083" s="63" t="s">
        <v>332</v>
      </c>
      <c r="E1083" s="18"/>
    </row>
    <row r="1084" spans="1:5" s="9" customFormat="1">
      <c r="B1084" s="18"/>
      <c r="C1084" s="63" t="s">
        <v>652</v>
      </c>
      <c r="E1084" s="18"/>
    </row>
    <row r="1085" spans="1:5" s="9" customFormat="1">
      <c r="B1085" s="18"/>
      <c r="C1085" s="63" t="s">
        <v>162</v>
      </c>
      <c r="E1085" s="18"/>
    </row>
    <row r="1086" spans="1:5" s="9" customFormat="1">
      <c r="B1086" s="18"/>
      <c r="C1086" s="63"/>
      <c r="E1086" s="18"/>
    </row>
    <row r="1087" spans="1:5" s="9" customFormat="1">
      <c r="A1087" s="38"/>
      <c r="B1087" s="18"/>
      <c r="C1087" s="63" t="s">
        <v>147</v>
      </c>
      <c r="E1087" s="18"/>
    </row>
    <row r="1088" spans="1:5" s="9" customFormat="1">
      <c r="B1088" s="18"/>
      <c r="C1088" s="63" t="s">
        <v>134</v>
      </c>
      <c r="E1088" s="18"/>
    </row>
    <row r="1089" spans="2:5" s="9" customFormat="1">
      <c r="B1089" s="18"/>
      <c r="C1089" s="63" t="s">
        <v>652</v>
      </c>
      <c r="E1089" s="18"/>
    </row>
    <row r="1090" spans="2:5" s="9" customFormat="1">
      <c r="B1090" s="18"/>
      <c r="C1090" s="63"/>
      <c r="E1090" s="18"/>
    </row>
    <row r="1091" spans="2:5" s="9" customFormat="1">
      <c r="B1091" s="18"/>
      <c r="C1091" s="63" t="s">
        <v>1413</v>
      </c>
      <c r="E1091" s="18"/>
    </row>
    <row r="1092" spans="2:5" s="9" customFormat="1">
      <c r="B1092" s="18"/>
      <c r="C1092" s="63" t="s">
        <v>31</v>
      </c>
      <c r="E1092" s="18"/>
    </row>
    <row r="1093" spans="2:5" s="9" customFormat="1">
      <c r="B1093" s="18"/>
      <c r="C1093" s="63"/>
      <c r="E1093" s="18"/>
    </row>
    <row r="1094" spans="2:5" s="9" customFormat="1">
      <c r="B1094" s="18"/>
      <c r="C1094" s="63" t="s">
        <v>234</v>
      </c>
      <c r="E1094" s="18"/>
    </row>
    <row r="1095" spans="2:5" s="9" customFormat="1">
      <c r="B1095" s="18"/>
      <c r="C1095" s="63" t="s">
        <v>2311</v>
      </c>
      <c r="E1095" s="18"/>
    </row>
    <row r="1096" spans="2:5" s="9" customFormat="1">
      <c r="B1096" s="18"/>
      <c r="C1096" s="63" t="s">
        <v>2312</v>
      </c>
      <c r="E1096" s="18"/>
    </row>
    <row r="1097" spans="2:5" s="9" customFormat="1">
      <c r="B1097" s="18"/>
      <c r="C1097" s="63" t="s">
        <v>1363</v>
      </c>
      <c r="E1097" s="18"/>
    </row>
    <row r="1098" spans="2:5" s="9" customFormat="1">
      <c r="B1098" s="18"/>
      <c r="C1098" s="63" t="s">
        <v>2315</v>
      </c>
      <c r="E1098" s="18"/>
    </row>
    <row r="1099" spans="2:5" s="9" customFormat="1">
      <c r="B1099" s="18"/>
      <c r="C1099" s="63" t="s">
        <v>1724</v>
      </c>
      <c r="E1099" s="18"/>
    </row>
    <row r="1100" spans="2:5" s="9" customFormat="1">
      <c r="B1100" s="18"/>
      <c r="C1100" s="63" t="s">
        <v>1357</v>
      </c>
      <c r="E1100" s="18"/>
    </row>
    <row r="1101" spans="2:5" s="9" customFormat="1">
      <c r="B1101" s="18"/>
      <c r="C1101" s="63" t="s">
        <v>2316</v>
      </c>
      <c r="E1101" s="18"/>
    </row>
    <row r="1102" spans="2:5" s="9" customFormat="1">
      <c r="B1102" s="18"/>
      <c r="C1102" s="63" t="s">
        <v>2317</v>
      </c>
      <c r="E1102" s="18"/>
    </row>
    <row r="1103" spans="2:5" s="9" customFormat="1">
      <c r="B1103" s="18"/>
      <c r="C1103" s="63" t="s">
        <v>2319</v>
      </c>
      <c r="E1103" s="18"/>
    </row>
    <row r="1104" spans="2:5" s="9" customFormat="1">
      <c r="B1104" s="18"/>
      <c r="C1104" s="63" t="s">
        <v>2099</v>
      </c>
      <c r="E1104" s="18"/>
    </row>
    <row r="1105" spans="2:5" s="9" customFormat="1">
      <c r="B1105" s="18"/>
      <c r="C1105" s="63" t="s">
        <v>31</v>
      </c>
      <c r="E1105" s="18"/>
    </row>
    <row r="1106" spans="2:5" s="9" customFormat="1">
      <c r="B1106" s="18"/>
      <c r="C1106" s="63"/>
      <c r="E1106" s="18"/>
    </row>
    <row r="1107" spans="2:5" s="9" customFormat="1">
      <c r="B1107" s="18"/>
      <c r="C1107" s="63"/>
      <c r="E1107" s="18"/>
    </row>
    <row r="1108" spans="2:5">
      <c r="C1108" s="63" t="s">
        <v>1391</v>
      </c>
    </row>
    <row r="1109" spans="2:5" s="9" customFormat="1">
      <c r="B1109" s="18"/>
      <c r="C1109" s="63" t="s">
        <v>1511</v>
      </c>
      <c r="E1109" s="18"/>
    </row>
    <row r="1110" spans="2:5" s="9" customFormat="1">
      <c r="B1110" s="18"/>
      <c r="C1110" s="63" t="s">
        <v>1478</v>
      </c>
      <c r="E1110" s="18"/>
    </row>
    <row r="1111" spans="2:5" s="9" customFormat="1">
      <c r="B1111" s="18"/>
      <c r="C1111" s="63" t="s">
        <v>31</v>
      </c>
      <c r="E1111" s="18"/>
    </row>
    <row r="1112" spans="2:5" s="9" customFormat="1">
      <c r="B1112" s="18"/>
      <c r="C1112" s="63"/>
      <c r="E1112" s="18"/>
    </row>
    <row r="1113" spans="2:5" s="9" customFormat="1">
      <c r="B1113" s="18"/>
      <c r="C1113" s="63" t="s">
        <v>150</v>
      </c>
      <c r="E1113" s="18"/>
    </row>
    <row r="1114" spans="2:5" s="9" customFormat="1">
      <c r="B1114" s="18"/>
      <c r="C1114" s="63" t="s">
        <v>1988</v>
      </c>
      <c r="E1114" s="18"/>
    </row>
    <row r="1115" spans="2:5" s="9" customFormat="1">
      <c r="B1115" s="18"/>
      <c r="C1115" s="63" t="s">
        <v>43</v>
      </c>
      <c r="E1115" s="18"/>
    </row>
    <row r="1116" spans="2:5" s="9" customFormat="1">
      <c r="B1116" s="18"/>
      <c r="C1116" s="63" t="s">
        <v>31</v>
      </c>
      <c r="E1116" s="18"/>
    </row>
    <row r="1117" spans="2:5" s="9" customFormat="1">
      <c r="B1117" s="18"/>
      <c r="C1117" s="63"/>
      <c r="E1117" s="18"/>
    </row>
    <row r="1118" spans="2:5" s="9" customFormat="1">
      <c r="B1118" s="18"/>
      <c r="C1118" s="63" t="s">
        <v>152</v>
      </c>
      <c r="E1118" s="18"/>
    </row>
    <row r="1119" spans="2:5" s="9" customFormat="1">
      <c r="B1119" s="18"/>
      <c r="C1119" s="63" t="s">
        <v>2619</v>
      </c>
      <c r="E1119" s="18"/>
    </row>
    <row r="1120" spans="2:5" s="9" customFormat="1">
      <c r="B1120" s="18"/>
      <c r="C1120" s="63"/>
      <c r="E1120" s="18"/>
    </row>
    <row r="1121" spans="2:5">
      <c r="C1121" s="63" t="s">
        <v>152</v>
      </c>
    </row>
    <row r="1122" spans="2:5" s="9" customFormat="1">
      <c r="B1122" s="18"/>
      <c r="C1122" s="63" t="s">
        <v>166</v>
      </c>
      <c r="E1122" s="18"/>
    </row>
    <row r="1123" spans="2:5" s="9" customFormat="1">
      <c r="B1123" s="18"/>
      <c r="C1123" s="63" t="s">
        <v>1992</v>
      </c>
      <c r="E1123" s="18"/>
    </row>
    <row r="1124" spans="2:5" s="9" customFormat="1">
      <c r="B1124" s="18"/>
      <c r="C1124" s="63" t="s">
        <v>1994</v>
      </c>
      <c r="E1124" s="18"/>
    </row>
    <row r="1125" spans="2:5">
      <c r="C1125" s="63" t="s">
        <v>1999</v>
      </c>
    </row>
    <row r="1126" spans="2:5">
      <c r="C1126" s="63" t="s">
        <v>31</v>
      </c>
    </row>
    <row r="1129" spans="2:5">
      <c r="C1129" s="63" t="s">
        <v>2078</v>
      </c>
    </row>
    <row r="1130" spans="2:5">
      <c r="C1130" s="63" t="s">
        <v>292</v>
      </c>
    </row>
    <row r="1131" spans="2:5">
      <c r="C1131" s="63" t="s">
        <v>813</v>
      </c>
    </row>
    <row r="1132" spans="2:5">
      <c r="C1132" s="63" t="s">
        <v>234</v>
      </c>
    </row>
    <row r="1133" spans="2:5">
      <c r="C1133" s="63" t="s">
        <v>222</v>
      </c>
    </row>
    <row r="1134" spans="2:5">
      <c r="C1134" s="63" t="s">
        <v>425</v>
      </c>
    </row>
    <row r="1135" spans="2:5">
      <c r="C1135" s="63" t="s">
        <v>1459</v>
      </c>
    </row>
    <row r="1136" spans="2:5">
      <c r="C1136" s="63" t="s">
        <v>176</v>
      </c>
    </row>
    <row r="1137" spans="3:3">
      <c r="C1137" s="63" t="s">
        <v>554</v>
      </c>
    </row>
    <row r="1138" spans="3:3">
      <c r="C1138" s="63" t="s">
        <v>645</v>
      </c>
    </row>
    <row r="1139" spans="3:3">
      <c r="C1139" s="63" t="s">
        <v>282</v>
      </c>
    </row>
    <row r="1140" spans="3:3">
      <c r="C1140" s="63" t="s">
        <v>2081</v>
      </c>
    </row>
    <row r="1141" spans="3:3">
      <c r="C1141" s="63" t="s">
        <v>2082</v>
      </c>
    </row>
    <row r="1142" spans="3:3">
      <c r="C1142" s="63" t="s">
        <v>208</v>
      </c>
    </row>
    <row r="1143" spans="3:3">
      <c r="C1143" s="63" t="s">
        <v>1388</v>
      </c>
    </row>
    <row r="1144" spans="3:3">
      <c r="C1144" s="63" t="s">
        <v>335</v>
      </c>
    </row>
    <row r="1145" spans="3:3">
      <c r="C1145" s="63" t="s">
        <v>2084</v>
      </c>
    </row>
    <row r="1146" spans="3:3">
      <c r="C1146" s="63" t="s">
        <v>548</v>
      </c>
    </row>
    <row r="1147" spans="3:3">
      <c r="C1147" s="63" t="s">
        <v>741</v>
      </c>
    </row>
    <row r="1148" spans="3:3">
      <c r="C1148" s="63" t="s">
        <v>639</v>
      </c>
    </row>
    <row r="1149" spans="3:3">
      <c r="C1149" s="63" t="s">
        <v>2086</v>
      </c>
    </row>
    <row r="1150" spans="3:3">
      <c r="C1150" s="63" t="s">
        <v>728</v>
      </c>
    </row>
    <row r="1151" spans="3:3">
      <c r="C1151" s="63" t="s">
        <v>502</v>
      </c>
    </row>
    <row r="1152" spans="3:3">
      <c r="C1152" s="63" t="s">
        <v>826</v>
      </c>
    </row>
    <row r="1153" spans="3:3">
      <c r="C1153" s="63" t="s">
        <v>184</v>
      </c>
    </row>
    <row r="1154" spans="3:3">
      <c r="C1154" s="63" t="s">
        <v>167</v>
      </c>
    </row>
    <row r="1155" spans="3:3">
      <c r="C1155" s="63" t="s">
        <v>153</v>
      </c>
    </row>
    <row r="1156" spans="3:3">
      <c r="C1156" s="63" t="s">
        <v>774</v>
      </c>
    </row>
    <row r="1157" spans="3:3">
      <c r="C1157" s="63" t="s">
        <v>2087</v>
      </c>
    </row>
    <row r="1158" spans="3:3">
      <c r="C1158" s="63" t="s">
        <v>2088</v>
      </c>
    </row>
    <row r="1159" spans="3:3">
      <c r="C1159" s="63" t="s">
        <v>2089</v>
      </c>
    </row>
    <row r="1160" spans="3:3">
      <c r="C1160" s="63" t="s">
        <v>2090</v>
      </c>
    </row>
    <row r="1161" spans="3:3">
      <c r="C1161" s="63" t="s">
        <v>2091</v>
      </c>
    </row>
    <row r="1162" spans="3:3">
      <c r="C1162" s="63" t="s">
        <v>2092</v>
      </c>
    </row>
    <row r="1163" spans="3:3" ht="14.45" customHeight="1">
      <c r="C1163" s="63" t="s">
        <v>2093</v>
      </c>
    </row>
    <row r="1164" spans="3:3">
      <c r="C1164" s="63" t="s">
        <v>520</v>
      </c>
    </row>
    <row r="1165" spans="3:3">
      <c r="C1165" s="63" t="s">
        <v>484</v>
      </c>
    </row>
    <row r="1166" spans="3:3">
      <c r="C1166" s="63" t="s">
        <v>193</v>
      </c>
    </row>
    <row r="1167" spans="3:3">
      <c r="C1167" s="63" t="s">
        <v>353</v>
      </c>
    </row>
    <row r="1168" spans="3:3">
      <c r="C1168" s="63" t="s">
        <v>809</v>
      </c>
    </row>
    <row r="1169" spans="3:3">
      <c r="C1169" s="63" t="s">
        <v>240</v>
      </c>
    </row>
    <row r="1170" spans="3:3">
      <c r="C1170" s="63" t="s">
        <v>31</v>
      </c>
    </row>
    <row r="1171" spans="3:3">
      <c r="C1171" s="63" t="s">
        <v>978</v>
      </c>
    </row>
    <row r="1172" spans="3:3">
      <c r="C1172" s="63" t="s">
        <v>2100</v>
      </c>
    </row>
    <row r="1173" spans="3:3">
      <c r="C1173" s="63" t="s">
        <v>2101</v>
      </c>
    </row>
    <row r="1174" spans="3:3">
      <c r="C1174" s="63" t="s">
        <v>983</v>
      </c>
    </row>
    <row r="1175" spans="3:3">
      <c r="C1175" s="63" t="s">
        <v>2102</v>
      </c>
    </row>
    <row r="1176" spans="3:3">
      <c r="C1176" s="63" t="s">
        <v>2103</v>
      </c>
    </row>
    <row r="1177" spans="3:3">
      <c r="C1177" s="63" t="s">
        <v>2104</v>
      </c>
    </row>
    <row r="1178" spans="3:3">
      <c r="C1178" s="63" t="s">
        <v>2105</v>
      </c>
    </row>
    <row r="1179" spans="3:3">
      <c r="C1179" s="63" t="s">
        <v>2106</v>
      </c>
    </row>
    <row r="1180" spans="3:3">
      <c r="C1180" s="63" t="s">
        <v>2107</v>
      </c>
    </row>
    <row r="1181" spans="3:3">
      <c r="C1181" s="63" t="s">
        <v>2108</v>
      </c>
    </row>
    <row r="1182" spans="3:3">
      <c r="C1182" s="63" t="s">
        <v>2109</v>
      </c>
    </row>
    <row r="1183" spans="3:3">
      <c r="C1183" s="63" t="s">
        <v>2110</v>
      </c>
    </row>
    <row r="1184" spans="3:3">
      <c r="C1184" s="63" t="s">
        <v>2111</v>
      </c>
    </row>
    <row r="1185" spans="3:3">
      <c r="C1185" s="63" t="s">
        <v>2112</v>
      </c>
    </row>
    <row r="1186" spans="3:3">
      <c r="C1186" s="63" t="s">
        <v>2113</v>
      </c>
    </row>
    <row r="1187" spans="3:3">
      <c r="C1187" s="63" t="s">
        <v>2114</v>
      </c>
    </row>
    <row r="1188" spans="3:3">
      <c r="C1188" s="63" t="s">
        <v>2115</v>
      </c>
    </row>
    <row r="1189" spans="3:3">
      <c r="C1189" s="63" t="s">
        <v>2117</v>
      </c>
    </row>
    <row r="1190" spans="3:3">
      <c r="C1190" s="63" t="s">
        <v>2119</v>
      </c>
    </row>
    <row r="1191" spans="3:3">
      <c r="C1191" s="63" t="s">
        <v>1037</v>
      </c>
    </row>
    <row r="1192" spans="3:3">
      <c r="C1192" s="142" t="s">
        <v>2121</v>
      </c>
    </row>
    <row r="1193" spans="3:3">
      <c r="C1193" s="63" t="s">
        <v>953</v>
      </c>
    </row>
    <row r="1194" spans="3:3">
      <c r="C1194" s="63" t="s">
        <v>2123</v>
      </c>
    </row>
    <row r="1195" spans="3:3">
      <c r="C1195" s="63" t="s">
        <v>2124</v>
      </c>
    </row>
    <row r="1196" spans="3:3">
      <c r="C1196" s="63" t="s">
        <v>888</v>
      </c>
    </row>
    <row r="1197" spans="3:3">
      <c r="C1197" s="63" t="s">
        <v>2125</v>
      </c>
    </row>
    <row r="1198" spans="3:3">
      <c r="C1198" s="63" t="s">
        <v>2126</v>
      </c>
    </row>
    <row r="1199" spans="3:3">
      <c r="C1199" s="63" t="s">
        <v>2127</v>
      </c>
    </row>
    <row r="1200" spans="3:3">
      <c r="C1200" s="63" t="s">
        <v>2128</v>
      </c>
    </row>
    <row r="1201" spans="3:3">
      <c r="C1201" s="63" t="s">
        <v>2130</v>
      </c>
    </row>
    <row r="1202" spans="3:3">
      <c r="C1202" s="63" t="s">
        <v>904</v>
      </c>
    </row>
    <row r="1203" spans="3:3">
      <c r="C1203" s="63" t="s">
        <v>2132</v>
      </c>
    </row>
    <row r="1204" spans="3:3">
      <c r="C1204" s="63" t="s">
        <v>2133</v>
      </c>
    </row>
    <row r="1205" spans="3:3">
      <c r="C1205" s="63" t="s">
        <v>2134</v>
      </c>
    </row>
    <row r="1206" spans="3:3">
      <c r="C1206" s="63" t="s">
        <v>974</v>
      </c>
    </row>
    <row r="1207" spans="3:3">
      <c r="C1207" s="63" t="s">
        <v>2135</v>
      </c>
    </row>
    <row r="1208" spans="3:3">
      <c r="C1208" s="63" t="s">
        <v>1042</v>
      </c>
    </row>
    <row r="1209" spans="3:3">
      <c r="C1209" s="63" t="s">
        <v>2137</v>
      </c>
    </row>
    <row r="1210" spans="3:3">
      <c r="C1210" s="63" t="s">
        <v>2138</v>
      </c>
    </row>
    <row r="1211" spans="3:3">
      <c r="C1211" s="63" t="s">
        <v>2139</v>
      </c>
    </row>
    <row r="1212" spans="3:3">
      <c r="C1212" s="63" t="s">
        <v>2140</v>
      </c>
    </row>
    <row r="1213" spans="3:3">
      <c r="C1213" s="63" t="s">
        <v>2141</v>
      </c>
    </row>
    <row r="1214" spans="3:3">
      <c r="C1214" s="63" t="s">
        <v>655</v>
      </c>
    </row>
    <row r="1215" spans="3:3">
      <c r="C1215" s="63" t="s">
        <v>2142</v>
      </c>
    </row>
    <row r="1216" spans="3:3">
      <c r="C1216" s="63" t="s">
        <v>2144</v>
      </c>
    </row>
    <row r="1217" spans="3:3">
      <c r="C1217" s="63" t="s">
        <v>2145</v>
      </c>
    </row>
    <row r="1218" spans="3:3">
      <c r="C1218" s="63" t="s">
        <v>2146</v>
      </c>
    </row>
    <row r="1219" spans="3:3">
      <c r="C1219" s="63" t="s">
        <v>1025</v>
      </c>
    </row>
    <row r="1220" spans="3:3">
      <c r="C1220" s="63" t="s">
        <v>2147</v>
      </c>
    </row>
    <row r="1221" spans="3:3">
      <c r="C1221" s="63" t="s">
        <v>929</v>
      </c>
    </row>
    <row r="1222" spans="3:3">
      <c r="C1222" s="63" t="s">
        <v>2148</v>
      </c>
    </row>
    <row r="1223" spans="3:3">
      <c r="C1223" s="63" t="s">
        <v>945</v>
      </c>
    </row>
    <row r="1224" spans="3:3">
      <c r="C1224" s="63" t="s">
        <v>2149</v>
      </c>
    </row>
    <row r="1225" spans="3:3">
      <c r="C1225" s="63" t="s">
        <v>883</v>
      </c>
    </row>
    <row r="1226" spans="3:3">
      <c r="C1226" s="63" t="s">
        <v>909</v>
      </c>
    </row>
    <row r="1227" spans="3:3">
      <c r="C1227" s="63" t="s">
        <v>2150</v>
      </c>
    </row>
    <row r="1228" spans="3:3">
      <c r="C1228" s="63" t="s">
        <v>2151</v>
      </c>
    </row>
    <row r="1229" spans="3:3">
      <c r="C1229" s="63" t="s">
        <v>2152</v>
      </c>
    </row>
    <row r="1230" spans="3:3">
      <c r="C1230" s="63" t="s">
        <v>2153</v>
      </c>
    </row>
    <row r="1231" spans="3:3">
      <c r="C1231" s="63" t="s">
        <v>2154</v>
      </c>
    </row>
    <row r="1232" spans="3:3">
      <c r="C1232" s="63" t="s">
        <v>2155</v>
      </c>
    </row>
    <row r="1233" spans="3:3">
      <c r="C1233" s="63" t="s">
        <v>2156</v>
      </c>
    </row>
    <row r="1234" spans="3:3">
      <c r="C1234" s="63" t="s">
        <v>940</v>
      </c>
    </row>
    <row r="1235" spans="3:3">
      <c r="C1235" s="63" t="s">
        <v>2157</v>
      </c>
    </row>
    <row r="1236" spans="3:3">
      <c r="C1236" s="63" t="s">
        <v>2158</v>
      </c>
    </row>
    <row r="1237" spans="3:3">
      <c r="C1237" s="63" t="s">
        <v>2160</v>
      </c>
    </row>
    <row r="1238" spans="3:3">
      <c r="C1238" s="63" t="s">
        <v>2161</v>
      </c>
    </row>
    <row r="1239" spans="3:3">
      <c r="C1239" s="63" t="s">
        <v>2162</v>
      </c>
    </row>
    <row r="1240" spans="3:3">
      <c r="C1240" s="63" t="s">
        <v>2163</v>
      </c>
    </row>
    <row r="1241" spans="3:3">
      <c r="C1241" s="63" t="s">
        <v>2164</v>
      </c>
    </row>
    <row r="1242" spans="3:3">
      <c r="C1242" s="63" t="s">
        <v>2165</v>
      </c>
    </row>
    <row r="1243" spans="3:3">
      <c r="C1243" s="63" t="s">
        <v>2166</v>
      </c>
    </row>
    <row r="1244" spans="3:3">
      <c r="C1244" s="63" t="s">
        <v>990</v>
      </c>
    </row>
    <row r="1245" spans="3:3">
      <c r="C1245" s="63" t="s">
        <v>999</v>
      </c>
    </row>
    <row r="1248" spans="3:3">
      <c r="C1248" s="63" t="s">
        <v>1387</v>
      </c>
    </row>
    <row r="1249" spans="3:3">
      <c r="C1249" s="63" t="s">
        <v>166</v>
      </c>
    </row>
    <row r="1250" spans="3:3">
      <c r="C1250" s="63" t="s">
        <v>1992</v>
      </c>
    </row>
    <row r="1251" spans="3:3">
      <c r="C1251" s="63" t="s">
        <v>1995</v>
      </c>
    </row>
    <row r="1252" spans="3:3">
      <c r="C1252" s="63" t="s">
        <v>1997</v>
      </c>
    </row>
    <row r="1253" spans="3:3">
      <c r="C1253" s="63" t="s">
        <v>31</v>
      </c>
    </row>
    <row r="1255" spans="3:3">
      <c r="C1255" s="63" t="s">
        <v>1387</v>
      </c>
    </row>
    <row r="1256" spans="3:3">
      <c r="C1256" s="63" t="s">
        <v>1994</v>
      </c>
    </row>
    <row r="1257" spans="3:3">
      <c r="C1257" s="63" t="s">
        <v>1999</v>
      </c>
    </row>
    <row r="1258" spans="3:3">
      <c r="C1258" s="63" t="s">
        <v>166</v>
      </c>
    </row>
    <row r="1259" spans="3:3">
      <c r="C1259" s="63" t="s">
        <v>31</v>
      </c>
    </row>
    <row r="1261" spans="3:3">
      <c r="C1261" s="63" t="s">
        <v>152</v>
      </c>
    </row>
    <row r="1262" spans="3:3">
      <c r="C1262" s="63" t="s">
        <v>166</v>
      </c>
    </row>
    <row r="1263" spans="3:3">
      <c r="C1263" s="63" t="s">
        <v>1997</v>
      </c>
    </row>
    <row r="1264" spans="3:3">
      <c r="C1264" s="63" t="s">
        <v>1995</v>
      </c>
    </row>
    <row r="1265" spans="3:3">
      <c r="C1265" s="63" t="s">
        <v>31</v>
      </c>
    </row>
    <row r="1267" spans="3:3">
      <c r="C1267" s="63" t="s">
        <v>1387</v>
      </c>
    </row>
    <row r="1268" spans="3:3">
      <c r="C1268" s="63" t="s">
        <v>166</v>
      </c>
    </row>
    <row r="1269" spans="3:3">
      <c r="C1269" s="63" t="s">
        <v>31</v>
      </c>
    </row>
    <row r="1272" spans="3:3">
      <c r="C1272" s="63" t="s">
        <v>152</v>
      </c>
    </row>
    <row r="1273" spans="3:3">
      <c r="C1273" s="63" t="s">
        <v>166</v>
      </c>
    </row>
    <row r="1274" spans="3:3">
      <c r="C1274" s="63" t="s">
        <v>1992</v>
      </c>
    </row>
    <row r="1275" spans="3:3">
      <c r="C1275" s="63" t="s">
        <v>1994</v>
      </c>
    </row>
    <row r="1276" spans="3:3">
      <c r="C1276" s="63" t="s">
        <v>1995</v>
      </c>
    </row>
    <row r="1277" spans="3:3">
      <c r="C1277" s="63" t="s">
        <v>1996</v>
      </c>
    </row>
    <row r="1278" spans="3:3">
      <c r="C1278" s="63" t="s">
        <v>1997</v>
      </c>
    </row>
    <row r="1279" spans="3:3">
      <c r="C1279" s="63" t="s">
        <v>1998</v>
      </c>
    </row>
    <row r="1280" spans="3:3">
      <c r="C1280" s="63" t="s">
        <v>1999</v>
      </c>
    </row>
    <row r="1281" spans="3:3">
      <c r="C1281" s="63" t="s">
        <v>31</v>
      </c>
    </row>
    <row r="1283" spans="3:3">
      <c r="C1283" s="63" t="s">
        <v>41</v>
      </c>
    </row>
    <row r="1284" spans="3:3">
      <c r="C1284" s="63" t="s">
        <v>2002</v>
      </c>
    </row>
    <row r="1285" spans="3:3">
      <c r="C1285" s="63" t="s">
        <v>923</v>
      </c>
    </row>
    <row r="1286" spans="3:3">
      <c r="C1286" s="63" t="s">
        <v>740</v>
      </c>
    </row>
    <row r="1287" spans="3:3">
      <c r="C1287" s="63" t="s">
        <v>1200</v>
      </c>
    </row>
    <row r="1288" spans="3:3">
      <c r="C1288" s="63" t="s">
        <v>2007</v>
      </c>
    </row>
    <row r="1289" spans="3:3">
      <c r="C1289" s="63" t="s">
        <v>2009</v>
      </c>
    </row>
    <row r="1290" spans="3:3">
      <c r="C1290" s="63" t="s">
        <v>2011</v>
      </c>
    </row>
    <row r="1291" spans="3:3">
      <c r="C1291" s="63" t="s">
        <v>2013</v>
      </c>
    </row>
    <row r="1292" spans="3:3">
      <c r="C1292" s="63" t="s">
        <v>2015</v>
      </c>
    </row>
    <row r="1293" spans="3:3">
      <c r="C1293" s="63" t="s">
        <v>2017</v>
      </c>
    </row>
    <row r="1294" spans="3:3">
      <c r="C1294" s="63" t="s">
        <v>1356</v>
      </c>
    </row>
    <row r="1295" spans="3:3">
      <c r="C1295" s="63" t="s">
        <v>1163</v>
      </c>
    </row>
    <row r="1296" spans="3:3">
      <c r="C1296" s="63" t="s">
        <v>2021</v>
      </c>
    </row>
    <row r="1297" spans="3:3">
      <c r="C1297" s="63" t="s">
        <v>1173</v>
      </c>
    </row>
    <row r="1298" spans="3:3">
      <c r="C1298" s="63" t="s">
        <v>917</v>
      </c>
    </row>
    <row r="1299" spans="3:3">
      <c r="C1299" s="63" t="s">
        <v>2025</v>
      </c>
    </row>
    <row r="1300" spans="3:3">
      <c r="C1300" s="63" t="s">
        <v>2027</v>
      </c>
    </row>
    <row r="1301" spans="3:3">
      <c r="C1301" s="63" t="s">
        <v>2029</v>
      </c>
    </row>
    <row r="1302" spans="3:3">
      <c r="C1302" s="63" t="s">
        <v>2031</v>
      </c>
    </row>
    <row r="1303" spans="3:3">
      <c r="C1303" s="63" t="s">
        <v>1031</v>
      </c>
    </row>
    <row r="1304" spans="3:3">
      <c r="C1304" s="63" t="s">
        <v>2034</v>
      </c>
    </row>
    <row r="1305" spans="3:3">
      <c r="C1305" s="63" t="s">
        <v>2036</v>
      </c>
    </row>
    <row r="1306" spans="3:3">
      <c r="C1306" s="63" t="s">
        <v>2038</v>
      </c>
    </row>
    <row r="1307" spans="3:3">
      <c r="C1307" s="63" t="s">
        <v>2040</v>
      </c>
    </row>
    <row r="1308" spans="3:3">
      <c r="C1308" s="63" t="s">
        <v>2042</v>
      </c>
    </row>
    <row r="1309" spans="3:3">
      <c r="C1309" s="63" t="s">
        <v>2044</v>
      </c>
    </row>
    <row r="1310" spans="3:3">
      <c r="C1310" s="63" t="s">
        <v>989</v>
      </c>
    </row>
    <row r="1311" spans="3:3">
      <c r="C1311" s="63" t="s">
        <v>2047</v>
      </c>
    </row>
    <row r="1312" spans="3:3">
      <c r="C1312" s="63" t="s">
        <v>2049</v>
      </c>
    </row>
    <row r="1313" spans="3:3">
      <c r="C1313" s="63" t="s">
        <v>2051</v>
      </c>
    </row>
    <row r="1314" spans="3:3">
      <c r="C1314" s="63" t="s">
        <v>2053</v>
      </c>
    </row>
    <row r="1315" spans="3:3">
      <c r="C1315" s="63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8" customWidth="1"/>
    <col min="2" max="2" width="48.75" style="68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9" t="s">
        <v>2754</v>
      </c>
      <c r="B1" s="120" t="s">
        <v>2755</v>
      </c>
      <c r="C1" s="120" t="s">
        <v>2756</v>
      </c>
      <c r="D1" s="121" t="s">
        <v>2757</v>
      </c>
    </row>
    <row r="2" spans="1:4" ht="15.75" hidden="1" outlineLevel="1">
      <c r="A2" s="45" t="s">
        <v>2476</v>
      </c>
      <c r="B2" s="46" t="s">
        <v>0</v>
      </c>
      <c r="C2" s="45">
        <v>5.0999999999999996</v>
      </c>
      <c r="D2" s="123"/>
    </row>
    <row r="3" spans="1:4" ht="15.75" hidden="1" outlineLevel="1">
      <c r="A3" s="45" t="s">
        <v>2476</v>
      </c>
      <c r="B3" s="46" t="s">
        <v>1</v>
      </c>
      <c r="C3" s="45">
        <v>5.2</v>
      </c>
      <c r="D3" s="123"/>
    </row>
    <row r="4" spans="1:4" ht="15.75" hidden="1" outlineLevel="1">
      <c r="A4" s="45" t="s">
        <v>2476</v>
      </c>
      <c r="B4" s="46" t="s">
        <v>1787</v>
      </c>
      <c r="C4" s="45">
        <v>5.4</v>
      </c>
      <c r="D4" s="123"/>
    </row>
    <row r="5" spans="1:4" ht="15.75" hidden="1" outlineLevel="1">
      <c r="A5" s="45" t="s">
        <v>2476</v>
      </c>
      <c r="B5" s="46" t="s">
        <v>1788</v>
      </c>
      <c r="C5" s="45">
        <v>5.7</v>
      </c>
      <c r="D5" s="123"/>
    </row>
    <row r="6" spans="1:4" ht="15.75" hidden="1" outlineLevel="1">
      <c r="A6" s="45" t="s">
        <v>2476</v>
      </c>
      <c r="B6" s="46" t="s">
        <v>1789</v>
      </c>
      <c r="C6" s="45">
        <v>5.1100000000000003</v>
      </c>
      <c r="D6" s="123"/>
    </row>
    <row r="7" spans="1:4" ht="15.75" hidden="1" outlineLevel="1">
      <c r="A7" s="45" t="s">
        <v>2476</v>
      </c>
      <c r="B7" s="46" t="s">
        <v>5</v>
      </c>
      <c r="C7" s="45">
        <v>5.26</v>
      </c>
      <c r="D7" s="123"/>
    </row>
    <row r="8" spans="1:4" ht="15.75" hidden="1" outlineLevel="1">
      <c r="A8" s="45" t="s">
        <v>2476</v>
      </c>
      <c r="B8" s="46" t="s">
        <v>6</v>
      </c>
      <c r="C8" s="45">
        <v>5.27</v>
      </c>
      <c r="D8" s="123"/>
    </row>
    <row r="9" spans="1:4" ht="15.75" hidden="1" outlineLevel="1">
      <c r="A9" s="45" t="s">
        <v>2476</v>
      </c>
      <c r="B9" s="46" t="s">
        <v>138</v>
      </c>
      <c r="C9" s="45">
        <v>5.36</v>
      </c>
      <c r="D9" s="123"/>
    </row>
    <row r="10" spans="1:4" ht="15.75" hidden="1" outlineLevel="1">
      <c r="A10" s="45" t="s">
        <v>2476</v>
      </c>
      <c r="B10" s="46" t="s">
        <v>1791</v>
      </c>
      <c r="C10" s="47">
        <v>5.5</v>
      </c>
      <c r="D10" s="123"/>
    </row>
    <row r="11" spans="1:4" ht="15.75" hidden="1" outlineLevel="1">
      <c r="A11" s="45" t="s">
        <v>2476</v>
      </c>
      <c r="B11" s="46" t="s">
        <v>10</v>
      </c>
      <c r="C11" s="45">
        <v>5.51</v>
      </c>
      <c r="D11" s="123"/>
    </row>
    <row r="12" spans="1:4" ht="15.75" hidden="1" outlineLevel="1">
      <c r="A12" s="45" t="s">
        <v>2476</v>
      </c>
      <c r="B12" s="46" t="s">
        <v>11</v>
      </c>
      <c r="C12" s="45">
        <v>5.53</v>
      </c>
      <c r="D12" s="123"/>
    </row>
    <row r="13" spans="1:4" ht="15.75" hidden="1" outlineLevel="1">
      <c r="A13" s="45" t="s">
        <v>2476</v>
      </c>
      <c r="B13" s="46" t="s">
        <v>1792</v>
      </c>
      <c r="C13" s="45">
        <v>5.59</v>
      </c>
      <c r="D13" s="123"/>
    </row>
    <row r="14" spans="1:4" ht="15.75" hidden="1" outlineLevel="1">
      <c r="A14" s="45" t="s">
        <v>2476</v>
      </c>
      <c r="B14" s="46" t="s">
        <v>18</v>
      </c>
      <c r="C14" s="45">
        <v>5.54</v>
      </c>
      <c r="D14" s="123"/>
    </row>
    <row r="15" spans="1:4" ht="15.75" hidden="1" outlineLevel="1">
      <c r="A15" s="45" t="s">
        <v>2476</v>
      </c>
      <c r="B15" s="46" t="s">
        <v>14</v>
      </c>
      <c r="C15" s="47">
        <v>5.7</v>
      </c>
      <c r="D15" s="122" t="s">
        <v>2758</v>
      </c>
    </row>
    <row r="16" spans="1:4" ht="15.75" hidden="1" outlineLevel="1">
      <c r="A16" s="45" t="s">
        <v>2476</v>
      </c>
      <c r="B16" s="46" t="s">
        <v>20</v>
      </c>
      <c r="C16" s="45">
        <v>5.63</v>
      </c>
      <c r="D16" s="123"/>
    </row>
    <row r="17" spans="1:4" ht="15.75" hidden="1" outlineLevel="1">
      <c r="A17" s="45" t="s">
        <v>2476</v>
      </c>
      <c r="B17" s="46" t="s">
        <v>24</v>
      </c>
      <c r="C17" s="45">
        <v>5.47</v>
      </c>
      <c r="D17" s="123"/>
    </row>
    <row r="18" spans="1:4" ht="15.75" hidden="1" outlineLevel="1">
      <c r="A18" s="45" t="s">
        <v>2476</v>
      </c>
      <c r="B18" s="46" t="s">
        <v>25</v>
      </c>
      <c r="C18" s="45">
        <v>5.48</v>
      </c>
      <c r="D18" s="123"/>
    </row>
    <row r="19" spans="1:4" ht="15.75">
      <c r="A19" s="51" t="s">
        <v>2476</v>
      </c>
      <c r="B19" s="46"/>
      <c r="C19" s="45"/>
      <c r="D19" s="123"/>
    </row>
    <row r="20" spans="1:4" ht="15.75" hidden="1" outlineLevel="1">
      <c r="A20" s="45" t="s">
        <v>2486</v>
      </c>
      <c r="B20" s="46" t="s">
        <v>0</v>
      </c>
      <c r="C20" s="45">
        <v>5.0999999999999996</v>
      </c>
      <c r="D20" s="123"/>
    </row>
    <row r="21" spans="1:4" ht="15.75" hidden="1" outlineLevel="1">
      <c r="A21" s="45" t="s">
        <v>2486</v>
      </c>
      <c r="B21" s="46" t="s">
        <v>1</v>
      </c>
      <c r="C21" s="45">
        <v>5.2</v>
      </c>
      <c r="D21" s="123"/>
    </row>
    <row r="22" spans="1:4" ht="15.75" hidden="1" outlineLevel="1">
      <c r="A22" s="45" t="s">
        <v>2486</v>
      </c>
      <c r="B22" s="46" t="s">
        <v>2</v>
      </c>
      <c r="C22" s="45">
        <v>5.3</v>
      </c>
      <c r="D22" s="123"/>
    </row>
    <row r="23" spans="1:4" ht="15.75" hidden="1" outlineLevel="1">
      <c r="A23" s="45" t="s">
        <v>2486</v>
      </c>
      <c r="B23" s="46" t="s">
        <v>1297</v>
      </c>
      <c r="C23" s="45">
        <v>5.14</v>
      </c>
      <c r="D23" s="123"/>
    </row>
    <row r="24" spans="1:4" ht="15.75" hidden="1" outlineLevel="1">
      <c r="A24" s="45" t="s">
        <v>2486</v>
      </c>
      <c r="B24" s="46" t="s">
        <v>4</v>
      </c>
      <c r="C24" s="45">
        <v>5.19</v>
      </c>
      <c r="D24" s="123"/>
    </row>
    <row r="25" spans="1:4" ht="15.75" hidden="1" outlineLevel="1">
      <c r="A25" s="45" t="s">
        <v>2486</v>
      </c>
      <c r="B25" s="46" t="s">
        <v>5</v>
      </c>
      <c r="C25" s="45">
        <v>5.26</v>
      </c>
      <c r="D25" s="123"/>
    </row>
    <row r="26" spans="1:4" ht="15.75" hidden="1" outlineLevel="1">
      <c r="A26" s="45" t="s">
        <v>2486</v>
      </c>
      <c r="B26" s="46" t="s">
        <v>6</v>
      </c>
      <c r="C26" s="45">
        <v>5.27</v>
      </c>
      <c r="D26" s="123"/>
    </row>
    <row r="27" spans="1:4" ht="15.75" hidden="1" outlineLevel="1">
      <c r="A27" s="45" t="s">
        <v>2486</v>
      </c>
      <c r="B27" s="46" t="s">
        <v>7</v>
      </c>
      <c r="C27" s="45">
        <v>5.28</v>
      </c>
      <c r="D27" s="123"/>
    </row>
    <row r="28" spans="1:4" ht="15.75" hidden="1" outlineLevel="1">
      <c r="A28" s="45" t="s">
        <v>2486</v>
      </c>
      <c r="B28" s="46" t="s">
        <v>8</v>
      </c>
      <c r="C28" s="47">
        <v>5.3</v>
      </c>
      <c r="D28" s="123"/>
    </row>
    <row r="29" spans="1:4" ht="15.75" hidden="1" outlineLevel="1">
      <c r="A29" s="45" t="s">
        <v>2486</v>
      </c>
      <c r="B29" s="46" t="s">
        <v>9</v>
      </c>
      <c r="C29" s="45">
        <v>5.49</v>
      </c>
      <c r="D29" s="123"/>
    </row>
    <row r="30" spans="1:4" ht="15.75" hidden="1" outlineLevel="1">
      <c r="A30" s="45" t="s">
        <v>2486</v>
      </c>
      <c r="B30" s="46" t="s">
        <v>10</v>
      </c>
      <c r="C30" s="45">
        <v>5.51</v>
      </c>
      <c r="D30" s="123"/>
    </row>
    <row r="31" spans="1:4" ht="15.75" hidden="1" outlineLevel="1">
      <c r="A31" s="45" t="s">
        <v>2486</v>
      </c>
      <c r="B31" s="46" t="s">
        <v>11</v>
      </c>
      <c r="C31" s="45">
        <v>5.53</v>
      </c>
      <c r="D31" s="123"/>
    </row>
    <row r="32" spans="1:4" ht="15.75" hidden="1" outlineLevel="1">
      <c r="A32" s="45" t="s">
        <v>2486</v>
      </c>
      <c r="B32" s="46" t="s">
        <v>12</v>
      </c>
      <c r="C32" s="45">
        <v>5.69</v>
      </c>
      <c r="D32" s="123"/>
    </row>
    <row r="33" spans="1:4" ht="15.75" hidden="1" outlineLevel="1">
      <c r="A33" s="45" t="s">
        <v>2486</v>
      </c>
      <c r="B33" s="46" t="s">
        <v>13</v>
      </c>
      <c r="C33" s="45">
        <v>5.75</v>
      </c>
      <c r="D33" s="123"/>
    </row>
    <row r="34" spans="1:4" ht="15.75" hidden="1" outlineLevel="1">
      <c r="A34" s="45" t="s">
        <v>2486</v>
      </c>
      <c r="B34" s="46" t="s">
        <v>14</v>
      </c>
      <c r="C34" s="47">
        <v>5.7</v>
      </c>
      <c r="D34" s="123"/>
    </row>
    <row r="35" spans="1:4" ht="15.75" hidden="1" outlineLevel="1">
      <c r="A35" s="45" t="s">
        <v>2486</v>
      </c>
      <c r="B35" s="46" t="s">
        <v>15</v>
      </c>
      <c r="C35" s="45">
        <v>5.74</v>
      </c>
      <c r="D35" s="123"/>
    </row>
    <row r="36" spans="1:4" ht="15.75" hidden="1" outlineLevel="1">
      <c r="A36" s="45" t="s">
        <v>2486</v>
      </c>
      <c r="B36" s="46" t="s">
        <v>16</v>
      </c>
      <c r="C36" s="45">
        <v>5.62</v>
      </c>
      <c r="D36" s="123"/>
    </row>
    <row r="37" spans="1:4" ht="15.75" hidden="1" outlineLevel="1">
      <c r="A37" s="45" t="s">
        <v>2486</v>
      </c>
      <c r="B37" s="46" t="s">
        <v>17</v>
      </c>
      <c r="C37" s="45">
        <v>5.58</v>
      </c>
      <c r="D37" s="123"/>
    </row>
    <row r="38" spans="1:4" ht="15.75" hidden="1" outlineLevel="1">
      <c r="A38" s="45" t="s">
        <v>2486</v>
      </c>
      <c r="B38" s="46" t="s">
        <v>18</v>
      </c>
      <c r="C38" s="45">
        <v>5.54</v>
      </c>
      <c r="D38" s="123"/>
    </row>
    <row r="39" spans="1:4" ht="15.75" hidden="1" outlineLevel="1">
      <c r="A39" s="45" t="s">
        <v>2486</v>
      </c>
      <c r="B39" s="46" t="s">
        <v>19</v>
      </c>
      <c r="C39" s="45">
        <v>5.55</v>
      </c>
      <c r="D39" s="123"/>
    </row>
    <row r="40" spans="1:4" ht="15.75" hidden="1" outlineLevel="1">
      <c r="A40" s="45" t="s">
        <v>2486</v>
      </c>
      <c r="B40" s="46" t="s">
        <v>20</v>
      </c>
      <c r="C40" s="45">
        <v>5.63</v>
      </c>
      <c r="D40" s="123"/>
    </row>
    <row r="41" spans="1:4" ht="15.75" hidden="1" outlineLevel="1">
      <c r="A41" s="45" t="s">
        <v>2486</v>
      </c>
      <c r="B41" s="46" t="s">
        <v>21</v>
      </c>
      <c r="C41" s="45">
        <v>5.65</v>
      </c>
      <c r="D41" s="123"/>
    </row>
    <row r="42" spans="1:4" ht="15.75" hidden="1" outlineLevel="1">
      <c r="A42" s="45" t="s">
        <v>2486</v>
      </c>
      <c r="B42" s="46" t="s">
        <v>22</v>
      </c>
      <c r="C42" s="45">
        <v>5.68</v>
      </c>
      <c r="D42" s="123"/>
    </row>
    <row r="43" spans="1:4" ht="15.75" hidden="1" outlineLevel="1">
      <c r="A43" s="45" t="s">
        <v>2486</v>
      </c>
      <c r="B43" s="46" t="s">
        <v>23</v>
      </c>
      <c r="C43" s="45">
        <v>5.45</v>
      </c>
      <c r="D43" s="123"/>
    </row>
    <row r="44" spans="1:4" ht="15.75" hidden="1" outlineLevel="1">
      <c r="A44" s="45" t="s">
        <v>2486</v>
      </c>
      <c r="B44" s="46" t="s">
        <v>24</v>
      </c>
      <c r="C44" s="45">
        <v>5.47</v>
      </c>
      <c r="D44" s="123"/>
    </row>
    <row r="45" spans="1:4" ht="15.75" hidden="1" outlineLevel="1">
      <c r="A45" s="45" t="s">
        <v>2486</v>
      </c>
      <c r="B45" s="46" t="s">
        <v>25</v>
      </c>
      <c r="C45" s="45">
        <v>5.48</v>
      </c>
      <c r="D45" s="123"/>
    </row>
    <row r="46" spans="1:4" ht="15.75">
      <c r="A46" s="51" t="s">
        <v>2486</v>
      </c>
      <c r="B46" s="46"/>
      <c r="C46" s="45"/>
      <c r="D46" s="123"/>
    </row>
    <row r="47" spans="1:4" ht="15.75" hidden="1" outlineLevel="1">
      <c r="A47" s="45" t="s">
        <v>2491</v>
      </c>
      <c r="B47" s="46" t="s">
        <v>0</v>
      </c>
      <c r="C47" s="45">
        <v>5.0999999999999996</v>
      </c>
      <c r="D47" s="123"/>
    </row>
    <row r="48" spans="1:4" ht="15.75" hidden="1" outlineLevel="1">
      <c r="A48" s="45" t="s">
        <v>2491</v>
      </c>
      <c r="B48" s="46" t="s">
        <v>1</v>
      </c>
      <c r="C48" s="45">
        <v>5.2</v>
      </c>
      <c r="D48" s="123"/>
    </row>
    <row r="49" spans="1:4" ht="15.75" hidden="1" outlineLevel="1">
      <c r="A49" s="45" t="s">
        <v>2491</v>
      </c>
      <c r="B49" s="46" t="s">
        <v>2</v>
      </c>
      <c r="C49" s="45">
        <v>5.3</v>
      </c>
      <c r="D49" s="123"/>
    </row>
    <row r="50" spans="1:4" ht="15.75" hidden="1" outlineLevel="1">
      <c r="A50" s="45" t="s">
        <v>2491</v>
      </c>
      <c r="B50" s="46" t="s">
        <v>134</v>
      </c>
      <c r="C50" s="45">
        <v>5.6</v>
      </c>
      <c r="D50" s="123"/>
    </row>
    <row r="51" spans="1:4" ht="15.75" hidden="1" outlineLevel="1">
      <c r="A51" s="45" t="s">
        <v>2491</v>
      </c>
      <c r="B51" s="46" t="s">
        <v>2759</v>
      </c>
      <c r="C51" s="47">
        <v>5.0999999999999996</v>
      </c>
      <c r="D51" s="123"/>
    </row>
    <row r="52" spans="1:4" ht="15.75" hidden="1" outlineLevel="1">
      <c r="A52" s="45" t="s">
        <v>2491</v>
      </c>
      <c r="B52" s="46" t="s">
        <v>1297</v>
      </c>
      <c r="C52" s="45">
        <v>5.14</v>
      </c>
      <c r="D52" s="123"/>
    </row>
    <row r="53" spans="1:4" ht="15.75" hidden="1" outlineLevel="1">
      <c r="A53" s="45" t="s">
        <v>2491</v>
      </c>
      <c r="B53" s="46" t="s">
        <v>4</v>
      </c>
      <c r="C53" s="45">
        <v>5.19</v>
      </c>
      <c r="D53" s="123"/>
    </row>
    <row r="54" spans="1:4" ht="15.75" hidden="1" outlineLevel="1">
      <c r="A54" s="45" t="s">
        <v>2491</v>
      </c>
      <c r="B54" s="46" t="s">
        <v>136</v>
      </c>
      <c r="C54" s="45">
        <v>5.24</v>
      </c>
      <c r="D54" s="123"/>
    </row>
    <row r="55" spans="1:4" ht="15.75" hidden="1" outlineLevel="1">
      <c r="A55" s="45" t="s">
        <v>2491</v>
      </c>
      <c r="B55" s="46" t="s">
        <v>5</v>
      </c>
      <c r="C55" s="45">
        <v>5.26</v>
      </c>
      <c r="D55" s="123"/>
    </row>
    <row r="56" spans="1:4" ht="15.75" hidden="1" outlineLevel="1">
      <c r="A56" s="45" t="s">
        <v>2491</v>
      </c>
      <c r="B56" s="46" t="s">
        <v>6</v>
      </c>
      <c r="C56" s="45">
        <v>5.27</v>
      </c>
      <c r="D56" s="123"/>
    </row>
    <row r="57" spans="1:4" ht="15.75" hidden="1" outlineLevel="1">
      <c r="A57" s="45" t="s">
        <v>2491</v>
      </c>
      <c r="B57" s="46" t="s">
        <v>7</v>
      </c>
      <c r="C57" s="45">
        <v>5.28</v>
      </c>
      <c r="D57" s="123"/>
    </row>
    <row r="58" spans="1:4" ht="15.75" hidden="1" outlineLevel="1">
      <c r="A58" s="45" t="s">
        <v>2491</v>
      </c>
      <c r="B58" s="46" t="s">
        <v>8</v>
      </c>
      <c r="C58" s="47">
        <v>5.3</v>
      </c>
      <c r="D58" s="123"/>
    </row>
    <row r="59" spans="1:4" ht="15.75" hidden="1" outlineLevel="1">
      <c r="A59" s="45" t="s">
        <v>2491</v>
      </c>
      <c r="B59" s="46" t="s">
        <v>137</v>
      </c>
      <c r="C59" s="45">
        <v>5.31</v>
      </c>
      <c r="D59" s="123"/>
    </row>
    <row r="60" spans="1:4" ht="15.75" hidden="1" outlineLevel="1">
      <c r="A60" s="45" t="s">
        <v>2491</v>
      </c>
      <c r="B60" s="46" t="s">
        <v>138</v>
      </c>
      <c r="C60" s="45">
        <v>5.36</v>
      </c>
      <c r="D60" s="123"/>
    </row>
    <row r="61" spans="1:4" ht="15.75" hidden="1" outlineLevel="1">
      <c r="A61" s="45" t="s">
        <v>2491</v>
      </c>
      <c r="B61" s="46" t="s">
        <v>9</v>
      </c>
      <c r="C61" s="45">
        <v>5.49</v>
      </c>
      <c r="D61" s="123"/>
    </row>
    <row r="62" spans="1:4" ht="15.75" hidden="1" outlineLevel="1">
      <c r="A62" s="45" t="s">
        <v>2491</v>
      </c>
      <c r="B62" s="46" t="s">
        <v>10</v>
      </c>
      <c r="C62" s="45">
        <v>5.51</v>
      </c>
      <c r="D62" s="123"/>
    </row>
    <row r="63" spans="1:4" ht="15.75" hidden="1" outlineLevel="1">
      <c r="A63" s="45" t="s">
        <v>2491</v>
      </c>
      <c r="B63" s="46" t="s">
        <v>2760</v>
      </c>
      <c r="C63" s="45">
        <v>5.52</v>
      </c>
      <c r="D63" s="123"/>
    </row>
    <row r="64" spans="1:4" ht="15.75" hidden="1" outlineLevel="1">
      <c r="A64" s="45" t="s">
        <v>2491</v>
      </c>
      <c r="B64" s="46" t="s">
        <v>11</v>
      </c>
      <c r="C64" s="45">
        <v>5.53</v>
      </c>
      <c r="D64" s="123"/>
    </row>
    <row r="65" spans="1:4" ht="15.75" hidden="1" outlineLevel="1">
      <c r="A65" s="45" t="s">
        <v>2491</v>
      </c>
      <c r="B65" s="46" t="s">
        <v>12</v>
      </c>
      <c r="C65" s="45">
        <v>5.69</v>
      </c>
      <c r="D65" s="123"/>
    </row>
    <row r="66" spans="1:4" ht="15.75" hidden="1" outlineLevel="1">
      <c r="A66" s="45" t="s">
        <v>2491</v>
      </c>
      <c r="B66" s="46" t="s">
        <v>140</v>
      </c>
      <c r="C66" s="47">
        <v>5.72</v>
      </c>
      <c r="D66" s="123"/>
    </row>
    <row r="67" spans="1:4" ht="15.75" hidden="1" outlineLevel="1">
      <c r="A67" s="45" t="s">
        <v>2491</v>
      </c>
      <c r="B67" s="46" t="s">
        <v>13</v>
      </c>
      <c r="C67" s="45">
        <v>5.75</v>
      </c>
      <c r="D67" s="123"/>
    </row>
    <row r="68" spans="1:4" ht="15.75" hidden="1" outlineLevel="1">
      <c r="A68" s="45" t="s">
        <v>2491</v>
      </c>
      <c r="B68" s="46" t="s">
        <v>14</v>
      </c>
      <c r="C68" s="47">
        <v>5.7</v>
      </c>
      <c r="D68" s="123"/>
    </row>
    <row r="69" spans="1:4" ht="15.75" hidden="1" outlineLevel="1">
      <c r="A69" s="45" t="s">
        <v>2491</v>
      </c>
      <c r="B69" s="46" t="s">
        <v>15</v>
      </c>
      <c r="C69" s="45">
        <v>5.74</v>
      </c>
      <c r="D69" s="123"/>
    </row>
    <row r="70" spans="1:4" ht="15.75" hidden="1" outlineLevel="1">
      <c r="A70" s="45" t="s">
        <v>2491</v>
      </c>
      <c r="B70" s="46" t="s">
        <v>141</v>
      </c>
      <c r="C70" s="45">
        <v>5.76</v>
      </c>
      <c r="D70" s="123"/>
    </row>
    <row r="71" spans="1:4" ht="15.75" hidden="1" outlineLevel="1">
      <c r="A71" s="45" t="s">
        <v>2491</v>
      </c>
      <c r="B71" s="46" t="s">
        <v>142</v>
      </c>
      <c r="C71" s="45">
        <v>5.89</v>
      </c>
      <c r="D71" s="122" t="s">
        <v>2758</v>
      </c>
    </row>
    <row r="72" spans="1:4" ht="15.75" hidden="1" outlineLevel="1">
      <c r="A72" s="45" t="s">
        <v>2491</v>
      </c>
      <c r="B72" s="46" t="s">
        <v>17</v>
      </c>
      <c r="C72" s="45">
        <v>5.58</v>
      </c>
      <c r="D72" s="123"/>
    </row>
    <row r="73" spans="1:4" ht="15.75" hidden="1" outlineLevel="1">
      <c r="A73" s="45" t="s">
        <v>2491</v>
      </c>
      <c r="B73" s="46" t="s">
        <v>16</v>
      </c>
      <c r="C73" s="45">
        <v>5.62</v>
      </c>
      <c r="D73" s="123"/>
    </row>
    <row r="74" spans="1:4" ht="15.75" hidden="1" outlineLevel="1">
      <c r="A74" s="45" t="s">
        <v>2491</v>
      </c>
      <c r="B74" s="46" t="s">
        <v>18</v>
      </c>
      <c r="C74" s="45">
        <v>5.54</v>
      </c>
      <c r="D74" s="123"/>
    </row>
    <row r="75" spans="1:4" ht="15.75" hidden="1" outlineLevel="1">
      <c r="A75" s="45" t="s">
        <v>2491</v>
      </c>
      <c r="B75" s="46" t="s">
        <v>19</v>
      </c>
      <c r="C75" s="45">
        <v>5.55</v>
      </c>
      <c r="D75" s="123"/>
    </row>
    <row r="76" spans="1:4" ht="15.75" hidden="1" outlineLevel="1">
      <c r="A76" s="45" t="s">
        <v>2491</v>
      </c>
      <c r="B76" s="46" t="s">
        <v>20</v>
      </c>
      <c r="C76" s="45">
        <v>5.63</v>
      </c>
      <c r="D76" s="123"/>
    </row>
    <row r="77" spans="1:4" ht="15.75" hidden="1" outlineLevel="1">
      <c r="A77" s="45" t="s">
        <v>2491</v>
      </c>
      <c r="B77" s="46" t="s">
        <v>21</v>
      </c>
      <c r="C77" s="45">
        <v>5.65</v>
      </c>
      <c r="D77" s="123"/>
    </row>
    <row r="78" spans="1:4" ht="15.75" hidden="1" outlineLevel="1">
      <c r="A78" s="45" t="s">
        <v>2491</v>
      </c>
      <c r="B78" s="46" t="s">
        <v>143</v>
      </c>
      <c r="C78" s="45">
        <v>5.66</v>
      </c>
      <c r="D78" s="123"/>
    </row>
    <row r="79" spans="1:4" ht="15.75" hidden="1" outlineLevel="1">
      <c r="A79" s="45" t="s">
        <v>2491</v>
      </c>
      <c r="B79" s="46" t="s">
        <v>22</v>
      </c>
      <c r="C79" s="45">
        <v>5.68</v>
      </c>
      <c r="D79" s="123"/>
    </row>
    <row r="80" spans="1:4" ht="15.75" hidden="1" outlineLevel="1">
      <c r="A80" s="45" t="s">
        <v>2491</v>
      </c>
      <c r="B80" s="46" t="s">
        <v>23</v>
      </c>
      <c r="C80" s="45">
        <v>5.45</v>
      </c>
      <c r="D80" s="123"/>
    </row>
    <row r="81" spans="1:4" ht="15.75" hidden="1" outlineLevel="1">
      <c r="A81" s="45" t="s">
        <v>2491</v>
      </c>
      <c r="B81" s="46" t="s">
        <v>24</v>
      </c>
      <c r="C81" s="45">
        <v>5.47</v>
      </c>
      <c r="D81" s="123"/>
    </row>
    <row r="82" spans="1:4" ht="15.75" hidden="1" outlineLevel="1">
      <c r="A82" s="45" t="s">
        <v>2491</v>
      </c>
      <c r="B82" s="46" t="s">
        <v>25</v>
      </c>
      <c r="C82" s="45">
        <v>5.48</v>
      </c>
      <c r="D82" s="123"/>
    </row>
    <row r="83" spans="1:4" ht="15.75">
      <c r="A83" s="51" t="s">
        <v>2491</v>
      </c>
      <c r="B83" s="46"/>
      <c r="C83" s="45"/>
      <c r="D83" s="123"/>
    </row>
    <row r="84" spans="1:4" ht="15.75" hidden="1" outlineLevel="1">
      <c r="A84" s="45" t="s">
        <v>2492</v>
      </c>
      <c r="B84" s="46" t="s">
        <v>0</v>
      </c>
      <c r="C84" s="45">
        <v>5.0999999999999996</v>
      </c>
      <c r="D84" s="123"/>
    </row>
    <row r="85" spans="1:4" ht="15.75" hidden="1" outlineLevel="1">
      <c r="A85" s="45" t="s">
        <v>2492</v>
      </c>
      <c r="B85" s="46" t="s">
        <v>1</v>
      </c>
      <c r="C85" s="45">
        <v>5.2</v>
      </c>
      <c r="D85" s="123"/>
    </row>
    <row r="86" spans="1:4" ht="15.75" hidden="1" outlineLevel="1">
      <c r="A86" s="45" t="s">
        <v>2492</v>
      </c>
      <c r="B86" s="46" t="s">
        <v>2</v>
      </c>
      <c r="C86" s="45">
        <v>5.3</v>
      </c>
      <c r="D86" s="123"/>
    </row>
    <row r="87" spans="1:4" ht="15.75" hidden="1" outlineLevel="1">
      <c r="A87" s="45" t="s">
        <v>2492</v>
      </c>
      <c r="B87" s="46" t="s">
        <v>134</v>
      </c>
      <c r="C87" s="45">
        <v>5.6</v>
      </c>
      <c r="D87" s="123"/>
    </row>
    <row r="88" spans="1:4" ht="15.75" hidden="1" outlineLevel="1">
      <c r="A88" s="45" t="s">
        <v>2492</v>
      </c>
      <c r="B88" s="46" t="s">
        <v>2759</v>
      </c>
      <c r="C88" s="47">
        <v>5.0999999999999996</v>
      </c>
      <c r="D88" s="123"/>
    </row>
    <row r="89" spans="1:4" ht="15.75" hidden="1" outlineLevel="1">
      <c r="A89" s="45" t="s">
        <v>2492</v>
      </c>
      <c r="B89" s="46" t="s">
        <v>1297</v>
      </c>
      <c r="C89" s="45">
        <v>5.14</v>
      </c>
      <c r="D89" s="123"/>
    </row>
    <row r="90" spans="1:4" ht="15.75" hidden="1" outlineLevel="1">
      <c r="A90" s="45" t="s">
        <v>2492</v>
      </c>
      <c r="B90" s="46" t="s">
        <v>4</v>
      </c>
      <c r="C90" s="45">
        <v>5.19</v>
      </c>
      <c r="D90" s="123"/>
    </row>
    <row r="91" spans="1:4" ht="15.75" hidden="1" outlineLevel="1">
      <c r="A91" s="45" t="s">
        <v>2492</v>
      </c>
      <c r="B91" s="46" t="s">
        <v>136</v>
      </c>
      <c r="C91" s="45">
        <v>5.24</v>
      </c>
      <c r="D91" s="123"/>
    </row>
    <row r="92" spans="1:4" ht="15.75" hidden="1" outlineLevel="1">
      <c r="A92" s="45" t="s">
        <v>2492</v>
      </c>
      <c r="B92" s="46" t="s">
        <v>5</v>
      </c>
      <c r="C92" s="45">
        <v>5.26</v>
      </c>
      <c r="D92" s="123"/>
    </row>
    <row r="93" spans="1:4" ht="15.75" hidden="1" outlineLevel="1">
      <c r="A93" s="45" t="s">
        <v>2492</v>
      </c>
      <c r="B93" s="46" t="s">
        <v>6</v>
      </c>
      <c r="C93" s="45">
        <v>5.27</v>
      </c>
      <c r="D93" s="123"/>
    </row>
    <row r="94" spans="1:4" ht="15.75" hidden="1" outlineLevel="1">
      <c r="A94" s="45" t="s">
        <v>2492</v>
      </c>
      <c r="B94" s="46" t="s">
        <v>7</v>
      </c>
      <c r="C94" s="45">
        <v>5.28</v>
      </c>
      <c r="D94" s="123"/>
    </row>
    <row r="95" spans="1:4" ht="15.75" hidden="1" outlineLevel="1">
      <c r="A95" s="45" t="s">
        <v>2492</v>
      </c>
      <c r="B95" s="46" t="s">
        <v>144</v>
      </c>
      <c r="C95" s="45">
        <v>5.29</v>
      </c>
      <c r="D95" s="123"/>
    </row>
    <row r="96" spans="1:4" ht="15.75" hidden="1" outlineLevel="1">
      <c r="A96" s="45" t="s">
        <v>2492</v>
      </c>
      <c r="B96" s="46" t="s">
        <v>8</v>
      </c>
      <c r="C96" s="47">
        <v>5.3</v>
      </c>
      <c r="D96" s="123"/>
    </row>
    <row r="97" spans="1:4" ht="15.75" hidden="1" outlineLevel="1">
      <c r="A97" s="45" t="s">
        <v>2492</v>
      </c>
      <c r="B97" s="46" t="s">
        <v>137</v>
      </c>
      <c r="C97" s="45">
        <v>5.31</v>
      </c>
      <c r="D97" s="123"/>
    </row>
    <row r="98" spans="1:4" ht="15.75" hidden="1" outlineLevel="1">
      <c r="A98" s="45" t="s">
        <v>2492</v>
      </c>
      <c r="B98" s="46" t="s">
        <v>138</v>
      </c>
      <c r="C98" s="45">
        <v>5.36</v>
      </c>
      <c r="D98" s="123"/>
    </row>
    <row r="99" spans="1:4" ht="15.75" hidden="1" outlineLevel="1">
      <c r="A99" s="45" t="s">
        <v>2492</v>
      </c>
      <c r="B99" s="46" t="s">
        <v>9</v>
      </c>
      <c r="C99" s="45">
        <v>5.49</v>
      </c>
      <c r="D99" s="123"/>
    </row>
    <row r="100" spans="1:4" ht="15.75" hidden="1" outlineLevel="1">
      <c r="A100" s="45" t="s">
        <v>2492</v>
      </c>
      <c r="B100" s="46" t="s">
        <v>10</v>
      </c>
      <c r="C100" s="45">
        <v>5.51</v>
      </c>
      <c r="D100" s="123"/>
    </row>
    <row r="101" spans="1:4" ht="15.75" hidden="1" outlineLevel="1">
      <c r="A101" s="45" t="s">
        <v>2492</v>
      </c>
      <c r="B101" s="46" t="s">
        <v>2760</v>
      </c>
      <c r="C101" s="45">
        <v>5.52</v>
      </c>
      <c r="D101" s="123"/>
    </row>
    <row r="102" spans="1:4" ht="15.75" hidden="1" outlineLevel="1">
      <c r="A102" s="45" t="s">
        <v>2492</v>
      </c>
      <c r="B102" s="46" t="s">
        <v>11</v>
      </c>
      <c r="C102" s="45">
        <v>5.53</v>
      </c>
      <c r="D102" s="123"/>
    </row>
    <row r="103" spans="1:4" ht="15.75" hidden="1" outlineLevel="1">
      <c r="A103" s="45" t="s">
        <v>2492</v>
      </c>
      <c r="B103" s="46" t="s">
        <v>12</v>
      </c>
      <c r="C103" s="45">
        <v>5.69</v>
      </c>
      <c r="D103" s="123"/>
    </row>
    <row r="104" spans="1:4" ht="15.75" hidden="1" outlineLevel="1">
      <c r="A104" s="45" t="s">
        <v>2492</v>
      </c>
      <c r="B104" s="46" t="s">
        <v>13</v>
      </c>
      <c r="C104" s="45">
        <v>5.75</v>
      </c>
      <c r="D104" s="123"/>
    </row>
    <row r="105" spans="1:4" ht="15.75" hidden="1" outlineLevel="1">
      <c r="A105" s="45" t="s">
        <v>2492</v>
      </c>
      <c r="B105" s="46" t="s">
        <v>14</v>
      </c>
      <c r="C105" s="47">
        <v>5.7</v>
      </c>
      <c r="D105" s="123"/>
    </row>
    <row r="106" spans="1:4" ht="15.75" hidden="1" outlineLevel="1">
      <c r="A106" s="45" t="s">
        <v>2492</v>
      </c>
      <c r="B106" s="46" t="s">
        <v>15</v>
      </c>
      <c r="C106" s="45">
        <v>5.74</v>
      </c>
      <c r="D106" s="123"/>
    </row>
    <row r="107" spans="1:4" ht="15.75" hidden="1" outlineLevel="1">
      <c r="A107" s="45" t="s">
        <v>2492</v>
      </c>
      <c r="B107" s="46" t="s">
        <v>141</v>
      </c>
      <c r="C107" s="45">
        <v>5.76</v>
      </c>
      <c r="D107" s="123"/>
    </row>
    <row r="108" spans="1:4" ht="15.75" hidden="1" outlineLevel="1">
      <c r="A108" s="45" t="s">
        <v>2492</v>
      </c>
      <c r="B108" s="46" t="s">
        <v>142</v>
      </c>
      <c r="C108" s="45">
        <v>5.89</v>
      </c>
      <c r="D108" s="122" t="s">
        <v>2758</v>
      </c>
    </row>
    <row r="109" spans="1:4" ht="15.75" hidden="1" outlineLevel="1">
      <c r="A109" s="45" t="s">
        <v>2492</v>
      </c>
      <c r="B109" s="46" t="s">
        <v>17</v>
      </c>
      <c r="C109" s="45">
        <v>5.58</v>
      </c>
      <c r="D109" s="123"/>
    </row>
    <row r="110" spans="1:4" ht="15.75" hidden="1" outlineLevel="1">
      <c r="A110" s="45" t="s">
        <v>2492</v>
      </c>
      <c r="B110" s="46" t="s">
        <v>16</v>
      </c>
      <c r="C110" s="45">
        <v>5.62</v>
      </c>
      <c r="D110" s="123"/>
    </row>
    <row r="111" spans="1:4" ht="15.75" hidden="1" outlineLevel="1">
      <c r="A111" s="45" t="s">
        <v>2492</v>
      </c>
      <c r="B111" s="46" t="s">
        <v>18</v>
      </c>
      <c r="C111" s="45">
        <v>5.54</v>
      </c>
      <c r="D111" s="123"/>
    </row>
    <row r="112" spans="1:4" ht="15.75" hidden="1" outlineLevel="1">
      <c r="A112" s="45" t="s">
        <v>2492</v>
      </c>
      <c r="B112" s="46" t="s">
        <v>19</v>
      </c>
      <c r="C112" s="45">
        <v>5.55</v>
      </c>
      <c r="D112" s="123"/>
    </row>
    <row r="113" spans="1:4" ht="15.75" hidden="1" outlineLevel="1">
      <c r="A113" s="45" t="s">
        <v>2492</v>
      </c>
      <c r="B113" s="46" t="s">
        <v>21</v>
      </c>
      <c r="C113" s="45">
        <v>5.65</v>
      </c>
      <c r="D113" s="123"/>
    </row>
    <row r="114" spans="1:4" ht="15.75" hidden="1" outlineLevel="1">
      <c r="A114" s="45" t="s">
        <v>2492</v>
      </c>
      <c r="B114" s="46" t="s">
        <v>143</v>
      </c>
      <c r="C114" s="45">
        <v>5.66</v>
      </c>
      <c r="D114" s="123"/>
    </row>
    <row r="115" spans="1:4" ht="15.75" hidden="1" outlineLevel="1">
      <c r="A115" s="45" t="s">
        <v>2492</v>
      </c>
      <c r="B115" s="46" t="s">
        <v>22</v>
      </c>
      <c r="C115" s="45">
        <v>5.68</v>
      </c>
      <c r="D115" s="123"/>
    </row>
    <row r="116" spans="1:4" ht="15.75" hidden="1" outlineLevel="1">
      <c r="A116" s="45" t="s">
        <v>2492</v>
      </c>
      <c r="B116" s="46" t="s">
        <v>23</v>
      </c>
      <c r="C116" s="45">
        <v>5.45</v>
      </c>
      <c r="D116" s="123"/>
    </row>
    <row r="117" spans="1:4" ht="15.75" hidden="1" outlineLevel="1">
      <c r="A117" s="45" t="s">
        <v>2492</v>
      </c>
      <c r="B117" s="46" t="s">
        <v>24</v>
      </c>
      <c r="C117" s="45">
        <v>5.47</v>
      </c>
      <c r="D117" s="123"/>
    </row>
    <row r="118" spans="1:4" ht="15.75" hidden="1" outlineLevel="1">
      <c r="A118" s="45" t="s">
        <v>2492</v>
      </c>
      <c r="B118" s="46" t="s">
        <v>25</v>
      </c>
      <c r="C118" s="45">
        <v>5.48</v>
      </c>
      <c r="D118" s="123"/>
    </row>
    <row r="119" spans="1:4" ht="15.75">
      <c r="A119" s="51" t="s">
        <v>2492</v>
      </c>
      <c r="B119" s="46"/>
      <c r="C119" s="45"/>
      <c r="D119" s="123"/>
    </row>
    <row r="120" spans="1:4" ht="15.75" hidden="1" outlineLevel="1">
      <c r="A120" s="45" t="s">
        <v>2761</v>
      </c>
      <c r="B120" s="46" t="s">
        <v>0</v>
      </c>
      <c r="C120" s="45">
        <v>5.0999999999999996</v>
      </c>
      <c r="D120" s="123"/>
    </row>
    <row r="121" spans="1:4" ht="15.75" hidden="1" outlineLevel="1">
      <c r="A121" s="45" t="s">
        <v>2761</v>
      </c>
      <c r="B121" s="46" t="s">
        <v>1</v>
      </c>
      <c r="C121" s="45">
        <v>5.2</v>
      </c>
      <c r="D121" s="123"/>
    </row>
    <row r="122" spans="1:4" ht="15.75" hidden="1" outlineLevel="1">
      <c r="A122" s="45" t="s">
        <v>2761</v>
      </c>
      <c r="B122" s="46" t="s">
        <v>2</v>
      </c>
      <c r="C122" s="45">
        <v>5.3</v>
      </c>
      <c r="D122" s="123"/>
    </row>
    <row r="123" spans="1:4" ht="15.75" hidden="1" outlineLevel="1">
      <c r="A123" s="45" t="s">
        <v>2761</v>
      </c>
      <c r="B123" s="46" t="s">
        <v>134</v>
      </c>
      <c r="C123" s="45">
        <v>5.6</v>
      </c>
      <c r="D123" s="123"/>
    </row>
    <row r="124" spans="1:4" ht="15.75" hidden="1" outlineLevel="1">
      <c r="A124" s="45" t="s">
        <v>2761</v>
      </c>
      <c r="B124" s="46" t="s">
        <v>2759</v>
      </c>
      <c r="C124" s="47">
        <v>5.0999999999999996</v>
      </c>
      <c r="D124" s="123"/>
    </row>
    <row r="125" spans="1:4" ht="15.75" hidden="1" outlineLevel="1">
      <c r="A125" s="45" t="s">
        <v>2761</v>
      </c>
      <c r="B125" s="46" t="s">
        <v>1297</v>
      </c>
      <c r="C125" s="45">
        <v>5.14</v>
      </c>
      <c r="D125" s="123"/>
    </row>
    <row r="126" spans="1:4" ht="15.75" hidden="1" outlineLevel="1">
      <c r="A126" s="45" t="s">
        <v>2761</v>
      </c>
      <c r="B126" s="46" t="s">
        <v>4</v>
      </c>
      <c r="C126" s="45">
        <v>5.19</v>
      </c>
      <c r="D126" s="123"/>
    </row>
    <row r="127" spans="1:4" ht="15.75" hidden="1" outlineLevel="1">
      <c r="A127" s="45" t="s">
        <v>2761</v>
      </c>
      <c r="B127" s="46" t="s">
        <v>136</v>
      </c>
      <c r="C127" s="45">
        <v>5.24</v>
      </c>
      <c r="D127" s="123"/>
    </row>
    <row r="128" spans="1:4" ht="15.75" hidden="1" outlineLevel="1">
      <c r="A128" s="45" t="s">
        <v>2761</v>
      </c>
      <c r="B128" s="46" t="s">
        <v>5</v>
      </c>
      <c r="C128" s="45">
        <v>5.26</v>
      </c>
      <c r="D128" s="123"/>
    </row>
    <row r="129" spans="1:4" ht="15.75" hidden="1" outlineLevel="1">
      <c r="A129" s="45" t="s">
        <v>2761</v>
      </c>
      <c r="B129" s="46" t="s">
        <v>6</v>
      </c>
      <c r="C129" s="45">
        <v>5.27</v>
      </c>
      <c r="D129" s="123"/>
    </row>
    <row r="130" spans="1:4" ht="15.75" hidden="1" outlineLevel="1">
      <c r="A130" s="45" t="s">
        <v>2761</v>
      </c>
      <c r="B130" s="46" t="s">
        <v>7</v>
      </c>
      <c r="C130" s="45">
        <v>5.28</v>
      </c>
      <c r="D130" s="123"/>
    </row>
    <row r="131" spans="1:4" ht="15.75" hidden="1" outlineLevel="1">
      <c r="A131" s="45" t="s">
        <v>2761</v>
      </c>
      <c r="B131" s="46" t="s">
        <v>144</v>
      </c>
      <c r="C131" s="45">
        <v>5.29</v>
      </c>
      <c r="D131" s="123"/>
    </row>
    <row r="132" spans="1:4" ht="15.75" hidden="1" outlineLevel="1">
      <c r="A132" s="45" t="s">
        <v>2761</v>
      </c>
      <c r="B132" s="46" t="s">
        <v>8</v>
      </c>
      <c r="C132" s="47">
        <v>5.3</v>
      </c>
      <c r="D132" s="123"/>
    </row>
    <row r="133" spans="1:4" ht="15.75" hidden="1" outlineLevel="1">
      <c r="A133" s="45" t="s">
        <v>2761</v>
      </c>
      <c r="B133" s="46" t="s">
        <v>137</v>
      </c>
      <c r="C133" s="45">
        <v>5.31</v>
      </c>
      <c r="D133" s="123"/>
    </row>
    <row r="134" spans="1:4" ht="15.75" hidden="1" outlineLevel="1">
      <c r="A134" s="45" t="s">
        <v>2761</v>
      </c>
      <c r="B134" s="46" t="s">
        <v>138</v>
      </c>
      <c r="C134" s="45">
        <v>5.36</v>
      </c>
      <c r="D134" s="123"/>
    </row>
    <row r="135" spans="1:4" ht="15.75" hidden="1" outlineLevel="1">
      <c r="A135" s="45" t="s">
        <v>2761</v>
      </c>
      <c r="B135" s="46" t="s">
        <v>11</v>
      </c>
      <c r="C135" s="45">
        <v>5.53</v>
      </c>
      <c r="D135" s="123"/>
    </row>
    <row r="136" spans="1:4" ht="15.75" hidden="1" outlineLevel="1">
      <c r="A136" s="45" t="s">
        <v>2761</v>
      </c>
      <c r="B136" s="46" t="s">
        <v>17</v>
      </c>
      <c r="C136" s="45">
        <v>5.58</v>
      </c>
      <c r="D136" s="123"/>
    </row>
    <row r="137" spans="1:4" ht="15.75" hidden="1" outlineLevel="1">
      <c r="A137" s="45" t="s">
        <v>2761</v>
      </c>
      <c r="B137" s="46" t="s">
        <v>16</v>
      </c>
      <c r="C137" s="45">
        <v>5.62</v>
      </c>
      <c r="D137" s="123"/>
    </row>
    <row r="138" spans="1:4" ht="15.75" hidden="1" outlineLevel="1">
      <c r="A138" s="45" t="s">
        <v>2761</v>
      </c>
      <c r="B138" s="46" t="s">
        <v>18</v>
      </c>
      <c r="C138" s="45">
        <v>5.54</v>
      </c>
      <c r="D138" s="123"/>
    </row>
    <row r="139" spans="1:4" ht="15.75" hidden="1" outlineLevel="1">
      <c r="A139" s="45" t="s">
        <v>2761</v>
      </c>
      <c r="B139" s="46" t="s">
        <v>19</v>
      </c>
      <c r="C139" s="45">
        <v>5.55</v>
      </c>
      <c r="D139" s="123"/>
    </row>
    <row r="140" spans="1:4" ht="15.75" hidden="1" outlineLevel="1">
      <c r="A140" s="45" t="s">
        <v>2761</v>
      </c>
      <c r="B140" s="46" t="s">
        <v>20</v>
      </c>
      <c r="C140" s="45">
        <v>5.63</v>
      </c>
      <c r="D140" s="123"/>
    </row>
    <row r="141" spans="1:4" ht="15.75" hidden="1" outlineLevel="1">
      <c r="A141" s="45" t="s">
        <v>2761</v>
      </c>
      <c r="B141" s="46" t="s">
        <v>23</v>
      </c>
      <c r="C141" s="45">
        <v>5.45</v>
      </c>
      <c r="D141" s="123"/>
    </row>
    <row r="142" spans="1:4" ht="15.75" hidden="1" outlineLevel="1">
      <c r="A142" s="45" t="s">
        <v>2761</v>
      </c>
      <c r="B142" s="46" t="s">
        <v>24</v>
      </c>
      <c r="C142" s="45">
        <v>5.47</v>
      </c>
      <c r="D142" s="123"/>
    </row>
    <row r="143" spans="1:4" ht="15.75" hidden="1" outlineLevel="1">
      <c r="A143" s="45" t="s">
        <v>2761</v>
      </c>
      <c r="B143" s="46" t="s">
        <v>25</v>
      </c>
      <c r="C143" s="45">
        <v>5.48</v>
      </c>
      <c r="D143" s="123"/>
    </row>
    <row r="144" spans="1:4" ht="15.75">
      <c r="A144" s="51" t="s">
        <v>2761</v>
      </c>
      <c r="B144" s="46"/>
      <c r="C144" s="45"/>
      <c r="D144" s="123"/>
    </row>
    <row r="145" spans="1:4" ht="15.75" hidden="1" outlineLevel="1">
      <c r="A145" s="45" t="s">
        <v>2092</v>
      </c>
      <c r="B145" s="46" t="s">
        <v>0</v>
      </c>
      <c r="C145" s="45">
        <v>5.0999999999999996</v>
      </c>
      <c r="D145" s="123"/>
    </row>
    <row r="146" spans="1:4" ht="15.75" hidden="1" outlineLevel="1">
      <c r="A146" s="45" t="s">
        <v>2092</v>
      </c>
      <c r="B146" s="46" t="s">
        <v>1</v>
      </c>
      <c r="C146" s="45">
        <v>5.2</v>
      </c>
      <c r="D146" s="123"/>
    </row>
    <row r="147" spans="1:4" ht="15.75" hidden="1" outlineLevel="1">
      <c r="A147" s="45" t="s">
        <v>2092</v>
      </c>
      <c r="B147" s="46" t="s">
        <v>2</v>
      </c>
      <c r="C147" s="45">
        <v>5.3</v>
      </c>
      <c r="D147" s="123"/>
    </row>
    <row r="148" spans="1:4" ht="15.75" hidden="1" outlineLevel="1">
      <c r="A148" s="45" t="s">
        <v>2092</v>
      </c>
      <c r="B148" s="46" t="s">
        <v>134</v>
      </c>
      <c r="C148" s="45">
        <v>5.6</v>
      </c>
      <c r="D148" s="123"/>
    </row>
    <row r="149" spans="1:4" ht="15.75" hidden="1" outlineLevel="1">
      <c r="A149" s="45" t="s">
        <v>2092</v>
      </c>
      <c r="B149" s="46" t="s">
        <v>2759</v>
      </c>
      <c r="C149" s="47">
        <v>5.0999999999999996</v>
      </c>
      <c r="D149" s="123"/>
    </row>
    <row r="150" spans="1:4" ht="15.75" hidden="1" outlineLevel="1">
      <c r="A150" s="45" t="s">
        <v>2092</v>
      </c>
      <c r="B150" s="46" t="s">
        <v>1297</v>
      </c>
      <c r="C150" s="45">
        <v>5.14</v>
      </c>
      <c r="D150" s="123"/>
    </row>
    <row r="151" spans="1:4" ht="15.75" hidden="1" outlineLevel="1">
      <c r="A151" s="45" t="s">
        <v>2092</v>
      </c>
      <c r="B151" s="46" t="s">
        <v>4</v>
      </c>
      <c r="C151" s="45">
        <v>5.19</v>
      </c>
      <c r="D151" s="123"/>
    </row>
    <row r="152" spans="1:4" ht="15.75" hidden="1" outlineLevel="1">
      <c r="A152" s="45" t="s">
        <v>2092</v>
      </c>
      <c r="B152" s="46" t="s">
        <v>136</v>
      </c>
      <c r="C152" s="45">
        <v>5.24</v>
      </c>
      <c r="D152" s="123"/>
    </row>
    <row r="153" spans="1:4" ht="15.75" hidden="1" outlineLevel="1">
      <c r="A153" s="45" t="s">
        <v>2092</v>
      </c>
      <c r="B153" s="46" t="s">
        <v>5</v>
      </c>
      <c r="C153" s="45">
        <v>5.26</v>
      </c>
      <c r="D153" s="123"/>
    </row>
    <row r="154" spans="1:4" ht="15.75" hidden="1" outlineLevel="1">
      <c r="A154" s="45" t="s">
        <v>2092</v>
      </c>
      <c r="B154" s="46" t="s">
        <v>6</v>
      </c>
      <c r="C154" s="45">
        <v>5.27</v>
      </c>
      <c r="D154" s="123"/>
    </row>
    <row r="155" spans="1:4" ht="15.75" hidden="1" outlineLevel="1">
      <c r="A155" s="45" t="s">
        <v>2092</v>
      </c>
      <c r="B155" s="46" t="s">
        <v>7</v>
      </c>
      <c r="C155" s="45">
        <v>5.28</v>
      </c>
      <c r="D155" s="123"/>
    </row>
    <row r="156" spans="1:4" ht="15.75" hidden="1" outlineLevel="1">
      <c r="A156" s="45" t="s">
        <v>2092</v>
      </c>
      <c r="B156" s="46" t="s">
        <v>8</v>
      </c>
      <c r="C156" s="47">
        <v>5.3</v>
      </c>
      <c r="D156" s="123"/>
    </row>
    <row r="157" spans="1:4" ht="15.75" hidden="1" outlineLevel="1">
      <c r="A157" s="45" t="s">
        <v>2092</v>
      </c>
      <c r="B157" s="46" t="s">
        <v>1056</v>
      </c>
      <c r="C157" s="45">
        <v>5.32</v>
      </c>
      <c r="D157" s="123"/>
    </row>
    <row r="158" spans="1:4" ht="15.75" hidden="1" outlineLevel="1">
      <c r="A158" s="45" t="s">
        <v>2092</v>
      </c>
      <c r="B158" s="46" t="s">
        <v>138</v>
      </c>
      <c r="C158" s="45">
        <v>5.36</v>
      </c>
      <c r="D158" s="123"/>
    </row>
    <row r="159" spans="1:4" ht="15.75" hidden="1" outlineLevel="1">
      <c r="A159" s="45" t="s">
        <v>2092</v>
      </c>
      <c r="B159" s="46" t="s">
        <v>11</v>
      </c>
      <c r="C159" s="45">
        <v>5.53</v>
      </c>
      <c r="D159" s="123"/>
    </row>
    <row r="160" spans="1:4" ht="15.75" hidden="1" outlineLevel="1">
      <c r="A160" s="45" t="s">
        <v>2092</v>
      </c>
      <c r="B160" s="46" t="s">
        <v>17</v>
      </c>
      <c r="C160" s="45">
        <v>5.58</v>
      </c>
      <c r="D160" s="123"/>
    </row>
    <row r="161" spans="1:4" ht="15.75" hidden="1" outlineLevel="1">
      <c r="A161" s="45" t="s">
        <v>2092</v>
      </c>
      <c r="B161" s="46" t="s">
        <v>18</v>
      </c>
      <c r="C161" s="45">
        <v>5.54</v>
      </c>
      <c r="D161" s="123"/>
    </row>
    <row r="162" spans="1:4" ht="15.75" hidden="1" outlineLevel="1">
      <c r="A162" s="45" t="s">
        <v>2092</v>
      </c>
      <c r="B162" s="46" t="s">
        <v>19</v>
      </c>
      <c r="C162" s="45">
        <v>5.55</v>
      </c>
      <c r="D162" s="123"/>
    </row>
    <row r="163" spans="1:4" ht="15.75" hidden="1" outlineLevel="1">
      <c r="A163" s="45" t="s">
        <v>2092</v>
      </c>
      <c r="B163" s="46" t="s">
        <v>16</v>
      </c>
      <c r="C163" s="45">
        <v>5.62</v>
      </c>
      <c r="D163" s="123"/>
    </row>
    <row r="164" spans="1:4" ht="15.75" hidden="1" outlineLevel="1">
      <c r="A164" s="45" t="s">
        <v>2092</v>
      </c>
      <c r="B164" s="46" t="s">
        <v>20</v>
      </c>
      <c r="C164" s="45">
        <v>5.63</v>
      </c>
      <c r="D164" s="123"/>
    </row>
    <row r="165" spans="1:4" ht="15.75" hidden="1" outlineLevel="1">
      <c r="A165" s="45" t="s">
        <v>2092</v>
      </c>
      <c r="B165" s="46" t="s">
        <v>23</v>
      </c>
      <c r="C165" s="45">
        <v>5.45</v>
      </c>
      <c r="D165" s="123"/>
    </row>
    <row r="166" spans="1:4" ht="15.75" hidden="1" outlineLevel="1">
      <c r="A166" s="45" t="s">
        <v>2092</v>
      </c>
      <c r="B166" s="46" t="s">
        <v>24</v>
      </c>
      <c r="C166" s="45">
        <v>5.47</v>
      </c>
      <c r="D166" s="123"/>
    </row>
    <row r="167" spans="1:4" ht="15.75" hidden="1" outlineLevel="1">
      <c r="A167" s="45" t="s">
        <v>2092</v>
      </c>
      <c r="B167" s="46" t="s">
        <v>25</v>
      </c>
      <c r="C167" s="45">
        <v>5.48</v>
      </c>
      <c r="D167" s="123"/>
    </row>
    <row r="168" spans="1:4" ht="15.75">
      <c r="A168" s="51" t="s">
        <v>2092</v>
      </c>
      <c r="B168" s="46"/>
      <c r="C168" s="45"/>
      <c r="D168" s="123"/>
    </row>
    <row r="169" spans="1:4" ht="15.75" hidden="1" outlineLevel="1">
      <c r="A169" s="45" t="s">
        <v>2507</v>
      </c>
      <c r="B169" s="46" t="s">
        <v>0</v>
      </c>
      <c r="C169" s="45">
        <v>5.0999999999999996</v>
      </c>
      <c r="D169" s="123"/>
    </row>
    <row r="170" spans="1:4" ht="15.75" hidden="1" outlineLevel="1">
      <c r="A170" s="45" t="s">
        <v>2507</v>
      </c>
      <c r="B170" s="46" t="s">
        <v>1</v>
      </c>
      <c r="C170" s="45">
        <v>5.2</v>
      </c>
      <c r="D170" s="123"/>
    </row>
    <row r="171" spans="1:4" ht="15.75" hidden="1" outlineLevel="1">
      <c r="A171" s="45" t="s">
        <v>2507</v>
      </c>
      <c r="B171" s="46" t="s">
        <v>2</v>
      </c>
      <c r="C171" s="45">
        <v>5.3</v>
      </c>
      <c r="D171" s="123"/>
    </row>
    <row r="172" spans="1:4" ht="15.75" hidden="1" outlineLevel="1">
      <c r="A172" s="45" t="s">
        <v>2507</v>
      </c>
      <c r="B172" s="46" t="s">
        <v>134</v>
      </c>
      <c r="C172" s="45">
        <v>5.6</v>
      </c>
      <c r="D172" s="123"/>
    </row>
    <row r="173" spans="1:4" ht="15.75" hidden="1" outlineLevel="1">
      <c r="A173" s="45" t="s">
        <v>2507</v>
      </c>
      <c r="B173" s="46" t="s">
        <v>2759</v>
      </c>
      <c r="C173" s="47">
        <v>5.0999999999999996</v>
      </c>
      <c r="D173" s="123"/>
    </row>
    <row r="174" spans="1:4" ht="15.75" hidden="1" outlineLevel="1">
      <c r="A174" s="45" t="s">
        <v>2507</v>
      </c>
      <c r="B174" s="46" t="s">
        <v>1297</v>
      </c>
      <c r="C174" s="45">
        <v>5.14</v>
      </c>
      <c r="D174" s="123"/>
    </row>
    <row r="175" spans="1:4" ht="15.75" hidden="1" outlineLevel="1">
      <c r="A175" s="45" t="s">
        <v>2507</v>
      </c>
      <c r="B175" s="46" t="s">
        <v>4</v>
      </c>
      <c r="C175" s="45">
        <v>5.19</v>
      </c>
      <c r="D175" s="123"/>
    </row>
    <row r="176" spans="1:4" ht="15.75" hidden="1" outlineLevel="1">
      <c r="A176" s="45" t="s">
        <v>2507</v>
      </c>
      <c r="B176" s="46" t="s">
        <v>136</v>
      </c>
      <c r="C176" s="45">
        <v>5.24</v>
      </c>
      <c r="D176" s="123"/>
    </row>
    <row r="177" spans="1:4" ht="15.75" hidden="1" outlineLevel="1">
      <c r="A177" s="45" t="s">
        <v>2507</v>
      </c>
      <c r="B177" s="46" t="s">
        <v>5</v>
      </c>
      <c r="C177" s="45">
        <v>5.26</v>
      </c>
      <c r="D177" s="123"/>
    </row>
    <row r="178" spans="1:4" ht="15.75" hidden="1" outlineLevel="1">
      <c r="A178" s="45" t="s">
        <v>2507</v>
      </c>
      <c r="B178" s="46" t="s">
        <v>6</v>
      </c>
      <c r="C178" s="45">
        <v>5.27</v>
      </c>
      <c r="D178" s="123"/>
    </row>
    <row r="179" spans="1:4" ht="15.75" hidden="1" outlineLevel="1">
      <c r="A179" s="45" t="s">
        <v>2507</v>
      </c>
      <c r="B179" s="46" t="s">
        <v>7</v>
      </c>
      <c r="C179" s="45">
        <v>5.28</v>
      </c>
      <c r="D179" s="123"/>
    </row>
    <row r="180" spans="1:4" ht="15.75" hidden="1" outlineLevel="1">
      <c r="A180" s="45" t="s">
        <v>2507</v>
      </c>
      <c r="B180" s="46" t="s">
        <v>144</v>
      </c>
      <c r="C180" s="45">
        <v>5.29</v>
      </c>
      <c r="D180" s="123"/>
    </row>
    <row r="181" spans="1:4" ht="15.75" hidden="1" outlineLevel="1">
      <c r="A181" s="45" t="s">
        <v>2507</v>
      </c>
      <c r="B181" s="46" t="s">
        <v>8</v>
      </c>
      <c r="C181" s="47">
        <v>5.3</v>
      </c>
      <c r="D181" s="123"/>
    </row>
    <row r="182" spans="1:4" ht="15.75" hidden="1" outlineLevel="1">
      <c r="A182" s="45" t="s">
        <v>2507</v>
      </c>
      <c r="B182" s="46" t="s">
        <v>1056</v>
      </c>
      <c r="C182" s="45">
        <v>5.32</v>
      </c>
      <c r="D182" s="123"/>
    </row>
    <row r="183" spans="1:4" ht="15.75" hidden="1" outlineLevel="1">
      <c r="A183" s="45" t="s">
        <v>2507</v>
      </c>
      <c r="B183" s="46" t="s">
        <v>138</v>
      </c>
      <c r="C183" s="45">
        <v>5.36</v>
      </c>
      <c r="D183" s="123"/>
    </row>
    <row r="184" spans="1:4" ht="15.75" hidden="1" outlineLevel="1">
      <c r="A184" s="45" t="s">
        <v>2507</v>
      </c>
      <c r="B184" s="46" t="s">
        <v>11</v>
      </c>
      <c r="C184" s="45">
        <v>5.53</v>
      </c>
      <c r="D184" s="123"/>
    </row>
    <row r="185" spans="1:4" ht="15.75" hidden="1" outlineLevel="1">
      <c r="A185" s="45" t="s">
        <v>2507</v>
      </c>
      <c r="B185" s="46" t="s">
        <v>17</v>
      </c>
      <c r="C185" s="45">
        <v>5.58</v>
      </c>
      <c r="D185" s="123"/>
    </row>
    <row r="186" spans="1:4" ht="15.75" hidden="1" outlineLevel="1">
      <c r="A186" s="45" t="s">
        <v>2507</v>
      </c>
      <c r="B186" s="46" t="s">
        <v>18</v>
      </c>
      <c r="C186" s="45">
        <v>5.54</v>
      </c>
      <c r="D186" s="123"/>
    </row>
    <row r="187" spans="1:4" ht="15.75" hidden="1" outlineLevel="1">
      <c r="A187" s="45" t="s">
        <v>2507</v>
      </c>
      <c r="B187" s="46" t="s">
        <v>19</v>
      </c>
      <c r="C187" s="45">
        <v>5.55</v>
      </c>
      <c r="D187" s="123"/>
    </row>
    <row r="188" spans="1:4" ht="15.75" hidden="1" outlineLevel="1">
      <c r="A188" s="45" t="s">
        <v>2507</v>
      </c>
      <c r="B188" s="46" t="s">
        <v>20</v>
      </c>
      <c r="C188" s="45">
        <v>5.63</v>
      </c>
      <c r="D188" s="123"/>
    </row>
    <row r="189" spans="1:4" ht="15.75" hidden="1" outlineLevel="1">
      <c r="A189" s="45" t="s">
        <v>2507</v>
      </c>
      <c r="B189" s="46" t="s">
        <v>23</v>
      </c>
      <c r="C189" s="45">
        <v>5.45</v>
      </c>
      <c r="D189" s="123"/>
    </row>
    <row r="190" spans="1:4" ht="15.75" hidden="1" outlineLevel="1">
      <c r="A190" s="45" t="s">
        <v>2507</v>
      </c>
      <c r="B190" s="46" t="s">
        <v>24</v>
      </c>
      <c r="C190" s="45">
        <v>5.47</v>
      </c>
      <c r="D190" s="123"/>
    </row>
    <row r="191" spans="1:4" ht="15.75" hidden="1" outlineLevel="1">
      <c r="A191" s="45" t="s">
        <v>2507</v>
      </c>
      <c r="B191" s="46" t="s">
        <v>25</v>
      </c>
      <c r="C191" s="45">
        <v>5.48</v>
      </c>
      <c r="D191" s="123"/>
    </row>
    <row r="192" spans="1:4" ht="15.75">
      <c r="A192" s="51" t="s">
        <v>2507</v>
      </c>
      <c r="B192" s="46"/>
      <c r="C192" s="45"/>
      <c r="D192" s="123"/>
    </row>
    <row r="193" spans="1:4" ht="15.75" hidden="1" outlineLevel="1">
      <c r="A193" s="45" t="s">
        <v>2762</v>
      </c>
      <c r="B193" s="46" t="s">
        <v>0</v>
      </c>
      <c r="C193" s="45">
        <v>5.0999999999999996</v>
      </c>
      <c r="D193" s="123"/>
    </row>
    <row r="194" spans="1:4" ht="15.75" hidden="1" outlineLevel="1">
      <c r="A194" s="45" t="s">
        <v>2762</v>
      </c>
      <c r="B194" s="46" t="s">
        <v>1</v>
      </c>
      <c r="C194" s="45">
        <v>5.2</v>
      </c>
      <c r="D194" s="123"/>
    </row>
    <row r="195" spans="1:4" ht="15.75" hidden="1" outlineLevel="1">
      <c r="A195" s="45" t="s">
        <v>2762</v>
      </c>
      <c r="B195" s="46" t="s">
        <v>2</v>
      </c>
      <c r="C195" s="45">
        <v>5.3</v>
      </c>
      <c r="D195" s="123"/>
    </row>
    <row r="196" spans="1:4" ht="15.75" hidden="1" outlineLevel="1">
      <c r="A196" s="45" t="s">
        <v>2762</v>
      </c>
      <c r="B196" s="46" t="s">
        <v>134</v>
      </c>
      <c r="C196" s="45">
        <v>5.6</v>
      </c>
      <c r="D196" s="123"/>
    </row>
    <row r="197" spans="1:4" ht="15.75" hidden="1" outlineLevel="1">
      <c r="A197" s="45" t="s">
        <v>2762</v>
      </c>
      <c r="B197" s="46" t="s">
        <v>2759</v>
      </c>
      <c r="C197" s="47">
        <v>5.0999999999999996</v>
      </c>
      <c r="D197" s="123"/>
    </row>
    <row r="198" spans="1:4" ht="15.75" hidden="1" outlineLevel="1">
      <c r="A198" s="45" t="s">
        <v>2762</v>
      </c>
      <c r="B198" s="46" t="s">
        <v>1297</v>
      </c>
      <c r="C198" s="45">
        <v>5.14</v>
      </c>
      <c r="D198" s="123"/>
    </row>
    <row r="199" spans="1:4" ht="15.75" hidden="1" outlineLevel="1">
      <c r="A199" s="45" t="s">
        <v>2762</v>
      </c>
      <c r="B199" s="46" t="s">
        <v>4</v>
      </c>
      <c r="C199" s="45">
        <v>5.19</v>
      </c>
      <c r="D199" s="123"/>
    </row>
    <row r="200" spans="1:4" ht="15.75" hidden="1" outlineLevel="1">
      <c r="A200" s="45" t="s">
        <v>2762</v>
      </c>
      <c r="B200" s="46" t="s">
        <v>136</v>
      </c>
      <c r="C200" s="45">
        <v>5.24</v>
      </c>
      <c r="D200" s="123"/>
    </row>
    <row r="201" spans="1:4" ht="15.75" hidden="1" outlineLevel="1">
      <c r="A201" s="45" t="s">
        <v>2762</v>
      </c>
      <c r="B201" s="46" t="s">
        <v>6</v>
      </c>
      <c r="C201" s="45">
        <v>5.27</v>
      </c>
      <c r="D201" s="123"/>
    </row>
    <row r="202" spans="1:4" ht="15.75" hidden="1" outlineLevel="1">
      <c r="A202" s="45" t="s">
        <v>2762</v>
      </c>
      <c r="B202" s="46" t="s">
        <v>7</v>
      </c>
      <c r="C202" s="45">
        <v>5.28</v>
      </c>
      <c r="D202" s="123"/>
    </row>
    <row r="203" spans="1:4" ht="15.75" hidden="1" outlineLevel="1">
      <c r="A203" s="45" t="s">
        <v>2762</v>
      </c>
      <c r="B203" s="46" t="s">
        <v>144</v>
      </c>
      <c r="C203" s="45">
        <v>5.29</v>
      </c>
      <c r="D203" s="123"/>
    </row>
    <row r="204" spans="1:4" ht="15.75" hidden="1" outlineLevel="1">
      <c r="A204" s="45" t="s">
        <v>2762</v>
      </c>
      <c r="B204" s="46" t="s">
        <v>8</v>
      </c>
      <c r="C204" s="47">
        <v>5.3</v>
      </c>
      <c r="D204" s="123"/>
    </row>
    <row r="205" spans="1:4" ht="15.75" hidden="1" outlineLevel="1">
      <c r="A205" s="45" t="s">
        <v>2762</v>
      </c>
      <c r="B205" s="46" t="s">
        <v>1344</v>
      </c>
      <c r="C205" s="45">
        <v>5.34</v>
      </c>
      <c r="D205" s="123"/>
    </row>
    <row r="206" spans="1:4" ht="15.75" hidden="1" outlineLevel="1">
      <c r="A206" s="45" t="s">
        <v>2762</v>
      </c>
      <c r="B206" s="46" t="s">
        <v>137</v>
      </c>
      <c r="C206" s="45">
        <v>5.31</v>
      </c>
      <c r="D206" s="123"/>
    </row>
    <row r="207" spans="1:4" ht="15.75" hidden="1" outlineLevel="1">
      <c r="A207" s="45" t="s">
        <v>2762</v>
      </c>
      <c r="B207" s="46" t="s">
        <v>1345</v>
      </c>
      <c r="C207" s="45">
        <v>5.101</v>
      </c>
      <c r="D207" s="123"/>
    </row>
    <row r="208" spans="1:4" ht="15.75" hidden="1" outlineLevel="1">
      <c r="A208" s="45" t="s">
        <v>2762</v>
      </c>
      <c r="B208" s="46" t="s">
        <v>138</v>
      </c>
      <c r="C208" s="45">
        <v>5.36</v>
      </c>
      <c r="D208" s="123"/>
    </row>
    <row r="209" spans="1:4" ht="15.75" hidden="1" outlineLevel="1">
      <c r="A209" s="45" t="s">
        <v>2762</v>
      </c>
      <c r="B209" s="46" t="s">
        <v>11</v>
      </c>
      <c r="C209" s="45">
        <v>5.53</v>
      </c>
      <c r="D209" s="123"/>
    </row>
    <row r="210" spans="1:4" ht="15.75" hidden="1" outlineLevel="1">
      <c r="A210" s="45" t="s">
        <v>2762</v>
      </c>
      <c r="B210" s="46" t="s">
        <v>1346</v>
      </c>
      <c r="C210" s="45">
        <v>5.1020000000000003</v>
      </c>
      <c r="D210" s="123"/>
    </row>
    <row r="211" spans="1:4" ht="15.75" hidden="1" outlineLevel="1">
      <c r="A211" s="45" t="s">
        <v>2762</v>
      </c>
      <c r="B211" s="46" t="s">
        <v>1347</v>
      </c>
      <c r="C211" s="48">
        <v>5.0999999999999996</v>
      </c>
      <c r="D211" s="123"/>
    </row>
    <row r="212" spans="1:4" ht="15.75" hidden="1" outlineLevel="1">
      <c r="A212" s="45" t="s">
        <v>2762</v>
      </c>
      <c r="B212" s="46" t="s">
        <v>17</v>
      </c>
      <c r="C212" s="45">
        <v>5.58</v>
      </c>
      <c r="D212" s="123"/>
    </row>
    <row r="213" spans="1:4" ht="15.75" hidden="1" outlineLevel="1">
      <c r="A213" s="45" t="s">
        <v>2762</v>
      </c>
      <c r="B213" s="46" t="s">
        <v>18</v>
      </c>
      <c r="C213" s="45">
        <v>5.54</v>
      </c>
      <c r="D213" s="123"/>
    </row>
    <row r="214" spans="1:4" ht="15.75" hidden="1" outlineLevel="1">
      <c r="A214" s="45" t="s">
        <v>2762</v>
      </c>
      <c r="B214" s="46" t="s">
        <v>19</v>
      </c>
      <c r="C214" s="45">
        <v>5.55</v>
      </c>
      <c r="D214" s="123"/>
    </row>
    <row r="215" spans="1:4" ht="15.75" hidden="1" outlineLevel="1">
      <c r="A215" s="45" t="s">
        <v>2762</v>
      </c>
      <c r="B215" s="46" t="s">
        <v>20</v>
      </c>
      <c r="C215" s="45">
        <v>5.63</v>
      </c>
      <c r="D215" s="123"/>
    </row>
    <row r="216" spans="1:4" ht="15.75" hidden="1" outlineLevel="1">
      <c r="A216" s="45" t="s">
        <v>2762</v>
      </c>
      <c r="B216" s="46" t="s">
        <v>24</v>
      </c>
      <c r="C216" s="45">
        <v>5.47</v>
      </c>
      <c r="D216" s="123"/>
    </row>
    <row r="217" spans="1:4" ht="15.75" hidden="1" outlineLevel="1">
      <c r="A217" s="45" t="s">
        <v>2762</v>
      </c>
      <c r="B217" s="46" t="s">
        <v>25</v>
      </c>
      <c r="C217" s="45">
        <v>5.48</v>
      </c>
      <c r="D217" s="123"/>
    </row>
    <row r="218" spans="1:4" ht="15.75">
      <c r="A218" s="51" t="s">
        <v>2762</v>
      </c>
      <c r="B218" s="46"/>
      <c r="C218" s="45"/>
      <c r="D218" s="123"/>
    </row>
    <row r="219" spans="1:4" ht="15.75" hidden="1" outlineLevel="1">
      <c r="A219" s="45" t="s">
        <v>2509</v>
      </c>
      <c r="B219" s="46" t="s">
        <v>0</v>
      </c>
      <c r="C219" s="45">
        <v>5.0999999999999996</v>
      </c>
      <c r="D219" s="123"/>
    </row>
    <row r="220" spans="1:4" ht="15.75" hidden="1" outlineLevel="1">
      <c r="A220" s="45" t="s">
        <v>2509</v>
      </c>
      <c r="B220" s="46" t="s">
        <v>1</v>
      </c>
      <c r="C220" s="45">
        <v>5.2</v>
      </c>
      <c r="D220" s="123"/>
    </row>
    <row r="221" spans="1:4" ht="15.75" hidden="1" outlineLevel="1">
      <c r="A221" s="45" t="s">
        <v>2509</v>
      </c>
      <c r="B221" s="46" t="s">
        <v>2</v>
      </c>
      <c r="C221" s="45">
        <v>5.3</v>
      </c>
      <c r="D221" s="123"/>
    </row>
    <row r="222" spans="1:4" ht="15.75" hidden="1" outlineLevel="1">
      <c r="A222" s="45" t="s">
        <v>2509</v>
      </c>
      <c r="B222" s="46" t="s">
        <v>134</v>
      </c>
      <c r="C222" s="45">
        <v>5.6</v>
      </c>
      <c r="D222" s="123"/>
    </row>
    <row r="223" spans="1:4" ht="15.75" hidden="1" outlineLevel="1">
      <c r="A223" s="45" t="s">
        <v>2509</v>
      </c>
      <c r="B223" s="46" t="s">
        <v>2759</v>
      </c>
      <c r="C223" s="47">
        <v>5.0999999999999996</v>
      </c>
      <c r="D223" s="123"/>
    </row>
    <row r="224" spans="1:4" ht="15.75" hidden="1" outlineLevel="1">
      <c r="A224" s="45" t="s">
        <v>2509</v>
      </c>
      <c r="B224" s="46" t="s">
        <v>1297</v>
      </c>
      <c r="C224" s="45">
        <v>5.14</v>
      </c>
      <c r="D224" s="123"/>
    </row>
    <row r="225" spans="1:4" ht="15.75" hidden="1" outlineLevel="1">
      <c r="A225" s="45" t="s">
        <v>2509</v>
      </c>
      <c r="B225" s="46" t="s">
        <v>4</v>
      </c>
      <c r="C225" s="45">
        <v>5.19</v>
      </c>
      <c r="D225" s="123"/>
    </row>
    <row r="226" spans="1:4" ht="15.75" hidden="1" outlineLevel="1">
      <c r="A226" s="45" t="s">
        <v>2509</v>
      </c>
      <c r="B226" s="46" t="s">
        <v>136</v>
      </c>
      <c r="C226" s="45">
        <v>5.24</v>
      </c>
      <c r="D226" s="123"/>
    </row>
    <row r="227" spans="1:4" ht="15.75" hidden="1" outlineLevel="1">
      <c r="A227" s="45" t="s">
        <v>2509</v>
      </c>
      <c r="B227" s="46" t="s">
        <v>5</v>
      </c>
      <c r="C227" s="45">
        <v>5.26</v>
      </c>
      <c r="D227" s="123"/>
    </row>
    <row r="228" spans="1:4" ht="15.75" hidden="1" outlineLevel="1">
      <c r="A228" s="45" t="s">
        <v>2509</v>
      </c>
      <c r="B228" s="46" t="s">
        <v>6</v>
      </c>
      <c r="C228" s="45">
        <v>5.27</v>
      </c>
      <c r="D228" s="123"/>
    </row>
    <row r="229" spans="1:4" ht="15.75" hidden="1" outlineLevel="1">
      <c r="A229" s="45" t="s">
        <v>2509</v>
      </c>
      <c r="B229" s="46" t="s">
        <v>7</v>
      </c>
      <c r="C229" s="45">
        <v>5.28</v>
      </c>
      <c r="D229" s="123"/>
    </row>
    <row r="230" spans="1:4" ht="15.75" hidden="1" outlineLevel="1">
      <c r="A230" s="45" t="s">
        <v>2509</v>
      </c>
      <c r="B230" s="46" t="s">
        <v>144</v>
      </c>
      <c r="C230" s="45">
        <v>5.29</v>
      </c>
      <c r="D230" s="123"/>
    </row>
    <row r="231" spans="1:4" ht="15.75" hidden="1" outlineLevel="1">
      <c r="A231" s="45" t="s">
        <v>2509</v>
      </c>
      <c r="B231" s="46" t="s">
        <v>8</v>
      </c>
      <c r="C231" s="47">
        <v>5.3</v>
      </c>
      <c r="D231" s="123"/>
    </row>
    <row r="232" spans="1:4" ht="15.75" hidden="1" outlineLevel="1">
      <c r="A232" s="45" t="s">
        <v>2509</v>
      </c>
      <c r="B232" s="46" t="s">
        <v>137</v>
      </c>
      <c r="C232" s="45">
        <v>5.31</v>
      </c>
      <c r="D232" s="123"/>
    </row>
    <row r="233" spans="1:4" ht="15.75" hidden="1" outlineLevel="1">
      <c r="A233" s="45" t="s">
        <v>2509</v>
      </c>
      <c r="B233" s="46" t="s">
        <v>1351</v>
      </c>
      <c r="C233" s="45">
        <v>5.33</v>
      </c>
      <c r="D233" s="123"/>
    </row>
    <row r="234" spans="1:4" ht="15.75" hidden="1" outlineLevel="1">
      <c r="A234" s="45" t="s">
        <v>2509</v>
      </c>
      <c r="B234" s="46" t="s">
        <v>1345</v>
      </c>
      <c r="C234" s="45">
        <v>5.101</v>
      </c>
      <c r="D234" s="123"/>
    </row>
    <row r="235" spans="1:4" ht="15.75" hidden="1" outlineLevel="1">
      <c r="A235" s="45" t="s">
        <v>2509</v>
      </c>
      <c r="B235" s="46" t="s">
        <v>138</v>
      </c>
      <c r="C235" s="45">
        <v>5.36</v>
      </c>
      <c r="D235" s="123"/>
    </row>
    <row r="236" spans="1:4" ht="15.75" hidden="1" outlineLevel="1">
      <c r="A236" s="45" t="s">
        <v>2509</v>
      </c>
      <c r="B236" s="46" t="s">
        <v>11</v>
      </c>
      <c r="C236" s="45">
        <v>5.53</v>
      </c>
      <c r="D236" s="123"/>
    </row>
    <row r="237" spans="1:4" ht="15.75" hidden="1" outlineLevel="1">
      <c r="A237" s="45" t="s">
        <v>2509</v>
      </c>
      <c r="B237" s="46" t="s">
        <v>1346</v>
      </c>
      <c r="C237" s="45">
        <v>5.1020000000000003</v>
      </c>
      <c r="D237" s="123"/>
    </row>
    <row r="238" spans="1:4" ht="15.75" hidden="1" outlineLevel="1">
      <c r="A238" s="45" t="s">
        <v>2509</v>
      </c>
      <c r="B238" s="46" t="s">
        <v>17</v>
      </c>
      <c r="C238" s="45">
        <v>5.58</v>
      </c>
      <c r="D238" s="123"/>
    </row>
    <row r="239" spans="1:4" ht="15.75" hidden="1" outlineLevel="1">
      <c r="A239" s="45" t="s">
        <v>2509</v>
      </c>
      <c r="B239" s="46" t="s">
        <v>18</v>
      </c>
      <c r="C239" s="45">
        <v>5.54</v>
      </c>
      <c r="D239" s="123"/>
    </row>
    <row r="240" spans="1:4" ht="15.75" hidden="1" outlineLevel="1">
      <c r="A240" s="45" t="s">
        <v>2509</v>
      </c>
      <c r="B240" s="46" t="s">
        <v>19</v>
      </c>
      <c r="C240" s="45">
        <v>5.55</v>
      </c>
      <c r="D240" s="123"/>
    </row>
    <row r="241" spans="1:4" ht="15.75" hidden="1" outlineLevel="1">
      <c r="A241" s="45" t="s">
        <v>2509</v>
      </c>
      <c r="B241" s="46" t="s">
        <v>20</v>
      </c>
      <c r="C241" s="45">
        <v>5.63</v>
      </c>
      <c r="D241" s="123"/>
    </row>
    <row r="242" spans="1:4" ht="15.75" hidden="1" outlineLevel="1">
      <c r="A242" s="45" t="s">
        <v>2509</v>
      </c>
      <c r="B242" s="46" t="s">
        <v>24</v>
      </c>
      <c r="C242" s="45">
        <v>5.47</v>
      </c>
      <c r="D242" s="123"/>
    </row>
    <row r="243" spans="1:4" ht="15.75" hidden="1" outlineLevel="1">
      <c r="A243" s="45" t="s">
        <v>2509</v>
      </c>
      <c r="B243" s="46" t="s">
        <v>25</v>
      </c>
      <c r="C243" s="45">
        <v>5.48</v>
      </c>
      <c r="D243" s="123"/>
    </row>
    <row r="244" spans="1:4" ht="15.75">
      <c r="A244" s="51" t="s">
        <v>2509</v>
      </c>
      <c r="B244" s="46"/>
      <c r="C244" s="45"/>
      <c r="D244" s="123"/>
    </row>
    <row r="245" spans="1:4" ht="15.75" hidden="1" outlineLevel="1">
      <c r="A245" s="45" t="s">
        <v>2763</v>
      </c>
      <c r="B245" s="46" t="s">
        <v>0</v>
      </c>
      <c r="C245" s="45">
        <v>5.0999999999999996</v>
      </c>
      <c r="D245" s="123"/>
    </row>
    <row r="246" spans="1:4" ht="15.75" hidden="1" outlineLevel="1">
      <c r="A246" s="45" t="s">
        <v>2763</v>
      </c>
      <c r="B246" s="46" t="s">
        <v>1</v>
      </c>
      <c r="C246" s="45">
        <v>5.2</v>
      </c>
      <c r="D246" s="123"/>
    </row>
    <row r="247" spans="1:4" ht="15.75" hidden="1" outlineLevel="1">
      <c r="A247" s="45" t="s">
        <v>2763</v>
      </c>
      <c r="B247" s="46" t="s">
        <v>2</v>
      </c>
      <c r="C247" s="45">
        <v>5.3</v>
      </c>
      <c r="D247" s="123"/>
    </row>
    <row r="248" spans="1:4" ht="15.75" hidden="1" outlineLevel="1">
      <c r="A248" s="45" t="s">
        <v>2763</v>
      </c>
      <c r="B248" s="46" t="s">
        <v>134</v>
      </c>
      <c r="C248" s="45">
        <v>5.6</v>
      </c>
      <c r="D248" s="123"/>
    </row>
    <row r="249" spans="1:4" ht="15.75" hidden="1" outlineLevel="1">
      <c r="A249" s="45" t="s">
        <v>2763</v>
      </c>
      <c r="B249" s="46" t="s">
        <v>2759</v>
      </c>
      <c r="C249" s="47">
        <v>5.0999999999999996</v>
      </c>
      <c r="D249" s="123"/>
    </row>
    <row r="250" spans="1:4" ht="15.75" hidden="1" outlineLevel="1">
      <c r="A250" s="45" t="s">
        <v>2763</v>
      </c>
      <c r="B250" s="46" t="s">
        <v>1297</v>
      </c>
      <c r="C250" s="45">
        <v>5.14</v>
      </c>
      <c r="D250" s="123"/>
    </row>
    <row r="251" spans="1:4" ht="15.75" hidden="1" outlineLevel="1">
      <c r="A251" s="45" t="s">
        <v>2763</v>
      </c>
      <c r="B251" s="46" t="s">
        <v>4</v>
      </c>
      <c r="C251" s="45">
        <v>5.19</v>
      </c>
      <c r="D251" s="123"/>
    </row>
    <row r="252" spans="1:4" ht="15.75" hidden="1" outlineLevel="1">
      <c r="A252" s="45" t="s">
        <v>2763</v>
      </c>
      <c r="B252" s="46" t="s">
        <v>136</v>
      </c>
      <c r="C252" s="45">
        <v>5.24</v>
      </c>
      <c r="D252" s="123"/>
    </row>
    <row r="253" spans="1:4" ht="15.75" hidden="1" outlineLevel="1">
      <c r="A253" s="45" t="s">
        <v>2763</v>
      </c>
      <c r="B253" s="46" t="s">
        <v>6</v>
      </c>
      <c r="C253" s="45">
        <v>5.27</v>
      </c>
      <c r="D253" s="123"/>
    </row>
    <row r="254" spans="1:4" ht="15.75" hidden="1" outlineLevel="1">
      <c r="A254" s="45" t="s">
        <v>2763</v>
      </c>
      <c r="B254" s="46" t="s">
        <v>7</v>
      </c>
      <c r="C254" s="45">
        <v>5.28</v>
      </c>
      <c r="D254" s="123"/>
    </row>
    <row r="255" spans="1:4" ht="15.75" hidden="1" outlineLevel="1">
      <c r="A255" s="45" t="s">
        <v>2763</v>
      </c>
      <c r="B255" s="46" t="s">
        <v>8</v>
      </c>
      <c r="C255" s="47">
        <v>5.3</v>
      </c>
      <c r="D255" s="123"/>
    </row>
    <row r="256" spans="1:4" ht="15.75" hidden="1" outlineLevel="1">
      <c r="A256" s="45" t="s">
        <v>2763</v>
      </c>
      <c r="B256" s="46" t="s">
        <v>1351</v>
      </c>
      <c r="C256" s="45">
        <v>5.33</v>
      </c>
      <c r="D256" s="123"/>
    </row>
    <row r="257" spans="1:4" ht="15.75" hidden="1" outlineLevel="1">
      <c r="A257" s="45" t="s">
        <v>2763</v>
      </c>
      <c r="B257" s="46" t="s">
        <v>138</v>
      </c>
      <c r="C257" s="45">
        <v>5.36</v>
      </c>
      <c r="D257" s="123"/>
    </row>
    <row r="258" spans="1:4" ht="15.75" hidden="1" outlineLevel="1">
      <c r="A258" s="45" t="s">
        <v>2763</v>
      </c>
      <c r="B258" s="46" t="s">
        <v>11</v>
      </c>
      <c r="C258" s="45">
        <v>5.53</v>
      </c>
      <c r="D258" s="123"/>
    </row>
    <row r="259" spans="1:4" ht="15.75" hidden="1" outlineLevel="1">
      <c r="A259" s="45" t="s">
        <v>2763</v>
      </c>
      <c r="B259" s="46" t="s">
        <v>17</v>
      </c>
      <c r="C259" s="45">
        <v>5.58</v>
      </c>
      <c r="D259" s="123"/>
    </row>
    <row r="260" spans="1:4" ht="15.75" hidden="1" outlineLevel="1">
      <c r="A260" s="45" t="s">
        <v>2763</v>
      </c>
      <c r="B260" s="46" t="s">
        <v>18</v>
      </c>
      <c r="C260" s="45">
        <v>5.54</v>
      </c>
      <c r="D260" s="123"/>
    </row>
    <row r="261" spans="1:4" ht="15.75" hidden="1" outlineLevel="1">
      <c r="A261" s="45" t="s">
        <v>2763</v>
      </c>
      <c r="B261" s="46" t="s">
        <v>19</v>
      </c>
      <c r="C261" s="45">
        <v>5.55</v>
      </c>
      <c r="D261" s="123"/>
    </row>
    <row r="262" spans="1:4" ht="15.75" hidden="1" outlineLevel="1">
      <c r="A262" s="45" t="s">
        <v>2763</v>
      </c>
      <c r="B262" s="46" t="s">
        <v>20</v>
      </c>
      <c r="C262" s="45">
        <v>5.63</v>
      </c>
      <c r="D262" s="123"/>
    </row>
    <row r="263" spans="1:4" ht="15.75" hidden="1" outlineLevel="1">
      <c r="A263" s="45" t="s">
        <v>2763</v>
      </c>
      <c r="B263" s="46" t="s">
        <v>24</v>
      </c>
      <c r="C263" s="45">
        <v>5.47</v>
      </c>
      <c r="D263" s="123"/>
    </row>
    <row r="264" spans="1:4" ht="15.75" hidden="1" outlineLevel="1">
      <c r="A264" s="45" t="s">
        <v>2763</v>
      </c>
      <c r="B264" s="46" t="s">
        <v>25</v>
      </c>
      <c r="C264" s="45">
        <v>5.48</v>
      </c>
      <c r="D264" s="123"/>
    </row>
    <row r="265" spans="1:4" ht="15.75">
      <c r="A265" s="51" t="s">
        <v>2763</v>
      </c>
      <c r="B265" s="46"/>
      <c r="C265" s="45"/>
      <c r="D265" s="123"/>
    </row>
    <row r="266" spans="1:4" ht="15.75" hidden="1" outlineLevel="1">
      <c r="A266" s="45" t="s">
        <v>2514</v>
      </c>
      <c r="B266" s="46" t="s">
        <v>0</v>
      </c>
      <c r="C266" s="45">
        <v>5.0999999999999996</v>
      </c>
      <c r="D266" s="123"/>
    </row>
    <row r="267" spans="1:4" ht="15.75" hidden="1" outlineLevel="1">
      <c r="A267" s="45" t="s">
        <v>2514</v>
      </c>
      <c r="B267" s="46" t="s">
        <v>1</v>
      </c>
      <c r="C267" s="45">
        <v>5.2</v>
      </c>
      <c r="D267" s="123"/>
    </row>
    <row r="268" spans="1:4" ht="15.75" hidden="1" outlineLevel="1">
      <c r="A268" s="45" t="s">
        <v>2514</v>
      </c>
      <c r="B268" s="46" t="s">
        <v>2</v>
      </c>
      <c r="C268" s="45">
        <v>5.3</v>
      </c>
      <c r="D268" s="123"/>
    </row>
    <row r="269" spans="1:4" ht="15.75" hidden="1" outlineLevel="1">
      <c r="A269" s="45" t="s">
        <v>2514</v>
      </c>
      <c r="B269" s="46" t="s">
        <v>134</v>
      </c>
      <c r="C269" s="45">
        <v>5.6</v>
      </c>
      <c r="D269" s="123"/>
    </row>
    <row r="270" spans="1:4" ht="15.75" hidden="1" outlineLevel="1">
      <c r="A270" s="45" t="s">
        <v>2514</v>
      </c>
      <c r="B270" s="46" t="s">
        <v>2759</v>
      </c>
      <c r="C270" s="47">
        <v>5.0999999999999996</v>
      </c>
      <c r="D270" s="123"/>
    </row>
    <row r="271" spans="1:4" ht="15.75" hidden="1" outlineLevel="1">
      <c r="A271" s="45" t="s">
        <v>2514</v>
      </c>
      <c r="B271" s="46" t="s">
        <v>1297</v>
      </c>
      <c r="C271" s="45">
        <v>5.14</v>
      </c>
      <c r="D271" s="123"/>
    </row>
    <row r="272" spans="1:4" ht="15.75" hidden="1" outlineLevel="1">
      <c r="A272" s="45" t="s">
        <v>2514</v>
      </c>
      <c r="B272" s="46" t="s">
        <v>4</v>
      </c>
      <c r="C272" s="45">
        <v>5.19</v>
      </c>
      <c r="D272" s="123"/>
    </row>
    <row r="273" spans="1:4" ht="15.75" hidden="1" outlineLevel="1">
      <c r="A273" s="45" t="s">
        <v>2514</v>
      </c>
      <c r="B273" s="46" t="s">
        <v>136</v>
      </c>
      <c r="C273" s="45">
        <v>5.24</v>
      </c>
      <c r="D273" s="123"/>
    </row>
    <row r="274" spans="1:4" ht="15.75" hidden="1" outlineLevel="1">
      <c r="A274" s="45" t="s">
        <v>2514</v>
      </c>
      <c r="B274" s="46" t="s">
        <v>5</v>
      </c>
      <c r="C274" s="45">
        <v>5.26</v>
      </c>
      <c r="D274" s="123"/>
    </row>
    <row r="275" spans="1:4" ht="15.75" hidden="1" outlineLevel="1">
      <c r="A275" s="45" t="s">
        <v>2514</v>
      </c>
      <c r="B275" s="46" t="s">
        <v>6</v>
      </c>
      <c r="C275" s="45">
        <v>5.27</v>
      </c>
      <c r="D275" s="123"/>
    </row>
    <row r="276" spans="1:4" ht="15.75" hidden="1" outlineLevel="1">
      <c r="A276" s="45" t="s">
        <v>2514</v>
      </c>
      <c r="B276" s="46" t="s">
        <v>7</v>
      </c>
      <c r="C276" s="45">
        <v>5.28</v>
      </c>
      <c r="D276" s="123"/>
    </row>
    <row r="277" spans="1:4" ht="15.75" hidden="1" outlineLevel="1">
      <c r="A277" s="45" t="s">
        <v>2514</v>
      </c>
      <c r="B277" s="46" t="s">
        <v>144</v>
      </c>
      <c r="C277" s="45">
        <v>5.29</v>
      </c>
      <c r="D277" s="123"/>
    </row>
    <row r="278" spans="1:4" ht="15.75" hidden="1" outlineLevel="1">
      <c r="A278" s="45" t="s">
        <v>2514</v>
      </c>
      <c r="B278" s="46" t="s">
        <v>8</v>
      </c>
      <c r="C278" s="47">
        <v>5.3</v>
      </c>
      <c r="D278" s="123"/>
    </row>
    <row r="279" spans="1:4" ht="15.75" hidden="1" outlineLevel="1">
      <c r="A279" s="45" t="s">
        <v>2514</v>
      </c>
      <c r="B279" s="46" t="s">
        <v>1351</v>
      </c>
      <c r="C279" s="45">
        <v>5.33</v>
      </c>
      <c r="D279" s="123"/>
    </row>
    <row r="280" spans="1:4" ht="15.75" hidden="1" outlineLevel="1">
      <c r="A280" s="45" t="s">
        <v>2514</v>
      </c>
      <c r="B280" s="46" t="s">
        <v>138</v>
      </c>
      <c r="C280" s="45">
        <v>5.36</v>
      </c>
      <c r="D280" s="123"/>
    </row>
    <row r="281" spans="1:4" ht="15.75" hidden="1" outlineLevel="1">
      <c r="A281" s="45" t="s">
        <v>2514</v>
      </c>
      <c r="B281" s="46" t="s">
        <v>12</v>
      </c>
      <c r="C281" s="45">
        <v>5.69</v>
      </c>
      <c r="D281" s="123"/>
    </row>
    <row r="282" spans="1:4" ht="15.75" hidden="1" outlineLevel="1">
      <c r="A282" s="45" t="s">
        <v>2514</v>
      </c>
      <c r="B282" s="46" t="s">
        <v>14</v>
      </c>
      <c r="C282" s="47">
        <v>5.7</v>
      </c>
      <c r="D282" s="123"/>
    </row>
    <row r="283" spans="1:4" ht="15.75" hidden="1" outlineLevel="1">
      <c r="A283" s="45" t="s">
        <v>2514</v>
      </c>
      <c r="B283" s="46" t="s">
        <v>15</v>
      </c>
      <c r="C283" s="45">
        <v>5.74</v>
      </c>
      <c r="D283" s="123"/>
    </row>
    <row r="284" spans="1:4" ht="15.75" hidden="1" outlineLevel="1">
      <c r="A284" s="45" t="s">
        <v>2514</v>
      </c>
      <c r="B284" s="46" t="s">
        <v>9</v>
      </c>
      <c r="C284" s="45">
        <v>5.49</v>
      </c>
      <c r="D284" s="123"/>
    </row>
    <row r="285" spans="1:4" ht="15.75" hidden="1" outlineLevel="1">
      <c r="A285" s="45" t="s">
        <v>2514</v>
      </c>
      <c r="B285" s="46" t="s">
        <v>10</v>
      </c>
      <c r="C285" s="45">
        <v>5.51</v>
      </c>
      <c r="D285" s="123"/>
    </row>
    <row r="286" spans="1:4" ht="15.75" hidden="1" outlineLevel="1">
      <c r="A286" s="45" t="s">
        <v>2514</v>
      </c>
      <c r="B286" s="46" t="s">
        <v>2760</v>
      </c>
      <c r="C286" s="45">
        <v>5.52</v>
      </c>
      <c r="D286" s="123"/>
    </row>
    <row r="287" spans="1:4" ht="15.75" hidden="1" outlineLevel="1">
      <c r="A287" s="45" t="s">
        <v>2514</v>
      </c>
      <c r="B287" s="46" t="s">
        <v>11</v>
      </c>
      <c r="C287" s="45">
        <v>5.53</v>
      </c>
      <c r="D287" s="123"/>
    </row>
    <row r="288" spans="1:4" ht="15.75" hidden="1" outlineLevel="1">
      <c r="A288" s="45" t="s">
        <v>2514</v>
      </c>
      <c r="B288" s="46" t="s">
        <v>17</v>
      </c>
      <c r="C288" s="45">
        <v>5.58</v>
      </c>
      <c r="D288" s="123"/>
    </row>
    <row r="289" spans="1:4" ht="15.75" hidden="1" outlineLevel="1">
      <c r="A289" s="45" t="s">
        <v>2514</v>
      </c>
      <c r="B289" s="46" t="s">
        <v>18</v>
      </c>
      <c r="C289" s="45">
        <v>5.54</v>
      </c>
      <c r="D289" s="123"/>
    </row>
    <row r="290" spans="1:4" ht="15.75" hidden="1" outlineLevel="1">
      <c r="A290" s="45" t="s">
        <v>2514</v>
      </c>
      <c r="B290" s="46" t="s">
        <v>19</v>
      </c>
      <c r="C290" s="45">
        <v>5.55</v>
      </c>
      <c r="D290" s="123"/>
    </row>
    <row r="291" spans="1:4" ht="15.75" hidden="1" outlineLevel="1">
      <c r="A291" s="45" t="s">
        <v>2514</v>
      </c>
      <c r="B291" s="46" t="s">
        <v>20</v>
      </c>
      <c r="C291" s="45">
        <v>5.63</v>
      </c>
      <c r="D291" s="123"/>
    </row>
    <row r="292" spans="1:4" ht="15.75" hidden="1" outlineLevel="1">
      <c r="A292" s="45" t="s">
        <v>2514</v>
      </c>
      <c r="B292" s="46" t="s">
        <v>24</v>
      </c>
      <c r="C292" s="45">
        <v>5.47</v>
      </c>
      <c r="D292" s="123"/>
    </row>
    <row r="293" spans="1:4" ht="15.75" hidden="1" outlineLevel="1">
      <c r="A293" s="45" t="s">
        <v>2514</v>
      </c>
      <c r="B293" s="46" t="s">
        <v>25</v>
      </c>
      <c r="C293" s="45">
        <v>5.48</v>
      </c>
      <c r="D293" s="123"/>
    </row>
    <row r="294" spans="1:4" ht="15.75">
      <c r="A294" s="51" t="s">
        <v>2514</v>
      </c>
      <c r="B294" s="46"/>
      <c r="C294" s="45"/>
      <c r="D294" s="123"/>
    </row>
    <row r="295" spans="1:4" ht="31.5" hidden="1" outlineLevel="1">
      <c r="A295" s="45" t="s">
        <v>2520</v>
      </c>
      <c r="B295" s="46" t="s">
        <v>0</v>
      </c>
      <c r="C295" s="45">
        <v>5.0999999999999996</v>
      </c>
      <c r="D295" s="123"/>
    </row>
    <row r="296" spans="1:4" ht="31.5" hidden="1" outlineLevel="1">
      <c r="A296" s="45" t="s">
        <v>2520</v>
      </c>
      <c r="B296" s="46" t="s">
        <v>1</v>
      </c>
      <c r="C296" s="45">
        <v>5.2</v>
      </c>
      <c r="D296" s="123"/>
    </row>
    <row r="297" spans="1:4" ht="31.5" hidden="1" outlineLevel="1">
      <c r="A297" s="45" t="s">
        <v>2520</v>
      </c>
      <c r="B297" s="46" t="s">
        <v>2</v>
      </c>
      <c r="C297" s="45">
        <v>5.3</v>
      </c>
      <c r="D297" s="123"/>
    </row>
    <row r="298" spans="1:4" ht="31.5" hidden="1" outlineLevel="1">
      <c r="A298" s="45" t="s">
        <v>2520</v>
      </c>
      <c r="B298" s="46" t="s">
        <v>1297</v>
      </c>
      <c r="C298" s="45">
        <v>5.14</v>
      </c>
      <c r="D298" s="123"/>
    </row>
    <row r="299" spans="1:4" ht="31.5" hidden="1" outlineLevel="1">
      <c r="A299" s="45" t="s">
        <v>2520</v>
      </c>
      <c r="B299" s="46" t="s">
        <v>4</v>
      </c>
      <c r="C299" s="45">
        <v>5.19</v>
      </c>
      <c r="D299" s="123"/>
    </row>
    <row r="300" spans="1:4" ht="31.5" hidden="1" outlineLevel="1">
      <c r="A300" s="45" t="s">
        <v>2520</v>
      </c>
      <c r="B300" s="46" t="s">
        <v>136</v>
      </c>
      <c r="C300" s="45">
        <v>5.24</v>
      </c>
      <c r="D300" s="123"/>
    </row>
    <row r="301" spans="1:4" ht="31.5" hidden="1" outlineLevel="1">
      <c r="A301" s="45" t="s">
        <v>2520</v>
      </c>
      <c r="B301" s="46" t="s">
        <v>5</v>
      </c>
      <c r="C301" s="45">
        <v>5.26</v>
      </c>
      <c r="D301" s="123"/>
    </row>
    <row r="302" spans="1:4" ht="31.5" hidden="1" outlineLevel="1">
      <c r="A302" s="45" t="s">
        <v>2520</v>
      </c>
      <c r="B302" s="46" t="s">
        <v>6</v>
      </c>
      <c r="C302" s="45">
        <v>5.27</v>
      </c>
      <c r="D302" s="123"/>
    </row>
    <row r="303" spans="1:4" ht="31.5" hidden="1" outlineLevel="1">
      <c r="A303" s="45" t="s">
        <v>2520</v>
      </c>
      <c r="B303" s="46" t="s">
        <v>7</v>
      </c>
      <c r="C303" s="45">
        <v>5.28</v>
      </c>
      <c r="D303" s="123"/>
    </row>
    <row r="304" spans="1:4" ht="31.5" hidden="1" outlineLevel="1">
      <c r="A304" s="45" t="s">
        <v>2520</v>
      </c>
      <c r="B304" s="46" t="s">
        <v>1364</v>
      </c>
      <c r="C304" s="45">
        <v>5.37</v>
      </c>
      <c r="D304" s="123"/>
    </row>
    <row r="305" spans="1:4" ht="31.5" hidden="1" outlineLevel="1">
      <c r="A305" s="45" t="s">
        <v>2520</v>
      </c>
      <c r="B305" s="46" t="s">
        <v>9</v>
      </c>
      <c r="C305" s="45">
        <v>5.49</v>
      </c>
      <c r="D305" s="123"/>
    </row>
    <row r="306" spans="1:4" ht="31.5" hidden="1" outlineLevel="1">
      <c r="A306" s="45" t="s">
        <v>2520</v>
      </c>
      <c r="B306" s="46" t="s">
        <v>10</v>
      </c>
      <c r="C306" s="45">
        <v>5.51</v>
      </c>
      <c r="D306" s="123"/>
    </row>
    <row r="307" spans="1:4" ht="31.5" hidden="1" outlineLevel="1">
      <c r="A307" s="45" t="s">
        <v>2520</v>
      </c>
      <c r="B307" s="46" t="s">
        <v>11</v>
      </c>
      <c r="C307" s="45">
        <v>5.53</v>
      </c>
      <c r="D307" s="123"/>
    </row>
    <row r="308" spans="1:4" ht="31.5" hidden="1" outlineLevel="1">
      <c r="A308" s="45" t="s">
        <v>2520</v>
      </c>
      <c r="B308" s="46" t="s">
        <v>12</v>
      </c>
      <c r="C308" s="45">
        <v>5.69</v>
      </c>
      <c r="D308" s="123"/>
    </row>
    <row r="309" spans="1:4" ht="31.5" hidden="1" outlineLevel="1">
      <c r="A309" s="45" t="s">
        <v>2520</v>
      </c>
      <c r="B309" s="46" t="s">
        <v>13</v>
      </c>
      <c r="C309" s="45">
        <v>5.75</v>
      </c>
      <c r="D309" s="123"/>
    </row>
    <row r="310" spans="1:4" ht="31.5" hidden="1" outlineLevel="1">
      <c r="A310" s="45" t="s">
        <v>2520</v>
      </c>
      <c r="B310" s="46" t="s">
        <v>14</v>
      </c>
      <c r="C310" s="47">
        <v>5.7</v>
      </c>
      <c r="D310" s="123"/>
    </row>
    <row r="311" spans="1:4" ht="31.5" hidden="1" outlineLevel="1">
      <c r="A311" s="45" t="s">
        <v>2520</v>
      </c>
      <c r="B311" s="46" t="s">
        <v>15</v>
      </c>
      <c r="C311" s="45">
        <v>5.74</v>
      </c>
      <c r="D311" s="123"/>
    </row>
    <row r="312" spans="1:4" ht="31.5" hidden="1" outlineLevel="1">
      <c r="A312" s="45" t="s">
        <v>2520</v>
      </c>
      <c r="B312" s="46" t="s">
        <v>17</v>
      </c>
      <c r="C312" s="45">
        <v>5.58</v>
      </c>
      <c r="D312" s="123"/>
    </row>
    <row r="313" spans="1:4" ht="31.5" hidden="1" outlineLevel="1">
      <c r="A313" s="45" t="s">
        <v>2520</v>
      </c>
      <c r="B313" s="46" t="s">
        <v>18</v>
      </c>
      <c r="C313" s="45">
        <v>5.54</v>
      </c>
      <c r="D313" s="123"/>
    </row>
    <row r="314" spans="1:4" ht="31.5" hidden="1" outlineLevel="1">
      <c r="A314" s="45" t="s">
        <v>2520</v>
      </c>
      <c r="B314" s="46" t="s">
        <v>19</v>
      </c>
      <c r="C314" s="45">
        <v>5.55</v>
      </c>
      <c r="D314" s="123"/>
    </row>
    <row r="315" spans="1:4" ht="31.5" hidden="1" outlineLevel="1">
      <c r="A315" s="45" t="s">
        <v>2520</v>
      </c>
      <c r="B315" s="46" t="s">
        <v>20</v>
      </c>
      <c r="C315" s="45">
        <v>5.63</v>
      </c>
      <c r="D315" s="123"/>
    </row>
    <row r="316" spans="1:4" ht="31.5" hidden="1" outlineLevel="1">
      <c r="A316" s="45" t="s">
        <v>2520</v>
      </c>
      <c r="B316" s="46" t="s">
        <v>21</v>
      </c>
      <c r="C316" s="45">
        <v>5.65</v>
      </c>
      <c r="D316" s="123"/>
    </row>
    <row r="317" spans="1:4" ht="31.5" hidden="1" outlineLevel="1">
      <c r="A317" s="45" t="s">
        <v>2520</v>
      </c>
      <c r="B317" s="46" t="s">
        <v>22</v>
      </c>
      <c r="C317" s="45">
        <v>5.68</v>
      </c>
      <c r="D317" s="123"/>
    </row>
    <row r="318" spans="1:4" ht="31.5" hidden="1" outlineLevel="1">
      <c r="A318" s="45" t="s">
        <v>2520</v>
      </c>
      <c r="B318" s="46" t="s">
        <v>24</v>
      </c>
      <c r="C318" s="45">
        <v>5.47</v>
      </c>
      <c r="D318" s="123"/>
    </row>
    <row r="319" spans="1:4" ht="31.5" hidden="1" outlineLevel="1">
      <c r="A319" s="45" t="s">
        <v>2520</v>
      </c>
      <c r="B319" s="46" t="s">
        <v>25</v>
      </c>
      <c r="C319" s="45">
        <v>5.48</v>
      </c>
      <c r="D319" s="123"/>
    </row>
    <row r="320" spans="1:4" ht="31.5">
      <c r="A320" s="51" t="s">
        <v>2520</v>
      </c>
      <c r="B320" s="46"/>
      <c r="C320" s="45"/>
      <c r="D320" s="123"/>
    </row>
    <row r="321" spans="1:4" ht="31.5" hidden="1" outlineLevel="1">
      <c r="A321" s="45" t="s">
        <v>2521</v>
      </c>
      <c r="B321" s="46" t="s">
        <v>0</v>
      </c>
      <c r="C321" s="45">
        <v>5.0999999999999996</v>
      </c>
      <c r="D321" s="123"/>
    </row>
    <row r="322" spans="1:4" ht="31.5" hidden="1" outlineLevel="1">
      <c r="A322" s="45" t="s">
        <v>2521</v>
      </c>
      <c r="B322" s="46" t="s">
        <v>1</v>
      </c>
      <c r="C322" s="45">
        <v>5.2</v>
      </c>
      <c r="D322" s="123"/>
    </row>
    <row r="323" spans="1:4" ht="31.5" hidden="1" outlineLevel="1">
      <c r="A323" s="45" t="s">
        <v>2521</v>
      </c>
      <c r="B323" s="46" t="s">
        <v>5</v>
      </c>
      <c r="C323" s="45">
        <v>5.26</v>
      </c>
      <c r="D323" s="123"/>
    </row>
    <row r="324" spans="1:4" ht="31.5" hidden="1" outlineLevel="1">
      <c r="A324" s="45" t="s">
        <v>2521</v>
      </c>
      <c r="B324" s="46" t="s">
        <v>1297</v>
      </c>
      <c r="C324" s="45">
        <v>5.14</v>
      </c>
      <c r="D324" s="123"/>
    </row>
    <row r="325" spans="1:4" ht="31.5" hidden="1" outlineLevel="1">
      <c r="A325" s="45" t="s">
        <v>2521</v>
      </c>
      <c r="B325" s="46" t="s">
        <v>4</v>
      </c>
      <c r="C325" s="45">
        <v>5.19</v>
      </c>
      <c r="D325" s="123"/>
    </row>
    <row r="326" spans="1:4" ht="31.5" hidden="1" outlineLevel="1">
      <c r="A326" s="45" t="s">
        <v>2521</v>
      </c>
      <c r="B326" s="46" t="s">
        <v>1364</v>
      </c>
      <c r="C326" s="45">
        <v>5.37</v>
      </c>
      <c r="D326" s="123"/>
    </row>
    <row r="327" spans="1:4" ht="31.5" hidden="1" outlineLevel="1">
      <c r="A327" s="45" t="s">
        <v>2521</v>
      </c>
      <c r="B327" s="46" t="s">
        <v>12</v>
      </c>
      <c r="C327" s="45">
        <v>5.69</v>
      </c>
      <c r="D327" s="123"/>
    </row>
    <row r="328" spans="1:4" ht="31.5" hidden="1" outlineLevel="1">
      <c r="A328" s="45" t="s">
        <v>2521</v>
      </c>
      <c r="B328" s="46" t="s">
        <v>1365</v>
      </c>
      <c r="C328" s="47">
        <v>5.8</v>
      </c>
      <c r="D328" s="123"/>
    </row>
    <row r="329" spans="1:4" ht="31.5" hidden="1" outlineLevel="1">
      <c r="A329" s="45" t="s">
        <v>2521</v>
      </c>
      <c r="B329" s="46" t="s">
        <v>13</v>
      </c>
      <c r="C329" s="45">
        <v>5.75</v>
      </c>
      <c r="D329" s="123"/>
    </row>
    <row r="330" spans="1:4" ht="31.5" hidden="1" outlineLevel="1">
      <c r="A330" s="45" t="s">
        <v>2521</v>
      </c>
      <c r="B330" s="46" t="s">
        <v>14</v>
      </c>
      <c r="C330" s="47">
        <v>5.7</v>
      </c>
      <c r="D330" s="123"/>
    </row>
    <row r="331" spans="1:4" ht="31.5" hidden="1" outlineLevel="1">
      <c r="A331" s="45" t="s">
        <v>2521</v>
      </c>
      <c r="B331" s="46" t="s">
        <v>15</v>
      </c>
      <c r="C331" s="45">
        <v>5.74</v>
      </c>
      <c r="D331" s="123"/>
    </row>
    <row r="332" spans="1:4" ht="31.5" hidden="1" outlineLevel="1">
      <c r="A332" s="45" t="s">
        <v>2521</v>
      </c>
      <c r="B332" s="46" t="s">
        <v>17</v>
      </c>
      <c r="C332" s="45">
        <v>5.58</v>
      </c>
      <c r="D332" s="123"/>
    </row>
    <row r="333" spans="1:4" ht="31.5" hidden="1" outlineLevel="1">
      <c r="A333" s="45" t="s">
        <v>2521</v>
      </c>
      <c r="B333" s="46" t="s">
        <v>19</v>
      </c>
      <c r="C333" s="45">
        <v>5.55</v>
      </c>
      <c r="D333" s="123"/>
    </row>
    <row r="334" spans="1:4" ht="31.5" hidden="1" outlineLevel="1">
      <c r="A334" s="45" t="s">
        <v>2521</v>
      </c>
      <c r="B334" s="46" t="s">
        <v>20</v>
      </c>
      <c r="C334" s="45">
        <v>5.63</v>
      </c>
      <c r="D334" s="123"/>
    </row>
    <row r="335" spans="1:4" ht="31.5" hidden="1" outlineLevel="1">
      <c r="A335" s="45" t="s">
        <v>2521</v>
      </c>
      <c r="B335" s="46" t="s">
        <v>21</v>
      </c>
      <c r="C335" s="45">
        <v>5.65</v>
      </c>
      <c r="D335" s="123"/>
    </row>
    <row r="336" spans="1:4" ht="31.5" hidden="1" outlineLevel="1">
      <c r="A336" s="45" t="s">
        <v>2521</v>
      </c>
      <c r="B336" s="46" t="s">
        <v>22</v>
      </c>
      <c r="C336" s="45">
        <v>5.68</v>
      </c>
      <c r="D336" s="123"/>
    </row>
    <row r="337" spans="1:4" ht="31.5" hidden="1" outlineLevel="1">
      <c r="A337" s="45" t="s">
        <v>2521</v>
      </c>
      <c r="B337" s="46" t="s">
        <v>24</v>
      </c>
      <c r="C337" s="45">
        <v>5.47</v>
      </c>
      <c r="D337" s="123"/>
    </row>
    <row r="338" spans="1:4" ht="31.5" hidden="1" outlineLevel="1">
      <c r="A338" s="45" t="s">
        <v>2521</v>
      </c>
      <c r="B338" s="46" t="s">
        <v>25</v>
      </c>
      <c r="C338" s="45">
        <v>5.48</v>
      </c>
      <c r="D338" s="123"/>
    </row>
    <row r="339" spans="1:4" ht="31.5">
      <c r="A339" s="51" t="s">
        <v>2521</v>
      </c>
      <c r="B339" s="46"/>
      <c r="C339" s="45"/>
      <c r="D339" s="123"/>
    </row>
    <row r="340" spans="1:4" ht="31.5" hidden="1" outlineLevel="1">
      <c r="A340" s="45" t="s">
        <v>2527</v>
      </c>
      <c r="B340" s="46" t="s">
        <v>1366</v>
      </c>
      <c r="C340" s="45">
        <v>5.0999999999999996</v>
      </c>
      <c r="D340" s="123"/>
    </row>
    <row r="341" spans="1:4" ht="31.5" hidden="1" outlineLevel="1">
      <c r="A341" s="45" t="s">
        <v>2527</v>
      </c>
      <c r="B341" s="46" t="s">
        <v>1</v>
      </c>
      <c r="C341" s="45">
        <v>5.2</v>
      </c>
      <c r="D341" s="123"/>
    </row>
    <row r="342" spans="1:4" ht="31.5" hidden="1" outlineLevel="1">
      <c r="A342" s="45" t="s">
        <v>2527</v>
      </c>
      <c r="B342" s="46" t="s">
        <v>5</v>
      </c>
      <c r="C342" s="45">
        <v>5.26</v>
      </c>
      <c r="D342" s="123"/>
    </row>
    <row r="343" spans="1:4" ht="31.5" hidden="1" outlineLevel="1">
      <c r="A343" s="45" t="s">
        <v>2527</v>
      </c>
      <c r="B343" s="46" t="s">
        <v>1367</v>
      </c>
      <c r="C343" s="45">
        <v>5.38</v>
      </c>
      <c r="D343" s="123"/>
    </row>
    <row r="344" spans="1:4" ht="31.5" hidden="1" outlineLevel="1">
      <c r="A344" s="45" t="s">
        <v>2527</v>
      </c>
      <c r="B344" s="46" t="s">
        <v>1368</v>
      </c>
      <c r="C344" s="45">
        <v>5.39</v>
      </c>
      <c r="D344" s="123"/>
    </row>
    <row r="345" spans="1:4" ht="31.5" hidden="1" outlineLevel="1">
      <c r="A345" s="45" t="s">
        <v>2527</v>
      </c>
      <c r="B345" s="46" t="s">
        <v>1369</v>
      </c>
      <c r="C345" s="47">
        <v>5.6</v>
      </c>
      <c r="D345" s="123"/>
    </row>
    <row r="346" spans="1:4" ht="31.5" hidden="1" outlineLevel="1">
      <c r="A346" s="45" t="s">
        <v>2527</v>
      </c>
      <c r="B346" s="46" t="s">
        <v>25</v>
      </c>
      <c r="C346" s="45">
        <v>5.48</v>
      </c>
      <c r="D346" s="123"/>
    </row>
    <row r="347" spans="1:4" ht="31.5">
      <c r="A347" s="51" t="s">
        <v>2527</v>
      </c>
      <c r="B347" s="46"/>
      <c r="C347" s="45"/>
      <c r="D347" s="123"/>
    </row>
    <row r="348" spans="1:4" ht="31.5" hidden="1" outlineLevel="1">
      <c r="A348" s="45" t="s">
        <v>2531</v>
      </c>
      <c r="B348" s="46" t="s">
        <v>0</v>
      </c>
      <c r="C348" s="45">
        <v>5.0999999999999996</v>
      </c>
      <c r="D348" s="123"/>
    </row>
    <row r="349" spans="1:4" ht="31.5" hidden="1" outlineLevel="1">
      <c r="A349" s="45" t="s">
        <v>2531</v>
      </c>
      <c r="B349" s="46" t="s">
        <v>1</v>
      </c>
      <c r="C349" s="45">
        <v>5.2</v>
      </c>
      <c r="D349" s="123"/>
    </row>
    <row r="350" spans="1:4" ht="31.5" hidden="1" outlineLevel="1">
      <c r="A350" s="45" t="s">
        <v>2531</v>
      </c>
      <c r="B350" s="46" t="s">
        <v>2</v>
      </c>
      <c r="C350" s="45">
        <v>5.3</v>
      </c>
      <c r="D350" s="123"/>
    </row>
    <row r="351" spans="1:4" ht="31.5" hidden="1" outlineLevel="1">
      <c r="A351" s="45" t="s">
        <v>2531</v>
      </c>
      <c r="B351" s="46" t="s">
        <v>134</v>
      </c>
      <c r="C351" s="45">
        <v>5.6</v>
      </c>
      <c r="D351" s="123"/>
    </row>
    <row r="352" spans="1:4" ht="31.5" hidden="1" outlineLevel="1">
      <c r="A352" s="45" t="s">
        <v>2531</v>
      </c>
      <c r="B352" s="46" t="s">
        <v>2759</v>
      </c>
      <c r="C352" s="47">
        <v>5.0999999999999996</v>
      </c>
      <c r="D352" s="123"/>
    </row>
    <row r="353" spans="1:4" ht="31.5" hidden="1" outlineLevel="1">
      <c r="A353" s="45" t="s">
        <v>2531</v>
      </c>
      <c r="B353" s="46" t="s">
        <v>1297</v>
      </c>
      <c r="C353" s="45">
        <v>5.14</v>
      </c>
      <c r="D353" s="123"/>
    </row>
    <row r="354" spans="1:4" ht="31.5" hidden="1" outlineLevel="1">
      <c r="A354" s="45" t="s">
        <v>2531</v>
      </c>
      <c r="B354" s="46" t="s">
        <v>4</v>
      </c>
      <c r="C354" s="45">
        <v>5.19</v>
      </c>
      <c r="D354" s="123"/>
    </row>
    <row r="355" spans="1:4" ht="31.5" hidden="1" outlineLevel="1">
      <c r="A355" s="45" t="s">
        <v>2531</v>
      </c>
      <c r="B355" s="46" t="s">
        <v>136</v>
      </c>
      <c r="C355" s="45">
        <v>5.24</v>
      </c>
      <c r="D355" s="123"/>
    </row>
    <row r="356" spans="1:4" ht="31.5" hidden="1" outlineLevel="1">
      <c r="A356" s="45" t="s">
        <v>2531</v>
      </c>
      <c r="B356" s="46" t="s">
        <v>5</v>
      </c>
      <c r="C356" s="45">
        <v>5.26</v>
      </c>
      <c r="D356" s="123"/>
    </row>
    <row r="357" spans="1:4" ht="31.5" hidden="1" outlineLevel="1">
      <c r="A357" s="45" t="s">
        <v>2531</v>
      </c>
      <c r="B357" s="46" t="s">
        <v>6</v>
      </c>
      <c r="C357" s="45">
        <v>5.27</v>
      </c>
      <c r="D357" s="123"/>
    </row>
    <row r="358" spans="1:4" ht="31.5" hidden="1" outlineLevel="1">
      <c r="A358" s="45" t="s">
        <v>2531</v>
      </c>
      <c r="B358" s="46" t="s">
        <v>7</v>
      </c>
      <c r="C358" s="45">
        <v>5.28</v>
      </c>
      <c r="D358" s="123"/>
    </row>
    <row r="359" spans="1:4" ht="31.5" hidden="1" outlineLevel="1">
      <c r="A359" s="45" t="s">
        <v>2531</v>
      </c>
      <c r="B359" s="46" t="s">
        <v>137</v>
      </c>
      <c r="C359" s="45">
        <v>5.31</v>
      </c>
      <c r="D359" s="123"/>
    </row>
    <row r="360" spans="1:4" ht="31.5" hidden="1" outlineLevel="1">
      <c r="A360" s="45" t="s">
        <v>2531</v>
      </c>
      <c r="B360" s="46" t="s">
        <v>138</v>
      </c>
      <c r="C360" s="45">
        <v>5.36</v>
      </c>
      <c r="D360" s="123"/>
    </row>
    <row r="361" spans="1:4" ht="31.5" hidden="1" outlineLevel="1">
      <c r="A361" s="45" t="s">
        <v>2531</v>
      </c>
      <c r="B361" s="46" t="s">
        <v>1364</v>
      </c>
      <c r="C361" s="45">
        <v>5.37</v>
      </c>
      <c r="D361" s="123"/>
    </row>
    <row r="362" spans="1:4" ht="31.5" hidden="1" outlineLevel="1">
      <c r="A362" s="45" t="s">
        <v>2531</v>
      </c>
      <c r="B362" s="46" t="s">
        <v>9</v>
      </c>
      <c r="C362" s="45">
        <v>5.49</v>
      </c>
      <c r="D362" s="123"/>
    </row>
    <row r="363" spans="1:4" ht="31.5" hidden="1" outlineLevel="1">
      <c r="A363" s="45" t="s">
        <v>2531</v>
      </c>
      <c r="B363" s="46" t="s">
        <v>10</v>
      </c>
      <c r="C363" s="45">
        <v>5.51</v>
      </c>
      <c r="D363" s="123"/>
    </row>
    <row r="364" spans="1:4" ht="31.5" hidden="1" outlineLevel="1">
      <c r="A364" s="45" t="s">
        <v>2531</v>
      </c>
      <c r="B364" s="46" t="s">
        <v>2760</v>
      </c>
      <c r="C364" s="45">
        <v>5.52</v>
      </c>
      <c r="D364" s="123"/>
    </row>
    <row r="365" spans="1:4" ht="31.5" hidden="1" outlineLevel="1">
      <c r="A365" s="45" t="s">
        <v>2531</v>
      </c>
      <c r="B365" s="46" t="s">
        <v>11</v>
      </c>
      <c r="C365" s="45">
        <v>5.53</v>
      </c>
      <c r="D365" s="123"/>
    </row>
    <row r="366" spans="1:4" ht="31.5" hidden="1" outlineLevel="1">
      <c r="A366" s="45" t="s">
        <v>2531</v>
      </c>
      <c r="B366" s="46" t="s">
        <v>12</v>
      </c>
      <c r="C366" s="45">
        <v>5.69</v>
      </c>
      <c r="D366" s="123"/>
    </row>
    <row r="367" spans="1:4" ht="31.5" hidden="1" outlineLevel="1">
      <c r="A367" s="45" t="s">
        <v>2531</v>
      </c>
      <c r="B367" s="46" t="s">
        <v>1365</v>
      </c>
      <c r="C367" s="47">
        <v>5.8</v>
      </c>
      <c r="D367" s="123"/>
    </row>
    <row r="368" spans="1:4" ht="31.5" hidden="1" outlineLevel="1">
      <c r="A368" s="45" t="s">
        <v>2531</v>
      </c>
      <c r="B368" s="46" t="s">
        <v>140</v>
      </c>
      <c r="C368" s="47">
        <v>5.72</v>
      </c>
      <c r="D368" s="123"/>
    </row>
    <row r="369" spans="1:4" ht="31.5" hidden="1" outlineLevel="1">
      <c r="A369" s="45" t="s">
        <v>2531</v>
      </c>
      <c r="B369" s="46" t="s">
        <v>13</v>
      </c>
      <c r="C369" s="45">
        <v>5.75</v>
      </c>
      <c r="D369" s="123"/>
    </row>
    <row r="370" spans="1:4" ht="31.5" hidden="1" outlineLevel="1">
      <c r="A370" s="45" t="s">
        <v>2531</v>
      </c>
      <c r="B370" s="46" t="s">
        <v>14</v>
      </c>
      <c r="C370" s="47">
        <v>5.7</v>
      </c>
      <c r="D370" s="123"/>
    </row>
    <row r="371" spans="1:4" ht="31.5" hidden="1" outlineLevel="1">
      <c r="A371" s="45" t="s">
        <v>2531</v>
      </c>
      <c r="B371" s="46" t="s">
        <v>15</v>
      </c>
      <c r="C371" s="45">
        <v>5.74</v>
      </c>
      <c r="D371" s="123"/>
    </row>
    <row r="372" spans="1:4" ht="31.5" hidden="1" outlineLevel="1">
      <c r="A372" s="45" t="s">
        <v>2531</v>
      </c>
      <c r="B372" s="46" t="s">
        <v>141</v>
      </c>
      <c r="C372" s="45">
        <v>5.76</v>
      </c>
      <c r="D372" s="123"/>
    </row>
    <row r="373" spans="1:4" ht="31.5" hidden="1" outlineLevel="1">
      <c r="A373" s="45" t="s">
        <v>2531</v>
      </c>
      <c r="B373" s="46" t="s">
        <v>142</v>
      </c>
      <c r="C373" s="45">
        <v>5.89</v>
      </c>
      <c r="D373" s="122" t="s">
        <v>2758</v>
      </c>
    </row>
    <row r="374" spans="1:4" ht="31.5" hidden="1" outlineLevel="1">
      <c r="A374" s="45" t="s">
        <v>2531</v>
      </c>
      <c r="B374" s="46" t="s">
        <v>1370</v>
      </c>
      <c r="C374" s="45">
        <v>5.109</v>
      </c>
      <c r="D374" s="122"/>
    </row>
    <row r="375" spans="1:4" ht="31.5" hidden="1" outlineLevel="1">
      <c r="A375" s="45" t="s">
        <v>2531</v>
      </c>
      <c r="B375" s="46" t="s">
        <v>1371</v>
      </c>
      <c r="C375" s="45">
        <v>5.1109999999999998</v>
      </c>
      <c r="D375" s="123"/>
    </row>
    <row r="376" spans="1:4" ht="31.5" hidden="1" outlineLevel="1">
      <c r="A376" s="45" t="s">
        <v>2531</v>
      </c>
      <c r="B376" s="46" t="s">
        <v>1373</v>
      </c>
      <c r="C376" s="45">
        <v>5.1120000000000001</v>
      </c>
      <c r="D376" s="123"/>
    </row>
    <row r="377" spans="1:4" ht="31.5" hidden="1" outlineLevel="1">
      <c r="A377" s="45" t="s">
        <v>2531</v>
      </c>
      <c r="B377" s="49" t="s">
        <v>2764</v>
      </c>
      <c r="C377" s="45">
        <v>5.1130000000000004</v>
      </c>
      <c r="D377" s="123"/>
    </row>
    <row r="378" spans="1:4" ht="31.5" hidden="1" outlineLevel="1">
      <c r="A378" s="45" t="s">
        <v>2531</v>
      </c>
      <c r="B378" s="46" t="s">
        <v>17</v>
      </c>
      <c r="C378" s="45">
        <v>5.58</v>
      </c>
      <c r="D378" s="123"/>
    </row>
    <row r="379" spans="1:4" ht="31.5" hidden="1" outlineLevel="1">
      <c r="A379" s="45" t="s">
        <v>2531</v>
      </c>
      <c r="B379" s="46" t="s">
        <v>18</v>
      </c>
      <c r="C379" s="45">
        <v>5.54</v>
      </c>
      <c r="D379" s="123"/>
    </row>
    <row r="380" spans="1:4" ht="31.5" hidden="1" outlineLevel="1">
      <c r="A380" s="45" t="s">
        <v>2531</v>
      </c>
      <c r="B380" s="46" t="s">
        <v>19</v>
      </c>
      <c r="C380" s="45">
        <v>5.55</v>
      </c>
      <c r="D380" s="123"/>
    </row>
    <row r="381" spans="1:4" ht="31.5" hidden="1" outlineLevel="1">
      <c r="A381" s="45" t="s">
        <v>2531</v>
      </c>
      <c r="B381" s="46" t="s">
        <v>20</v>
      </c>
      <c r="C381" s="45">
        <v>5.63</v>
      </c>
      <c r="D381" s="123"/>
    </row>
    <row r="382" spans="1:4" ht="31.5" hidden="1" outlineLevel="1">
      <c r="A382" s="45" t="s">
        <v>2531</v>
      </c>
      <c r="B382" s="46" t="s">
        <v>21</v>
      </c>
      <c r="C382" s="45">
        <v>5.65</v>
      </c>
      <c r="D382" s="123"/>
    </row>
    <row r="383" spans="1:4" ht="31.5" hidden="1" outlineLevel="1">
      <c r="A383" s="45" t="s">
        <v>2531</v>
      </c>
      <c r="B383" s="46" t="s">
        <v>143</v>
      </c>
      <c r="C383" s="45">
        <v>5.66</v>
      </c>
      <c r="D383" s="123"/>
    </row>
    <row r="384" spans="1:4" ht="31.5" hidden="1" outlineLevel="1">
      <c r="A384" s="45" t="s">
        <v>2531</v>
      </c>
      <c r="B384" s="46" t="s">
        <v>22</v>
      </c>
      <c r="C384" s="45">
        <v>5.68</v>
      </c>
      <c r="D384" s="123"/>
    </row>
    <row r="385" spans="1:4" ht="31.5" hidden="1" outlineLevel="1">
      <c r="A385" s="45" t="s">
        <v>2531</v>
      </c>
      <c r="B385" s="46" t="s">
        <v>24</v>
      </c>
      <c r="C385" s="45">
        <v>5.47</v>
      </c>
      <c r="D385" s="123"/>
    </row>
    <row r="386" spans="1:4" ht="31.5" hidden="1" outlineLevel="1">
      <c r="A386" s="45" t="s">
        <v>2531</v>
      </c>
      <c r="B386" s="46" t="s">
        <v>25</v>
      </c>
      <c r="C386" s="45">
        <v>5.48</v>
      </c>
      <c r="D386" s="123"/>
    </row>
    <row r="387" spans="1:4" ht="31.5">
      <c r="A387" s="51" t="s">
        <v>2531</v>
      </c>
      <c r="B387" s="46"/>
      <c r="C387" s="45"/>
      <c r="D387" s="123"/>
    </row>
    <row r="388" spans="1:4" ht="15.75" hidden="1" outlineLevel="1">
      <c r="A388" s="45" t="s">
        <v>2533</v>
      </c>
      <c r="B388" s="46" t="s">
        <v>0</v>
      </c>
      <c r="C388" s="45">
        <v>5.0999999999999996</v>
      </c>
      <c r="D388" s="123"/>
    </row>
    <row r="389" spans="1:4" ht="15.75" hidden="1" outlineLevel="1">
      <c r="A389" s="45" t="s">
        <v>2533</v>
      </c>
      <c r="B389" s="46" t="s">
        <v>1</v>
      </c>
      <c r="C389" s="45">
        <v>5.2</v>
      </c>
      <c r="D389" s="123"/>
    </row>
    <row r="390" spans="1:4" ht="15.75" hidden="1" outlineLevel="1">
      <c r="A390" s="45" t="s">
        <v>2533</v>
      </c>
      <c r="B390" s="46" t="s">
        <v>2</v>
      </c>
      <c r="C390" s="45">
        <v>5.3</v>
      </c>
      <c r="D390" s="123"/>
    </row>
    <row r="391" spans="1:4" ht="15.75" hidden="1" outlineLevel="1">
      <c r="A391" s="45" t="s">
        <v>2533</v>
      </c>
      <c r="B391" s="46" t="s">
        <v>134</v>
      </c>
      <c r="C391" s="45">
        <v>5.6</v>
      </c>
      <c r="D391" s="123"/>
    </row>
    <row r="392" spans="1:4" ht="15.75" hidden="1" outlineLevel="1">
      <c r="A392" s="45" t="s">
        <v>2533</v>
      </c>
      <c r="B392" s="46" t="s">
        <v>2759</v>
      </c>
      <c r="C392" s="47">
        <v>5.0999999999999996</v>
      </c>
      <c r="D392" s="123"/>
    </row>
    <row r="393" spans="1:4" ht="15.75" hidden="1" outlineLevel="1">
      <c r="A393" s="45" t="s">
        <v>2533</v>
      </c>
      <c r="B393" s="46" t="s">
        <v>1297</v>
      </c>
      <c r="C393" s="45">
        <v>5.14</v>
      </c>
      <c r="D393" s="123"/>
    </row>
    <row r="394" spans="1:4" ht="15.75" hidden="1" outlineLevel="1">
      <c r="A394" s="45" t="s">
        <v>2533</v>
      </c>
      <c r="B394" s="46" t="s">
        <v>4</v>
      </c>
      <c r="C394" s="45">
        <v>5.19</v>
      </c>
      <c r="D394" s="123"/>
    </row>
    <row r="395" spans="1:4" ht="15.75" hidden="1" outlineLevel="1">
      <c r="A395" s="45" t="s">
        <v>2533</v>
      </c>
      <c r="B395" s="46" t="s">
        <v>136</v>
      </c>
      <c r="C395" s="45">
        <v>5.24</v>
      </c>
      <c r="D395" s="123"/>
    </row>
    <row r="396" spans="1:4" ht="15.75" hidden="1" outlineLevel="1">
      <c r="A396" s="45" t="s">
        <v>2533</v>
      </c>
      <c r="B396" s="46" t="s">
        <v>5</v>
      </c>
      <c r="C396" s="45">
        <v>5.26</v>
      </c>
      <c r="D396" s="123"/>
    </row>
    <row r="397" spans="1:4" ht="15.75" hidden="1" outlineLevel="1">
      <c r="A397" s="45" t="s">
        <v>2533</v>
      </c>
      <c r="B397" s="46" t="s">
        <v>6</v>
      </c>
      <c r="C397" s="45">
        <v>5.27</v>
      </c>
      <c r="D397" s="123"/>
    </row>
    <row r="398" spans="1:4" ht="15.75" hidden="1" outlineLevel="1">
      <c r="A398" s="45" t="s">
        <v>2533</v>
      </c>
      <c r="B398" s="46" t="s">
        <v>7</v>
      </c>
      <c r="C398" s="45">
        <v>5.28</v>
      </c>
      <c r="D398" s="123"/>
    </row>
    <row r="399" spans="1:4" ht="15.75" hidden="1" outlineLevel="1">
      <c r="A399" s="45" t="s">
        <v>2533</v>
      </c>
      <c r="B399" s="46" t="s">
        <v>144</v>
      </c>
      <c r="C399" s="45">
        <v>5.29</v>
      </c>
      <c r="D399" s="123"/>
    </row>
    <row r="400" spans="1:4" ht="15.75" hidden="1" outlineLevel="1">
      <c r="A400" s="45" t="s">
        <v>2533</v>
      </c>
      <c r="B400" s="46" t="s">
        <v>137</v>
      </c>
      <c r="C400" s="45">
        <v>5.31</v>
      </c>
      <c r="D400" s="123"/>
    </row>
    <row r="401" spans="1:4" ht="15.75" hidden="1" outlineLevel="1">
      <c r="A401" s="45" t="s">
        <v>2533</v>
      </c>
      <c r="B401" s="46" t="s">
        <v>138</v>
      </c>
      <c r="C401" s="45">
        <v>5.36</v>
      </c>
      <c r="D401" s="123"/>
    </row>
    <row r="402" spans="1:4" ht="15.75" hidden="1" outlineLevel="1">
      <c r="A402" s="45" t="s">
        <v>2533</v>
      </c>
      <c r="B402" s="46" t="s">
        <v>1364</v>
      </c>
      <c r="C402" s="45">
        <v>5.37</v>
      </c>
      <c r="D402" s="123"/>
    </row>
    <row r="403" spans="1:4" ht="15.75" hidden="1" outlineLevel="1">
      <c r="A403" s="45" t="s">
        <v>2533</v>
      </c>
      <c r="B403" s="46" t="s">
        <v>9</v>
      </c>
      <c r="C403" s="45">
        <v>5.49</v>
      </c>
      <c r="D403" s="123"/>
    </row>
    <row r="404" spans="1:4" ht="15.75" hidden="1" outlineLevel="1">
      <c r="A404" s="45" t="s">
        <v>2533</v>
      </c>
      <c r="B404" s="46" t="s">
        <v>10</v>
      </c>
      <c r="C404" s="45">
        <v>5.51</v>
      </c>
      <c r="D404" s="123"/>
    </row>
    <row r="405" spans="1:4" ht="15.75" hidden="1" outlineLevel="1">
      <c r="A405" s="45" t="s">
        <v>2533</v>
      </c>
      <c r="B405" s="46" t="s">
        <v>2760</v>
      </c>
      <c r="C405" s="45">
        <v>5.52</v>
      </c>
      <c r="D405" s="123"/>
    </row>
    <row r="406" spans="1:4" ht="15.75" hidden="1" outlineLevel="1">
      <c r="A406" s="45" t="s">
        <v>2533</v>
      </c>
      <c r="B406" s="46" t="s">
        <v>11</v>
      </c>
      <c r="C406" s="45">
        <v>5.53</v>
      </c>
      <c r="D406" s="123"/>
    </row>
    <row r="407" spans="1:4" ht="15.75" hidden="1" outlineLevel="1">
      <c r="A407" s="45" t="s">
        <v>2533</v>
      </c>
      <c r="B407" s="46" t="s">
        <v>12</v>
      </c>
      <c r="C407" s="45">
        <v>5.69</v>
      </c>
      <c r="D407" s="123"/>
    </row>
    <row r="408" spans="1:4" ht="15.75" hidden="1" outlineLevel="1">
      <c r="A408" s="45" t="s">
        <v>2533</v>
      </c>
      <c r="B408" s="46" t="s">
        <v>13</v>
      </c>
      <c r="C408" s="45">
        <v>5.75</v>
      </c>
      <c r="D408" s="123"/>
    </row>
    <row r="409" spans="1:4" ht="15.75" hidden="1" outlineLevel="1">
      <c r="A409" s="45" t="s">
        <v>2533</v>
      </c>
      <c r="B409" s="46" t="s">
        <v>15</v>
      </c>
      <c r="C409" s="45">
        <v>5.74</v>
      </c>
      <c r="D409" s="123"/>
    </row>
    <row r="410" spans="1:4" ht="15.75" hidden="1" outlineLevel="1">
      <c r="A410" s="45" t="s">
        <v>2533</v>
      </c>
      <c r="B410" s="46" t="s">
        <v>14</v>
      </c>
      <c r="C410" s="47">
        <v>5.7</v>
      </c>
      <c r="D410" s="123"/>
    </row>
    <row r="411" spans="1:4" ht="15.75" hidden="1" outlineLevel="1">
      <c r="A411" s="45" t="s">
        <v>2533</v>
      </c>
      <c r="B411" s="46" t="s">
        <v>141</v>
      </c>
      <c r="C411" s="45">
        <v>5.76</v>
      </c>
      <c r="D411" s="123"/>
    </row>
    <row r="412" spans="1:4" ht="15.75" hidden="1" outlineLevel="1">
      <c r="A412" s="45" t="s">
        <v>2533</v>
      </c>
      <c r="B412" s="46" t="s">
        <v>142</v>
      </c>
      <c r="C412" s="45">
        <v>5.89</v>
      </c>
      <c r="D412" s="122" t="s">
        <v>2758</v>
      </c>
    </row>
    <row r="413" spans="1:4" ht="15.75" hidden="1" outlineLevel="1">
      <c r="A413" s="45" t="s">
        <v>2533</v>
      </c>
      <c r="B413" s="46" t="s">
        <v>1370</v>
      </c>
      <c r="C413" s="45">
        <v>5.109</v>
      </c>
      <c r="D413" s="123"/>
    </row>
    <row r="414" spans="1:4" ht="15.75" hidden="1" outlineLevel="1">
      <c r="A414" s="45" t="s">
        <v>2533</v>
      </c>
      <c r="B414" s="46" t="s">
        <v>1371</v>
      </c>
      <c r="C414" s="45">
        <v>5.1109999999999998</v>
      </c>
      <c r="D414" s="123"/>
    </row>
    <row r="415" spans="1:4" ht="15.75" hidden="1" outlineLevel="1">
      <c r="A415" s="45" t="s">
        <v>2533</v>
      </c>
      <c r="B415" s="46" t="s">
        <v>1373</v>
      </c>
      <c r="C415" s="45">
        <v>5.1120000000000001</v>
      </c>
      <c r="D415" s="123"/>
    </row>
    <row r="416" spans="1:4" ht="15.75" hidden="1" outlineLevel="1">
      <c r="A416" s="45" t="s">
        <v>2533</v>
      </c>
      <c r="B416" s="49" t="s">
        <v>2764</v>
      </c>
      <c r="C416" s="45">
        <v>5.1130000000000004</v>
      </c>
      <c r="D416" s="123"/>
    </row>
    <row r="417" spans="1:4" ht="15.75" hidden="1" outlineLevel="1">
      <c r="A417" s="45" t="s">
        <v>2533</v>
      </c>
      <c r="B417" s="46" t="s">
        <v>17</v>
      </c>
      <c r="C417" s="45">
        <v>5.58</v>
      </c>
      <c r="D417" s="123"/>
    </row>
    <row r="418" spans="1:4" ht="15.75" hidden="1" outlineLevel="1">
      <c r="A418" s="45" t="s">
        <v>2533</v>
      </c>
      <c r="B418" s="46" t="s">
        <v>18</v>
      </c>
      <c r="C418" s="45">
        <v>5.54</v>
      </c>
      <c r="D418" s="123"/>
    </row>
    <row r="419" spans="1:4" ht="15.75" hidden="1" outlineLevel="1">
      <c r="A419" s="45" t="s">
        <v>2533</v>
      </c>
      <c r="B419" s="46" t="s">
        <v>19</v>
      </c>
      <c r="C419" s="45">
        <v>5.55</v>
      </c>
      <c r="D419" s="123"/>
    </row>
    <row r="420" spans="1:4" ht="15.75" hidden="1" outlineLevel="1">
      <c r="A420" s="45" t="s">
        <v>2533</v>
      </c>
      <c r="B420" s="46" t="s">
        <v>20</v>
      </c>
      <c r="C420" s="45">
        <v>5.63</v>
      </c>
      <c r="D420" s="123"/>
    </row>
    <row r="421" spans="1:4" ht="15.75" hidden="1" outlineLevel="1">
      <c r="A421" s="45" t="s">
        <v>2533</v>
      </c>
      <c r="B421" s="46" t="s">
        <v>21</v>
      </c>
      <c r="C421" s="45">
        <v>5.65</v>
      </c>
      <c r="D421" s="123"/>
    </row>
    <row r="422" spans="1:4" ht="15.75" hidden="1" outlineLevel="1">
      <c r="A422" s="45" t="s">
        <v>2533</v>
      </c>
      <c r="B422" s="46" t="s">
        <v>143</v>
      </c>
      <c r="C422" s="45">
        <v>5.66</v>
      </c>
      <c r="D422" s="123"/>
    </row>
    <row r="423" spans="1:4" ht="15.75" hidden="1" outlineLevel="1">
      <c r="A423" s="45" t="s">
        <v>2533</v>
      </c>
      <c r="B423" s="46" t="s">
        <v>22</v>
      </c>
      <c r="C423" s="45">
        <v>5.68</v>
      </c>
      <c r="D423" s="123"/>
    </row>
    <row r="424" spans="1:4" ht="15.75" hidden="1" outlineLevel="1">
      <c r="A424" s="45" t="s">
        <v>2533</v>
      </c>
      <c r="B424" s="46" t="s">
        <v>24</v>
      </c>
      <c r="C424" s="45">
        <v>5.47</v>
      </c>
      <c r="D424" s="123"/>
    </row>
    <row r="425" spans="1:4" ht="15.75" hidden="1" outlineLevel="1">
      <c r="A425" s="45" t="s">
        <v>2533</v>
      </c>
      <c r="B425" s="46" t="s">
        <v>25</v>
      </c>
      <c r="C425" s="45">
        <v>5.48</v>
      </c>
      <c r="D425" s="123"/>
    </row>
    <row r="426" spans="1:4" ht="15.75">
      <c r="A426" s="51" t="s">
        <v>2533</v>
      </c>
      <c r="B426" s="46"/>
      <c r="C426" s="45"/>
      <c r="D426" s="123"/>
    </row>
    <row r="427" spans="1:4" ht="15.75" outlineLevel="1">
      <c r="A427" s="45" t="s">
        <v>2765</v>
      </c>
      <c r="B427" s="46" t="s">
        <v>0</v>
      </c>
      <c r="C427" s="45">
        <v>5.0999999999999996</v>
      </c>
      <c r="D427" s="123"/>
    </row>
    <row r="428" spans="1:4" ht="15.75" outlineLevel="1">
      <c r="A428" s="45" t="s">
        <v>2765</v>
      </c>
      <c r="B428" s="46" t="s">
        <v>1</v>
      </c>
      <c r="C428" s="45">
        <v>5.2</v>
      </c>
      <c r="D428" s="123"/>
    </row>
    <row r="429" spans="1:4" ht="15.75" outlineLevel="1">
      <c r="A429" s="45" t="s">
        <v>2765</v>
      </c>
      <c r="B429" s="46" t="s">
        <v>2</v>
      </c>
      <c r="C429" s="45">
        <v>5.3</v>
      </c>
      <c r="D429" s="123"/>
    </row>
    <row r="430" spans="1:4" ht="15.75" outlineLevel="1">
      <c r="A430" s="45" t="s">
        <v>2765</v>
      </c>
      <c r="B430" s="46" t="s">
        <v>134</v>
      </c>
      <c r="C430" s="45">
        <v>5.6</v>
      </c>
      <c r="D430" s="123"/>
    </row>
    <row r="431" spans="1:4" ht="15.75" outlineLevel="1">
      <c r="A431" s="45" t="s">
        <v>2765</v>
      </c>
      <c r="B431" s="46" t="s">
        <v>2759</v>
      </c>
      <c r="C431" s="47">
        <v>5.0999999999999996</v>
      </c>
      <c r="D431" s="123"/>
    </row>
    <row r="432" spans="1:4" ht="15.75" outlineLevel="1">
      <c r="A432" s="45" t="s">
        <v>2765</v>
      </c>
      <c r="B432" s="46" t="s">
        <v>1297</v>
      </c>
      <c r="C432" s="45">
        <v>5.14</v>
      </c>
      <c r="D432" s="123"/>
    </row>
    <row r="433" spans="1:4" ht="15.75" outlineLevel="1">
      <c r="A433" s="45" t="s">
        <v>2765</v>
      </c>
      <c r="B433" s="46" t="s">
        <v>4</v>
      </c>
      <c r="C433" s="45">
        <v>5.19</v>
      </c>
      <c r="D433" s="123"/>
    </row>
    <row r="434" spans="1:4" ht="15.75" outlineLevel="1">
      <c r="A434" s="45" t="s">
        <v>2765</v>
      </c>
      <c r="B434" s="46" t="s">
        <v>136</v>
      </c>
      <c r="C434" s="45">
        <v>5.24</v>
      </c>
      <c r="D434" s="123"/>
    </row>
    <row r="435" spans="1:4" ht="15.75" outlineLevel="1">
      <c r="A435" s="45" t="s">
        <v>2765</v>
      </c>
      <c r="B435" s="46" t="s">
        <v>5</v>
      </c>
      <c r="C435" s="45">
        <v>5.26</v>
      </c>
      <c r="D435" s="123"/>
    </row>
    <row r="436" spans="1:4" ht="15.75" outlineLevel="1">
      <c r="A436" s="45" t="s">
        <v>2765</v>
      </c>
      <c r="B436" s="46" t="s">
        <v>6</v>
      </c>
      <c r="C436" s="45">
        <v>5.27</v>
      </c>
      <c r="D436" s="123"/>
    </row>
    <row r="437" spans="1:4" ht="15.75" outlineLevel="1">
      <c r="A437" s="45" t="s">
        <v>2765</v>
      </c>
      <c r="B437" s="46" t="s">
        <v>7</v>
      </c>
      <c r="C437" s="45">
        <v>5.28</v>
      </c>
      <c r="D437" s="123"/>
    </row>
    <row r="438" spans="1:4" ht="15.75" outlineLevel="1">
      <c r="A438" s="45" t="s">
        <v>2765</v>
      </c>
      <c r="B438" s="46" t="s">
        <v>144</v>
      </c>
      <c r="C438" s="45">
        <v>5.29</v>
      </c>
      <c r="D438" s="123"/>
    </row>
    <row r="439" spans="1:4" ht="15.75" outlineLevel="1">
      <c r="A439" s="45" t="s">
        <v>2765</v>
      </c>
      <c r="B439" s="46" t="s">
        <v>137</v>
      </c>
      <c r="C439" s="45">
        <v>5.31</v>
      </c>
      <c r="D439" s="123"/>
    </row>
    <row r="440" spans="1:4" ht="15.75" outlineLevel="1">
      <c r="A440" s="45" t="s">
        <v>2765</v>
      </c>
      <c r="B440" s="46" t="s">
        <v>138</v>
      </c>
      <c r="C440" s="45">
        <v>5.36</v>
      </c>
      <c r="D440" s="123"/>
    </row>
    <row r="441" spans="1:4" ht="15.75" outlineLevel="1">
      <c r="A441" s="45" t="s">
        <v>2765</v>
      </c>
      <c r="B441" s="46" t="s">
        <v>1364</v>
      </c>
      <c r="C441" s="45">
        <v>5.37</v>
      </c>
      <c r="D441" s="123"/>
    </row>
    <row r="442" spans="1:4" ht="15.75" outlineLevel="1">
      <c r="A442" s="45" t="s">
        <v>2765</v>
      </c>
      <c r="B442" s="46" t="s">
        <v>11</v>
      </c>
      <c r="C442" s="45">
        <v>5.53</v>
      </c>
      <c r="D442" s="123"/>
    </row>
    <row r="443" spans="1:4" ht="15.75" outlineLevel="1">
      <c r="A443" s="45" t="s">
        <v>2765</v>
      </c>
      <c r="B443" s="46" t="s">
        <v>1370</v>
      </c>
      <c r="C443" s="45">
        <v>5.109</v>
      </c>
      <c r="D443" s="123"/>
    </row>
    <row r="444" spans="1:4" ht="15.75" outlineLevel="1">
      <c r="A444" s="45" t="s">
        <v>2765</v>
      </c>
      <c r="B444" s="46" t="s">
        <v>1371</v>
      </c>
      <c r="C444" s="45">
        <v>5.1109999999999998</v>
      </c>
      <c r="D444" s="123"/>
    </row>
    <row r="445" spans="1:4" ht="15.75" outlineLevel="1">
      <c r="A445" s="45" t="s">
        <v>2765</v>
      </c>
      <c r="B445" s="46" t="s">
        <v>1373</v>
      </c>
      <c r="C445" s="45">
        <v>5.1120000000000001</v>
      </c>
      <c r="D445" s="123"/>
    </row>
    <row r="446" spans="1:4" ht="15.75" outlineLevel="1">
      <c r="A446" s="45" t="s">
        <v>2765</v>
      </c>
      <c r="B446" s="49" t="s">
        <v>2764</v>
      </c>
      <c r="C446" s="45">
        <v>5.1130000000000004</v>
      </c>
      <c r="D446" s="123"/>
    </row>
    <row r="447" spans="1:4" ht="15.75" outlineLevel="1">
      <c r="A447" s="45" t="s">
        <v>2765</v>
      </c>
      <c r="B447" s="46" t="s">
        <v>17</v>
      </c>
      <c r="C447" s="45">
        <v>5.58</v>
      </c>
      <c r="D447" s="123"/>
    </row>
    <row r="448" spans="1:4" ht="15.75" outlineLevel="1">
      <c r="A448" s="45" t="s">
        <v>2765</v>
      </c>
      <c r="B448" s="46" t="s">
        <v>18</v>
      </c>
      <c r="C448" s="45">
        <v>5.54</v>
      </c>
      <c r="D448" s="123"/>
    </row>
    <row r="449" spans="1:4" ht="15.75" outlineLevel="1">
      <c r="A449" s="45" t="s">
        <v>2765</v>
      </c>
      <c r="B449" s="46" t="s">
        <v>19</v>
      </c>
      <c r="C449" s="45">
        <v>5.55</v>
      </c>
      <c r="D449" s="123"/>
    </row>
    <row r="450" spans="1:4" ht="15.75" outlineLevel="1">
      <c r="A450" s="45" t="s">
        <v>2765</v>
      </c>
      <c r="B450" s="46" t="s">
        <v>20</v>
      </c>
      <c r="C450" s="45">
        <v>5.63</v>
      </c>
      <c r="D450" s="123"/>
    </row>
    <row r="451" spans="1:4" ht="15.75" outlineLevel="1">
      <c r="A451" s="45" t="s">
        <v>2765</v>
      </c>
      <c r="B451" s="46" t="s">
        <v>24</v>
      </c>
      <c r="C451" s="45">
        <v>5.47</v>
      </c>
      <c r="D451" s="123"/>
    </row>
    <row r="452" spans="1:4" ht="15.75" outlineLevel="1">
      <c r="A452" s="45" t="s">
        <v>2765</v>
      </c>
      <c r="B452" s="46" t="s">
        <v>25</v>
      </c>
      <c r="C452" s="45">
        <v>5.48</v>
      </c>
      <c r="D452" s="123"/>
    </row>
    <row r="453" spans="1:4" ht="31.5">
      <c r="A453" s="51" t="s">
        <v>2765</v>
      </c>
      <c r="B453" s="46"/>
      <c r="C453" s="45"/>
      <c r="D453" s="123"/>
    </row>
    <row r="454" spans="1:4" ht="15.75" outlineLevel="1">
      <c r="A454" s="45" t="s">
        <v>2337</v>
      </c>
      <c r="B454" s="46" t="s">
        <v>0</v>
      </c>
      <c r="C454" s="45">
        <v>5.0999999999999996</v>
      </c>
      <c r="D454" s="123"/>
    </row>
    <row r="455" spans="1:4" ht="15.75" outlineLevel="1">
      <c r="A455" s="45" t="s">
        <v>2337</v>
      </c>
      <c r="B455" s="46" t="s">
        <v>1</v>
      </c>
      <c r="C455" s="45">
        <v>5.2</v>
      </c>
      <c r="D455" s="123"/>
    </row>
    <row r="456" spans="1:4" ht="15.75" outlineLevel="1">
      <c r="A456" s="45" t="s">
        <v>2337</v>
      </c>
      <c r="B456" s="46" t="s">
        <v>1492</v>
      </c>
      <c r="C456" s="45">
        <v>5.5</v>
      </c>
      <c r="D456" s="123"/>
    </row>
    <row r="457" spans="1:4" ht="15.75" outlineLevel="1">
      <c r="A457" s="45" t="s">
        <v>2337</v>
      </c>
      <c r="B457" s="46" t="s">
        <v>1493</v>
      </c>
      <c r="C457" s="45">
        <v>5.8</v>
      </c>
      <c r="D457" s="122" t="s">
        <v>2758</v>
      </c>
    </row>
    <row r="458" spans="1:4" ht="15.75" outlineLevel="1">
      <c r="A458" s="45" t="s">
        <v>2337</v>
      </c>
      <c r="B458" s="46" t="s">
        <v>1494</v>
      </c>
      <c r="C458" s="45">
        <v>5.12</v>
      </c>
      <c r="D458" s="122" t="s">
        <v>2758</v>
      </c>
    </row>
    <row r="459" spans="1:4" ht="15.75" outlineLevel="1">
      <c r="A459" s="45" t="s">
        <v>2337</v>
      </c>
      <c r="B459" s="46" t="s">
        <v>1495</v>
      </c>
      <c r="C459" s="45">
        <v>5.15</v>
      </c>
      <c r="D459" s="123"/>
    </row>
    <row r="460" spans="1:4" ht="15.75" outlineLevel="1">
      <c r="A460" s="45" t="s">
        <v>2337</v>
      </c>
      <c r="B460" s="46" t="s">
        <v>1496</v>
      </c>
      <c r="C460" s="47">
        <v>5.2</v>
      </c>
      <c r="D460" s="122"/>
    </row>
    <row r="461" spans="1:4" ht="15.75" outlineLevel="1">
      <c r="A461" s="45" t="s">
        <v>2337</v>
      </c>
      <c r="B461" s="46" t="s">
        <v>1497</v>
      </c>
      <c r="C461" s="45">
        <v>5.25</v>
      </c>
      <c r="D461" s="123"/>
    </row>
    <row r="462" spans="1:4" ht="15.75" outlineLevel="1">
      <c r="A462" s="45" t="s">
        <v>2337</v>
      </c>
      <c r="B462" s="46" t="s">
        <v>5</v>
      </c>
      <c r="C462" s="45">
        <v>5.26</v>
      </c>
      <c r="D462" s="123"/>
    </row>
    <row r="463" spans="1:4" ht="15.75" outlineLevel="1">
      <c r="A463" s="45" t="s">
        <v>2337</v>
      </c>
      <c r="B463" s="46" t="s">
        <v>1498</v>
      </c>
      <c r="C463" s="45">
        <v>5.1139999999999999</v>
      </c>
      <c r="D463" s="122" t="s">
        <v>2758</v>
      </c>
    </row>
    <row r="464" spans="1:4" ht="15.75" outlineLevel="1">
      <c r="A464" s="45" t="s">
        <v>2337</v>
      </c>
      <c r="B464" s="46" t="s">
        <v>6</v>
      </c>
      <c r="C464" s="45">
        <v>5.27</v>
      </c>
      <c r="D464" s="123"/>
    </row>
    <row r="465" spans="1:4" ht="15.75" outlineLevel="1">
      <c r="A465" s="45" t="s">
        <v>2337</v>
      </c>
      <c r="B465" s="46" t="s">
        <v>1499</v>
      </c>
      <c r="C465" s="45">
        <v>5.1150000000000002</v>
      </c>
      <c r="D465" s="122" t="s">
        <v>2758</v>
      </c>
    </row>
    <row r="466" spans="1:4" ht="15.75" outlineLevel="1">
      <c r="A466" s="45" t="s">
        <v>2337</v>
      </c>
      <c r="B466" s="46" t="s">
        <v>1500</v>
      </c>
      <c r="C466" s="45">
        <v>5.1159999999999997</v>
      </c>
      <c r="D466" s="122" t="s">
        <v>2758</v>
      </c>
    </row>
    <row r="467" spans="1:4" ht="15.75" outlineLevel="1">
      <c r="A467" s="45" t="s">
        <v>2337</v>
      </c>
      <c r="B467" s="46" t="s">
        <v>7</v>
      </c>
      <c r="C467" s="45">
        <v>5.28</v>
      </c>
      <c r="D467" s="123"/>
    </row>
    <row r="468" spans="1:4" ht="15.75" outlineLevel="1">
      <c r="A468" s="45" t="s">
        <v>2337</v>
      </c>
      <c r="B468" s="46" t="s">
        <v>138</v>
      </c>
      <c r="C468" s="45">
        <v>5.36</v>
      </c>
      <c r="D468" s="123"/>
    </row>
    <row r="469" spans="1:4" ht="15.75" outlineLevel="1">
      <c r="A469" s="45" t="s">
        <v>2337</v>
      </c>
      <c r="B469" s="46" t="s">
        <v>1364</v>
      </c>
      <c r="C469" s="45">
        <v>5.37</v>
      </c>
      <c r="D469" s="123"/>
    </row>
    <row r="470" spans="1:4" ht="15.75" outlineLevel="1">
      <c r="A470" s="45" t="s">
        <v>2337</v>
      </c>
      <c r="B470" s="46" t="s">
        <v>11</v>
      </c>
      <c r="C470" s="45">
        <v>5.53</v>
      </c>
      <c r="D470" s="123"/>
    </row>
    <row r="471" spans="1:4" ht="15.75" outlineLevel="1">
      <c r="A471" s="45" t="s">
        <v>2337</v>
      </c>
      <c r="B471" s="46" t="s">
        <v>1370</v>
      </c>
      <c r="C471" s="45">
        <v>5.109</v>
      </c>
      <c r="D471" s="123"/>
    </row>
    <row r="472" spans="1:4" ht="15.75" outlineLevel="1">
      <c r="A472" s="45" t="s">
        <v>2337</v>
      </c>
      <c r="B472" s="46" t="s">
        <v>1371</v>
      </c>
      <c r="C472" s="45">
        <v>5.1109999999999998</v>
      </c>
      <c r="D472" s="123"/>
    </row>
    <row r="473" spans="1:4" ht="15.75" outlineLevel="1">
      <c r="A473" s="45" t="s">
        <v>2337</v>
      </c>
      <c r="B473" s="46" t="s">
        <v>1373</v>
      </c>
      <c r="C473" s="45">
        <v>5.1120000000000001</v>
      </c>
      <c r="D473" s="123"/>
    </row>
    <row r="474" spans="1:4" ht="15.75" outlineLevel="1">
      <c r="A474" s="45" t="s">
        <v>2337</v>
      </c>
      <c r="B474" s="46" t="s">
        <v>18</v>
      </c>
      <c r="C474" s="45">
        <v>5.54</v>
      </c>
      <c r="D474" s="123"/>
    </row>
    <row r="475" spans="1:4" ht="15.75" outlineLevel="1">
      <c r="A475" s="45" t="s">
        <v>2337</v>
      </c>
      <c r="B475" s="46" t="s">
        <v>1501</v>
      </c>
      <c r="C475" s="45">
        <v>5.61</v>
      </c>
      <c r="D475" s="123"/>
    </row>
    <row r="476" spans="1:4" ht="15.75" outlineLevel="1">
      <c r="A476" s="45" t="s">
        <v>2337</v>
      </c>
      <c r="B476" s="46" t="s">
        <v>20</v>
      </c>
      <c r="C476" s="45">
        <v>5.63</v>
      </c>
      <c r="D476" s="123"/>
    </row>
    <row r="477" spans="1:4" ht="15.75" outlineLevel="1">
      <c r="A477" s="45" t="s">
        <v>2337</v>
      </c>
      <c r="B477" s="46" t="s">
        <v>1502</v>
      </c>
      <c r="C477" s="45">
        <v>5.46</v>
      </c>
      <c r="D477" s="123"/>
    </row>
    <row r="478" spans="1:4" ht="15.75" outlineLevel="1">
      <c r="A478" s="45" t="s">
        <v>2337</v>
      </c>
      <c r="B478" s="46" t="s">
        <v>24</v>
      </c>
      <c r="C478" s="45">
        <v>5.47</v>
      </c>
      <c r="D478" s="123"/>
    </row>
    <row r="479" spans="1:4" ht="15.75" outlineLevel="1">
      <c r="A479" s="45" t="s">
        <v>2337</v>
      </c>
      <c r="B479" s="46" t="s">
        <v>25</v>
      </c>
      <c r="C479" s="45">
        <v>5.48</v>
      </c>
      <c r="D479" s="123"/>
    </row>
    <row r="480" spans="1:4" ht="15.75">
      <c r="A480" s="51" t="s">
        <v>2337</v>
      </c>
      <c r="B480" s="46"/>
      <c r="C480" s="45"/>
      <c r="D480" s="123"/>
    </row>
    <row r="481" spans="1:4" ht="15.75" hidden="1" outlineLevel="1">
      <c r="A481" s="45" t="s">
        <v>2766</v>
      </c>
      <c r="B481" s="46" t="s">
        <v>0</v>
      </c>
      <c r="C481" s="45">
        <v>5.0999999999999996</v>
      </c>
      <c r="D481" s="123"/>
    </row>
    <row r="482" spans="1:4" ht="15.75" hidden="1" outlineLevel="1">
      <c r="A482" s="45" t="s">
        <v>2766</v>
      </c>
      <c r="B482" s="46" t="s">
        <v>1</v>
      </c>
      <c r="C482" s="45">
        <v>5.2</v>
      </c>
      <c r="D482" s="123"/>
    </row>
    <row r="483" spans="1:4" ht="15.75" hidden="1" outlineLevel="1">
      <c r="A483" s="45" t="s">
        <v>2766</v>
      </c>
      <c r="B483" s="46" t="s">
        <v>2</v>
      </c>
      <c r="C483" s="45">
        <v>5.3</v>
      </c>
      <c r="D483" s="123"/>
    </row>
    <row r="484" spans="1:4" ht="15.75" hidden="1" outlineLevel="1">
      <c r="A484" s="45" t="s">
        <v>2766</v>
      </c>
      <c r="B484" s="46" t="s">
        <v>134</v>
      </c>
      <c r="C484" s="45">
        <v>5.6</v>
      </c>
      <c r="D484" s="123"/>
    </row>
    <row r="485" spans="1:4" ht="15.75" hidden="1" outlineLevel="1">
      <c r="A485" s="45" t="s">
        <v>2766</v>
      </c>
      <c r="B485" s="46" t="s">
        <v>2759</v>
      </c>
      <c r="C485" s="47">
        <v>5.0999999999999996</v>
      </c>
      <c r="D485" s="123"/>
    </row>
    <row r="486" spans="1:4" ht="15.75" hidden="1" outlineLevel="1">
      <c r="A486" s="45" t="s">
        <v>2766</v>
      </c>
      <c r="B486" s="46" t="s">
        <v>1297</v>
      </c>
      <c r="C486" s="45">
        <v>5.14</v>
      </c>
      <c r="D486" s="123"/>
    </row>
    <row r="487" spans="1:4" ht="15.75" hidden="1" outlineLevel="1">
      <c r="A487" s="45" t="s">
        <v>2766</v>
      </c>
      <c r="B487" s="46" t="s">
        <v>4</v>
      </c>
      <c r="C487" s="45">
        <v>5.19</v>
      </c>
      <c r="D487" s="123"/>
    </row>
    <row r="488" spans="1:4" ht="15.75" hidden="1" outlineLevel="1">
      <c r="A488" s="45" t="s">
        <v>2766</v>
      </c>
      <c r="B488" s="46" t="s">
        <v>136</v>
      </c>
      <c r="C488" s="45">
        <v>5.24</v>
      </c>
      <c r="D488" s="123"/>
    </row>
    <row r="489" spans="1:4" ht="15.75" hidden="1" outlineLevel="1">
      <c r="A489" s="45" t="s">
        <v>2766</v>
      </c>
      <c r="B489" s="46" t="s">
        <v>6</v>
      </c>
      <c r="C489" s="45">
        <v>5.27</v>
      </c>
      <c r="D489" s="123"/>
    </row>
    <row r="490" spans="1:4" ht="15.75" hidden="1" outlineLevel="1">
      <c r="A490" s="45" t="s">
        <v>2766</v>
      </c>
      <c r="B490" s="46" t="s">
        <v>7</v>
      </c>
      <c r="C490" s="45">
        <v>5.28</v>
      </c>
      <c r="D490" s="123"/>
    </row>
    <row r="491" spans="1:4" ht="15.75" hidden="1" outlineLevel="1">
      <c r="A491" s="45" t="s">
        <v>2766</v>
      </c>
      <c r="B491" s="46" t="s">
        <v>144</v>
      </c>
      <c r="C491" s="45">
        <v>5.29</v>
      </c>
      <c r="D491" s="123"/>
    </row>
    <row r="492" spans="1:4" ht="15.75" hidden="1" outlineLevel="1">
      <c r="A492" s="45" t="s">
        <v>2766</v>
      </c>
      <c r="B492" s="46" t="s">
        <v>1344</v>
      </c>
      <c r="C492" s="45">
        <v>5.34</v>
      </c>
      <c r="D492" s="123"/>
    </row>
    <row r="493" spans="1:4" ht="15.75" hidden="1" outlineLevel="1">
      <c r="A493" s="45" t="s">
        <v>2766</v>
      </c>
      <c r="B493" s="46" t="s">
        <v>137</v>
      </c>
      <c r="C493" s="45">
        <v>5.31</v>
      </c>
      <c r="D493" s="123"/>
    </row>
    <row r="494" spans="1:4" ht="15.75" hidden="1" outlineLevel="1">
      <c r="A494" s="45" t="s">
        <v>2766</v>
      </c>
      <c r="B494" s="46" t="s">
        <v>1345</v>
      </c>
      <c r="C494" s="45">
        <v>5.101</v>
      </c>
      <c r="D494" s="123"/>
    </row>
    <row r="495" spans="1:4" ht="15.75" hidden="1" outlineLevel="1">
      <c r="A495" s="45" t="s">
        <v>2766</v>
      </c>
      <c r="B495" s="46" t="s">
        <v>138</v>
      </c>
      <c r="C495" s="45">
        <v>5.36</v>
      </c>
      <c r="D495" s="123"/>
    </row>
    <row r="496" spans="1:4" ht="15.75" hidden="1" outlineLevel="1">
      <c r="A496" s="45" t="s">
        <v>2766</v>
      </c>
      <c r="B496" s="46" t="s">
        <v>1364</v>
      </c>
      <c r="C496" s="45">
        <v>5.37</v>
      </c>
      <c r="D496" s="123"/>
    </row>
    <row r="497" spans="1:4" ht="15.75" hidden="1" outlineLevel="1">
      <c r="A497" s="45" t="s">
        <v>2766</v>
      </c>
      <c r="B497" s="46" t="s">
        <v>11</v>
      </c>
      <c r="C497" s="45">
        <v>5.53</v>
      </c>
      <c r="D497" s="123"/>
    </row>
    <row r="498" spans="1:4" ht="15.75" hidden="1" outlineLevel="1">
      <c r="A498" s="45" t="s">
        <v>2766</v>
      </c>
      <c r="B498" s="46" t="s">
        <v>1370</v>
      </c>
      <c r="C498" s="45">
        <v>5.109</v>
      </c>
      <c r="D498" s="123"/>
    </row>
    <row r="499" spans="1:4" ht="15.75" hidden="1" outlineLevel="1">
      <c r="A499" s="45" t="s">
        <v>2766</v>
      </c>
      <c r="B499" s="46" t="s">
        <v>1371</v>
      </c>
      <c r="C499" s="45">
        <v>5.1109999999999998</v>
      </c>
      <c r="D499" s="123"/>
    </row>
    <row r="500" spans="1:4" ht="15.75" hidden="1" outlineLevel="1">
      <c r="A500" s="45" t="s">
        <v>2766</v>
      </c>
      <c r="B500" s="46" t="s">
        <v>1373</v>
      </c>
      <c r="C500" s="45">
        <v>5.1120000000000001</v>
      </c>
      <c r="D500" s="123"/>
    </row>
    <row r="501" spans="1:4" ht="15.75" hidden="1" outlineLevel="1">
      <c r="A501" s="45" t="s">
        <v>2766</v>
      </c>
      <c r="B501" s="46" t="s">
        <v>1346</v>
      </c>
      <c r="C501" s="45">
        <v>5.1020000000000003</v>
      </c>
      <c r="D501" s="123"/>
    </row>
    <row r="502" spans="1:4" ht="15.75" hidden="1" outlineLevel="1">
      <c r="A502" s="45" t="s">
        <v>2766</v>
      </c>
      <c r="B502" s="46" t="s">
        <v>1347</v>
      </c>
      <c r="C502" s="48">
        <v>5.0999999999999996</v>
      </c>
      <c r="D502" s="123"/>
    </row>
    <row r="503" spans="1:4" ht="15.75" hidden="1" outlineLevel="1">
      <c r="A503" s="45" t="s">
        <v>2766</v>
      </c>
      <c r="B503" s="46" t="s">
        <v>17</v>
      </c>
      <c r="C503" s="45">
        <v>5.58</v>
      </c>
      <c r="D503" s="123"/>
    </row>
    <row r="504" spans="1:4" ht="15.75" hidden="1" outlineLevel="1">
      <c r="A504" s="45" t="s">
        <v>2766</v>
      </c>
      <c r="B504" s="46" t="s">
        <v>19</v>
      </c>
      <c r="C504" s="45">
        <v>5.55</v>
      </c>
      <c r="D504" s="123"/>
    </row>
    <row r="505" spans="1:4" ht="15.75" hidden="1" outlineLevel="1">
      <c r="A505" s="45" t="s">
        <v>2766</v>
      </c>
      <c r="B505" s="46" t="s">
        <v>18</v>
      </c>
      <c r="C505" s="45">
        <v>5.54</v>
      </c>
      <c r="D505" s="123"/>
    </row>
    <row r="506" spans="1:4" ht="15.75" hidden="1" outlineLevel="1">
      <c r="A506" s="45" t="s">
        <v>2766</v>
      </c>
      <c r="B506" s="46" t="s">
        <v>20</v>
      </c>
      <c r="C506" s="45">
        <v>5.63</v>
      </c>
      <c r="D506" s="123"/>
    </row>
    <row r="507" spans="1:4" ht="15.75" hidden="1" outlineLevel="1">
      <c r="A507" s="45" t="s">
        <v>2766</v>
      </c>
      <c r="B507" s="46" t="s">
        <v>24</v>
      </c>
      <c r="C507" s="45">
        <v>5.47</v>
      </c>
      <c r="D507" s="123"/>
    </row>
    <row r="508" spans="1:4" ht="15.75" hidden="1" outlineLevel="1">
      <c r="A508" s="45" t="s">
        <v>2766</v>
      </c>
      <c r="B508" s="46" t="s">
        <v>25</v>
      </c>
      <c r="C508" s="45">
        <v>5.48</v>
      </c>
      <c r="D508" s="123"/>
    </row>
    <row r="509" spans="1:4" ht="15.75">
      <c r="A509" s="51" t="s">
        <v>2766</v>
      </c>
      <c r="B509" s="46"/>
      <c r="C509" s="45"/>
      <c r="D509" s="123"/>
    </row>
    <row r="510" spans="1:4" ht="15.75" hidden="1" outlineLevel="1">
      <c r="A510" s="45" t="s">
        <v>2547</v>
      </c>
      <c r="B510" s="46" t="s">
        <v>0</v>
      </c>
      <c r="C510" s="45">
        <v>5.0999999999999996</v>
      </c>
      <c r="D510" s="123"/>
    </row>
    <row r="511" spans="1:4" ht="15.75" hidden="1" outlineLevel="1">
      <c r="A511" s="45" t="s">
        <v>2547</v>
      </c>
      <c r="B511" s="46" t="s">
        <v>1</v>
      </c>
      <c r="C511" s="45">
        <v>5.2</v>
      </c>
      <c r="D511" s="123"/>
    </row>
    <row r="512" spans="1:4" ht="15.75" hidden="1" outlineLevel="1">
      <c r="A512" s="45" t="s">
        <v>2547</v>
      </c>
      <c r="B512" s="46" t="s">
        <v>2</v>
      </c>
      <c r="C512" s="45">
        <v>5.3</v>
      </c>
      <c r="D512" s="123"/>
    </row>
    <row r="513" spans="1:4" ht="15.75" hidden="1" outlineLevel="1">
      <c r="A513" s="45" t="s">
        <v>2547</v>
      </c>
      <c r="B513" s="46" t="s">
        <v>134</v>
      </c>
      <c r="C513" s="45">
        <v>5.6</v>
      </c>
      <c r="D513" s="123"/>
    </row>
    <row r="514" spans="1:4" ht="15.75" hidden="1" outlineLevel="1">
      <c r="A514" s="45" t="s">
        <v>2547</v>
      </c>
      <c r="B514" s="46" t="s">
        <v>2759</v>
      </c>
      <c r="C514" s="47">
        <v>5.0999999999999996</v>
      </c>
      <c r="D514" s="123"/>
    </row>
    <row r="515" spans="1:4" ht="15.75" hidden="1" outlineLevel="1">
      <c r="A515" s="45" t="s">
        <v>2547</v>
      </c>
      <c r="B515" s="46" t="s">
        <v>1297</v>
      </c>
      <c r="C515" s="45">
        <v>5.14</v>
      </c>
      <c r="D515" s="123"/>
    </row>
    <row r="516" spans="1:4" ht="15.75" hidden="1" outlineLevel="1">
      <c r="A516" s="45" t="s">
        <v>2547</v>
      </c>
      <c r="B516" s="46" t="s">
        <v>4</v>
      </c>
      <c r="C516" s="45">
        <v>5.19</v>
      </c>
      <c r="D516" s="123"/>
    </row>
    <row r="517" spans="1:4" ht="15.75" hidden="1" outlineLevel="1">
      <c r="A517" s="45" t="s">
        <v>2547</v>
      </c>
      <c r="B517" s="46" t="s">
        <v>136</v>
      </c>
      <c r="C517" s="45">
        <v>5.24</v>
      </c>
      <c r="D517" s="123"/>
    </row>
    <row r="518" spans="1:4" ht="15.75" hidden="1" outlineLevel="1">
      <c r="A518" s="45" t="s">
        <v>2547</v>
      </c>
      <c r="B518" s="46" t="s">
        <v>5</v>
      </c>
      <c r="C518" s="45">
        <v>5.26</v>
      </c>
      <c r="D518" s="123"/>
    </row>
    <row r="519" spans="1:4" ht="15.75" hidden="1" outlineLevel="1">
      <c r="A519" s="45" t="s">
        <v>2547</v>
      </c>
      <c r="B519" s="46" t="s">
        <v>6</v>
      </c>
      <c r="C519" s="45">
        <v>5.27</v>
      </c>
      <c r="D519" s="123"/>
    </row>
    <row r="520" spans="1:4" ht="15.75" hidden="1" outlineLevel="1">
      <c r="A520" s="45" t="s">
        <v>2547</v>
      </c>
      <c r="B520" s="46" t="s">
        <v>7</v>
      </c>
      <c r="C520" s="45">
        <v>5.28</v>
      </c>
      <c r="D520" s="123"/>
    </row>
    <row r="521" spans="1:4" ht="15.75" hidden="1" outlineLevel="1">
      <c r="A521" s="45" t="s">
        <v>2547</v>
      </c>
      <c r="B521" s="46" t="s">
        <v>137</v>
      </c>
      <c r="C521" s="45">
        <v>5.31</v>
      </c>
      <c r="D521" s="123"/>
    </row>
    <row r="522" spans="1:4" ht="15.75" hidden="1" outlineLevel="1">
      <c r="A522" s="45" t="s">
        <v>2547</v>
      </c>
      <c r="B522" s="46" t="s">
        <v>1351</v>
      </c>
      <c r="C522" s="45">
        <v>5.33</v>
      </c>
      <c r="D522" s="123"/>
    </row>
    <row r="523" spans="1:4" ht="15.75" hidden="1" outlineLevel="1">
      <c r="A523" s="45" t="s">
        <v>2547</v>
      </c>
      <c r="B523" s="46" t="s">
        <v>1345</v>
      </c>
      <c r="C523" s="45">
        <v>5.101</v>
      </c>
      <c r="D523" s="123"/>
    </row>
    <row r="524" spans="1:4" ht="15.75" hidden="1" outlineLevel="1">
      <c r="A524" s="45" t="s">
        <v>2547</v>
      </c>
      <c r="B524" s="46" t="s">
        <v>138</v>
      </c>
      <c r="C524" s="45">
        <v>5.36</v>
      </c>
      <c r="D524" s="123"/>
    </row>
    <row r="525" spans="1:4" ht="15.75" hidden="1" outlineLevel="1">
      <c r="A525" s="45" t="s">
        <v>2547</v>
      </c>
      <c r="B525" s="46" t="s">
        <v>1364</v>
      </c>
      <c r="C525" s="45">
        <v>5.37</v>
      </c>
      <c r="D525" s="123"/>
    </row>
    <row r="526" spans="1:4" ht="15.75" hidden="1" outlineLevel="1">
      <c r="A526" s="45" t="s">
        <v>2547</v>
      </c>
      <c r="B526" s="46" t="s">
        <v>11</v>
      </c>
      <c r="C526" s="45">
        <v>5.53</v>
      </c>
      <c r="D526" s="123"/>
    </row>
    <row r="527" spans="1:4" ht="15.75" hidden="1" outlineLevel="1">
      <c r="A527" s="45" t="s">
        <v>2547</v>
      </c>
      <c r="B527" s="46" t="s">
        <v>1370</v>
      </c>
      <c r="C527" s="45">
        <v>5.109</v>
      </c>
      <c r="D527" s="123"/>
    </row>
    <row r="528" spans="1:4" ht="15.75" hidden="1" outlineLevel="1">
      <c r="A528" s="45" t="s">
        <v>2547</v>
      </c>
      <c r="B528" s="46" t="s">
        <v>1371</v>
      </c>
      <c r="C528" s="45">
        <v>5.1109999999999998</v>
      </c>
      <c r="D528" s="123"/>
    </row>
    <row r="529" spans="1:4" ht="15.75" hidden="1" outlineLevel="1">
      <c r="A529" s="45" t="s">
        <v>2547</v>
      </c>
      <c r="B529" s="46" t="s">
        <v>1373</v>
      </c>
      <c r="C529" s="45">
        <v>5.1120000000000001</v>
      </c>
      <c r="D529" s="123"/>
    </row>
    <row r="530" spans="1:4" ht="15.75" hidden="1" outlineLevel="1">
      <c r="A530" s="45" t="s">
        <v>2547</v>
      </c>
      <c r="B530" s="46" t="s">
        <v>1346</v>
      </c>
      <c r="C530" s="45">
        <v>5.1020000000000003</v>
      </c>
      <c r="D530" s="123"/>
    </row>
    <row r="531" spans="1:4" ht="15.75" hidden="1" outlineLevel="1">
      <c r="A531" s="45" t="s">
        <v>2547</v>
      </c>
      <c r="B531" s="46" t="s">
        <v>1347</v>
      </c>
      <c r="C531" s="48">
        <v>5.0999999999999996</v>
      </c>
      <c r="D531" s="123"/>
    </row>
    <row r="532" spans="1:4" ht="15.75" hidden="1" outlineLevel="1">
      <c r="A532" s="45" t="s">
        <v>2547</v>
      </c>
      <c r="B532" s="46" t="s">
        <v>17</v>
      </c>
      <c r="C532" s="45">
        <v>5.58</v>
      </c>
      <c r="D532" s="123"/>
    </row>
    <row r="533" spans="1:4" ht="15.75" hidden="1" outlineLevel="1">
      <c r="A533" s="45" t="s">
        <v>2547</v>
      </c>
      <c r="B533" s="46" t="s">
        <v>19</v>
      </c>
      <c r="C533" s="45">
        <v>5.55</v>
      </c>
      <c r="D533" s="123"/>
    </row>
    <row r="534" spans="1:4" ht="15.75" hidden="1" outlineLevel="1">
      <c r="A534" s="45" t="s">
        <v>2547</v>
      </c>
      <c r="B534" s="46" t="s">
        <v>18</v>
      </c>
      <c r="C534" s="45">
        <v>5.54</v>
      </c>
      <c r="D534" s="123"/>
    </row>
    <row r="535" spans="1:4" ht="15.75" hidden="1" outlineLevel="1">
      <c r="A535" s="45" t="s">
        <v>2547</v>
      </c>
      <c r="B535" s="46" t="s">
        <v>20</v>
      </c>
      <c r="C535" s="45">
        <v>5.63</v>
      </c>
      <c r="D535" s="123"/>
    </row>
    <row r="536" spans="1:4" ht="15.75" hidden="1" outlineLevel="1">
      <c r="A536" s="45" t="s">
        <v>2547</v>
      </c>
      <c r="B536" s="46" t="s">
        <v>24</v>
      </c>
      <c r="C536" s="45">
        <v>5.47</v>
      </c>
      <c r="D536" s="123"/>
    </row>
    <row r="537" spans="1:4" ht="15.75" hidden="1" outlineLevel="1">
      <c r="A537" s="45" t="s">
        <v>2547</v>
      </c>
      <c r="B537" s="46" t="s">
        <v>25</v>
      </c>
      <c r="C537" s="45">
        <v>5.48</v>
      </c>
      <c r="D537" s="123"/>
    </row>
    <row r="538" spans="1:4" ht="15.75">
      <c r="A538" s="51" t="s">
        <v>2547</v>
      </c>
      <c r="B538" s="46"/>
      <c r="C538" s="45"/>
      <c r="D538" s="123"/>
    </row>
    <row r="539" spans="1:4" ht="15.75" hidden="1" outlineLevel="1">
      <c r="A539" s="45" t="s">
        <v>2555</v>
      </c>
      <c r="B539" s="46" t="s">
        <v>0</v>
      </c>
      <c r="C539" s="45">
        <v>5.0999999999999996</v>
      </c>
      <c r="D539" s="123"/>
    </row>
    <row r="540" spans="1:4" ht="15.75" hidden="1" outlineLevel="1">
      <c r="A540" s="45" t="s">
        <v>2555</v>
      </c>
      <c r="B540" s="46" t="s">
        <v>1</v>
      </c>
      <c r="C540" s="45">
        <v>5.2</v>
      </c>
      <c r="D540" s="123"/>
    </row>
    <row r="541" spans="1:4" ht="15.75" hidden="1" outlineLevel="1">
      <c r="A541" s="45" t="s">
        <v>2555</v>
      </c>
      <c r="B541" s="46" t="s">
        <v>5</v>
      </c>
      <c r="C541" s="45">
        <v>5.26</v>
      </c>
      <c r="D541" s="123"/>
    </row>
    <row r="542" spans="1:4" ht="15.75" hidden="1" outlineLevel="1">
      <c r="A542" s="45" t="s">
        <v>2555</v>
      </c>
      <c r="B542" s="46" t="s">
        <v>1691</v>
      </c>
      <c r="C542" s="45">
        <v>5.21</v>
      </c>
      <c r="D542" s="123"/>
    </row>
    <row r="543" spans="1:4" ht="15.75" hidden="1" outlineLevel="1">
      <c r="A543" s="45" t="s">
        <v>2555</v>
      </c>
      <c r="B543" s="46" t="s">
        <v>1692</v>
      </c>
      <c r="C543" s="45">
        <v>5.53</v>
      </c>
      <c r="D543" s="123"/>
    </row>
    <row r="544" spans="1:4" ht="15.75" hidden="1" outlineLevel="1">
      <c r="A544" s="45" t="s">
        <v>2555</v>
      </c>
      <c r="B544" s="46" t="s">
        <v>18</v>
      </c>
      <c r="C544" s="45">
        <v>5.54</v>
      </c>
      <c r="D544" s="123"/>
    </row>
    <row r="545" spans="1:4" ht="15.75" hidden="1" outlineLevel="1">
      <c r="A545" s="45" t="s">
        <v>2555</v>
      </c>
      <c r="B545" s="46" t="s">
        <v>1693</v>
      </c>
      <c r="C545" s="45">
        <v>5.58</v>
      </c>
      <c r="D545" s="123"/>
    </row>
    <row r="546" spans="1:4" ht="15.75" hidden="1" outlineLevel="1">
      <c r="A546" s="45" t="s">
        <v>2555</v>
      </c>
      <c r="B546" s="46" t="s">
        <v>1694</v>
      </c>
      <c r="C546" s="45">
        <v>5.1180000000000003</v>
      </c>
      <c r="D546" s="123"/>
    </row>
    <row r="547" spans="1:4" ht="15.75" hidden="1" outlineLevel="1">
      <c r="A547" s="45" t="s">
        <v>2555</v>
      </c>
      <c r="B547" s="49" t="s">
        <v>1695</v>
      </c>
      <c r="C547" s="45">
        <v>5.47</v>
      </c>
      <c r="D547" s="123"/>
    </row>
    <row r="548" spans="1:4" ht="15.75" hidden="1" outlineLevel="1">
      <c r="A548" s="45" t="s">
        <v>2555</v>
      </c>
      <c r="B548" s="46" t="s">
        <v>1696</v>
      </c>
      <c r="C548" s="45">
        <v>5.48</v>
      </c>
      <c r="D548" s="123"/>
    </row>
    <row r="549" spans="1:4" ht="15.75" hidden="1" outlineLevel="1">
      <c r="A549" s="45" t="s">
        <v>2555</v>
      </c>
      <c r="B549" s="46" t="s">
        <v>1697</v>
      </c>
      <c r="C549" s="45">
        <v>5.21</v>
      </c>
      <c r="D549" s="123"/>
    </row>
    <row r="550" spans="1:4" ht="15.75" hidden="1" outlineLevel="1">
      <c r="A550" s="45" t="s">
        <v>2555</v>
      </c>
      <c r="B550" s="46" t="s">
        <v>1698</v>
      </c>
      <c r="C550" s="45">
        <v>5.53</v>
      </c>
      <c r="D550" s="123"/>
    </row>
    <row r="551" spans="1:4" ht="15.75" hidden="1" outlineLevel="1">
      <c r="A551" s="45" t="s">
        <v>2555</v>
      </c>
      <c r="B551" s="46" t="s">
        <v>18</v>
      </c>
      <c r="C551" s="45">
        <v>5.54</v>
      </c>
      <c r="D551" s="123"/>
    </row>
    <row r="552" spans="1:4" ht="15.75" hidden="1" outlineLevel="1">
      <c r="A552" s="45" t="s">
        <v>2555</v>
      </c>
      <c r="B552" s="46" t="s">
        <v>1699</v>
      </c>
      <c r="C552" s="45">
        <v>5.58</v>
      </c>
      <c r="D552" s="123"/>
    </row>
    <row r="553" spans="1:4" ht="15.75" hidden="1" outlineLevel="1">
      <c r="A553" s="45" t="s">
        <v>2555</v>
      </c>
      <c r="B553" s="46" t="s">
        <v>1700</v>
      </c>
      <c r="C553" s="45">
        <v>5.1180000000000003</v>
      </c>
      <c r="D553" s="123"/>
    </row>
    <row r="554" spans="1:4" ht="15.75" hidden="1" outlineLevel="1">
      <c r="A554" s="45" t="s">
        <v>2555</v>
      </c>
      <c r="B554" s="46" t="s">
        <v>2767</v>
      </c>
      <c r="C554" s="45">
        <v>5.47</v>
      </c>
      <c r="D554" s="123"/>
    </row>
    <row r="555" spans="1:4" ht="15.75" hidden="1" outlineLevel="1">
      <c r="A555" s="45" t="s">
        <v>2555</v>
      </c>
      <c r="B555" s="46" t="s">
        <v>2768</v>
      </c>
      <c r="C555" s="45">
        <v>5.48</v>
      </c>
      <c r="D555" s="123"/>
    </row>
    <row r="556" spans="1:4" ht="15.75" hidden="1" outlineLevel="1">
      <c r="A556" s="45" t="s">
        <v>2555</v>
      </c>
      <c r="B556" s="46" t="s">
        <v>2769</v>
      </c>
      <c r="C556" s="45">
        <v>5.63</v>
      </c>
      <c r="D556" s="123"/>
    </row>
    <row r="557" spans="1:4" ht="15.75" hidden="1" outlineLevel="1">
      <c r="A557" s="45" t="s">
        <v>2555</v>
      </c>
      <c r="B557" s="46" t="s">
        <v>6</v>
      </c>
      <c r="C557" s="45">
        <v>5.27</v>
      </c>
      <c r="D557" s="123"/>
    </row>
    <row r="558" spans="1:4" ht="15.75" hidden="1" outlineLevel="1">
      <c r="A558" s="45" t="s">
        <v>2555</v>
      </c>
      <c r="B558" s="46" t="s">
        <v>7</v>
      </c>
      <c r="C558" s="45">
        <v>5.28</v>
      </c>
      <c r="D558" s="123"/>
    </row>
    <row r="559" spans="1:4" ht="15.75" hidden="1" outlineLevel="1">
      <c r="A559" s="45" t="s">
        <v>2555</v>
      </c>
      <c r="B559" s="46" t="s">
        <v>1704</v>
      </c>
      <c r="C559" s="45">
        <v>5.35</v>
      </c>
      <c r="D559" s="123"/>
    </row>
    <row r="560" spans="1:4" ht="15.75" hidden="1" outlineLevel="1">
      <c r="A560" s="45" t="s">
        <v>2555</v>
      </c>
      <c r="B560" s="46" t="s">
        <v>1705</v>
      </c>
      <c r="C560" s="45">
        <v>5.1189999999999998</v>
      </c>
      <c r="D560" s="123"/>
    </row>
    <row r="561" spans="1:4" ht="15.75" hidden="1" outlineLevel="1">
      <c r="A561" s="45" t="s">
        <v>2555</v>
      </c>
      <c r="B561" s="46" t="s">
        <v>1706</v>
      </c>
      <c r="C561" s="48">
        <v>5.12</v>
      </c>
      <c r="D561" s="123"/>
    </row>
    <row r="562" spans="1:4" ht="15.75" hidden="1" outlineLevel="1">
      <c r="A562" s="45" t="s">
        <v>2555</v>
      </c>
      <c r="B562" s="46" t="s">
        <v>1707</v>
      </c>
      <c r="C562" s="45">
        <v>5.1210000000000004</v>
      </c>
      <c r="D562" s="123"/>
    </row>
    <row r="563" spans="1:4" ht="15.75" hidden="1" outlineLevel="1">
      <c r="A563" s="45" t="s">
        <v>2555</v>
      </c>
      <c r="B563" s="46" t="s">
        <v>138</v>
      </c>
      <c r="C563" s="45">
        <v>5.36</v>
      </c>
      <c r="D563" s="123"/>
    </row>
    <row r="564" spans="1:4" ht="15.75" hidden="1" outlineLevel="1">
      <c r="A564" s="45" t="s">
        <v>2555</v>
      </c>
      <c r="B564" s="46" t="s">
        <v>1708</v>
      </c>
      <c r="C564" s="45">
        <v>5.1219999999999999</v>
      </c>
      <c r="D564" s="123"/>
    </row>
    <row r="565" spans="1:4" ht="15.75" hidden="1" outlineLevel="1">
      <c r="A565" s="45" t="s">
        <v>2555</v>
      </c>
      <c r="B565" s="46" t="s">
        <v>1709</v>
      </c>
      <c r="C565" s="45">
        <v>5.1230000000000002</v>
      </c>
      <c r="D565" s="123"/>
    </row>
    <row r="566" spans="1:4" ht="15.75" hidden="1" outlineLevel="1">
      <c r="A566" s="45" t="s">
        <v>2555</v>
      </c>
      <c r="B566" s="46" t="s">
        <v>1710</v>
      </c>
      <c r="C566" s="45">
        <v>5.1239999999999997</v>
      </c>
      <c r="D566" s="123"/>
    </row>
    <row r="567" spans="1:4" ht="15.75" hidden="1" outlineLevel="1">
      <c r="A567" s="45" t="s">
        <v>2555</v>
      </c>
      <c r="B567" s="46" t="s">
        <v>1711</v>
      </c>
      <c r="C567" s="45">
        <v>5.125</v>
      </c>
      <c r="D567" s="123"/>
    </row>
    <row r="568" spans="1:4" ht="15.75" hidden="1" outlineLevel="1">
      <c r="A568" s="45" t="s">
        <v>2555</v>
      </c>
      <c r="B568" s="46" t="s">
        <v>1712</v>
      </c>
      <c r="C568" s="45">
        <v>5.1260000000000003</v>
      </c>
      <c r="D568" s="123"/>
    </row>
    <row r="569" spans="1:4" ht="15.75" hidden="1" outlineLevel="1">
      <c r="A569" s="45" t="s">
        <v>2555</v>
      </c>
      <c r="B569" s="46" t="s">
        <v>1713</v>
      </c>
      <c r="C569" s="45">
        <v>5.1269999999999998</v>
      </c>
      <c r="D569" s="123"/>
    </row>
    <row r="570" spans="1:4" ht="15.75" hidden="1" outlineLevel="1">
      <c r="A570" s="45" t="s">
        <v>2555</v>
      </c>
      <c r="B570" s="46" t="s">
        <v>140</v>
      </c>
      <c r="C570" s="47">
        <v>5.72</v>
      </c>
      <c r="D570" s="123"/>
    </row>
    <row r="571" spans="1:4" ht="15.75" hidden="1" outlineLevel="1">
      <c r="A571" s="45" t="s">
        <v>2555</v>
      </c>
      <c r="B571" s="46" t="s">
        <v>1714</v>
      </c>
      <c r="C571" s="45">
        <v>5.1280000000000001</v>
      </c>
      <c r="D571" s="123"/>
    </row>
    <row r="572" spans="1:4" ht="15.75" hidden="1" outlineLevel="1">
      <c r="A572" s="45" t="s">
        <v>2555</v>
      </c>
      <c r="B572" s="46" t="s">
        <v>1715</v>
      </c>
      <c r="C572" s="45">
        <v>5.1289999999999996</v>
      </c>
      <c r="D572" s="122" t="s">
        <v>2758</v>
      </c>
    </row>
    <row r="573" spans="1:4" ht="15.75" hidden="1" outlineLevel="1">
      <c r="A573" s="45" t="s">
        <v>2555</v>
      </c>
      <c r="B573" s="46" t="s">
        <v>1716</v>
      </c>
      <c r="C573" s="45">
        <v>5.1310000000000002</v>
      </c>
      <c r="D573" s="123"/>
    </row>
    <row r="574" spans="1:4" ht="15.75" hidden="1" outlineLevel="1">
      <c r="A574" s="45" t="s">
        <v>2555</v>
      </c>
      <c r="B574" s="46" t="s">
        <v>1717</v>
      </c>
      <c r="C574" s="45">
        <v>5.1319999999999997</v>
      </c>
      <c r="D574" s="122" t="s">
        <v>2758</v>
      </c>
    </row>
    <row r="575" spans="1:4" ht="15.75" hidden="1" outlineLevel="1">
      <c r="A575" s="45" t="s">
        <v>2555</v>
      </c>
      <c r="B575" s="46" t="s">
        <v>1718</v>
      </c>
      <c r="C575" s="45">
        <v>5.133</v>
      </c>
      <c r="D575" s="122" t="s">
        <v>2758</v>
      </c>
    </row>
    <row r="576" spans="1:4" ht="15.75" hidden="1" outlineLevel="1">
      <c r="A576" s="45" t="s">
        <v>2555</v>
      </c>
      <c r="B576" s="46" t="s">
        <v>1719</v>
      </c>
      <c r="C576" s="45">
        <v>5.1340000000000003</v>
      </c>
      <c r="D576" s="122" t="s">
        <v>2758</v>
      </c>
    </row>
    <row r="577" spans="1:4" ht="15.75" hidden="1" outlineLevel="1">
      <c r="A577" s="45" t="s">
        <v>2555</v>
      </c>
      <c r="B577" s="46" t="s">
        <v>1720</v>
      </c>
      <c r="C577" s="48">
        <v>5.13</v>
      </c>
      <c r="D577" s="123"/>
    </row>
    <row r="578" spans="1:4" ht="15.75" hidden="1" outlineLevel="1">
      <c r="A578" s="45" t="s">
        <v>2555</v>
      </c>
      <c r="B578" s="46" t="s">
        <v>24</v>
      </c>
      <c r="C578" s="45">
        <v>5.47</v>
      </c>
      <c r="D578" s="123"/>
    </row>
    <row r="579" spans="1:4" ht="15.75" hidden="1" outlineLevel="1">
      <c r="A579" s="45" t="s">
        <v>2555</v>
      </c>
      <c r="B579" s="46" t="s">
        <v>25</v>
      </c>
      <c r="C579" s="45">
        <v>5.48</v>
      </c>
      <c r="D579" s="123"/>
    </row>
    <row r="580" spans="1:4" ht="15.75">
      <c r="A580" s="51" t="s">
        <v>2555</v>
      </c>
      <c r="B580" s="46"/>
      <c r="C580" s="45"/>
      <c r="D580" s="123"/>
    </row>
    <row r="581" spans="1:4" ht="15.75" hidden="1" outlineLevel="1">
      <c r="A581" s="45" t="s">
        <v>2549</v>
      </c>
      <c r="B581" s="46" t="s">
        <v>0</v>
      </c>
      <c r="C581" s="45">
        <v>5.0999999999999996</v>
      </c>
      <c r="D581" s="123"/>
    </row>
    <row r="582" spans="1:4" ht="15.75" hidden="1" outlineLevel="1">
      <c r="A582" s="45" t="s">
        <v>2549</v>
      </c>
      <c r="B582" s="46" t="s">
        <v>1</v>
      </c>
      <c r="C582" s="45">
        <v>5.2</v>
      </c>
      <c r="D582" s="123"/>
    </row>
    <row r="583" spans="1:4" ht="15.75" hidden="1" outlineLevel="1">
      <c r="A583" s="45" t="s">
        <v>2549</v>
      </c>
      <c r="B583" s="46" t="s">
        <v>1749</v>
      </c>
      <c r="C583" s="45">
        <v>5.9</v>
      </c>
      <c r="D583" s="122" t="s">
        <v>2758</v>
      </c>
    </row>
    <row r="584" spans="1:4" ht="15.75" hidden="1" outlineLevel="1">
      <c r="A584" s="45" t="s">
        <v>2549</v>
      </c>
      <c r="B584" s="46" t="s">
        <v>1750</v>
      </c>
      <c r="C584" s="45">
        <v>5.13</v>
      </c>
      <c r="D584" s="122" t="s">
        <v>2758</v>
      </c>
    </row>
    <row r="585" spans="1:4" ht="15.75" hidden="1" outlineLevel="1">
      <c r="A585" s="45" t="s">
        <v>2549</v>
      </c>
      <c r="B585" s="46" t="s">
        <v>1751</v>
      </c>
      <c r="C585" s="45">
        <v>5.16</v>
      </c>
      <c r="D585" s="122" t="s">
        <v>2758</v>
      </c>
    </row>
    <row r="586" spans="1:4" ht="15.75" hidden="1" outlineLevel="1">
      <c r="A586" s="45" t="s">
        <v>2549</v>
      </c>
      <c r="B586" s="46" t="s">
        <v>1752</v>
      </c>
      <c r="C586" s="45">
        <v>5.22</v>
      </c>
      <c r="D586" s="122"/>
    </row>
    <row r="587" spans="1:4" ht="15.75" hidden="1" outlineLevel="1">
      <c r="A587" s="45" t="s">
        <v>2549</v>
      </c>
      <c r="B587" s="46" t="s">
        <v>5</v>
      </c>
      <c r="C587" s="45">
        <v>5.26</v>
      </c>
      <c r="D587" s="123"/>
    </row>
    <row r="588" spans="1:4" ht="15.75" hidden="1" outlineLevel="1">
      <c r="A588" s="45" t="s">
        <v>2549</v>
      </c>
      <c r="B588" s="46" t="s">
        <v>1753</v>
      </c>
      <c r="C588" s="45">
        <v>5.77</v>
      </c>
      <c r="D588" s="123"/>
    </row>
    <row r="589" spans="1:4" ht="15.75" hidden="1" outlineLevel="1">
      <c r="A589" s="45" t="s">
        <v>2549</v>
      </c>
      <c r="B589" s="46" t="s">
        <v>6</v>
      </c>
      <c r="C589" s="45">
        <v>5.27</v>
      </c>
      <c r="D589" s="123"/>
    </row>
    <row r="590" spans="1:4" ht="15.75" hidden="1" outlineLevel="1">
      <c r="A590" s="45" t="s">
        <v>2549</v>
      </c>
      <c r="B590" s="46" t="s">
        <v>7</v>
      </c>
      <c r="C590" s="45">
        <v>5.28</v>
      </c>
      <c r="D590" s="122" t="s">
        <v>2758</v>
      </c>
    </row>
    <row r="591" spans="1:4" ht="15.75" hidden="1" outlineLevel="1">
      <c r="A591" s="45" t="s">
        <v>2549</v>
      </c>
      <c r="B591" s="46" t="s">
        <v>137</v>
      </c>
      <c r="C591" s="45">
        <v>5.31</v>
      </c>
      <c r="D591" s="123"/>
    </row>
    <row r="592" spans="1:4" ht="15.75" hidden="1" outlineLevel="1">
      <c r="A592" s="45" t="s">
        <v>2549</v>
      </c>
      <c r="B592" s="46" t="s">
        <v>138</v>
      </c>
      <c r="C592" s="45">
        <v>5.36</v>
      </c>
      <c r="D592" s="123"/>
    </row>
    <row r="593" spans="1:4" ht="15.75" hidden="1" outlineLevel="1">
      <c r="A593" s="45" t="s">
        <v>2549</v>
      </c>
      <c r="B593" s="46" t="s">
        <v>1754</v>
      </c>
      <c r="C593" s="45">
        <v>5.78</v>
      </c>
      <c r="D593" s="123"/>
    </row>
    <row r="594" spans="1:4" ht="15.75" hidden="1" outlineLevel="1">
      <c r="A594" s="45" t="s">
        <v>2549</v>
      </c>
      <c r="B594" s="46" t="s">
        <v>1755</v>
      </c>
      <c r="C594" s="45">
        <v>5.79</v>
      </c>
      <c r="D594" s="122" t="s">
        <v>2758</v>
      </c>
    </row>
    <row r="595" spans="1:4" ht="15.75" hidden="1" outlineLevel="1">
      <c r="A595" s="45" t="s">
        <v>2549</v>
      </c>
      <c r="B595" s="46" t="s">
        <v>1756</v>
      </c>
      <c r="C595" s="45">
        <v>5.41</v>
      </c>
      <c r="D595" s="123"/>
    </row>
    <row r="596" spans="1:4" ht="15.75" hidden="1" outlineLevel="1">
      <c r="A596" s="45" t="s">
        <v>2549</v>
      </c>
      <c r="B596" s="46" t="s">
        <v>9</v>
      </c>
      <c r="C596" s="45">
        <v>5.49</v>
      </c>
      <c r="D596" s="123"/>
    </row>
    <row r="597" spans="1:4" ht="15.75" hidden="1" outlineLevel="1">
      <c r="A597" s="45" t="s">
        <v>2549</v>
      </c>
      <c r="B597" s="46" t="s">
        <v>10</v>
      </c>
      <c r="C597" s="45">
        <v>5.51</v>
      </c>
      <c r="D597" s="123"/>
    </row>
    <row r="598" spans="1:4" ht="15.75" hidden="1" outlineLevel="1">
      <c r="A598" s="45" t="s">
        <v>2549</v>
      </c>
      <c r="B598" s="46" t="s">
        <v>2770</v>
      </c>
      <c r="C598" s="45">
        <v>5.52</v>
      </c>
      <c r="D598" s="123"/>
    </row>
    <row r="599" spans="1:4" ht="15.75" hidden="1" outlineLevel="1">
      <c r="A599" s="45" t="s">
        <v>2549</v>
      </c>
      <c r="B599" s="46" t="s">
        <v>11</v>
      </c>
      <c r="C599" s="45">
        <v>5.53</v>
      </c>
      <c r="D599" s="123"/>
    </row>
    <row r="600" spans="1:4" ht="15.75" hidden="1" outlineLevel="1">
      <c r="A600" s="45" t="s">
        <v>2549</v>
      </c>
      <c r="B600" s="46" t="s">
        <v>12</v>
      </c>
      <c r="C600" s="45">
        <v>5.69</v>
      </c>
      <c r="D600" s="123"/>
    </row>
    <row r="601" spans="1:4" ht="15.75" hidden="1" outlineLevel="1">
      <c r="A601" s="45" t="s">
        <v>2549</v>
      </c>
      <c r="B601" s="46" t="s">
        <v>1758</v>
      </c>
      <c r="C601" s="45">
        <v>5.71</v>
      </c>
      <c r="D601" s="123"/>
    </row>
    <row r="602" spans="1:4" ht="15.75" hidden="1" outlineLevel="1">
      <c r="A602" s="45" t="s">
        <v>2549</v>
      </c>
      <c r="B602" s="46" t="s">
        <v>14</v>
      </c>
      <c r="C602" s="47">
        <v>5.7</v>
      </c>
      <c r="D602" s="123"/>
    </row>
    <row r="603" spans="1:4" ht="15.75" hidden="1" outlineLevel="1">
      <c r="A603" s="45" t="s">
        <v>2549</v>
      </c>
      <c r="B603" s="46" t="s">
        <v>1365</v>
      </c>
      <c r="C603" s="47">
        <v>5.8</v>
      </c>
      <c r="D603" s="122" t="s">
        <v>2758</v>
      </c>
    </row>
    <row r="604" spans="1:4" ht="15.75" hidden="1" outlineLevel="1">
      <c r="A604" s="45" t="s">
        <v>2549</v>
      </c>
      <c r="B604" s="46" t="s">
        <v>140</v>
      </c>
      <c r="C604" s="47">
        <v>5.72</v>
      </c>
      <c r="D604" s="122" t="s">
        <v>2758</v>
      </c>
    </row>
    <row r="605" spans="1:4" ht="15.75" hidden="1" outlineLevel="1">
      <c r="A605" s="45" t="s">
        <v>2549</v>
      </c>
      <c r="B605" s="46" t="s">
        <v>1759</v>
      </c>
      <c r="C605" s="45">
        <v>5.73</v>
      </c>
      <c r="D605" s="122" t="s">
        <v>2758</v>
      </c>
    </row>
    <row r="606" spans="1:4" ht="15.75" hidden="1" outlineLevel="1">
      <c r="A606" s="45" t="s">
        <v>2549</v>
      </c>
      <c r="B606" s="46" t="s">
        <v>15</v>
      </c>
      <c r="C606" s="45">
        <v>5.74</v>
      </c>
      <c r="D606" s="123"/>
    </row>
    <row r="607" spans="1:4" ht="15.75" hidden="1" outlineLevel="1">
      <c r="A607" s="45" t="s">
        <v>2549</v>
      </c>
      <c r="B607" s="46" t="s">
        <v>13</v>
      </c>
      <c r="C607" s="45">
        <v>5.75</v>
      </c>
      <c r="D607" s="123"/>
    </row>
    <row r="608" spans="1:4" ht="15.75" hidden="1" outlineLevel="1">
      <c r="A608" s="45" t="s">
        <v>2549</v>
      </c>
      <c r="B608" s="46" t="s">
        <v>141</v>
      </c>
      <c r="C608" s="45">
        <v>5.76</v>
      </c>
      <c r="D608" s="123"/>
    </row>
    <row r="609" spans="1:4" ht="15.75" hidden="1" outlineLevel="1">
      <c r="A609" s="45" t="s">
        <v>2549</v>
      </c>
      <c r="B609" s="46" t="s">
        <v>1760</v>
      </c>
      <c r="C609" s="45">
        <v>5.81</v>
      </c>
      <c r="D609" s="122" t="s">
        <v>2758</v>
      </c>
    </row>
    <row r="610" spans="1:4" ht="15.75" hidden="1" outlineLevel="1">
      <c r="A610" s="45" t="s">
        <v>2549</v>
      </c>
      <c r="B610" s="46" t="s">
        <v>1761</v>
      </c>
      <c r="C610" s="45">
        <v>5.82</v>
      </c>
      <c r="D610" s="122" t="s">
        <v>2758</v>
      </c>
    </row>
    <row r="611" spans="1:4" ht="15.75" hidden="1" outlineLevel="1">
      <c r="A611" s="45" t="s">
        <v>2549</v>
      </c>
      <c r="B611" s="46" t="s">
        <v>1762</v>
      </c>
      <c r="C611" s="45">
        <v>5.83</v>
      </c>
      <c r="D611" s="122" t="s">
        <v>2758</v>
      </c>
    </row>
    <row r="612" spans="1:4" ht="15.75" hidden="1" outlineLevel="1">
      <c r="A612" s="45" t="s">
        <v>2549</v>
      </c>
      <c r="B612" s="46" t="s">
        <v>1763</v>
      </c>
      <c r="C612" s="45">
        <v>5.84</v>
      </c>
      <c r="D612" s="123"/>
    </row>
    <row r="613" spans="1:4" ht="15.75" hidden="1" outlineLevel="1">
      <c r="A613" s="45" t="s">
        <v>2549</v>
      </c>
      <c r="B613" s="46" t="s">
        <v>1764</v>
      </c>
      <c r="C613" s="45">
        <v>5.85</v>
      </c>
      <c r="D613" s="122" t="s">
        <v>2758</v>
      </c>
    </row>
    <row r="614" spans="1:4" ht="15.75" hidden="1" outlineLevel="1">
      <c r="A614" s="45" t="s">
        <v>2549</v>
      </c>
      <c r="B614" s="46" t="s">
        <v>1765</v>
      </c>
      <c r="C614" s="45">
        <v>5.86</v>
      </c>
      <c r="D614" s="122" t="s">
        <v>2758</v>
      </c>
    </row>
    <row r="615" spans="1:4" ht="15.75" hidden="1" outlineLevel="1">
      <c r="A615" s="45" t="s">
        <v>2549</v>
      </c>
      <c r="B615" s="46" t="s">
        <v>1766</v>
      </c>
      <c r="C615" s="45">
        <v>5.88</v>
      </c>
      <c r="D615" s="122" t="s">
        <v>2758</v>
      </c>
    </row>
    <row r="616" spans="1:4" ht="15.75" hidden="1" outlineLevel="1">
      <c r="A616" s="45" t="s">
        <v>2549</v>
      </c>
      <c r="B616" s="46" t="s">
        <v>1767</v>
      </c>
      <c r="C616" s="45">
        <v>5.87</v>
      </c>
      <c r="D616" s="123"/>
    </row>
    <row r="617" spans="1:4" ht="15.75" hidden="1" outlineLevel="1">
      <c r="A617" s="45" t="s">
        <v>2549</v>
      </c>
      <c r="B617" s="46" t="s">
        <v>1370</v>
      </c>
      <c r="C617" s="45">
        <v>5.109</v>
      </c>
      <c r="D617" s="123"/>
    </row>
    <row r="618" spans="1:4" ht="15.75" hidden="1" outlineLevel="1">
      <c r="A618" s="45" t="s">
        <v>2549</v>
      </c>
      <c r="B618" s="46" t="s">
        <v>1372</v>
      </c>
      <c r="C618" s="48">
        <v>5.1100000000000003</v>
      </c>
      <c r="D618" s="122" t="s">
        <v>2758</v>
      </c>
    </row>
    <row r="619" spans="1:4" ht="15.75" hidden="1" outlineLevel="1">
      <c r="A619" s="45" t="s">
        <v>2549</v>
      </c>
      <c r="B619" s="46" t="s">
        <v>1371</v>
      </c>
      <c r="C619" s="45">
        <v>5.1109999999999998</v>
      </c>
      <c r="D619" s="123"/>
    </row>
    <row r="620" spans="1:4" ht="15.75" hidden="1" outlineLevel="1">
      <c r="A620" s="45" t="s">
        <v>2549</v>
      </c>
      <c r="B620" s="46" t="s">
        <v>1373</v>
      </c>
      <c r="C620" s="45">
        <v>5.1120000000000001</v>
      </c>
      <c r="D620" s="123"/>
    </row>
    <row r="621" spans="1:4" ht="15.75" hidden="1" outlineLevel="1">
      <c r="A621" s="45" t="s">
        <v>2549</v>
      </c>
      <c r="B621" s="46" t="s">
        <v>2764</v>
      </c>
      <c r="C621" s="45">
        <v>5.1130000000000004</v>
      </c>
      <c r="D621" s="123"/>
    </row>
    <row r="622" spans="1:4" ht="15.75" hidden="1" outlineLevel="1">
      <c r="A622" s="45" t="s">
        <v>2549</v>
      </c>
      <c r="B622" s="46" t="s">
        <v>1768</v>
      </c>
      <c r="C622" s="45">
        <v>5.99</v>
      </c>
      <c r="D622" s="122" t="s">
        <v>2758</v>
      </c>
    </row>
    <row r="623" spans="1:4" ht="15.75" hidden="1" outlineLevel="1">
      <c r="A623" s="45" t="s">
        <v>2549</v>
      </c>
      <c r="B623" s="46" t="s">
        <v>1769</v>
      </c>
      <c r="C623" s="45">
        <v>5.58</v>
      </c>
      <c r="D623" s="122"/>
    </row>
    <row r="624" spans="1:4" ht="15.75" hidden="1" outlineLevel="1">
      <c r="A624" s="45" t="s">
        <v>2549</v>
      </c>
      <c r="B624" s="46" t="s">
        <v>18</v>
      </c>
      <c r="C624" s="45">
        <v>5.54</v>
      </c>
      <c r="D624" s="123"/>
    </row>
    <row r="625" spans="1:4" ht="15.75" hidden="1" outlineLevel="1">
      <c r="A625" s="45" t="s">
        <v>2549</v>
      </c>
      <c r="B625" s="46" t="s">
        <v>1770</v>
      </c>
      <c r="C625" s="45">
        <v>5.56</v>
      </c>
      <c r="D625" s="123"/>
    </row>
    <row r="626" spans="1:4" ht="15.75" hidden="1" outlineLevel="1">
      <c r="A626" s="45" t="s">
        <v>2549</v>
      </c>
      <c r="B626" s="46" t="s">
        <v>20</v>
      </c>
      <c r="C626" s="45">
        <v>5.63</v>
      </c>
      <c r="D626" s="123"/>
    </row>
    <row r="627" spans="1:4" ht="15.75" hidden="1" outlineLevel="1">
      <c r="A627" s="45" t="s">
        <v>2549</v>
      </c>
      <c r="B627" s="46" t="s">
        <v>1771</v>
      </c>
      <c r="C627" s="45">
        <v>5.64</v>
      </c>
      <c r="D627" s="123"/>
    </row>
    <row r="628" spans="1:4" ht="15.75" hidden="1" outlineLevel="1">
      <c r="A628" s="45" t="s">
        <v>2549</v>
      </c>
      <c r="B628" s="46" t="s">
        <v>21</v>
      </c>
      <c r="C628" s="45">
        <v>5.65</v>
      </c>
      <c r="D628" s="123"/>
    </row>
    <row r="629" spans="1:4" ht="15.75" hidden="1" outlineLevel="1">
      <c r="A629" s="45" t="s">
        <v>2549</v>
      </c>
      <c r="B629" s="46" t="s">
        <v>143</v>
      </c>
      <c r="C629" s="45">
        <v>5.66</v>
      </c>
      <c r="D629" s="123"/>
    </row>
    <row r="630" spans="1:4" ht="15.75" hidden="1" outlineLevel="1">
      <c r="A630" s="45" t="s">
        <v>2549</v>
      </c>
      <c r="B630" s="46" t="s">
        <v>142</v>
      </c>
      <c r="C630" s="45">
        <v>5.89</v>
      </c>
      <c r="D630" s="122" t="s">
        <v>2758</v>
      </c>
    </row>
    <row r="631" spans="1:4" ht="15.75" hidden="1" outlineLevel="1">
      <c r="A631" s="45" t="s">
        <v>2549</v>
      </c>
      <c r="B631" s="46" t="s">
        <v>22</v>
      </c>
      <c r="C631" s="45">
        <v>5.68</v>
      </c>
      <c r="D631" s="123"/>
    </row>
    <row r="632" spans="1:4" ht="15.75" hidden="1" outlineLevel="1">
      <c r="A632" s="45" t="s">
        <v>2549</v>
      </c>
      <c r="B632" s="46" t="s">
        <v>24</v>
      </c>
      <c r="C632" s="45">
        <v>5.47</v>
      </c>
      <c r="D632" s="123"/>
    </row>
    <row r="633" spans="1:4" ht="15.75" hidden="1" outlineLevel="1">
      <c r="A633" s="45" t="s">
        <v>2549</v>
      </c>
      <c r="B633" s="46" t="s">
        <v>25</v>
      </c>
      <c r="C633" s="45">
        <v>5.48</v>
      </c>
      <c r="D633" s="123"/>
    </row>
    <row r="634" spans="1:4" ht="15.75">
      <c r="A634" s="51" t="s">
        <v>2549</v>
      </c>
      <c r="B634" s="46"/>
      <c r="C634" s="45"/>
      <c r="D634" s="123"/>
    </row>
    <row r="635" spans="1:4" ht="15.75" hidden="1" outlineLevel="1">
      <c r="A635" s="45" t="s">
        <v>2566</v>
      </c>
      <c r="B635" s="46" t="s">
        <v>0</v>
      </c>
      <c r="C635" s="45">
        <v>5.0999999999999996</v>
      </c>
      <c r="D635" s="123"/>
    </row>
    <row r="636" spans="1:4" ht="15.75" hidden="1" outlineLevel="1">
      <c r="A636" s="45" t="s">
        <v>2566</v>
      </c>
      <c r="B636" s="46" t="s">
        <v>1</v>
      </c>
      <c r="C636" s="45">
        <v>5.2</v>
      </c>
      <c r="D636" s="123"/>
    </row>
    <row r="637" spans="1:4" ht="15.75" hidden="1" outlineLevel="1">
      <c r="A637" s="45" t="s">
        <v>2566</v>
      </c>
      <c r="B637" s="46" t="s">
        <v>2</v>
      </c>
      <c r="C637" s="45">
        <v>5.3</v>
      </c>
      <c r="D637" s="123"/>
    </row>
    <row r="638" spans="1:4" ht="15.75" hidden="1" outlineLevel="1">
      <c r="A638" s="45" t="s">
        <v>2566</v>
      </c>
      <c r="B638" s="46" t="s">
        <v>134</v>
      </c>
      <c r="C638" s="45">
        <v>5.6</v>
      </c>
      <c r="D638" s="123"/>
    </row>
    <row r="639" spans="1:4" ht="15.75" hidden="1" outlineLevel="1">
      <c r="A639" s="45" t="s">
        <v>2566</v>
      </c>
      <c r="B639" s="46" t="s">
        <v>2759</v>
      </c>
      <c r="C639" s="47">
        <v>5.0999999999999996</v>
      </c>
      <c r="D639" s="123"/>
    </row>
    <row r="640" spans="1:4" ht="15.75" hidden="1" outlineLevel="1">
      <c r="A640" s="45" t="s">
        <v>2566</v>
      </c>
      <c r="B640" s="46" t="s">
        <v>1297</v>
      </c>
      <c r="C640" s="45">
        <v>5.14</v>
      </c>
      <c r="D640" s="123"/>
    </row>
    <row r="641" spans="1:4" ht="15.75" hidden="1" outlineLevel="1">
      <c r="A641" s="45" t="s">
        <v>2566</v>
      </c>
      <c r="B641" s="46" t="s">
        <v>4</v>
      </c>
      <c r="C641" s="45">
        <v>5.19</v>
      </c>
      <c r="D641" s="123"/>
    </row>
    <row r="642" spans="1:4" ht="15.75" hidden="1" outlineLevel="1">
      <c r="A642" s="45" t="s">
        <v>2566</v>
      </c>
      <c r="B642" s="46" t="s">
        <v>136</v>
      </c>
      <c r="C642" s="45">
        <v>5.24</v>
      </c>
      <c r="D642" s="123"/>
    </row>
    <row r="643" spans="1:4" ht="15.75" hidden="1" outlineLevel="1">
      <c r="A643" s="45" t="s">
        <v>2566</v>
      </c>
      <c r="B643" s="46" t="s">
        <v>5</v>
      </c>
      <c r="C643" s="45">
        <v>5.26</v>
      </c>
      <c r="D643" s="123"/>
    </row>
    <row r="644" spans="1:4" ht="15.75" hidden="1" outlineLevel="1">
      <c r="A644" s="45" t="s">
        <v>2566</v>
      </c>
      <c r="B644" s="46" t="s">
        <v>6</v>
      </c>
      <c r="C644" s="45">
        <v>5.27</v>
      </c>
      <c r="D644" s="123"/>
    </row>
    <row r="645" spans="1:4" ht="15.75" hidden="1" outlineLevel="1">
      <c r="A645" s="45" t="s">
        <v>2566</v>
      </c>
      <c r="B645" s="46" t="s">
        <v>7</v>
      </c>
      <c r="C645" s="45">
        <v>5.28</v>
      </c>
      <c r="D645" s="123"/>
    </row>
    <row r="646" spans="1:4" ht="15.75" hidden="1" outlineLevel="1">
      <c r="A646" s="45" t="s">
        <v>2566</v>
      </c>
      <c r="B646" s="46" t="s">
        <v>138</v>
      </c>
      <c r="C646" s="45">
        <v>5.36</v>
      </c>
      <c r="D646" s="123"/>
    </row>
    <row r="647" spans="1:4" ht="15.75" hidden="1" outlineLevel="1">
      <c r="A647" s="45" t="s">
        <v>2566</v>
      </c>
      <c r="B647" s="46" t="s">
        <v>1351</v>
      </c>
      <c r="C647" s="45">
        <v>5.33</v>
      </c>
      <c r="D647" s="123"/>
    </row>
    <row r="648" spans="1:4" ht="15.75" hidden="1" outlineLevel="1">
      <c r="A648" s="45" t="s">
        <v>2566</v>
      </c>
      <c r="B648" s="46" t="s">
        <v>1364</v>
      </c>
      <c r="C648" s="45">
        <v>5.37</v>
      </c>
      <c r="D648" s="123"/>
    </row>
    <row r="649" spans="1:4" ht="15.75" hidden="1" outlineLevel="1">
      <c r="A649" s="45" t="s">
        <v>2566</v>
      </c>
      <c r="B649" s="46" t="s">
        <v>9</v>
      </c>
      <c r="C649" s="45">
        <v>5.49</v>
      </c>
      <c r="D649" s="123"/>
    </row>
    <row r="650" spans="1:4" ht="15.75" hidden="1" outlineLevel="1">
      <c r="A650" s="45" t="s">
        <v>2566</v>
      </c>
      <c r="B650" s="46" t="s">
        <v>10</v>
      </c>
      <c r="C650" s="45">
        <v>5.51</v>
      </c>
      <c r="D650" s="123"/>
    </row>
    <row r="651" spans="1:4" ht="15.75" hidden="1" outlineLevel="1">
      <c r="A651" s="45" t="s">
        <v>2566</v>
      </c>
      <c r="B651" s="46" t="s">
        <v>2760</v>
      </c>
      <c r="C651" s="45">
        <v>5.52</v>
      </c>
      <c r="D651" s="123"/>
    </row>
    <row r="652" spans="1:4" ht="15.75" hidden="1" outlineLevel="1">
      <c r="A652" s="45" t="s">
        <v>2566</v>
      </c>
      <c r="B652" s="46" t="s">
        <v>11</v>
      </c>
      <c r="C652" s="45">
        <v>5.53</v>
      </c>
      <c r="D652" s="123"/>
    </row>
    <row r="653" spans="1:4" ht="15.75" hidden="1" outlineLevel="1">
      <c r="A653" s="45" t="s">
        <v>2566</v>
      </c>
      <c r="B653" s="46" t="s">
        <v>12</v>
      </c>
      <c r="C653" s="45">
        <v>5.69</v>
      </c>
      <c r="D653" s="123"/>
    </row>
    <row r="654" spans="1:4" ht="15.75" hidden="1" outlineLevel="1">
      <c r="A654" s="45" t="s">
        <v>2566</v>
      </c>
      <c r="B654" s="46" t="s">
        <v>14</v>
      </c>
      <c r="C654" s="47">
        <v>5.7</v>
      </c>
      <c r="D654" s="123"/>
    </row>
    <row r="655" spans="1:4" ht="15.75" hidden="1" outlineLevel="1">
      <c r="A655" s="45" t="s">
        <v>2566</v>
      </c>
      <c r="B655" s="46" t="s">
        <v>15</v>
      </c>
      <c r="C655" s="45">
        <v>5.74</v>
      </c>
      <c r="D655" s="123"/>
    </row>
    <row r="656" spans="1:4" ht="15.75" hidden="1" outlineLevel="1">
      <c r="A656" s="45" t="s">
        <v>2566</v>
      </c>
      <c r="B656" s="46" t="s">
        <v>1370</v>
      </c>
      <c r="C656" s="45">
        <v>5.109</v>
      </c>
      <c r="D656" s="123"/>
    </row>
    <row r="657" spans="1:4" ht="15.75" hidden="1" outlineLevel="1">
      <c r="A657" s="45" t="s">
        <v>2566</v>
      </c>
      <c r="B657" s="46" t="s">
        <v>1371</v>
      </c>
      <c r="C657" s="45">
        <v>5.1109999999999998</v>
      </c>
      <c r="D657" s="123"/>
    </row>
    <row r="658" spans="1:4" ht="15.75" hidden="1" outlineLevel="1">
      <c r="A658" s="45" t="s">
        <v>2566</v>
      </c>
      <c r="B658" s="46" t="s">
        <v>1373</v>
      </c>
      <c r="C658" s="45">
        <v>5.1120000000000001</v>
      </c>
      <c r="D658" s="123"/>
    </row>
    <row r="659" spans="1:4" ht="15.75" hidden="1" outlineLevel="1">
      <c r="A659" s="45" t="s">
        <v>2566</v>
      </c>
      <c r="B659" s="46" t="s">
        <v>17</v>
      </c>
      <c r="C659" s="45">
        <v>5.58</v>
      </c>
      <c r="D659" s="123"/>
    </row>
    <row r="660" spans="1:4" ht="15.75" hidden="1" outlineLevel="1">
      <c r="A660" s="45" t="s">
        <v>2566</v>
      </c>
      <c r="B660" s="46" t="s">
        <v>18</v>
      </c>
      <c r="C660" s="45">
        <v>5.54</v>
      </c>
      <c r="D660" s="123"/>
    </row>
    <row r="661" spans="1:4" ht="15.75" hidden="1" outlineLevel="1">
      <c r="A661" s="45" t="s">
        <v>2566</v>
      </c>
      <c r="B661" s="46" t="s">
        <v>19</v>
      </c>
      <c r="C661" s="45">
        <v>5.55</v>
      </c>
      <c r="D661" s="123"/>
    </row>
    <row r="662" spans="1:4" ht="15.75" hidden="1" outlineLevel="1">
      <c r="A662" s="45" t="s">
        <v>2566</v>
      </c>
      <c r="B662" s="46" t="s">
        <v>20</v>
      </c>
      <c r="C662" s="45">
        <v>5.63</v>
      </c>
      <c r="D662" s="123"/>
    </row>
    <row r="663" spans="1:4" ht="15.75" hidden="1" outlineLevel="1">
      <c r="A663" s="45" t="s">
        <v>2566</v>
      </c>
      <c r="B663" s="46" t="s">
        <v>24</v>
      </c>
      <c r="C663" s="45">
        <v>5.47</v>
      </c>
      <c r="D663" s="123"/>
    </row>
    <row r="664" spans="1:4" ht="15.75" hidden="1" outlineLevel="1">
      <c r="A664" s="45" t="s">
        <v>2566</v>
      </c>
      <c r="B664" s="46" t="s">
        <v>25</v>
      </c>
      <c r="C664" s="45">
        <v>5.48</v>
      </c>
      <c r="D664" s="123"/>
    </row>
    <row r="665" spans="1:4" ht="15.75">
      <c r="A665" s="51" t="s">
        <v>2566</v>
      </c>
      <c r="B665" s="46"/>
      <c r="C665" s="45"/>
      <c r="D665" s="123"/>
    </row>
    <row r="666" spans="1:4" ht="15.75" hidden="1" outlineLevel="1">
      <c r="A666" s="45" t="s">
        <v>2571</v>
      </c>
      <c r="B666" s="46" t="s">
        <v>0</v>
      </c>
      <c r="C666" s="45">
        <v>5.0999999999999996</v>
      </c>
      <c r="D666" s="123"/>
    </row>
    <row r="667" spans="1:4" ht="15.75" hidden="1" outlineLevel="1">
      <c r="A667" s="45" t="s">
        <v>2571</v>
      </c>
      <c r="B667" s="46" t="s">
        <v>1</v>
      </c>
      <c r="C667" s="45">
        <v>5.2</v>
      </c>
      <c r="D667" s="123"/>
    </row>
    <row r="668" spans="1:4" ht="15.75" hidden="1" outlineLevel="1">
      <c r="A668" s="45" t="s">
        <v>2571</v>
      </c>
      <c r="B668" s="46" t="s">
        <v>1787</v>
      </c>
      <c r="C668" s="45">
        <v>5.4</v>
      </c>
      <c r="D668" s="123"/>
    </row>
    <row r="669" spans="1:4" ht="15.75" hidden="1" outlineLevel="1">
      <c r="A669" s="45" t="s">
        <v>2571</v>
      </c>
      <c r="B669" s="46" t="s">
        <v>1788</v>
      </c>
      <c r="C669" s="45">
        <v>5.7</v>
      </c>
      <c r="D669" s="123"/>
    </row>
    <row r="670" spans="1:4" ht="15.75" hidden="1" outlineLevel="1">
      <c r="A670" s="45" t="s">
        <v>2571</v>
      </c>
      <c r="B670" s="46" t="s">
        <v>1789</v>
      </c>
      <c r="C670" s="45">
        <v>5.1100000000000003</v>
      </c>
      <c r="D670" s="123"/>
    </row>
    <row r="671" spans="1:4" ht="15.75" hidden="1" outlineLevel="1">
      <c r="A671" s="45" t="s">
        <v>2571</v>
      </c>
      <c r="B671" s="46" t="s">
        <v>5</v>
      </c>
      <c r="C671" s="45">
        <v>5.26</v>
      </c>
      <c r="D671" s="123"/>
    </row>
    <row r="672" spans="1:4" ht="15.75" hidden="1" outlineLevel="1">
      <c r="A672" s="45" t="s">
        <v>2571</v>
      </c>
      <c r="B672" s="46" t="s">
        <v>1790</v>
      </c>
      <c r="C672" s="45">
        <v>5.43</v>
      </c>
      <c r="D672" s="123"/>
    </row>
    <row r="673" spans="1:4" ht="15.75" hidden="1" outlineLevel="1">
      <c r="A673" s="45" t="s">
        <v>2571</v>
      </c>
      <c r="B673" s="46" t="s">
        <v>6</v>
      </c>
      <c r="C673" s="45">
        <v>5.27</v>
      </c>
      <c r="D673" s="123"/>
    </row>
    <row r="674" spans="1:4" ht="15.75" hidden="1" outlineLevel="1">
      <c r="A674" s="45" t="s">
        <v>2571</v>
      </c>
      <c r="B674" s="46" t="s">
        <v>7</v>
      </c>
      <c r="C674" s="45">
        <v>5.28</v>
      </c>
      <c r="D674" s="123"/>
    </row>
    <row r="675" spans="1:4" ht="15.75" hidden="1" outlineLevel="1">
      <c r="A675" s="45" t="s">
        <v>2571</v>
      </c>
      <c r="B675" s="46" t="s">
        <v>138</v>
      </c>
      <c r="C675" s="45">
        <v>5.36</v>
      </c>
      <c r="D675" s="123"/>
    </row>
    <row r="676" spans="1:4" ht="15.75" hidden="1" outlineLevel="1">
      <c r="A676" s="45" t="s">
        <v>2571</v>
      </c>
      <c r="B676" s="46" t="s">
        <v>1791</v>
      </c>
      <c r="C676" s="47">
        <v>5.5</v>
      </c>
      <c r="D676" s="123"/>
    </row>
    <row r="677" spans="1:4" ht="15.75" hidden="1" outlineLevel="1">
      <c r="A677" s="45" t="s">
        <v>2571</v>
      </c>
      <c r="B677" s="46" t="s">
        <v>10</v>
      </c>
      <c r="C677" s="45">
        <v>5.51</v>
      </c>
      <c r="D677" s="123"/>
    </row>
    <row r="678" spans="1:4" ht="15.75" hidden="1" outlineLevel="1">
      <c r="A678" s="45" t="s">
        <v>2571</v>
      </c>
      <c r="B678" s="46" t="s">
        <v>11</v>
      </c>
      <c r="C678" s="45">
        <v>5.53</v>
      </c>
      <c r="D678" s="123"/>
    </row>
    <row r="679" spans="1:4" ht="15.75" hidden="1" outlineLevel="1">
      <c r="A679" s="45" t="s">
        <v>2571</v>
      </c>
      <c r="B679" s="46" t="s">
        <v>12</v>
      </c>
      <c r="C679" s="45">
        <v>5.69</v>
      </c>
      <c r="D679" s="123"/>
    </row>
    <row r="680" spans="1:4" ht="15.75" hidden="1" outlineLevel="1">
      <c r="A680" s="45" t="s">
        <v>2571</v>
      </c>
      <c r="B680" s="46" t="s">
        <v>14</v>
      </c>
      <c r="C680" s="47">
        <v>5.7</v>
      </c>
      <c r="D680" s="122" t="s">
        <v>2758</v>
      </c>
    </row>
    <row r="681" spans="1:4" ht="15.75" hidden="1" outlineLevel="1">
      <c r="A681" s="45" t="s">
        <v>2571</v>
      </c>
      <c r="B681" s="46" t="s">
        <v>15</v>
      </c>
      <c r="C681" s="45">
        <v>5.74</v>
      </c>
      <c r="D681" s="123"/>
    </row>
    <row r="682" spans="1:4" ht="15.75" hidden="1" outlineLevel="1">
      <c r="A682" s="45" t="s">
        <v>2571</v>
      </c>
      <c r="B682" s="46" t="s">
        <v>1792</v>
      </c>
      <c r="C682" s="45">
        <v>5.59</v>
      </c>
      <c r="D682" s="123"/>
    </row>
    <row r="683" spans="1:4" ht="15.75" hidden="1" outlineLevel="1">
      <c r="A683" s="45" t="s">
        <v>2571</v>
      </c>
      <c r="B683" s="46" t="s">
        <v>18</v>
      </c>
      <c r="C683" s="45">
        <v>5.54</v>
      </c>
      <c r="D683" s="123"/>
    </row>
    <row r="684" spans="1:4" ht="15.75" hidden="1" outlineLevel="1">
      <c r="A684" s="45" t="s">
        <v>2571</v>
      </c>
      <c r="B684" s="46" t="s">
        <v>1793</v>
      </c>
      <c r="C684" s="45">
        <v>5.57</v>
      </c>
      <c r="D684" s="123"/>
    </row>
    <row r="685" spans="1:4" ht="15.75" hidden="1" outlineLevel="1">
      <c r="A685" s="45" t="s">
        <v>2571</v>
      </c>
      <c r="B685" s="46" t="s">
        <v>20</v>
      </c>
      <c r="C685" s="45">
        <v>5.63</v>
      </c>
      <c r="D685" s="123"/>
    </row>
    <row r="686" spans="1:4" ht="15.75" hidden="1" outlineLevel="1">
      <c r="A686" s="45" t="s">
        <v>2571</v>
      </c>
      <c r="B686" s="46" t="s">
        <v>24</v>
      </c>
      <c r="C686" s="45">
        <v>5.47</v>
      </c>
      <c r="D686" s="123"/>
    </row>
    <row r="687" spans="1:4" ht="15.75" hidden="1" outlineLevel="1">
      <c r="A687" s="45" t="s">
        <v>2571</v>
      </c>
      <c r="B687" s="46" t="s">
        <v>25</v>
      </c>
      <c r="C687" s="45">
        <v>5.48</v>
      </c>
      <c r="D687" s="123"/>
    </row>
    <row r="688" spans="1:4" ht="15.75">
      <c r="A688" s="51" t="s">
        <v>2571</v>
      </c>
      <c r="B688" s="46"/>
      <c r="C688" s="45"/>
      <c r="D688" s="123"/>
    </row>
    <row r="689" spans="1:4" ht="15.75" hidden="1" outlineLevel="1">
      <c r="A689" s="45" t="s">
        <v>2574</v>
      </c>
      <c r="B689" s="46" t="s">
        <v>0</v>
      </c>
      <c r="C689" s="45">
        <v>5.0999999999999996</v>
      </c>
      <c r="D689" s="123"/>
    </row>
    <row r="690" spans="1:4" ht="15.75" hidden="1" outlineLevel="1">
      <c r="A690" s="45" t="s">
        <v>2574</v>
      </c>
      <c r="B690" s="46" t="s">
        <v>1</v>
      </c>
      <c r="C690" s="45">
        <v>5.2</v>
      </c>
      <c r="D690" s="123"/>
    </row>
    <row r="691" spans="1:4" ht="15.75" hidden="1" outlineLevel="1">
      <c r="A691" s="45" t="s">
        <v>2574</v>
      </c>
      <c r="B691" s="46" t="s">
        <v>1794</v>
      </c>
      <c r="C691" s="45">
        <v>5.17</v>
      </c>
      <c r="D691" s="123"/>
    </row>
    <row r="692" spans="1:4" ht="15.75" hidden="1" outlineLevel="1">
      <c r="A692" s="45" t="s">
        <v>2574</v>
      </c>
      <c r="B692" s="46" t="s">
        <v>5</v>
      </c>
      <c r="C692" s="45">
        <v>5.26</v>
      </c>
      <c r="D692" s="123"/>
    </row>
    <row r="693" spans="1:4" ht="15.75" hidden="1" outlineLevel="1">
      <c r="A693" s="45" t="s">
        <v>2574</v>
      </c>
      <c r="B693" s="46" t="s">
        <v>1795</v>
      </c>
      <c r="C693" s="45">
        <v>5.1029999999999998</v>
      </c>
      <c r="D693" s="123"/>
    </row>
    <row r="694" spans="1:4" ht="15.75" hidden="1" outlineLevel="1">
      <c r="A694" s="45" t="s">
        <v>2574</v>
      </c>
      <c r="B694" s="46" t="s">
        <v>138</v>
      </c>
      <c r="C694" s="45">
        <v>5.36</v>
      </c>
      <c r="D694" s="123"/>
    </row>
    <row r="695" spans="1:4" ht="15.75" hidden="1" outlineLevel="1">
      <c r="A695" s="45" t="s">
        <v>2574</v>
      </c>
      <c r="B695" s="46" t="s">
        <v>1364</v>
      </c>
      <c r="C695" s="45">
        <v>5.37</v>
      </c>
      <c r="D695" s="123"/>
    </row>
    <row r="696" spans="1:4" ht="15.75" hidden="1" outlineLevel="1">
      <c r="A696" s="45" t="s">
        <v>2574</v>
      </c>
      <c r="B696" s="46" t="s">
        <v>1796</v>
      </c>
      <c r="C696" s="45">
        <v>5.1040000000000001</v>
      </c>
      <c r="D696" s="123"/>
    </row>
    <row r="697" spans="1:4" ht="15.75" hidden="1" outlineLevel="1">
      <c r="A697" s="45" t="s">
        <v>2574</v>
      </c>
      <c r="B697" s="46" t="s">
        <v>1797</v>
      </c>
      <c r="C697" s="45">
        <v>5.1050000000000004</v>
      </c>
      <c r="D697" s="123"/>
    </row>
    <row r="698" spans="1:4" ht="15.75" hidden="1" outlineLevel="1">
      <c r="A698" s="45" t="s">
        <v>2574</v>
      </c>
      <c r="B698" s="46" t="s">
        <v>1798</v>
      </c>
      <c r="C698" s="45">
        <v>5.1059999999999999</v>
      </c>
      <c r="D698" s="123"/>
    </row>
    <row r="699" spans="1:4" ht="15.75" hidden="1" outlineLevel="1">
      <c r="A699" s="45" t="s">
        <v>2574</v>
      </c>
      <c r="B699" s="46" t="s">
        <v>1799</v>
      </c>
      <c r="C699" s="45">
        <v>5.1070000000000002</v>
      </c>
      <c r="D699" s="123"/>
    </row>
    <row r="700" spans="1:4" ht="15.75" hidden="1" outlineLevel="1">
      <c r="A700" s="45" t="s">
        <v>2574</v>
      </c>
      <c r="B700" s="46" t="s">
        <v>2428</v>
      </c>
      <c r="C700" s="45">
        <v>5.1079999999999997</v>
      </c>
      <c r="D700" s="122" t="s">
        <v>2758</v>
      </c>
    </row>
    <row r="701" spans="1:4" ht="15.75" hidden="1" outlineLevel="1">
      <c r="A701" s="45" t="s">
        <v>2574</v>
      </c>
      <c r="B701" s="46" t="s">
        <v>1370</v>
      </c>
      <c r="C701" s="45">
        <v>5.109</v>
      </c>
      <c r="D701" s="123"/>
    </row>
    <row r="702" spans="1:4" ht="15.75" hidden="1" outlineLevel="1">
      <c r="A702" s="45" t="s">
        <v>2574</v>
      </c>
      <c r="B702" s="46" t="s">
        <v>1372</v>
      </c>
      <c r="C702" s="48">
        <v>5.1100000000000003</v>
      </c>
      <c r="D702" s="122" t="s">
        <v>2758</v>
      </c>
    </row>
    <row r="703" spans="1:4" ht="15.75" hidden="1" outlineLevel="1">
      <c r="A703" s="45" t="s">
        <v>2574</v>
      </c>
      <c r="B703" s="46" t="s">
        <v>1371</v>
      </c>
      <c r="C703" s="45">
        <v>5.1109999999999998</v>
      </c>
      <c r="D703" s="123"/>
    </row>
    <row r="704" spans="1:4" ht="15.75" hidden="1" outlineLevel="1">
      <c r="A704" s="45" t="s">
        <v>2574</v>
      </c>
      <c r="B704" s="46" t="s">
        <v>1373</v>
      </c>
      <c r="C704" s="45">
        <v>5.1120000000000001</v>
      </c>
      <c r="D704" s="123"/>
    </row>
    <row r="705" spans="1:4" ht="15.75" hidden="1" outlineLevel="1">
      <c r="A705" s="45" t="s">
        <v>2574</v>
      </c>
      <c r="B705" s="46" t="s">
        <v>11</v>
      </c>
      <c r="C705" s="45">
        <v>5.53</v>
      </c>
      <c r="D705" s="123"/>
    </row>
    <row r="706" spans="1:4" ht="15.75" hidden="1" outlineLevel="1">
      <c r="A706" s="45" t="s">
        <v>2574</v>
      </c>
      <c r="B706" s="46" t="s">
        <v>1771</v>
      </c>
      <c r="C706" s="45">
        <v>5.64</v>
      </c>
      <c r="D706" s="123"/>
    </row>
    <row r="707" spans="1:4" ht="15.75" hidden="1" outlineLevel="1">
      <c r="A707" s="45" t="s">
        <v>2574</v>
      </c>
      <c r="B707" s="46" t="s">
        <v>20</v>
      </c>
      <c r="C707" s="45">
        <v>5.63</v>
      </c>
      <c r="D707" s="123"/>
    </row>
    <row r="708" spans="1:4" ht="15.75" hidden="1" outlineLevel="1">
      <c r="A708" s="45" t="s">
        <v>2574</v>
      </c>
      <c r="B708" s="46" t="s">
        <v>21</v>
      </c>
      <c r="C708" s="45">
        <v>5.65</v>
      </c>
      <c r="D708" s="123"/>
    </row>
    <row r="709" spans="1:4" ht="15.75" hidden="1" outlineLevel="1">
      <c r="A709" s="45" t="s">
        <v>2574</v>
      </c>
      <c r="B709" s="46" t="s">
        <v>143</v>
      </c>
      <c r="C709" s="45">
        <v>5.66</v>
      </c>
      <c r="D709" s="123"/>
    </row>
    <row r="710" spans="1:4" ht="15.75" hidden="1" outlineLevel="1">
      <c r="A710" s="45" t="s">
        <v>2574</v>
      </c>
      <c r="B710" s="46" t="s">
        <v>22</v>
      </c>
      <c r="C710" s="45">
        <v>5.68</v>
      </c>
      <c r="D710" s="123"/>
    </row>
    <row r="711" spans="1:4" ht="15.75" hidden="1" outlineLevel="1">
      <c r="A711" s="45" t="s">
        <v>2574</v>
      </c>
      <c r="B711" s="46" t="s">
        <v>24</v>
      </c>
      <c r="C711" s="45">
        <v>5.47</v>
      </c>
      <c r="D711" s="123"/>
    </row>
    <row r="712" spans="1:4" ht="15.75" hidden="1" outlineLevel="1">
      <c r="A712" s="45" t="s">
        <v>2574</v>
      </c>
      <c r="B712" s="46" t="s">
        <v>25</v>
      </c>
      <c r="C712" s="45">
        <v>5.48</v>
      </c>
      <c r="D712" s="123"/>
    </row>
    <row r="713" spans="1:4" ht="15.75">
      <c r="A713" s="51" t="s">
        <v>2574</v>
      </c>
      <c r="B713" s="46"/>
      <c r="C713" s="45"/>
      <c r="D713" s="123"/>
    </row>
    <row r="714" spans="1:4" ht="15.75" hidden="1" outlineLevel="1">
      <c r="A714" s="45" t="s">
        <v>2771</v>
      </c>
      <c r="B714" s="46" t="s">
        <v>0</v>
      </c>
      <c r="C714" s="45">
        <v>5.0999999999999996</v>
      </c>
      <c r="D714" s="123"/>
    </row>
    <row r="715" spans="1:4" ht="15.75" hidden="1" outlineLevel="1">
      <c r="A715" s="45" t="s">
        <v>2771</v>
      </c>
      <c r="B715" s="46" t="s">
        <v>1</v>
      </c>
      <c r="C715" s="45">
        <v>5.2</v>
      </c>
      <c r="D715" s="123"/>
    </row>
    <row r="716" spans="1:4" ht="15.75" hidden="1" outlineLevel="1">
      <c r="A716" s="45" t="s">
        <v>2771</v>
      </c>
      <c r="B716" s="46" t="s">
        <v>2</v>
      </c>
      <c r="C716" s="45">
        <v>5.3</v>
      </c>
      <c r="D716" s="123"/>
    </row>
    <row r="717" spans="1:4" ht="15.75" hidden="1" outlineLevel="1">
      <c r="A717" s="45" t="s">
        <v>2771</v>
      </c>
      <c r="B717" s="46" t="s">
        <v>134</v>
      </c>
      <c r="C717" s="45">
        <v>5.6</v>
      </c>
      <c r="D717" s="123"/>
    </row>
    <row r="718" spans="1:4" ht="15.75" hidden="1" outlineLevel="1">
      <c r="A718" s="45" t="s">
        <v>2771</v>
      </c>
      <c r="B718" s="46" t="s">
        <v>2759</v>
      </c>
      <c r="C718" s="47">
        <v>5.0999999999999996</v>
      </c>
      <c r="D718" s="123"/>
    </row>
    <row r="719" spans="1:4" ht="15.75" hidden="1" outlineLevel="1">
      <c r="A719" s="45" t="s">
        <v>2771</v>
      </c>
      <c r="B719" s="46" t="s">
        <v>1297</v>
      </c>
      <c r="C719" s="45">
        <v>5.14</v>
      </c>
      <c r="D719" s="123"/>
    </row>
    <row r="720" spans="1:4" ht="15.75" hidden="1" outlineLevel="1">
      <c r="A720" s="45" t="s">
        <v>2771</v>
      </c>
      <c r="B720" s="46" t="s">
        <v>4</v>
      </c>
      <c r="C720" s="45">
        <v>5.19</v>
      </c>
      <c r="D720" s="123"/>
    </row>
    <row r="721" spans="1:4" ht="15.75" hidden="1" outlineLevel="1">
      <c r="A721" s="45" t="s">
        <v>2771</v>
      </c>
      <c r="B721" s="46" t="s">
        <v>136</v>
      </c>
      <c r="C721" s="45">
        <v>5.24</v>
      </c>
      <c r="D721" s="123"/>
    </row>
    <row r="722" spans="1:4" ht="15.75" hidden="1" outlineLevel="1">
      <c r="A722" s="45" t="s">
        <v>2771</v>
      </c>
      <c r="B722" s="46" t="s">
        <v>5</v>
      </c>
      <c r="C722" s="45">
        <v>5.26</v>
      </c>
      <c r="D722" s="123"/>
    </row>
    <row r="723" spans="1:4" ht="15.75" hidden="1" outlineLevel="1">
      <c r="A723" s="45" t="s">
        <v>2771</v>
      </c>
      <c r="B723" s="46" t="s">
        <v>6</v>
      </c>
      <c r="C723" s="45">
        <v>5.27</v>
      </c>
      <c r="D723" s="123"/>
    </row>
    <row r="724" spans="1:4" ht="15.75" hidden="1" outlineLevel="1">
      <c r="A724" s="45" t="s">
        <v>2771</v>
      </c>
      <c r="B724" s="46" t="s">
        <v>7</v>
      </c>
      <c r="C724" s="45">
        <v>5.28</v>
      </c>
      <c r="D724" s="123"/>
    </row>
    <row r="725" spans="1:4" ht="15.75" hidden="1" outlineLevel="1">
      <c r="A725" s="45" t="s">
        <v>2771</v>
      </c>
      <c r="B725" s="46" t="s">
        <v>137</v>
      </c>
      <c r="C725" s="45">
        <v>5.31</v>
      </c>
      <c r="D725" s="123"/>
    </row>
    <row r="726" spans="1:4" ht="15.75" hidden="1" outlineLevel="1">
      <c r="A726" s="45" t="s">
        <v>2771</v>
      </c>
      <c r="B726" s="46" t="s">
        <v>138</v>
      </c>
      <c r="C726" s="45">
        <v>5.36</v>
      </c>
      <c r="D726" s="123"/>
    </row>
    <row r="727" spans="1:4" ht="15.75" hidden="1" outlineLevel="1">
      <c r="A727" s="45" t="s">
        <v>2771</v>
      </c>
      <c r="B727" s="46" t="s">
        <v>11</v>
      </c>
      <c r="C727" s="45">
        <v>5.53</v>
      </c>
      <c r="D727" s="123"/>
    </row>
    <row r="728" spans="1:4" ht="15.75" hidden="1" outlineLevel="1">
      <c r="A728" s="45" t="s">
        <v>2771</v>
      </c>
      <c r="B728" s="46" t="s">
        <v>1370</v>
      </c>
      <c r="C728" s="45">
        <v>5.109</v>
      </c>
      <c r="D728" s="123"/>
    </row>
    <row r="729" spans="1:4" ht="15.75" hidden="1" outlineLevel="1">
      <c r="A729" s="45" t="s">
        <v>2771</v>
      </c>
      <c r="B729" s="46" t="s">
        <v>1371</v>
      </c>
      <c r="C729" s="45">
        <v>5.1109999999999998</v>
      </c>
      <c r="D729" s="123"/>
    </row>
    <row r="730" spans="1:4" ht="15.75" hidden="1" outlineLevel="1">
      <c r="A730" s="45" t="s">
        <v>2771</v>
      </c>
      <c r="B730" s="46" t="s">
        <v>1373</v>
      </c>
      <c r="C730" s="45">
        <v>5.1120000000000001</v>
      </c>
      <c r="D730" s="123"/>
    </row>
    <row r="731" spans="1:4" ht="15.75" hidden="1" outlineLevel="1">
      <c r="A731" s="45" t="s">
        <v>2771</v>
      </c>
      <c r="B731" s="46" t="s">
        <v>2764</v>
      </c>
      <c r="C731" s="45">
        <v>5.1130000000000004</v>
      </c>
      <c r="D731" s="123"/>
    </row>
    <row r="732" spans="1:4" ht="15.75" hidden="1" outlineLevel="1">
      <c r="A732" s="45" t="s">
        <v>2771</v>
      </c>
      <c r="B732" s="46" t="s">
        <v>1801</v>
      </c>
      <c r="C732" s="45">
        <v>5.117</v>
      </c>
      <c r="D732" s="123"/>
    </row>
    <row r="733" spans="1:4" ht="15.75" hidden="1" outlineLevel="1">
      <c r="A733" s="45" t="s">
        <v>2771</v>
      </c>
      <c r="B733" s="46" t="s">
        <v>1802</v>
      </c>
      <c r="C733" s="45">
        <v>5.67</v>
      </c>
      <c r="D733" s="123"/>
    </row>
    <row r="734" spans="1:4" ht="15.75" hidden="1" outlineLevel="1">
      <c r="A734" s="45" t="s">
        <v>2771</v>
      </c>
      <c r="B734" s="46" t="s">
        <v>20</v>
      </c>
      <c r="C734" s="45">
        <v>5.63</v>
      </c>
      <c r="D734" s="123"/>
    </row>
    <row r="735" spans="1:4" ht="15.75" hidden="1" outlineLevel="1">
      <c r="A735" s="45" t="s">
        <v>2771</v>
      </c>
      <c r="B735" s="46" t="s">
        <v>24</v>
      </c>
      <c r="C735" s="45">
        <v>5.47</v>
      </c>
      <c r="D735" s="123"/>
    </row>
    <row r="736" spans="1:4" ht="15.75" hidden="1" outlineLevel="1">
      <c r="A736" s="45" t="s">
        <v>2771</v>
      </c>
      <c r="B736" s="46" t="s">
        <v>25</v>
      </c>
      <c r="C736" s="45">
        <v>5.48</v>
      </c>
      <c r="D736" s="123"/>
    </row>
    <row r="737" spans="1:4" ht="15.75">
      <c r="A737" s="51" t="s">
        <v>2772</v>
      </c>
      <c r="B737" s="46"/>
      <c r="C737" s="45"/>
      <c r="D737" s="123"/>
    </row>
    <row r="738" spans="1:4" ht="15.75" hidden="1" outlineLevel="1">
      <c r="A738" s="45" t="s">
        <v>2577</v>
      </c>
      <c r="B738" s="46" t="s">
        <v>0</v>
      </c>
      <c r="C738" s="45">
        <v>5.0999999999999996</v>
      </c>
      <c r="D738" s="123"/>
    </row>
    <row r="739" spans="1:4" ht="15.75" hidden="1" outlineLevel="1">
      <c r="A739" s="45" t="s">
        <v>2577</v>
      </c>
      <c r="B739" s="46" t="s">
        <v>1</v>
      </c>
      <c r="C739" s="45">
        <v>5.2</v>
      </c>
      <c r="D739" s="123"/>
    </row>
    <row r="740" spans="1:4" ht="15.75" hidden="1" outlineLevel="1">
      <c r="A740" s="45" t="s">
        <v>2577</v>
      </c>
      <c r="B740" s="46" t="s">
        <v>1803</v>
      </c>
      <c r="C740" s="45">
        <v>5.18</v>
      </c>
      <c r="D740" s="123"/>
    </row>
    <row r="741" spans="1:4" ht="15.75" hidden="1" outlineLevel="1">
      <c r="A741" s="45" t="s">
        <v>2577</v>
      </c>
      <c r="B741" s="46" t="s">
        <v>1804</v>
      </c>
      <c r="C741" s="45">
        <v>5.23</v>
      </c>
      <c r="D741" s="123"/>
    </row>
    <row r="742" spans="1:4" ht="15.75" hidden="1" outlineLevel="1">
      <c r="A742" s="45" t="s">
        <v>2577</v>
      </c>
      <c r="B742" s="46" t="s">
        <v>5</v>
      </c>
      <c r="C742" s="45">
        <v>5.26</v>
      </c>
      <c r="D742" s="123"/>
    </row>
    <row r="743" spans="1:4" ht="15.75" hidden="1" outlineLevel="1">
      <c r="A743" s="45" t="s">
        <v>2577</v>
      </c>
      <c r="B743" s="46" t="s">
        <v>6</v>
      </c>
      <c r="C743" s="45">
        <v>5.27</v>
      </c>
      <c r="D743" s="123"/>
    </row>
    <row r="744" spans="1:4" ht="15.75" hidden="1" outlineLevel="1">
      <c r="A744" s="45" t="s">
        <v>2577</v>
      </c>
      <c r="B744" s="46" t="s">
        <v>7</v>
      </c>
      <c r="C744" s="45">
        <v>5.28</v>
      </c>
      <c r="D744" s="123"/>
    </row>
    <row r="745" spans="1:4" ht="15.75" hidden="1" outlineLevel="1">
      <c r="A745" s="45" t="s">
        <v>2577</v>
      </c>
      <c r="B745" s="46" t="s">
        <v>138</v>
      </c>
      <c r="C745" s="45">
        <v>5.36</v>
      </c>
      <c r="D745" s="123"/>
    </row>
    <row r="746" spans="1:4" ht="15.75" hidden="1" outlineLevel="1">
      <c r="A746" s="45" t="s">
        <v>2577</v>
      </c>
      <c r="B746" s="46" t="s">
        <v>1805</v>
      </c>
      <c r="C746" s="45">
        <v>5.44</v>
      </c>
      <c r="D746" s="123"/>
    </row>
    <row r="747" spans="1:4" ht="15.75" hidden="1" outlineLevel="1">
      <c r="A747" s="45" t="s">
        <v>2577</v>
      </c>
      <c r="B747" s="46" t="s">
        <v>11</v>
      </c>
      <c r="C747" s="45">
        <v>5.53</v>
      </c>
      <c r="D747" s="123"/>
    </row>
    <row r="748" spans="1:4" ht="15.75" hidden="1" outlineLevel="1">
      <c r="A748" s="45" t="s">
        <v>2577</v>
      </c>
      <c r="B748" s="46" t="s">
        <v>1373</v>
      </c>
      <c r="C748" s="45">
        <v>5.1120000000000001</v>
      </c>
      <c r="D748" s="123"/>
    </row>
    <row r="749" spans="1:4" ht="15.75" hidden="1" outlineLevel="1">
      <c r="A749" s="45" t="s">
        <v>2577</v>
      </c>
      <c r="B749" s="46" t="s">
        <v>1792</v>
      </c>
      <c r="C749" s="45">
        <v>5.59</v>
      </c>
      <c r="D749" s="123"/>
    </row>
    <row r="750" spans="1:4" ht="15.75" hidden="1" outlineLevel="1">
      <c r="A750" s="45" t="s">
        <v>2577</v>
      </c>
      <c r="B750" s="46" t="s">
        <v>18</v>
      </c>
      <c r="C750" s="45">
        <v>5.54</v>
      </c>
      <c r="D750" s="123"/>
    </row>
    <row r="751" spans="1:4" ht="15.75" hidden="1" outlineLevel="1">
      <c r="A751" s="45" t="s">
        <v>2577</v>
      </c>
      <c r="B751" s="46" t="s">
        <v>20</v>
      </c>
      <c r="C751" s="45">
        <v>5.63</v>
      </c>
      <c r="D751" s="123"/>
    </row>
    <row r="752" spans="1:4" ht="15.75" hidden="1" outlineLevel="1">
      <c r="A752" s="45" t="s">
        <v>2577</v>
      </c>
      <c r="B752" s="46" t="s">
        <v>21</v>
      </c>
      <c r="C752" s="45">
        <v>5.65</v>
      </c>
      <c r="D752" s="123"/>
    </row>
    <row r="753" spans="1:4" ht="15.75" hidden="1" outlineLevel="1">
      <c r="A753" s="45" t="s">
        <v>2577</v>
      </c>
      <c r="B753" s="46" t="s">
        <v>22</v>
      </c>
      <c r="C753" s="45">
        <v>5.68</v>
      </c>
      <c r="D753" s="123"/>
    </row>
    <row r="754" spans="1:4" ht="15.75" hidden="1" outlineLevel="1">
      <c r="A754" s="45" t="s">
        <v>2577</v>
      </c>
      <c r="B754" s="46" t="s">
        <v>24</v>
      </c>
      <c r="C754" s="45">
        <v>5.47</v>
      </c>
      <c r="D754" s="123"/>
    </row>
    <row r="755" spans="1:4" ht="15.75" hidden="1" outlineLevel="1">
      <c r="A755" s="45" t="s">
        <v>2577</v>
      </c>
      <c r="B755" s="46" t="s">
        <v>25</v>
      </c>
      <c r="C755" s="45">
        <v>5.48</v>
      </c>
      <c r="D755" s="123"/>
    </row>
    <row r="756" spans="1:4" ht="15.75">
      <c r="A756" s="51" t="s">
        <v>2577</v>
      </c>
      <c r="B756" s="46"/>
      <c r="C756" s="45"/>
      <c r="D756" s="123"/>
    </row>
    <row r="757" spans="1:4" ht="15.75" hidden="1" outlineLevel="1">
      <c r="A757" s="45" t="s">
        <v>2773</v>
      </c>
      <c r="B757" s="46" t="s">
        <v>0</v>
      </c>
      <c r="C757" s="45">
        <v>5.0999999999999996</v>
      </c>
      <c r="D757" s="123"/>
    </row>
    <row r="758" spans="1:4" ht="15.75" hidden="1" outlineLevel="1">
      <c r="A758" s="45" t="s">
        <v>2773</v>
      </c>
      <c r="B758" s="46" t="s">
        <v>1</v>
      </c>
      <c r="C758" s="45">
        <v>5.2</v>
      </c>
      <c r="D758" s="123"/>
    </row>
    <row r="759" spans="1:4" ht="15.75" hidden="1" outlineLevel="1">
      <c r="A759" s="45" t="s">
        <v>2773</v>
      </c>
      <c r="B759" s="46" t="s">
        <v>1749</v>
      </c>
      <c r="C759" s="45">
        <v>5.9</v>
      </c>
      <c r="D759" s="122" t="s">
        <v>2758</v>
      </c>
    </row>
    <row r="760" spans="1:4" ht="15.75" hidden="1" outlineLevel="1">
      <c r="A760" s="45" t="s">
        <v>2773</v>
      </c>
      <c r="B760" s="46" t="s">
        <v>1750</v>
      </c>
      <c r="C760" s="45">
        <v>5.13</v>
      </c>
      <c r="D760" s="123"/>
    </row>
    <row r="761" spans="1:4" ht="15.75" hidden="1" outlineLevel="1">
      <c r="A761" s="45" t="s">
        <v>2773</v>
      </c>
      <c r="B761" s="46" t="s">
        <v>1751</v>
      </c>
      <c r="C761" s="45">
        <v>5.16</v>
      </c>
      <c r="D761" s="122" t="s">
        <v>2758</v>
      </c>
    </row>
    <row r="762" spans="1:4" ht="15.75" hidden="1" outlineLevel="1">
      <c r="A762" s="45" t="s">
        <v>2773</v>
      </c>
      <c r="B762" s="46" t="s">
        <v>1752</v>
      </c>
      <c r="C762" s="45">
        <v>5.22</v>
      </c>
      <c r="D762" s="122"/>
    </row>
    <row r="763" spans="1:4" ht="15.75" hidden="1" outlineLevel="1">
      <c r="A763" s="45" t="s">
        <v>2773</v>
      </c>
      <c r="B763" s="46" t="s">
        <v>1814</v>
      </c>
      <c r="C763" s="45">
        <v>5.42</v>
      </c>
      <c r="D763" s="123"/>
    </row>
    <row r="764" spans="1:4" ht="15.75" hidden="1" outlineLevel="1">
      <c r="A764" s="45" t="s">
        <v>2773</v>
      </c>
      <c r="B764" s="46" t="s">
        <v>6</v>
      </c>
      <c r="C764" s="45">
        <v>5.27</v>
      </c>
      <c r="D764" s="123"/>
    </row>
    <row r="765" spans="1:4" ht="15.75" hidden="1" outlineLevel="1">
      <c r="A765" s="45" t="s">
        <v>2773</v>
      </c>
      <c r="B765" s="46" t="s">
        <v>7</v>
      </c>
      <c r="C765" s="45">
        <v>5.28</v>
      </c>
      <c r="D765" s="122" t="s">
        <v>2758</v>
      </c>
    </row>
    <row r="766" spans="1:4" ht="15.75" hidden="1" outlineLevel="1">
      <c r="A766" s="45" t="s">
        <v>2773</v>
      </c>
      <c r="B766" s="46" t="s">
        <v>138</v>
      </c>
      <c r="C766" s="45">
        <v>5.36</v>
      </c>
      <c r="D766" s="123"/>
    </row>
    <row r="767" spans="1:4" ht="15.75" hidden="1" outlineLevel="1">
      <c r="A767" s="45" t="s">
        <v>2773</v>
      </c>
      <c r="B767" s="46" t="s">
        <v>9</v>
      </c>
      <c r="C767" s="45">
        <v>5.49</v>
      </c>
      <c r="D767" s="123"/>
    </row>
    <row r="768" spans="1:4" ht="15.75" hidden="1" outlineLevel="1">
      <c r="A768" s="45" t="s">
        <v>2773</v>
      </c>
      <c r="B768" s="46" t="s">
        <v>10</v>
      </c>
      <c r="C768" s="45">
        <v>5.51</v>
      </c>
      <c r="D768" s="123"/>
    </row>
    <row r="769" spans="1:4" ht="15.75" hidden="1" outlineLevel="1">
      <c r="A769" s="45" t="s">
        <v>2773</v>
      </c>
      <c r="B769" s="46" t="s">
        <v>2770</v>
      </c>
      <c r="C769" s="45">
        <v>5.52</v>
      </c>
      <c r="D769" s="123"/>
    </row>
    <row r="770" spans="1:4" ht="15.75" hidden="1" outlineLevel="1">
      <c r="A770" s="45" t="s">
        <v>2773</v>
      </c>
      <c r="B770" s="46" t="s">
        <v>11</v>
      </c>
      <c r="C770" s="45">
        <v>5.53</v>
      </c>
      <c r="D770" s="123"/>
    </row>
    <row r="771" spans="1:4" ht="15.75" hidden="1" outlineLevel="1">
      <c r="A771" s="45" t="s">
        <v>2773</v>
      </c>
      <c r="B771" s="46" t="s">
        <v>18</v>
      </c>
      <c r="C771" s="45">
        <v>5.54</v>
      </c>
      <c r="D771" s="123"/>
    </row>
    <row r="772" spans="1:4" ht="15.75" hidden="1" outlineLevel="1">
      <c r="A772" s="45" t="s">
        <v>2773</v>
      </c>
      <c r="B772" s="46" t="s">
        <v>14</v>
      </c>
      <c r="C772" s="47">
        <v>5.7</v>
      </c>
      <c r="D772" s="123"/>
    </row>
    <row r="773" spans="1:4" ht="15.75" hidden="1" outlineLevel="1">
      <c r="A773" s="45" t="s">
        <v>2773</v>
      </c>
      <c r="B773" s="46" t="s">
        <v>1758</v>
      </c>
      <c r="C773" s="45">
        <v>5.71</v>
      </c>
      <c r="D773" s="123"/>
    </row>
    <row r="774" spans="1:4" ht="15.75" hidden="1" outlineLevel="1">
      <c r="A774" s="45" t="s">
        <v>2773</v>
      </c>
      <c r="B774" s="46" t="s">
        <v>1815</v>
      </c>
      <c r="C774" s="47">
        <v>5.9</v>
      </c>
      <c r="D774" s="123"/>
    </row>
    <row r="775" spans="1:4" ht="15.75" hidden="1" outlineLevel="1">
      <c r="A775" s="45" t="s">
        <v>2773</v>
      </c>
      <c r="B775" s="46" t="s">
        <v>1816</v>
      </c>
      <c r="C775" s="45">
        <v>5.91</v>
      </c>
      <c r="D775" s="123"/>
    </row>
    <row r="776" spans="1:4" ht="15.75" hidden="1" outlineLevel="1">
      <c r="A776" s="45" t="s">
        <v>2773</v>
      </c>
      <c r="B776" s="46" t="s">
        <v>1817</v>
      </c>
      <c r="C776" s="45">
        <v>5.97</v>
      </c>
      <c r="D776" s="123"/>
    </row>
    <row r="777" spans="1:4" ht="15.75">
      <c r="A777" s="51" t="s">
        <v>2773</v>
      </c>
      <c r="B777" s="46"/>
      <c r="C777" s="45"/>
      <c r="D777" s="123"/>
    </row>
    <row r="778" spans="1:4" ht="15.75" hidden="1" outlineLevel="1">
      <c r="A778" s="45" t="s">
        <v>2612</v>
      </c>
      <c r="B778" s="46" t="s">
        <v>0</v>
      </c>
      <c r="C778" s="45">
        <v>5.0999999999999996</v>
      </c>
      <c r="D778" s="123"/>
    </row>
    <row r="779" spans="1:4" ht="15.75" hidden="1" outlineLevel="1">
      <c r="A779" s="45" t="s">
        <v>2612</v>
      </c>
      <c r="B779" s="46" t="s">
        <v>1</v>
      </c>
      <c r="C779" s="45">
        <v>5.2</v>
      </c>
      <c r="D779" s="123"/>
    </row>
    <row r="780" spans="1:4" ht="15.75" hidden="1" outlineLevel="1">
      <c r="A780" s="45" t="s">
        <v>2612</v>
      </c>
      <c r="B780" s="46" t="s">
        <v>5</v>
      </c>
      <c r="C780" s="45">
        <v>5.26</v>
      </c>
      <c r="D780" s="123"/>
    </row>
    <row r="781" spans="1:4" ht="15.75" hidden="1" outlineLevel="1">
      <c r="A781" s="45" t="s">
        <v>2612</v>
      </c>
      <c r="B781" s="46" t="s">
        <v>1492</v>
      </c>
      <c r="C781" s="45">
        <v>5.5</v>
      </c>
      <c r="D781" s="123"/>
    </row>
    <row r="782" spans="1:4" ht="15.75" hidden="1" outlineLevel="1">
      <c r="A782" s="45" t="s">
        <v>2612</v>
      </c>
      <c r="B782" s="46" t="s">
        <v>1493</v>
      </c>
      <c r="C782" s="45">
        <v>5.8</v>
      </c>
      <c r="D782" s="122" t="s">
        <v>2758</v>
      </c>
    </row>
    <row r="783" spans="1:4" ht="15.75" hidden="1" outlineLevel="1">
      <c r="A783" s="45" t="s">
        <v>2612</v>
      </c>
      <c r="B783" s="46" t="s">
        <v>1494</v>
      </c>
      <c r="C783" s="45">
        <v>5.12</v>
      </c>
      <c r="D783" s="45"/>
    </row>
    <row r="784" spans="1:4" ht="15.75" hidden="1" outlineLevel="1">
      <c r="A784" s="45" t="s">
        <v>2612</v>
      </c>
      <c r="B784" s="46" t="s">
        <v>1495</v>
      </c>
      <c r="C784" s="45">
        <v>5.15</v>
      </c>
      <c r="D784" s="45"/>
    </row>
    <row r="785" spans="1:4" ht="15.75" hidden="1" outlineLevel="1">
      <c r="A785" s="45" t="s">
        <v>2612</v>
      </c>
      <c r="B785" s="46" t="s">
        <v>1496</v>
      </c>
      <c r="C785" s="47">
        <v>5.2</v>
      </c>
      <c r="D785" s="122"/>
    </row>
    <row r="786" spans="1:4" ht="15.75" hidden="1" outlineLevel="1">
      <c r="A786" s="45" t="s">
        <v>2612</v>
      </c>
      <c r="B786" s="46" t="s">
        <v>1497</v>
      </c>
      <c r="C786" s="45">
        <v>5.25</v>
      </c>
      <c r="D786" s="45"/>
    </row>
    <row r="787" spans="1:4" ht="15.75" hidden="1" outlineLevel="1">
      <c r="A787" s="45" t="s">
        <v>2612</v>
      </c>
      <c r="B787" s="46" t="s">
        <v>11</v>
      </c>
      <c r="C787" s="45">
        <v>5.53</v>
      </c>
      <c r="D787" s="45"/>
    </row>
    <row r="788" spans="1:4" ht="15.75" hidden="1" outlineLevel="1">
      <c r="A788" s="45" t="s">
        <v>2612</v>
      </c>
      <c r="B788" s="46" t="s">
        <v>1818</v>
      </c>
      <c r="C788" s="47">
        <v>5.4</v>
      </c>
      <c r="D788" s="45"/>
    </row>
    <row r="789" spans="1:4" ht="31.5" hidden="1" outlineLevel="1">
      <c r="A789" s="45" t="s">
        <v>2612</v>
      </c>
      <c r="B789" s="46" t="s">
        <v>1819</v>
      </c>
      <c r="C789" s="45">
        <v>5.92</v>
      </c>
      <c r="D789" s="45"/>
    </row>
    <row r="790" spans="1:4" ht="15.75" hidden="1" outlineLevel="1">
      <c r="A790" s="45" t="s">
        <v>2612</v>
      </c>
      <c r="B790" s="46" t="s">
        <v>1820</v>
      </c>
      <c r="C790" s="45">
        <v>5.93</v>
      </c>
      <c r="D790" s="45"/>
    </row>
    <row r="791" spans="1:4" ht="31.5" hidden="1" outlineLevel="1">
      <c r="A791" s="45" t="s">
        <v>2612</v>
      </c>
      <c r="B791" s="46" t="s">
        <v>1821</v>
      </c>
      <c r="C791" s="45">
        <v>5.94</v>
      </c>
      <c r="D791" s="45"/>
    </row>
    <row r="792" spans="1:4" ht="15.75" hidden="1" outlineLevel="1">
      <c r="A792" s="45" t="s">
        <v>2612</v>
      </c>
      <c r="B792" s="46" t="s">
        <v>1822</v>
      </c>
      <c r="C792" s="45">
        <v>5.95</v>
      </c>
      <c r="D792" s="45"/>
    </row>
    <row r="793" spans="1:4" ht="15.75" hidden="1" outlineLevel="1">
      <c r="A793" s="45" t="s">
        <v>2612</v>
      </c>
      <c r="B793" s="46" t="s">
        <v>1823</v>
      </c>
      <c r="C793" s="45">
        <v>5.98</v>
      </c>
      <c r="D793" s="45"/>
    </row>
    <row r="794" spans="1:4" ht="15.75" hidden="1" outlineLevel="1">
      <c r="A794" s="45" t="s">
        <v>2612</v>
      </c>
      <c r="B794" s="46" t="s">
        <v>1824</v>
      </c>
      <c r="C794" s="45">
        <v>5.96</v>
      </c>
      <c r="D794" s="45"/>
    </row>
    <row r="795" spans="1:4" ht="31.5">
      <c r="A795" s="51" t="s">
        <v>2612</v>
      </c>
      <c r="B795" s="46"/>
      <c r="C795" s="45"/>
      <c r="D795" s="4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2634</v>
      </c>
    </row>
    <row r="3" spans="1:2">
      <c r="A3" t="s">
        <v>2635</v>
      </c>
      <c r="B3" t="s">
        <v>2636</v>
      </c>
    </row>
    <row r="4" spans="1:2">
      <c r="A4" t="s">
        <v>2637</v>
      </c>
      <c r="B4" t="s">
        <v>2638</v>
      </c>
    </row>
    <row r="5" spans="1:2">
      <c r="A5" t="s">
        <v>2639</v>
      </c>
      <c r="B5" t="s">
        <v>2640</v>
      </c>
    </row>
    <row r="6" spans="1:2">
      <c r="A6" t="s">
        <v>2641</v>
      </c>
      <c r="B6" t="s">
        <v>2642</v>
      </c>
    </row>
    <row r="7" spans="1:2">
      <c r="A7" t="s">
        <v>2643</v>
      </c>
      <c r="B7" t="s">
        <v>2644</v>
      </c>
    </row>
    <row r="8" spans="1:2">
      <c r="A8" t="s">
        <v>2645</v>
      </c>
      <c r="B8" t="s">
        <v>2646</v>
      </c>
    </row>
    <row r="10" spans="1:2" ht="15">
      <c r="A10" s="26" t="s">
        <v>2647</v>
      </c>
    </row>
    <row r="11" spans="1:2">
      <c r="A11" t="s">
        <v>2648</v>
      </c>
    </row>
    <row r="12" spans="1:2">
      <c r="A12" t="s">
        <v>2649</v>
      </c>
      <c r="B12" t="s">
        <v>2650</v>
      </c>
    </row>
    <row r="14" spans="1:2">
      <c r="A14" s="37"/>
    </row>
    <row r="15" spans="1:2" ht="15">
      <c r="A15" s="26" t="s">
        <v>2651</v>
      </c>
    </row>
    <row r="16" spans="1:2">
      <c r="A16" s="35" t="s">
        <v>2652</v>
      </c>
    </row>
    <row r="17" spans="1:2">
      <c r="A17" s="35" t="s">
        <v>2653</v>
      </c>
    </row>
    <row r="18" spans="1:2">
      <c r="A18" s="35" t="s">
        <v>2654</v>
      </c>
    </row>
    <row r="19" spans="1:2">
      <c r="A19" s="35" t="s">
        <v>2655</v>
      </c>
    </row>
    <row r="21" spans="1:2" ht="15">
      <c r="A21" s="36" t="s">
        <v>2656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2657</v>
      </c>
      <c r="B34" s="26" t="s">
        <v>147</v>
      </c>
    </row>
    <row r="35" spans="1:2">
      <c r="A35" s="144" t="s">
        <v>2658</v>
      </c>
      <c r="B35" s="145">
        <v>520023185</v>
      </c>
    </row>
    <row r="36" spans="1:2">
      <c r="A36" s="146" t="s">
        <v>2659</v>
      </c>
      <c r="B36" s="145">
        <v>520024647</v>
      </c>
    </row>
    <row r="37" spans="1:2">
      <c r="A37" s="146" t="s">
        <v>2660</v>
      </c>
      <c r="B37" s="145">
        <v>520004896</v>
      </c>
    </row>
    <row r="38" spans="1:2">
      <c r="A38" s="146" t="s">
        <v>2661</v>
      </c>
      <c r="B38" s="145">
        <v>520042540</v>
      </c>
    </row>
    <row r="39" spans="1:2">
      <c r="A39" s="146" t="s">
        <v>2662</v>
      </c>
      <c r="B39" s="145">
        <v>520021916</v>
      </c>
    </row>
    <row r="40" spans="1:2">
      <c r="A40" s="146" t="s">
        <v>2663</v>
      </c>
      <c r="B40" s="147">
        <v>510015951</v>
      </c>
    </row>
    <row r="41" spans="1:2">
      <c r="A41" s="146" t="s">
        <v>2664</v>
      </c>
      <c r="B41" s="147">
        <v>510888985</v>
      </c>
    </row>
    <row r="42" spans="1:2">
      <c r="A42" s="146" t="s">
        <v>2665</v>
      </c>
      <c r="B42" s="147">
        <v>520042177</v>
      </c>
    </row>
    <row r="43" spans="1:2">
      <c r="A43" s="146" t="s">
        <v>2666</v>
      </c>
      <c r="B43" s="146">
        <v>520031030</v>
      </c>
    </row>
    <row r="44" spans="1:2">
      <c r="A44" s="146" t="s">
        <v>2667</v>
      </c>
      <c r="B44" s="146">
        <v>520030677</v>
      </c>
    </row>
    <row r="45" spans="1:2">
      <c r="A45" s="146" t="s">
        <v>2668</v>
      </c>
      <c r="B45" s="146">
        <v>513879189</v>
      </c>
    </row>
    <row r="46" spans="1:2">
      <c r="A46" s="146" t="s">
        <v>2669</v>
      </c>
      <c r="B46" s="147">
        <v>520027848</v>
      </c>
    </row>
    <row r="47" spans="1:2">
      <c r="A47" s="146" t="s">
        <v>2670</v>
      </c>
      <c r="B47" s="147">
        <v>570003152</v>
      </c>
    </row>
    <row r="48" spans="1:2">
      <c r="A48" s="146" t="s">
        <v>2671</v>
      </c>
      <c r="B48" s="146">
        <v>513910703</v>
      </c>
    </row>
    <row r="49" spans="1:2">
      <c r="A49" s="146" t="s">
        <v>2672</v>
      </c>
      <c r="B49" s="147">
        <v>512304882</v>
      </c>
    </row>
    <row r="50" spans="1:2">
      <c r="A50" s="146" t="s">
        <v>2673</v>
      </c>
      <c r="B50" s="147">
        <v>512310509</v>
      </c>
    </row>
    <row r="51" spans="1:2">
      <c r="A51" s="146" t="s">
        <v>2674</v>
      </c>
      <c r="B51" s="147">
        <v>512904608</v>
      </c>
    </row>
    <row r="52" spans="1:2">
      <c r="A52" s="146" t="s">
        <v>2675</v>
      </c>
      <c r="B52" s="147">
        <v>500500376</v>
      </c>
    </row>
    <row r="53" spans="1:2">
      <c r="A53" s="146" t="s">
        <v>2676</v>
      </c>
      <c r="B53" s="147">
        <v>520044025</v>
      </c>
    </row>
    <row r="54" spans="1:2">
      <c r="A54" s="146" t="s">
        <v>2677</v>
      </c>
      <c r="B54" s="147">
        <v>513136895</v>
      </c>
    </row>
    <row r="55" spans="1:2">
      <c r="A55" s="146" t="s">
        <v>2678</v>
      </c>
      <c r="B55" s="147">
        <v>520004078</v>
      </c>
    </row>
    <row r="56" spans="1:2">
      <c r="A56" s="146" t="s">
        <v>2679</v>
      </c>
      <c r="B56" s="147">
        <v>515761625</v>
      </c>
    </row>
    <row r="57" spans="1:2">
      <c r="A57" s="146" t="s">
        <v>2680</v>
      </c>
      <c r="B57" s="147">
        <v>515764868</v>
      </c>
    </row>
    <row r="58" spans="1:2">
      <c r="A58" s="146" t="s">
        <v>2681</v>
      </c>
      <c r="B58" s="148">
        <v>515859379</v>
      </c>
    </row>
    <row r="59" spans="1:2">
      <c r="A59" s="146" t="s">
        <v>2682</v>
      </c>
      <c r="B59" s="147">
        <v>516687407</v>
      </c>
    </row>
    <row r="60" spans="1:2">
      <c r="A60" s="146" t="s">
        <v>2683</v>
      </c>
      <c r="B60" s="147">
        <v>516885639</v>
      </c>
    </row>
    <row r="61" spans="1:2">
      <c r="A61" s="146" t="s">
        <v>2684</v>
      </c>
      <c r="B61" s="146">
        <v>570009449</v>
      </c>
    </row>
    <row r="62" spans="1:2">
      <c r="A62" s="146" t="s">
        <v>2685</v>
      </c>
      <c r="B62" s="147">
        <v>520027954</v>
      </c>
    </row>
    <row r="63" spans="1:2">
      <c r="A63" s="146" t="s">
        <v>2686</v>
      </c>
      <c r="B63" s="147">
        <v>512362914</v>
      </c>
    </row>
    <row r="64" spans="1:2">
      <c r="A64" s="146" t="s">
        <v>2687</v>
      </c>
      <c r="B64" s="147">
        <v>511880460</v>
      </c>
    </row>
    <row r="65" spans="1:2">
      <c r="A65" s="146" t="s">
        <v>2688</v>
      </c>
      <c r="B65" s="146">
        <v>511033060</v>
      </c>
    </row>
    <row r="66" spans="1:2">
      <c r="A66" s="146" t="s">
        <v>2689</v>
      </c>
      <c r="B66" s="146">
        <v>570005850</v>
      </c>
    </row>
    <row r="67" spans="1:2">
      <c r="A67" s="146" t="s">
        <v>2690</v>
      </c>
      <c r="B67" s="147">
        <v>510694821</v>
      </c>
    </row>
    <row r="68" spans="1:2">
      <c r="A68" s="146" t="s">
        <v>2691</v>
      </c>
      <c r="B68" s="146">
        <v>520027624</v>
      </c>
    </row>
    <row r="69" spans="1:2">
      <c r="A69" s="146" t="s">
        <v>2692</v>
      </c>
      <c r="B69" s="147">
        <v>520027715</v>
      </c>
    </row>
    <row r="70" spans="1:2">
      <c r="A70" s="146" t="s">
        <v>2693</v>
      </c>
      <c r="B70" s="147">
        <v>520028861</v>
      </c>
    </row>
    <row r="71" spans="1:2">
      <c r="A71" s="146" t="s">
        <v>2694</v>
      </c>
      <c r="B71" s="147">
        <v>520029620</v>
      </c>
    </row>
    <row r="72" spans="1:2">
      <c r="A72" s="146" t="s">
        <v>2695</v>
      </c>
      <c r="B72" s="147">
        <v>520030743</v>
      </c>
    </row>
    <row r="73" spans="1:2">
      <c r="A73" s="146" t="s">
        <v>2696</v>
      </c>
      <c r="B73" s="147">
        <v>520030198</v>
      </c>
    </row>
    <row r="74" spans="1:2">
      <c r="A74" s="146" t="s">
        <v>2697</v>
      </c>
      <c r="B74" s="147">
        <v>520042631</v>
      </c>
    </row>
    <row r="75" spans="1:2">
      <c r="A75" s="146" t="s">
        <v>2698</v>
      </c>
      <c r="B75" s="147">
        <v>520030941</v>
      </c>
    </row>
    <row r="76" spans="1:2">
      <c r="A76" s="146" t="s">
        <v>2699</v>
      </c>
      <c r="B76" s="147">
        <v>520032269</v>
      </c>
    </row>
    <row r="77" spans="1:2">
      <c r="A77" s="146" t="s">
        <v>2700</v>
      </c>
      <c r="B77" s="146">
        <v>510806870</v>
      </c>
    </row>
    <row r="78" spans="1:2">
      <c r="A78" s="146" t="s">
        <v>2701</v>
      </c>
      <c r="B78" s="146">
        <v>520031824</v>
      </c>
    </row>
    <row r="79" spans="1:2">
      <c r="A79" s="146" t="s">
        <v>2702</v>
      </c>
      <c r="B79" s="147">
        <v>510927536</v>
      </c>
    </row>
    <row r="80" spans="1:2">
      <c r="A80" s="146" t="s">
        <v>2703</v>
      </c>
      <c r="B80" s="147">
        <v>510930654</v>
      </c>
    </row>
    <row r="81" spans="1:2">
      <c r="A81" s="146" t="s">
        <v>2704</v>
      </c>
      <c r="B81" s="146">
        <v>510930670</v>
      </c>
    </row>
    <row r="82" spans="1:2">
      <c r="A82" s="146" t="s">
        <v>2705</v>
      </c>
      <c r="B82" s="147">
        <v>520034968</v>
      </c>
    </row>
    <row r="83" spans="1:2">
      <c r="A83" s="146" t="s">
        <v>2706</v>
      </c>
      <c r="B83" s="147">
        <v>520024985</v>
      </c>
    </row>
    <row r="84" spans="1:2">
      <c r="A84" s="146" t="s">
        <v>2707</v>
      </c>
      <c r="B84" s="146">
        <v>520030990</v>
      </c>
    </row>
    <row r="85" spans="1:2">
      <c r="A85" s="146" t="s">
        <v>2708</v>
      </c>
      <c r="B85" s="147">
        <v>520042615</v>
      </c>
    </row>
    <row r="86" spans="1:2">
      <c r="A86" s="146" t="s">
        <v>2709</v>
      </c>
      <c r="B86" s="147">
        <v>520042607</v>
      </c>
    </row>
    <row r="87" spans="1:2">
      <c r="A87" s="146" t="s">
        <v>2710</v>
      </c>
      <c r="B87" s="147">
        <v>520019688</v>
      </c>
    </row>
    <row r="88" spans="1:2">
      <c r="A88" s="146" t="s">
        <v>2711</v>
      </c>
      <c r="B88" s="147">
        <v>570014928</v>
      </c>
    </row>
    <row r="89" spans="1:2">
      <c r="A89" s="146" t="s">
        <v>2712</v>
      </c>
      <c r="B89" s="147">
        <v>510960586</v>
      </c>
    </row>
    <row r="90" spans="1:2">
      <c r="A90" s="146" t="s">
        <v>2713</v>
      </c>
      <c r="B90" s="146">
        <v>520042581</v>
      </c>
    </row>
    <row r="91" spans="1:2">
      <c r="A91" s="146" t="s">
        <v>2714</v>
      </c>
      <c r="B91" s="147">
        <v>570005959</v>
      </c>
    </row>
    <row r="92" spans="1:2">
      <c r="A92" s="146" t="s">
        <v>2715</v>
      </c>
      <c r="B92" s="147">
        <v>570002618</v>
      </c>
    </row>
    <row r="93" spans="1:2">
      <c r="A93" s="146" t="s">
        <v>2716</v>
      </c>
      <c r="B93" s="147">
        <v>511789190</v>
      </c>
    </row>
    <row r="94" spans="1:2">
      <c r="A94" s="146" t="s">
        <v>2717</v>
      </c>
      <c r="B94" s="147">
        <v>520022518</v>
      </c>
    </row>
    <row r="95" spans="1:2">
      <c r="A95" s="146" t="s">
        <v>2718</v>
      </c>
      <c r="B95" s="147">
        <v>520031659</v>
      </c>
    </row>
    <row r="96" spans="1:2">
      <c r="A96" s="146" t="s">
        <v>2719</v>
      </c>
      <c r="B96" s="147">
        <v>570007476</v>
      </c>
    </row>
    <row r="97" spans="1:2">
      <c r="A97" s="146" t="s">
        <v>2720</v>
      </c>
      <c r="B97" s="147">
        <v>570009852</v>
      </c>
    </row>
    <row r="98" spans="1:2">
      <c r="A98" s="146" t="s">
        <v>2721</v>
      </c>
      <c r="B98" s="147">
        <v>510800402</v>
      </c>
    </row>
    <row r="99" spans="1:2">
      <c r="A99" s="146" t="s">
        <v>2722</v>
      </c>
      <c r="B99" s="147">
        <v>510773922</v>
      </c>
    </row>
    <row r="100" spans="1:2">
      <c r="A100" s="146" t="s">
        <v>2723</v>
      </c>
      <c r="B100" s="147">
        <v>512008335</v>
      </c>
    </row>
    <row r="101" spans="1:2">
      <c r="A101" s="146" t="s">
        <v>2724</v>
      </c>
      <c r="B101" s="147">
        <v>510142789</v>
      </c>
    </row>
    <row r="102" spans="1:2">
      <c r="A102" s="146" t="s">
        <v>2725</v>
      </c>
      <c r="B102" s="147">
        <v>520028556</v>
      </c>
    </row>
    <row r="103" spans="1:2">
      <c r="A103" s="146" t="s">
        <v>2726</v>
      </c>
      <c r="B103" s="147">
        <v>520030693</v>
      </c>
    </row>
    <row r="104" spans="1:2">
      <c r="A104" s="146" t="s">
        <v>2727</v>
      </c>
      <c r="B104" s="147">
        <v>520042573</v>
      </c>
    </row>
    <row r="105" spans="1:2">
      <c r="A105" s="146" t="s">
        <v>2728</v>
      </c>
      <c r="B105" s="147">
        <v>511423048</v>
      </c>
    </row>
    <row r="106" spans="1:2">
      <c r="A106" s="146" t="s">
        <v>2729</v>
      </c>
      <c r="B106" s="147">
        <v>570011767</v>
      </c>
    </row>
    <row r="107" spans="1:2">
      <c r="A107" s="146" t="s">
        <v>2730</v>
      </c>
      <c r="B107" s="147">
        <v>512065202</v>
      </c>
    </row>
    <row r="108" spans="1:2">
      <c r="A108" s="146" t="s">
        <v>2731</v>
      </c>
      <c r="B108" s="147">
        <v>512711409</v>
      </c>
    </row>
    <row r="109" spans="1:2">
      <c r="A109" s="146" t="s">
        <v>2732</v>
      </c>
      <c r="B109" s="147">
        <v>520005497</v>
      </c>
    </row>
    <row r="110" spans="1:2">
      <c r="A110" s="146" t="s">
        <v>2733</v>
      </c>
      <c r="B110" s="147">
        <v>570024109</v>
      </c>
    </row>
    <row r="111" spans="1:2">
      <c r="A111" s="146" t="s">
        <v>2734</v>
      </c>
      <c r="B111" s="147">
        <v>520020447</v>
      </c>
    </row>
    <row r="112" spans="1:2">
      <c r="A112" s="146" t="s">
        <v>2735</v>
      </c>
      <c r="B112" s="147">
        <v>520023094</v>
      </c>
    </row>
    <row r="113" spans="1:2">
      <c r="A113" s="146" t="s">
        <v>2736</v>
      </c>
      <c r="B113" s="147">
        <v>520028812</v>
      </c>
    </row>
    <row r="114" spans="1:2">
      <c r="A114" s="146" t="s">
        <v>2737</v>
      </c>
      <c r="B114" s="147">
        <v>520022963</v>
      </c>
    </row>
    <row r="115" spans="1:2">
      <c r="A115" s="146" t="s">
        <v>2738</v>
      </c>
      <c r="B115" s="147">
        <v>520027251</v>
      </c>
    </row>
    <row r="116" spans="1:2">
      <c r="A116" s="146" t="s">
        <v>2739</v>
      </c>
      <c r="B116" s="147">
        <v>520028390</v>
      </c>
    </row>
    <row r="117" spans="1:2">
      <c r="A117" s="146" t="s">
        <v>2740</v>
      </c>
      <c r="B117" s="147">
        <v>513026484</v>
      </c>
    </row>
    <row r="118" spans="1:2">
      <c r="A118" s="146" t="s">
        <v>2741</v>
      </c>
      <c r="B118" s="147">
        <v>513173393</v>
      </c>
    </row>
    <row r="119" spans="1:2">
      <c r="A119" s="146" t="s">
        <v>2742</v>
      </c>
      <c r="B119" s="147">
        <v>513452003</v>
      </c>
    </row>
    <row r="120" spans="1:2">
      <c r="A120" s="146" t="s">
        <v>2743</v>
      </c>
      <c r="B120" s="147">
        <v>513611509</v>
      </c>
    </row>
    <row r="121" spans="1:2">
      <c r="A121" s="146" t="s">
        <v>2744</v>
      </c>
      <c r="B121" s="147">
        <v>513621110</v>
      </c>
    </row>
    <row r="122" spans="1:2">
      <c r="A122" s="146" t="s">
        <v>2745</v>
      </c>
      <c r="B122" s="146">
        <v>512244146</v>
      </c>
    </row>
    <row r="123" spans="1:2">
      <c r="A123" s="146" t="s">
        <v>2746</v>
      </c>
      <c r="B123" s="147">
        <v>512237744</v>
      </c>
    </row>
    <row r="124" spans="1:2">
      <c r="A124" s="146" t="s">
        <v>2747</v>
      </c>
      <c r="B124" s="147">
        <v>512267592</v>
      </c>
    </row>
    <row r="125" spans="1:2">
      <c r="A125" s="146" t="s">
        <v>2748</v>
      </c>
      <c r="B125" s="147">
        <v>514767490</v>
      </c>
    </row>
    <row r="126" spans="1:2">
      <c r="A126" s="146" t="s">
        <v>2749</v>
      </c>
      <c r="B126" s="147">
        <v>514956465</v>
      </c>
    </row>
    <row r="127" spans="1:2">
      <c r="A127" s="146" t="s">
        <v>2750</v>
      </c>
      <c r="B127" s="147">
        <v>512245812</v>
      </c>
    </row>
    <row r="128" spans="1:2">
      <c r="A128" s="146" t="s">
        <v>2751</v>
      </c>
      <c r="B128" s="147">
        <v>515447035</v>
      </c>
    </row>
    <row r="129" spans="1:2">
      <c r="A129" s="146" t="s">
        <v>2752</v>
      </c>
      <c r="B129" s="147">
        <v>516463635</v>
      </c>
    </row>
    <row r="130" spans="1:2">
      <c r="A130" s="146" t="s">
        <v>2753</v>
      </c>
      <c r="B130" s="147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2025-11-30T13:12:51Z</dcterms:modified>
</cp:coreProperties>
</file>