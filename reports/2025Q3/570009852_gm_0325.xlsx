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גמל לאתר\"/>
    </mc:Choice>
  </mc:AlternateContent>
  <xr:revisionPtr revIDLastSave="0" documentId="13_ncr:1_{97F95E5A-D03D-4F63-9154-44A52DA0F309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אישור רו&quot;ח מבקר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אחרים'!$A$1:$AO$5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<sst xmlns="http://schemas.openxmlformats.org/spreadsheetml/2006/main" count="4967" uniqueCount="1359">
  <si>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</si>
  <si>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</si>
  <si>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</si>
  <si>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</si>
  <si>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</si>
  <si>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</si>
  <si>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</si>
  <si>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</si>
  <si>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</si>
  <si>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</si>
  <si>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</si>
  <si>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</si>
  <si>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</si>
  <si>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</si>
  <si>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</si>
  <si>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</si>
  <si>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</si>
  <si>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</si>
  <si>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</si>
  <si>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</si>
  <si>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</si>
  <si>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</si>
  <si>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</si>
  <si>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</si>
  <si>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</si>
  <si>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</si>
  <si>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</si>
  <si>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</si>
  <si>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</si>
  <si>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</si>
  <si>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</si>
  <si>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</si>
  <si>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</si>
  <si>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</si>
  <si>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</si>
  <si>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</si>
  <si>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</si>
  <si>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</si>
  <si>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</si>
  <si>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</si>
  <si>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</si>
  <si>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</si>
  <si>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</si>
  <si>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</si>
  <si>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</si>
  <si>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</si>
  <si>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</si>
  <si>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</si>
  <si>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</si>
  <si>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</si>
  <si>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</si>
  <si>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</si>
  <si>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</si>
  <si>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</si>
  <si>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</si>
  <si>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</si>
  <si>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</si>
  <si>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</si>
  <si>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</si>
  <si>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</si>
  <si>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</si>
  <si>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</si>
  <si>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</si>
  <si>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</si>
  <si>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</si>
  <si>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</si>
  <si>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</si>
  <si>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</si>
  <si>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</si>
  <si>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</si>
  <si>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</si>
  <si>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</si>
  <si>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</si>
  <si>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</si>
  <si>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</si>
  <si>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</si>
  <si>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</si>
  <si>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</si>
  <si>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</si>
  <si>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</si>
  <si>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</si>
  <si>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</si>
  <si>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</si>
  <si>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</si>
  <si>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</si>
  <si>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</si>
  <si>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</si>
  <si>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</si>
  <si>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</si>
  <si>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</si>
  <si>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</si>
  <si>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</si>
  <si>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</si>
  <si>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</si>
  <si>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</si>
  <si>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</si>
  <si>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</si>
  <si>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</si>
  <si>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</si>
  <si>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</si>
  <si>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</si>
  <si>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</si>
  <si>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</si>
  <si>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</si>
  <si>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</si>
  <si>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</si>
  <si>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</si>
  <si>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</si>
  <si>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</si>
  <si>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</si>
  <si>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</si>
  <si>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</si>
  <si>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</si>
  <si>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</si>
  <si>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</si>
  <si>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</si>
  <si>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</si>
  <si>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</si>
  <si>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</si>
  <si>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</si>
  <si>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</si>
  <si>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</si>
  <si>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</si>
  <si>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</si>
  <si>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</si>
  <si>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</si>
  <si>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</si>
  <si>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</si>
  <si>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</si>
  <si>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</si>
  <si>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</si>
  <si>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</si>
  <si>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</si>
  <si>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</si>
  <si>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</si>
  <si>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</si>
  <si>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</si>
  <si>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</si>
  <si>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</si>
  <si>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</si>
  <si>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</si>
  <si>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</si>
  <si>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</si>
  <si>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</si>
  <si>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</si>
  <si>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</si>
  <si>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</si>
  <si>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</si>
  <si>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</si>
  <si>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</si>
  <si>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</si>
  <si>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</si>
  <si>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</si>
  <si>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</si>
  <si>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</si>
  <si>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</si>
  <si>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</si>
  <si>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</si>
  <si>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</si>
  <si>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</si>
  <si>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</si>
  <si>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</si>
  <si>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</si>
  <si>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</si>
  <si>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</si>
  <si>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</si>
  <si>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</si>
  <si>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</si>
  <si>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</si>
  <si>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</si>
  <si>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</si>
  <si>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</si>
  <si>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</si>
  <si>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</si>
  <si>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</si>
  <si>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</si>
  <si>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</si>
  <si>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</si>
  <si>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</si>
  <si>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</si>
  <si>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</si>
  <si>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</si>
  <si>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</si>
  <si>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</si>
  <si>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</si>
  <si>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</si>
  <si>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</si>
  <si>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</si>
  <si>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</si>
  <si>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</si>
  <si>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</si>
  <si>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</si>
  <si>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</si>
  <si>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</si>
  <si>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</si>
  <si>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</si>
  <si>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</si>
  <si>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</si>
  <si>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</si>
  <si>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</si>
  <si>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</si>
  <si>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</si>
  <si>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</si>
  <si>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</si>
  <si>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</si>
  <si>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</si>
  <si>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</si>
  <si>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</si>
  <si>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</si>
  <si>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</si>
  <si>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</si>
  <si>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</si>
  <si>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</si>
  <si>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</si>
  <si>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</si>
  <si>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</si>
  <si>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</si>
  <si>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</si>
  <si>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</si>
  <si>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</si>
  <si>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</si>
  <si>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</si>
  <si>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</si>
  <si>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</si>
  <si>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</si>
  <si>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</si>
  <si>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</si>
  <si>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</si>
  <si>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</si>
  <si>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</si>
  <si>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</si>
  <si>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</si>
  <si>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</si>
  <si>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</si>
  <si>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</si>
  <si>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</si>
  <si>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</si>
  <si>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</si>
  <si>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</si>
  <si>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</si>
  <si>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</si>
  <si>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</si>
  <si>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</si>
  <si>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</si>
  <si>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</si>
  <si>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</si>
  <si>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</si>
  <si>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</si>
  <si>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</si>
  <si>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</si>
  <si>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</si>
  <si>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</si>
  <si>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</si>
  <si>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</si>
  <si>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</si>
  <si>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</si>
  <si>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</si>
  <si>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</si>
  <si>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</si>
  <si>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</si>
  <si>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</si>
  <si>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</si>
  <si>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</si>
  <si>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</si>
  <si>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</si>
  <si>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</si>
  <si>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</si>
  <si>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</si>
  <si>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</si>
  <si>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</si>
  <si>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</si>
  <si>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</si>
  <si>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</si>
  <si>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</si>
  <si>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</si>
  <si>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</si>
  <si>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</si>
  <si>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</si>
  <si>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</si>
  <si>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</si>
  <si>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</si>
  <si>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</si>
  <si>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</si>
  <si>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</si>
  <si>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</si>
  <si>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</si>
  <si>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</si>
  <si>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</si>
  <si>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</si>
  <si>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</si>
  <si>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</si>
  <si>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</si>
  <si>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</si>
  <si>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</si>
  <si>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</si>
  <si>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</si>
  <si>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</si>
  <si>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</si>
  <si>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</si>
  <si>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</si>
  <si>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</si>
  <si>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</si>
  <si>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</si>
  <si>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</si>
  <si>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</si>
  <si>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</si>
  <si>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</si>
  <si>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</si>
  <si>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</si>
  <si>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</si>
  <si>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</si>
  <si>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</si>
  <si>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</si>
  <si>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</si>
  <si>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</si>
  <si>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</si>
  <si>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</si>
  <si>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</si>
  <si>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</si>
  <si>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</si>
  <si>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</si>
  <si>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</si>
  <si>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</si>
  <si>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</si>
  <si>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</si>
  <si>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</si>
  <si>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</si>
  <si>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</si>
  <si>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</si>
  <si>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</si>
  <si>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</si>
  <si>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</si>
  <si>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</si>
  <si>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</si>
  <si>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</si>
  <si>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</si>
  <si>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</si>
  <si>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</si>
  <si>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</si>
  <si>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</si>
  <si>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</si>
  <si>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</si>
  <si>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</si>
  <si>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</si>
  <si>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</si>
  <si>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</si>
  <si>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</si>
  <si>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</si>
  <si>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</si>
  <si>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</si>
  <si>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</si>
  <si>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</si>
  <si>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</si>
  <si>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</si>
  <si>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</si>
  <si>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</si>
  <si>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</si>
  <si>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</si>
  <si>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</si>
  <si>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</si>
  <si>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</si>
  <si>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</si>
  <si>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</si>
  <si>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</si>
  <si>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</si>
  <si>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</si>
  <si>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</si>
  <si>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</si>
  <si>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</si>
  <si>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</si>
  <si>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</si>
  <si>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</si>
  <si>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</si>
  <si>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</si>
  <si>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</si>
  <si>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</si>
  <si>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</si>
  <si>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</si>
  <si>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</si>
  <si>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</si>
  <si>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</si>
  <si>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</si>
  <si>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</si>
  <si>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</si>
  <si>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</si>
  <si>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</si>
  <si>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</si>
  <si>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</si>
  <si>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</si>
  <si>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</si>
  <si>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</si>
  <si>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</si>
  <si>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</si>
  <si>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</si>
  <si>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</si>
  <si>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</si>
  <si>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</si>
  <si>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</si>
  <si>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</si>
  <si>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</si>
  <si>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</si>
  <si>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</si>
  <si>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</si>
  <si>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</si>
  <si>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</si>
  <si>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</si>
  <si>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</si>
  <si>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</si>
  <si>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</si>
  <si>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</si>
  <si>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</si>
  <si>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</si>
  <si>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</si>
  <si>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</si>
  <si>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</si>
  <si>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</si>
  <si>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</si>
  <si>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</si>
  <si>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</si>
  <si>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</si>
  <si>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</si>
  <si>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</si>
  <si>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</si>
  <si>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</si>
  <si>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</si>
  <si>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</si>
  <si>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</si>
  <si>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</si>
  <si>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</si>
  <si>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</si>
  <si>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</si>
  <si>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</si>
  <si>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</si>
  <si>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</si>
  <si>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</si>
  <si>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</si>
  <si>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</si>
  <si>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</si>
  <si>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</si>
  <si>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</si>
  <si>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</si>
  <si>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</si>
  <si>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</si>
  <si>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</si>
  <si>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</si>
  <si>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</si>
  <si>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</si>
  <si>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</si>
  <si>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</si>
  <si>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</si>
  <si>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</si>
  <si>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</si>
  <si>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</si>
  <si>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</si>
  <si>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</si>
  <si>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</si>
  <si>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</si>
  <si>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</si>
  <si>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</si>
  <si>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</si>
  <si>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</si>
  <si>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</si>
  <si>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</si>
  <si>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</si>
  <si>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</si>
  <si>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</si>
  <si>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</si>
  <si>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</si>
  <si>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</si>
  <si>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</si>
  <si>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</si>
  <si>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</si>
  <si>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</si>
  <si>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</si>
  <si>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</si>
  <si>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</si>
  <si>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</si>
  <si>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</si>
  <si>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</si>
  <si>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</si>
  <si>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</si>
  <si>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</si>
  <si>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</si>
  <si>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</si>
  <si>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</si>
  <si>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</si>
  <si>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</si>
  <si>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</si>
  <si>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</si>
  <si>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</si>
  <si>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</si>
  <si>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</si>
  <si>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</si>
  <si>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</si>
  <si>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</si>
  <si>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</si>
  <si>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</si>
  <si>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</si>
  <si>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</si>
  <si>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</si>
  <si>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</si>
  <si>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</si>
  <si>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</si>
  <si>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</si>
  <si>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</si>
  <si>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</si>
  <si>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</si>
  <si>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</si>
  <si>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</si>
  <si>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</si>
  <si>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</si>
  <si>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</si>
  <si>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</si>
  <si>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</si>
  <si>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</si>
  <si>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</si>
  <si>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</si>
  <si>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</si>
  <si>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</si>
  <si>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</si>
  <si>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</si>
  <si>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</si>
  <si>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</si>
  <si>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</si>
  <si>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</si>
  <si>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</si>
  <si>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</si>
  <si>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</si>
  <si>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</si>
  <si>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</si>
  <si>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</si>
  <si>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</si>
  <si>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</si>
  <si>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</si>
  <si>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</si>
  <si>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</si>
  <si>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</si>
  <si>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</si>
  <si>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</si>
  <si>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</si>
  <si>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</si>
  <si>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</si>
  <si>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</si>
  <si>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</si>
  <si>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</si>
  <si>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</si>
  <si>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</si>
  <si>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</si>
  <si>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</si>
  <si>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</si>
  <si>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</si>
  <si>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</si>
  <si>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</si>
  <si>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</si>
  <si>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</si>
  <si>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</si>
  <si>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</si>
  <si>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</si>
  <si>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</si>
  <si>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</si>
  <si>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</si>
  <si>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</si>
  <si>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</si>
  <si>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</si>
  <si>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</si>
  <si>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</si>
  <si>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</si>
  <si>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</si>
  <si>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</si>
  <si>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</si>
  <si>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</si>
  <si>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</si>
  <si>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</si>
  <si>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</si>
  <si>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</si>
  <si>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</si>
  <si>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</si>
  <si>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</si>
  <si>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</si>
  <si>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</si>
  <si>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</si>
  <si>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</si>
  <si>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</si>
  <si>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</si>
  <si>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</si>
  <si>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</si>
  <si>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</si>
  <si>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</si>
  <si>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</si>
  <si>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</si>
  <si>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</si>
  <si>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</si>
  <si>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</si>
  <si>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</si>
  <si>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</si>
  <si>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</si>
  <si>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</si>
  <si>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</si>
  <si>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</si>
  <si>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</si>
  <si>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</si>
  <si>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</si>
  <si>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</si>
  <si>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</si>
  <si>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</si>
  <si>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</si>
  <si>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</si>
  <si>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</si>
  <si>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</si>
  <si>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</si>
  <si>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</si>
  <si>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</si>
  <si>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</si>
  <si>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</si>
  <si>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</si>
  <si>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</si>
  <si>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</si>
  <si>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</si>
  <si>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</si>
  <si>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</si>
  <si>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</si>
  <si>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</si>
  <si>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</si>
  <si>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</si>
  <si>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</si>
  <si>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</si>
  <si>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</si>
  <si>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</si>
  <si>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</si>
  <si>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</si>
  <si>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</si>
  <si>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</si>
  <si>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</si>
  <si>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</si>
  <si>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</si>
  <si>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</si>
  <si>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</si>
  <si>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</si>
  <si>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</si>
  <si>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</si>
  <si>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</si>
  <si>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</si>
  <si>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</si>
  <si>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</si>
  <si>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</si>
  <si>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</si>
  <si>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</si>
  <si>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</si>
  <si>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</si>
  <si>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</si>
  <si>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</si>
  <si>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</si>
  <si>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</si>
  <si>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</si>
  <si>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</si>
  <si>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</si>
  <si>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</si>
  <si>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</si>
  <si>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</si>
  <si>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</si>
  <si>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</si>
  <si>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</si>
  <si>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</si>
  <si>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</si>
  <si>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</si>
  <si>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</si>
  <si>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</si>
  <si>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</si>
  <si>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</si>
  <si>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</si>
  <si>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</si>
  <si>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</si>
  <si>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</si>
  <si>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</si>
  <si>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</si>
  <si>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</si>
  <si>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</si>
  <si>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</si>
  <si>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</si>
  <si>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</si>
  <si>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</si>
  <si>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</si>
  <si>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</si>
  <si>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</si>
  <si>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</si>
  <si>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</si>
  <si>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</si>
  <si>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</si>
  <si>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</si>
  <si>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</si>
  <si>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</si>
  <si>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</si>
  <si>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</si>
  <si>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</si>
  <si>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</si>
  <si>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</si>
  <si>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</si>
  <si>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</si>
  <si>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</si>
  <si>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</si>
  <si>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</si>
  <si>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</si>
  <si>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</si>
  <si>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</si>
  <si>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</si>
  <si>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</si>
  <si>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</si>
  <si>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</si>
  <si>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</si>
  <si>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</si>
  <si>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</si>
  <si>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</si>
  <si>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</si>
  <si>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</si>
  <si>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</si>
  <si>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</si>
  <si>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</si>
  <si>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</si>
  <si>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</si>
  <si>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</si>
  <si>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</si>
  <si>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</si>
  <si>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</si>
  <si>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</si>
  <si>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</si>
  <si>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</si>
  <si>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</si>
  <si>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</si>
  <si>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</si>
  <si>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</si>
  <si>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</si>
  <si>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</si>
  <si>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</si>
  <si>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</si>
  <si>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</si>
  <si>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</si>
  <si>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</si>
  <si>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</si>
  <si>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</si>
  <si>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</si>
  <si>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</si>
  <si>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</si>
  <si>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</si>
  <si>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</si>
  <si>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</si>
  <si>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</si>
  <si>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</si>
  <si>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</si>
  <si>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</si>
  <si>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</si>
  <si>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</si>
  <si>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</si>
  <si>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</si>
  <si>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</si>
  <si>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</si>
  <si>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</si>
  <si>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</si>
  <si>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</si>
  <si>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</si>
  <si>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</si>
  <si>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</si>
  <si>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</si>
  <si>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</si>
  <si>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</si>
  <si>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</si>
  <si>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</si>
  <si>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</si>
  <si>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</si>
  <si>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</si>
  <si>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</si>
  <si>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</si>
  <si>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</si>
  <si>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</si>
  <si>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</si>
  <si>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</si>
  <si>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</si>
  <si>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</si>
  <si>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</si>
  <si>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</si>
  <si>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</si>
  <si>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</si>
  <si>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</si>
  <si>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</si>
  <si>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</si>
  <si>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</si>
  <si>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</si>
  <si>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</si>
  <si>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</si>
  <si>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</si>
  <si>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</si>
  <si>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</si>
  <si>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</si>
  <si>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</si>
  <si>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</si>
  <si>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</si>
  <si>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</si>
  <si>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</si>
  <si>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</si>
  <si>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</si>
  <si>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</si>
  <si>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</si>
  <si>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</si>
  <si>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</si>
  <si>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</si>
  <si>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</si>
  <si>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</si>
  <si>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</si>
  <si>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</si>
  <si>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</si>
  <si>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</si>
  <si>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</si>
  <si>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</si>
  <si>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</si>
  <si>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</si>
  <si>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</si>
  <si>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</si>
  <si>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</si>
  <si>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</si>
  <si>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</si>
  <si>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</si>
  <si>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</si>
  <si>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</si>
  <si>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</si>
  <si>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</si>
  <si>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</si>
  <si>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</si>
  <si>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</si>
  <si>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</si>
  <si>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</si>
  <si>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</si>
  <si>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</si>
  <si>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</si>
  <si>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</si>
  <si>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</si>
  <si>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</si>
  <si>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</si>
  <si>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</si>
  <si>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</si>
  <si>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</si>
  <si>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</si>
  <si>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</si>
  <si>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</si>
  <si>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</si>
  <si>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</si>
  <si>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</si>
  <si>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</si>
  <si>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</si>
  <si>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</si>
  <si>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</si>
  <si>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</si>
  <si>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</si>
  <si>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</si>
  <si>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</si>
  <si>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</si>
  <si>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</si>
  <si>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</si>
  <si>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</si>
  <si>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</si>
  <si>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</si>
  <si>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</si>
  <si>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</si>
  <si>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</si>
  <si>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</si>
  <si>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</si>
  <si>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</si>
  <si>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</si>
  <si>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</si>
  <si>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</si>
  <si>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</si>
  <si>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</si>
  <si>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</si>
  <si>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</si>
  <si>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</si>
  <si>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</si>
  <si>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</si>
  <si>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</si>
  <si>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</si>
  <si>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</si>
  <si>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</si>
  <si>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</si>
  <si>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</si>
  <si>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</si>
  <si>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</si>
  <si>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</si>
  <si>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</si>
  <si>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</si>
  <si>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</si>
  <si>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</si>
  <si>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</si>
  <si>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</si>
  <si>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</si>
  <si>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</si>
  <si>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</si>
  <si>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</si>
  <si>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</si>
  <si>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</si>
  <si>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</si>
  <si>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</si>
  <si>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</si>
  <si>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</si>
  <si>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</si>
  <si>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</si>
  <si>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</si>
  <si>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</si>
  <si>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</si>
  <si>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</si>
  <si>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</si>
  <si>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</si>
  <si>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</si>
  <si>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</si>
  <si>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</si>
  <si>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</si>
  <si>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</si>
  <si>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</si>
  <si>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</si>
  <si>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</si>
  <si>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</si>
  <si>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</si>
  <si>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</si>
  <si>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</si>
  <si>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</si>
  <si>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</si>
  <si>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</si>
  <si>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</si>
  <si>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</si>
  <si>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</si>
  <si>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</si>
  <si>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</si>
  <si>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</si>
  <si>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</si>
  <si>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</si>
  <si>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</si>
  <si>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</si>
  <si>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</si>
  <si>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</si>
  <si>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</si>
  <si>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</si>
  <si>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</si>
  <si>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</si>
  <si>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</si>
  <si>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</si>
  <si>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</si>
  <si>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</si>
  <si>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</si>
  <si>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</si>
  <si>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</si>
  <si>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</si>
  <si>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</si>
  <si>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</si>
  <si>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</si>
  <si>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</si>
  <si>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</si>
  <si>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</si>
  <si>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</si>
  <si>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</si>
  <si>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</si>
  <si>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</si>
  <si>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</si>
  <si>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</si>
  <si>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</si>
  <si>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</si>
  <si>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</si>
  <si>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</si>
  <si>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</si>
  <si>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</si>
  <si>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</si>
  <si>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</si>
  <si>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</si>
  <si>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</si>
  <si>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</si>
  <si>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</si>
  <si>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</si>
  <si>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</si>
  <si>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</si>
  <si>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</si>
  <si>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</si>
  <si>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</si>
  <si>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</si>
  <si>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</si>
  <si>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</si>
  <si>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</si>
  <si>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</si>
  <si>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</si>
  <si>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</si>
  <si>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</si>
  <si>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</si>
  <si>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</si>
  <si>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</si>
  <si>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</si>
  <si>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</si>
  <si>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</si>
  <si>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</si>
  <si>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</si>
  <si>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</si>
  <si>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</si>
  <si>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</si>
  <si>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</si>
  <si>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</si>
  <si>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</si>
  <si>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</si>
  <si>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</si>
  <si>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</si>
  <si>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</si>
  <si>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</si>
  <si>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</si>
  <si>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</si>
  <si>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</si>
  <si>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</si>
  <si>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</si>
  <si>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</si>
  <si>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</si>
  <si>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</si>
  <si>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</si>
  <si>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</si>
  <si>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</si>
  <si>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</si>
  <si>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</si>
  <si>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</si>
  <si>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</si>
  <si>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</si>
  <si>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</si>
  <si>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</si>
  <si>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</si>
  <si>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</si>
  <si>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</si>
  <si>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</si>
  <si>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</si>
  <si>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</si>
  <si>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</si>
  <si>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</si>
  <si>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</si>
  <si>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</si>
  <si>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</si>
  <si>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</si>
  <si>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</si>
  <si>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</si>
  <si>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</si>
  <si>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</si>
  <si>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</si>
  <si>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</si>
  <si>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</si>
  <si>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</si>
  <si>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</si>
  <si>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</si>
  <si>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</si>
  <si>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</si>
  <si>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</si>
  <si>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</si>
  <si>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</si>
  <si>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</si>
  <si>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</si>
  <si>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</si>
  <si>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</si>
  <si>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</si>
  <si>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</si>
  <si>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</si>
  <si>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</si>
  <si>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</si>
  <si>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</si>
  <si>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</si>
  <si>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</si>
  <si>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</si>
  <si>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</si>
  <si>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</si>
  <si>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</si>
  <si>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</si>
  <si>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</si>
  <si>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</si>
  <si>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</si>
  <si>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</si>
  <si>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</si>
  <si>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</si>
  <si>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</si>
  <si>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</si>
  <si>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</si>
  <si>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</si>
  <si>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</si>
  <si>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</si>
  <si>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</si>
  <si>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</si>
  <si>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</si>
  <si>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</si>
  <si>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</si>
  <si>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</si>
  <si>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</si>
  <si>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</si>
  <si>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</si>
  <si>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</si>
  <si>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</si>
  <si>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</si>
  <si>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</si>
  <si>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</si>
  <si>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</si>
  <si>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</si>
  <si>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</si>
  <si>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</si>
  <si>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</si>
  <si>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</si>
  <si>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</si>
  <si>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</si>
  <si>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</si>
  <si>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</si>
  <si>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</si>
  <si>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</si>
  <si>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</si>
  <si>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</si>
  <si>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</si>
  <si>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</si>
  <si>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</si>
  <si>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</si>
  <si>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</si>
  <si>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</si>
  <si>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</si>
  <si>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</si>
  <si>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</si>
  <si>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</si>
  <si>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</si>
  <si>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</si>
  <si>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</si>
  <si>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</si>
  <si>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</si>
  <si>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</si>
  <si>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</si>
  <si>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</si>
  <si>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</si>
  <si>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</si>
  <si>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</si>
  <si>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</si>
  <si>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</si>
  <si>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</si>
  <si>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</si>
  <si>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</si>
  <si>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</si>
  <si>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</si>
  <si>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</si>
  <si>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</si>
  <si>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</si>
  <si>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</si>
  <si>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</si>
  <si>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</si>
  <si>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</si>
  <si>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</si>
  <si>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</si>
  <si>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</si>
  <si>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</si>
  <si>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</si>
  <si>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</si>
  <si>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</si>
  <si>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</si>
  <si>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</si>
  <si>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</si>
  <si>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</si>
  <si>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</si>
  <si>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</si>
  <si>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</si>
  <si>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</si>
  <si>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</si>
  <si>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</si>
  <si>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</si>
  <si>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</si>
  <si>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</si>
  <si>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</si>
  <si>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</si>
  <si>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</si>
  <si>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</si>
  <si>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</si>
  <si>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</si>
  <si>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</si>
  <si>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</si>
  <si>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</si>
  <si>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</si>
  <si>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</si>
  <si>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</si>
  <si>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</si>
  <si>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</si>
  <si>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</si>
  <si>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</si>
  <si>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</si>
  <si>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</si>
  <si>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</si>
  <si>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</si>
  <si>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</si>
  <si>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</si>
  <si>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</si>
  <si>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</si>
  <si>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</si>
  <si>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</si>
  <si>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</si>
  <si>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</si>
  <si>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</si>
  <si>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</si>
  <si>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</si>
  <si>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</si>
  <si>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</si>
  <si>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</si>
  <si>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</si>
  <si>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</si>
  <si>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</si>
  <si>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</si>
  <si>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</si>
  <si>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</si>
  <si>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</si>
  <si>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</si>
  <si>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</si>
  <si>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</si>
  <si>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</si>
  <si>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</si>
  <si>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</si>
  <si>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</si>
  <si>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</si>
  <si>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</si>
  <si>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</si>
  <si>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</si>
  <si>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</si>
  <si>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</si>
  <si>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</si>
  <si>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</si>
  <si>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</si>
  <si>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</si>
  <si>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הפועלים</t>
  </si>
  <si>
    <t>12-600</t>
  </si>
  <si>
    <t>USD</t>
  </si>
  <si>
    <t>ILS</t>
  </si>
  <si>
    <t>בנק מזרחי</t>
  </si>
  <si>
    <t>20-21</t>
  </si>
  <si>
    <t>EUR</t>
  </si>
  <si>
    <t>ממשלת ישראל</t>
  </si>
  <si>
    <t>ממשל שקלית 0537</t>
  </si>
  <si>
    <t>IL0011661803</t>
  </si>
  <si>
    <t>ilRF</t>
  </si>
  <si>
    <t>מקמ 0516</t>
  </si>
  <si>
    <t>IL0082605150</t>
  </si>
  <si>
    <t>ממשל צמודה 1028</t>
  </si>
  <si>
    <t>IL0011973265</t>
  </si>
  <si>
    <t>ממשל צמודה 1033</t>
  </si>
  <si>
    <t>IL0012043795</t>
  </si>
  <si>
    <t>ממשל שקלית 0432</t>
  </si>
  <si>
    <t>IL0011806606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</si>
  <si>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</si>
  <si>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</si>
  <si>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</si>
  <si>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</si>
  <si>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</si>
  <si>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</si>
  <si>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</si>
  <si>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</si>
  <si>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</si>
  <si>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</si>
  <si>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</si>
  <si>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</si>
  <si>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</si>
  <si>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Aa1.il</t>
  </si>
  <si>
    <t>קבוצת דלק בע"מ</t>
  </si>
  <si>
    <t>דלק קבוצה</t>
  </si>
  <si>
    <t>IL0010841281</t>
  </si>
  <si>
    <t>קסם קרנות נאמנות בע"מ</t>
  </si>
  <si>
    <t>קסם ETF תלבונד-שקלי 1-3</t>
  </si>
  <si>
    <t>IL0011936890</t>
  </si>
  <si>
    <t>מיטב תכלית קרנות נאמנות בע"מ</t>
  </si>
  <si>
    <t>תכלית סל (00) תל בונד שקלי</t>
  </si>
  <si>
    <t>IL0011451841</t>
  </si>
  <si>
    <t>תכלית סל (00) תל בונד צמודות-יתר</t>
  </si>
  <si>
    <t>IL0011446908</t>
  </si>
  <si>
    <t>מגדל קרנות נאמנות בע"מ</t>
  </si>
  <si>
    <t>MTF סל תל בונד שקלי 50</t>
  </si>
  <si>
    <t>IL0011501686</t>
  </si>
  <si>
    <t>הראל קרנות נאמנות בע"מ</t>
  </si>
  <si>
    <t>הראל סל תלבונד 60</t>
  </si>
  <si>
    <t>IL0011504730</t>
  </si>
  <si>
    <t>מור ניהול קרנות נאמנות (2013) בע"מ</t>
  </si>
  <si>
    <t>מור סל (4A) תא 90</t>
  </si>
  <si>
    <t>IL0011961468</t>
  </si>
  <si>
    <t>הראל סל (4A) ת"א 125</t>
  </si>
  <si>
    <t>IL0011488991</t>
  </si>
  <si>
    <t>אי.בי.אי - קרנות נאמנות בע"מ</t>
  </si>
  <si>
    <t>אי.בי.אי (פסגות לשעבר) ETF תלבונד 60</t>
  </si>
  <si>
    <t>IL0011480063</t>
  </si>
  <si>
    <t>MTF סל (00) תל בונד צמודות</t>
  </si>
  <si>
    <t>IL0011501017</t>
  </si>
  <si>
    <t>הראל סל תל בונד שקלי 50</t>
  </si>
  <si>
    <t>IL0011507139</t>
  </si>
  <si>
    <t>קסם ETFי (00) תל בונד צמודות-יתר</t>
  </si>
  <si>
    <t>IL0011469355</t>
  </si>
  <si>
    <t>הראל סל תלבונד 40</t>
  </si>
  <si>
    <t>IL0011504995</t>
  </si>
  <si>
    <t>אי בי אי (פסגות לשעבר)  ETF תא 125</t>
  </si>
  <si>
    <t>IL0011488082</t>
  </si>
  <si>
    <t>קסם ETFי (00) תל בונד צמודות</t>
  </si>
  <si>
    <t>IL0011469272</t>
  </si>
  <si>
    <t>הראל סל תא 35</t>
  </si>
  <si>
    <t>IL0011489072</t>
  </si>
  <si>
    <t>הראל סל תלבונד שקלי</t>
  </si>
  <si>
    <t>IL0011505232</t>
  </si>
  <si>
    <t>קסם תל בונד שקלי 50</t>
  </si>
  <si>
    <t>IL0011507626</t>
  </si>
  <si>
    <t>תכלית סל תא 35</t>
  </si>
  <si>
    <t>IL0011437006</t>
  </si>
  <si>
    <t>קסם ETF תא 35</t>
  </si>
  <si>
    <t>IL0011465700</t>
  </si>
  <si>
    <t>MTF סל (4A) ת"א 35</t>
  </si>
  <si>
    <t>IL0011501843</t>
  </si>
  <si>
    <t>קסם ETF ת"א 125</t>
  </si>
  <si>
    <t>IL0011463564</t>
  </si>
  <si>
    <t>תכלית סל (40) ת"א 125</t>
  </si>
  <si>
    <t>IL0011437188</t>
  </si>
  <si>
    <t>AMUNDI INVT SOLUTIONS</t>
  </si>
  <si>
    <t>549300FMBJ5S1PXQ2305</t>
  </si>
  <si>
    <t>AUEM  FP -  MSCI Emerging Markets (P)</t>
  </si>
  <si>
    <t>LU1681045453</t>
  </si>
  <si>
    <t>LYXOR INTL</t>
  </si>
  <si>
    <t>BCEHGB.99999.SL.442</t>
  </si>
  <si>
    <t>L100  LN -   FTSE 100 (P)</t>
  </si>
  <si>
    <t>LU1650492173</t>
  </si>
  <si>
    <t>INVESCO MARKETS PLC</t>
  </si>
  <si>
    <t>ECPGFXU8A2SHKVVGJI15</t>
  </si>
  <si>
    <t>MXWO  LN -  MSCI World (P)</t>
  </si>
  <si>
    <t>IE00B60SX394</t>
  </si>
  <si>
    <t>HSBC</t>
  </si>
  <si>
    <t>MLU0ZO3ML4LN2LL2TL39</t>
  </si>
  <si>
    <t>HMWD LN HSBC MSCI WORLD (Poalim)</t>
  </si>
  <si>
    <t>IE00B4X9L533</t>
  </si>
  <si>
    <t>ISHARES</t>
  </si>
  <si>
    <t>549300LRIF3NWCU26A80</t>
  </si>
  <si>
    <t>IWDA  LN -  MSCI World (P)</t>
  </si>
  <si>
    <t>IE00B4L5Y983</t>
  </si>
  <si>
    <t>U127  LN -  MSCI Emerging Markets (P)</t>
  </si>
  <si>
    <t>LU2573966905</t>
  </si>
  <si>
    <t>Global X</t>
  </si>
  <si>
    <t>254900QBKK4WBSO3GE51</t>
  </si>
  <si>
    <t>HXT  CN -  Canada TSX 60 (P)</t>
  </si>
  <si>
    <t>CA37963M1086</t>
  </si>
  <si>
    <t>Xtrackers</t>
  </si>
  <si>
    <t>549300PKYNYSI1CU4632</t>
  </si>
  <si>
    <t>XPXD LN DB Pacific Ex- Japan  (POALIM)</t>
  </si>
  <si>
    <t>LU0322252338</t>
  </si>
  <si>
    <t>IVV US Ishares S&amp;P (Poalim)</t>
  </si>
  <si>
    <t>US4642872000</t>
  </si>
  <si>
    <t>Vanguard Group Inc</t>
  </si>
  <si>
    <t>5493002789CX3L0CJP65</t>
  </si>
  <si>
    <t>VOO VANGUARD S&amp;P 500 ETF (POALIM)</t>
  </si>
  <si>
    <t>US9229083632</t>
  </si>
  <si>
    <t>UBS</t>
  </si>
  <si>
    <t>549300SZJ9VS8SGXAN81</t>
  </si>
  <si>
    <t>USMEGA SW UBS  Poalim</t>
  </si>
  <si>
    <t>IE000YCD1TY0</t>
  </si>
  <si>
    <t>State Street</t>
  </si>
  <si>
    <t>549300ZFEEJ2IP5VME73</t>
  </si>
  <si>
    <t>SPY SPDR S&amp;P 500 (poalim)</t>
  </si>
  <si>
    <t>US78462F1030</t>
  </si>
  <si>
    <t>LCJD  LN -   MSCI Japan (P)</t>
  </si>
  <si>
    <t>LU1781541252</t>
  </si>
  <si>
    <t>INVESCO</t>
  </si>
  <si>
    <t>MXUK GY Invesco Europe ex UK (POALIM)</t>
  </si>
  <si>
    <t>IE00BYX5K108</t>
  </si>
  <si>
    <t>SWRD  LN -  MSCI World (P)</t>
  </si>
  <si>
    <t>IE00BFY0GT14</t>
  </si>
  <si>
    <t>MIZBILIT</t>
  </si>
  <si>
    <t>USDILS</t>
  </si>
  <si>
    <t>570009852_gm_p_0325.xlsx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</si>
</sst>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8</xdr:col>
      <xdr:colOff>161925</xdr:colOff>
      <xdr:row>33</xdr:row>
      <xdr:rowOff>13661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F925AD4-0F12-52C3-D74A-807D6D8A1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498875" y="0"/>
          <a:ext cx="5602605" cy="59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EAAE-802F-440B-9889-134DCB8D9AA7}">
  <dimension ref="A1"/>
  <sheetViews>
    <sheetView rightToLeft="1" tabSelected="1" workbookViewId="0">
      <selection activeCell="K19" sqref="K19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527</v>
      </c>
    </row>
    <row r="12" spans="1:4" x14ac:dyDescent="0.2"/>
    <row r="13" spans="1:4" ht="15" x14ac:dyDescent="0.2">
      <c r="A13" t="s">
        <v>509</v>
      </c>
      <c r="D13" s="95">
        <v>570009852</v>
      </c>
    </row>
    <row r="14" spans="1:4" x14ac:dyDescent="0.2"/>
    <row r="15" spans="1:4" ht="15" x14ac:dyDescent="0.25">
      <c r="A15" s="16" t="s">
        <v>371</v>
      </c>
      <c r="D15" s="146" t="s">
        <v>1358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13" sqref="C13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1962.9563600000001</v>
      </c>
      <c r="C3" s="42"/>
      <c r="D3" s="42"/>
      <c r="E3" s="130">
        <f>IFERROR(B3/$B$30,0)</f>
        <v>4.037787123343848E-2</v>
      </c>
    </row>
    <row r="4" spans="1:5" x14ac:dyDescent="0.2">
      <c r="A4" s="41" t="s">
        <v>40</v>
      </c>
      <c r="B4" s="128">
        <f>SUM('איגרות חוב ממשלתיות'!U:U)</f>
        <v>7331.9725099999996</v>
      </c>
      <c r="C4" s="42"/>
      <c r="D4" s="42"/>
      <c r="E4" s="130">
        <f t="shared" ref="E4:E29" si="0">IFERROR(B4/$B$30,0)</f>
        <v>0.15081814752921491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93.407849999999996</v>
      </c>
      <c r="C6" s="42"/>
      <c r="D6" s="42"/>
      <c r="E6" s="130">
        <f t="shared" si="0"/>
        <v>1.9213927606074423E-3</v>
      </c>
    </row>
    <row r="7" spans="1:5" x14ac:dyDescent="0.2">
      <c r="A7" s="41" t="s">
        <v>459</v>
      </c>
      <c r="B7" s="128">
        <f>SUM('מניות מבכ ויהש'!U:U)</f>
        <v>47.241300000000003</v>
      </c>
      <c r="C7" s="42"/>
      <c r="D7" s="42"/>
      <c r="E7" s="130">
        <f t="shared" si="0"/>
        <v>9.7175014542872327E-4</v>
      </c>
    </row>
    <row r="8" spans="1:5" x14ac:dyDescent="0.2">
      <c r="A8" s="41" t="s">
        <v>34</v>
      </c>
      <c r="B8" s="128">
        <f>SUM('קרנות סל'!T:T)</f>
        <v>38607.384760000001</v>
      </c>
      <c r="C8" s="42"/>
      <c r="D8" s="42"/>
      <c r="E8" s="130">
        <f t="shared" si="0"/>
        <v>0.7941511295233763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571.69421</v>
      </c>
      <c r="C23" s="42"/>
      <c r="D23" s="42"/>
      <c r="E23" s="130">
        <f t="shared" si="0"/>
        <v>1.1759708807934139E-2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48614.656990000003</v>
      </c>
      <c r="C30" s="123"/>
      <c r="D30" s="123">
        <f t="shared" ref="D30:E30" si="1">SUM(D3:D29)</f>
        <v>0</v>
      </c>
      <c r="E30" s="131">
        <f t="shared" si="1"/>
        <v>0.99999999999999989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L13" sqref="L13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1" width="9.875" style="2" bestFit="1" customWidth="1"/>
    <col min="12" max="12" width="8.375" style="2" bestFit="1" customWidth="1"/>
    <col min="13" max="13" width="8.625" style="2" bestFit="1" customWidth="1"/>
    <col min="14" max="14" width="9.25" style="2" bestFit="1" customWidth="1"/>
    <col min="15" max="15" width="9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513</v>
      </c>
      <c r="B2">
        <v>513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0.10863</v>
      </c>
      <c r="M2" s="133">
        <v>2.3744999999999998</v>
      </c>
      <c r="N2" s="136"/>
      <c r="O2" s="133">
        <v>0.25794</v>
      </c>
      <c r="P2" s="136">
        <v>1.3100000000000001E-4</v>
      </c>
      <c r="Q2" s="136">
        <v>5.0000000000000004E-6</v>
      </c>
    </row>
    <row r="3" spans="1:17" x14ac:dyDescent="0.2">
      <c r="A3">
        <v>513</v>
      </c>
      <c r="B3">
        <v>513</v>
      </c>
      <c r="C3" t="s">
        <v>1214</v>
      </c>
      <c r="D3" t="s">
        <v>1215</v>
      </c>
      <c r="E3" t="s">
        <v>776</v>
      </c>
      <c r="F3" t="s">
        <v>218</v>
      </c>
      <c r="G3" t="s">
        <v>53</v>
      </c>
      <c r="H3" t="s">
        <v>62</v>
      </c>
      <c r="I3" t="s">
        <v>1216</v>
      </c>
      <c r="J3" t="s">
        <v>65</v>
      </c>
      <c r="K3" t="s">
        <v>1218</v>
      </c>
      <c r="L3" s="133">
        <v>7.9710000000000003E-2</v>
      </c>
      <c r="M3" s="133">
        <v>4.4409000000000001</v>
      </c>
      <c r="N3" s="136"/>
      <c r="O3" s="133">
        <v>0.35398000000000002</v>
      </c>
      <c r="P3" s="136">
        <v>1.8000000000000001E-4</v>
      </c>
      <c r="Q3" s="136">
        <v>6.9999999999999999E-6</v>
      </c>
    </row>
    <row r="4" spans="1:17" x14ac:dyDescent="0.2">
      <c r="A4">
        <v>513</v>
      </c>
      <c r="B4">
        <v>513</v>
      </c>
      <c r="C4" t="s">
        <v>1219</v>
      </c>
      <c r="D4" t="s">
        <v>1220</v>
      </c>
      <c r="E4" t="s">
        <v>776</v>
      </c>
      <c r="F4" t="s">
        <v>218</v>
      </c>
      <c r="G4" t="s">
        <v>53</v>
      </c>
      <c r="H4" t="s">
        <v>62</v>
      </c>
      <c r="I4" t="s">
        <v>1216</v>
      </c>
      <c r="J4" t="s">
        <v>65</v>
      </c>
      <c r="K4" t="s">
        <v>1221</v>
      </c>
      <c r="L4" s="133">
        <v>5.1808800000000002</v>
      </c>
      <c r="M4" s="133">
        <v>3.306</v>
      </c>
      <c r="N4" s="136"/>
      <c r="O4" s="133">
        <v>17.12799</v>
      </c>
      <c r="P4" s="136">
        <v>8.7250000000000001E-3</v>
      </c>
      <c r="Q4" s="136">
        <v>3.5199999999999999E-4</v>
      </c>
    </row>
    <row r="5" spans="1:17" x14ac:dyDescent="0.2">
      <c r="A5">
        <v>513</v>
      </c>
      <c r="B5">
        <v>513</v>
      </c>
      <c r="C5" t="s">
        <v>1219</v>
      </c>
      <c r="D5" t="s">
        <v>1220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1222</v>
      </c>
      <c r="L5" s="133">
        <v>957.22208999999998</v>
      </c>
      <c r="M5" s="133">
        <v>1</v>
      </c>
      <c r="N5" s="136"/>
      <c r="O5" s="133">
        <v>957.22208999999998</v>
      </c>
      <c r="P5" s="136">
        <v>0.48764200000000002</v>
      </c>
      <c r="Q5" s="136">
        <v>1.9689000000000002E-2</v>
      </c>
    </row>
    <row r="6" spans="1:17" x14ac:dyDescent="0.2">
      <c r="A6">
        <v>513</v>
      </c>
      <c r="B6">
        <v>513</v>
      </c>
      <c r="C6" t="s">
        <v>1219</v>
      </c>
      <c r="D6" t="s">
        <v>1220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1218</v>
      </c>
      <c r="L6" s="133">
        <v>0.32933000000000001</v>
      </c>
      <c r="M6" s="133">
        <v>4.4409000000000001</v>
      </c>
      <c r="N6" s="136"/>
      <c r="O6" s="133">
        <v>1.46252</v>
      </c>
      <c r="P6" s="136">
        <v>7.45E-4</v>
      </c>
      <c r="Q6" s="136">
        <v>3.0000000000000001E-5</v>
      </c>
    </row>
    <row r="7" spans="1:17" x14ac:dyDescent="0.2">
      <c r="A7">
        <v>513</v>
      </c>
      <c r="B7">
        <v>513</v>
      </c>
      <c r="C7" t="s">
        <v>1214</v>
      </c>
      <c r="D7" t="s">
        <v>1215</v>
      </c>
      <c r="E7" t="s">
        <v>776</v>
      </c>
      <c r="F7" t="s">
        <v>213</v>
      </c>
      <c r="G7" t="s">
        <v>53</v>
      </c>
      <c r="H7" t="s">
        <v>62</v>
      </c>
      <c r="I7" t="s">
        <v>1216</v>
      </c>
      <c r="J7" t="s">
        <v>65</v>
      </c>
      <c r="K7" t="s">
        <v>1222</v>
      </c>
      <c r="L7" s="133">
        <v>0.76632999999999996</v>
      </c>
      <c r="M7" s="133">
        <v>1</v>
      </c>
      <c r="N7" s="136"/>
      <c r="O7" s="133">
        <v>0.76632999999999996</v>
      </c>
      <c r="P7" s="136">
        <v>3.8999999999999999E-4</v>
      </c>
      <c r="Q7" s="136">
        <v>1.5E-5</v>
      </c>
    </row>
    <row r="8" spans="1:17" x14ac:dyDescent="0.2">
      <c r="A8">
        <v>513</v>
      </c>
      <c r="B8">
        <v>513</v>
      </c>
      <c r="C8" t="s">
        <v>1223</v>
      </c>
      <c r="D8" t="s">
        <v>1224</v>
      </c>
      <c r="E8" t="s">
        <v>776</v>
      </c>
      <c r="F8" t="s">
        <v>213</v>
      </c>
      <c r="G8" t="s">
        <v>53</v>
      </c>
      <c r="H8" t="s">
        <v>62</v>
      </c>
      <c r="I8" t="s">
        <v>1216</v>
      </c>
      <c r="J8" t="s">
        <v>65</v>
      </c>
      <c r="K8" t="s">
        <v>1222</v>
      </c>
      <c r="L8" s="133">
        <v>221.88571999999999</v>
      </c>
      <c r="M8" s="133">
        <v>1</v>
      </c>
      <c r="N8" s="136"/>
      <c r="O8" s="133">
        <v>221.88571999999999</v>
      </c>
      <c r="P8" s="136">
        <v>0.113035</v>
      </c>
      <c r="Q8" s="136">
        <v>4.5630000000000002E-3</v>
      </c>
    </row>
    <row r="9" spans="1:17" x14ac:dyDescent="0.2">
      <c r="A9">
        <v>513</v>
      </c>
      <c r="B9">
        <v>513</v>
      </c>
      <c r="C9" t="s">
        <v>1223</v>
      </c>
      <c r="D9" t="s">
        <v>1224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1221</v>
      </c>
      <c r="L9" s="133">
        <v>3.4619999999999998E-2</v>
      </c>
      <c r="M9" s="133">
        <v>3.306</v>
      </c>
      <c r="N9" s="136"/>
      <c r="O9" s="133">
        <v>0.11445</v>
      </c>
      <c r="P9" s="136">
        <v>5.8E-5</v>
      </c>
      <c r="Q9" s="136">
        <v>1.9999999999999999E-6</v>
      </c>
    </row>
    <row r="10" spans="1:17" x14ac:dyDescent="0.2">
      <c r="A10">
        <v>513</v>
      </c>
      <c r="B10">
        <v>513</v>
      </c>
      <c r="C10" t="s">
        <v>1223</v>
      </c>
      <c r="D10" t="s">
        <v>1224</v>
      </c>
      <c r="E10" t="s">
        <v>776</v>
      </c>
      <c r="F10" t="s">
        <v>219</v>
      </c>
      <c r="G10" t="s">
        <v>53</v>
      </c>
      <c r="H10" t="s">
        <v>62</v>
      </c>
      <c r="I10" t="s">
        <v>1216</v>
      </c>
      <c r="J10" t="s">
        <v>65</v>
      </c>
      <c r="K10" t="s">
        <v>1222</v>
      </c>
      <c r="L10" s="133">
        <v>761.03481999999997</v>
      </c>
      <c r="M10" s="133">
        <v>1</v>
      </c>
      <c r="N10" s="136"/>
      <c r="O10" s="133">
        <v>761.03481999999997</v>
      </c>
      <c r="P10" s="136">
        <v>0.38769799999999999</v>
      </c>
      <c r="Q10" s="136">
        <v>1.5654000000000001E-2</v>
      </c>
    </row>
    <row r="11" spans="1:17" x14ac:dyDescent="0.2">
      <c r="A11">
        <v>513</v>
      </c>
      <c r="B11">
        <v>513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1221</v>
      </c>
      <c r="L11" s="133">
        <v>1.24E-3</v>
      </c>
      <c r="M11" s="133">
        <v>3.306</v>
      </c>
      <c r="N11" s="136"/>
      <c r="O11" s="133">
        <v>4.1000000000000003E-3</v>
      </c>
      <c r="P11" s="136">
        <v>1.9999999999999999E-6</v>
      </c>
      <c r="Q11" s="136">
        <v>0</v>
      </c>
    </row>
    <row r="12" spans="1:17" x14ac:dyDescent="0.2">
      <c r="A12">
        <v>513</v>
      </c>
      <c r="B12">
        <v>513</v>
      </c>
      <c r="C12" t="s">
        <v>1219</v>
      </c>
      <c r="D12" t="s">
        <v>1220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1225</v>
      </c>
      <c r="L12" s="133">
        <v>0.70255999999999996</v>
      </c>
      <c r="M12" s="133">
        <v>3.8807</v>
      </c>
      <c r="N12" s="136"/>
      <c r="O12" s="133">
        <v>2.7264200000000001</v>
      </c>
      <c r="P12" s="136">
        <v>1.3879999999999999E-3</v>
      </c>
      <c r="Q12" s="136">
        <v>5.5999999999999999E-5</v>
      </c>
    </row>
    <row r="13" spans="1:17" x14ac:dyDescent="0.2">
      <c r="D13"/>
      <c r="E13" s="17"/>
      <c r="M13"/>
      <c r="N13"/>
      <c r="O13"/>
      <c r="P13"/>
      <c r="Q13"/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11" sqref="A11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3.5" style="4" bestFit="1" customWidth="1"/>
    <col min="19" max="19" width="8.625" style="4" bestFit="1" customWidth="1"/>
    <col min="20" max="20" width="11" style="4" bestFit="1" customWidth="1"/>
    <col min="21" max="21" width="9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513</v>
      </c>
      <c r="B2">
        <v>513</v>
      </c>
      <c r="C2" t="s">
        <v>1226</v>
      </c>
      <c r="D2" t="s">
        <v>1227</v>
      </c>
      <c r="E2" t="s">
        <v>1228</v>
      </c>
      <c r="F2" t="s">
        <v>223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1222</v>
      </c>
      <c r="M2" s="133">
        <v>10.56</v>
      </c>
      <c r="N2" s="137">
        <v>50191</v>
      </c>
      <c r="O2" s="136">
        <v>1.4999999999999999E-2</v>
      </c>
      <c r="P2" s="136">
        <v>4.2099999999999999E-2</v>
      </c>
      <c r="Q2" s="133"/>
      <c r="R2" s="133">
        <v>1476721</v>
      </c>
      <c r="S2" s="133">
        <v>1</v>
      </c>
      <c r="T2" s="133">
        <v>75.94</v>
      </c>
      <c r="U2" s="133">
        <v>1121.42193</v>
      </c>
      <c r="V2" s="133"/>
      <c r="W2"/>
      <c r="X2" s="136">
        <v>3.6000000000000001E-5</v>
      </c>
      <c r="Y2" s="136">
        <v>0.152949</v>
      </c>
      <c r="Z2" s="136">
        <v>2.3067000000000001E-2</v>
      </c>
    </row>
    <row r="3" spans="1:26" x14ac:dyDescent="0.2">
      <c r="A3">
        <v>513</v>
      </c>
      <c r="B3">
        <v>513</v>
      </c>
      <c r="C3" t="s">
        <v>1226</v>
      </c>
      <c r="D3" t="s">
        <v>1230</v>
      </c>
      <c r="E3" t="s">
        <v>1231</v>
      </c>
      <c r="F3" t="s">
        <v>227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1222</v>
      </c>
      <c r="M3" s="133">
        <v>0.6</v>
      </c>
      <c r="N3" s="137">
        <v>46148</v>
      </c>
      <c r="O3" s="136">
        <v>0</v>
      </c>
      <c r="P3" s="136">
        <v>4.1000000000000002E-2</v>
      </c>
      <c r="Q3" s="135"/>
      <c r="R3" s="133">
        <v>1186735</v>
      </c>
      <c r="S3" s="133">
        <v>1</v>
      </c>
      <c r="T3" s="133">
        <v>97.63</v>
      </c>
      <c r="U3" s="133">
        <v>1158.6093800000001</v>
      </c>
      <c r="V3" s="135"/>
      <c r="W3"/>
      <c r="X3" s="136">
        <v>6.4999999999999994E-5</v>
      </c>
      <c r="Y3" s="136">
        <v>0.15802099999999999</v>
      </c>
      <c r="Z3" s="136">
        <v>2.3831999999999999E-2</v>
      </c>
    </row>
    <row r="4" spans="1:26" x14ac:dyDescent="0.2">
      <c r="A4">
        <v>513</v>
      </c>
      <c r="B4">
        <v>513</v>
      </c>
      <c r="C4" t="s">
        <v>1226</v>
      </c>
      <c r="D4" t="s">
        <v>1232</v>
      </c>
      <c r="E4" t="s">
        <v>1233</v>
      </c>
      <c r="F4" t="s">
        <v>221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1222</v>
      </c>
      <c r="M4" s="133">
        <v>3.02</v>
      </c>
      <c r="N4" s="137">
        <v>47057</v>
      </c>
      <c r="O4" s="136">
        <v>1.0999999999999999E-2</v>
      </c>
      <c r="P4" s="136">
        <v>1.9900000000000001E-2</v>
      </c>
      <c r="Q4" s="135"/>
      <c r="R4" s="133">
        <v>447285</v>
      </c>
      <c r="S4" s="133">
        <v>1</v>
      </c>
      <c r="T4" s="133">
        <v>105.65</v>
      </c>
      <c r="U4" s="133">
        <v>472.5566</v>
      </c>
      <c r="V4" s="135"/>
      <c r="W4"/>
      <c r="X4" s="136">
        <v>1.2999999999999999E-5</v>
      </c>
      <c r="Y4" s="136">
        <v>6.4450999999999994E-2</v>
      </c>
      <c r="Z4" s="136">
        <v>9.7199999999999995E-3</v>
      </c>
    </row>
    <row r="5" spans="1:26" x14ac:dyDescent="0.2">
      <c r="A5">
        <v>513</v>
      </c>
      <c r="B5">
        <v>513</v>
      </c>
      <c r="C5" t="s">
        <v>1226</v>
      </c>
      <c r="D5" t="s">
        <v>1234</v>
      </c>
      <c r="E5" t="s">
        <v>1235</v>
      </c>
      <c r="F5" t="s">
        <v>221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1222</v>
      </c>
      <c r="M5" s="133">
        <v>7.53</v>
      </c>
      <c r="N5" s="137">
        <v>48883</v>
      </c>
      <c r="O5" s="136">
        <v>1.6E-2</v>
      </c>
      <c r="P5" s="136">
        <v>1.95E-2</v>
      </c>
      <c r="Q5" s="135"/>
      <c r="R5" s="133">
        <v>521734</v>
      </c>
      <c r="S5" s="133">
        <v>1</v>
      </c>
      <c r="T5" s="133">
        <v>105.4</v>
      </c>
      <c r="U5" s="133">
        <v>549.90764000000001</v>
      </c>
      <c r="V5" s="135"/>
      <c r="W5"/>
      <c r="X5" s="136">
        <v>1.9000000000000001E-5</v>
      </c>
      <c r="Y5" s="136">
        <v>7.5000999999999998E-2</v>
      </c>
      <c r="Z5" s="136">
        <v>1.1311E-2</v>
      </c>
    </row>
    <row r="6" spans="1:26" x14ac:dyDescent="0.2">
      <c r="A6">
        <v>513</v>
      </c>
      <c r="B6">
        <v>513</v>
      </c>
      <c r="C6" t="s">
        <v>1226</v>
      </c>
      <c r="D6" t="s">
        <v>1236</v>
      </c>
      <c r="E6" t="s">
        <v>1237</v>
      </c>
      <c r="F6" t="s">
        <v>223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1222</v>
      </c>
      <c r="M6" s="133">
        <v>6.29</v>
      </c>
      <c r="N6" s="137">
        <v>48334</v>
      </c>
      <c r="O6" s="136">
        <v>1.2999999999999999E-2</v>
      </c>
      <c r="P6" s="136">
        <v>4.02E-2</v>
      </c>
      <c r="Q6" s="135"/>
      <c r="R6" s="133">
        <v>1310189</v>
      </c>
      <c r="S6" s="133">
        <v>1</v>
      </c>
      <c r="T6" s="133">
        <v>85.09</v>
      </c>
      <c r="U6" s="133">
        <v>1114.8398199999999</v>
      </c>
      <c r="V6" s="135"/>
      <c r="W6"/>
      <c r="X6" s="136">
        <v>3.3000000000000003E-5</v>
      </c>
      <c r="Y6" s="136">
        <v>0.15205099999999999</v>
      </c>
      <c r="Z6" s="136">
        <v>2.2932000000000001E-2</v>
      </c>
    </row>
    <row r="7" spans="1:26" x14ac:dyDescent="0.2">
      <c r="A7">
        <v>513</v>
      </c>
      <c r="B7">
        <v>513</v>
      </c>
      <c r="C7" t="s">
        <v>1226</v>
      </c>
      <c r="D7" t="s">
        <v>1238</v>
      </c>
      <c r="E7" t="s">
        <v>1239</v>
      </c>
      <c r="F7" t="s">
        <v>221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1222</v>
      </c>
      <c r="M7" s="133">
        <v>1.66</v>
      </c>
      <c r="N7" s="137">
        <v>46538</v>
      </c>
      <c r="O7" s="136">
        <v>7.4999999999999997E-3</v>
      </c>
      <c r="P7" s="136">
        <v>2.0799999999999999E-2</v>
      </c>
      <c r="Q7" s="135"/>
      <c r="R7" s="133">
        <v>240545</v>
      </c>
      <c r="S7" s="133">
        <v>1</v>
      </c>
      <c r="T7" s="133">
        <v>117.66</v>
      </c>
      <c r="U7" s="133">
        <v>283.02525000000003</v>
      </c>
      <c r="V7" s="135"/>
      <c r="W7"/>
      <c r="X7" s="136">
        <v>9.0000000000000002E-6</v>
      </c>
      <c r="Y7" s="136">
        <v>3.8601000000000003E-2</v>
      </c>
      <c r="Z7" s="136">
        <v>5.8209999999999998E-3</v>
      </c>
    </row>
    <row r="8" spans="1:26" x14ac:dyDescent="0.2">
      <c r="A8">
        <v>513</v>
      </c>
      <c r="B8">
        <v>513</v>
      </c>
      <c r="C8" t="s">
        <v>1226</v>
      </c>
      <c r="D8" t="s">
        <v>1240</v>
      </c>
      <c r="E8" t="s">
        <v>1241</v>
      </c>
      <c r="F8" t="s">
        <v>223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1222</v>
      </c>
      <c r="M8" s="133">
        <v>11.18</v>
      </c>
      <c r="N8" s="137">
        <v>51897</v>
      </c>
      <c r="O8" s="136">
        <v>5.5E-2</v>
      </c>
      <c r="P8" s="136">
        <v>4.3400000000000001E-2</v>
      </c>
      <c r="Q8" s="135"/>
      <c r="R8" s="133">
        <v>1336351</v>
      </c>
      <c r="S8" s="133">
        <v>1</v>
      </c>
      <c r="T8" s="133">
        <v>117</v>
      </c>
      <c r="U8" s="133">
        <v>1563.5306700000001</v>
      </c>
      <c r="V8" s="135"/>
      <c r="W8"/>
      <c r="X8" s="136">
        <v>4.3000000000000002E-5</v>
      </c>
      <c r="Y8" s="136">
        <v>0.21324799999999999</v>
      </c>
      <c r="Z8" s="136">
        <v>3.2161000000000002E-2</v>
      </c>
    </row>
    <row r="9" spans="1:26" x14ac:dyDescent="0.2">
      <c r="A9">
        <v>513</v>
      </c>
      <c r="B9">
        <v>513</v>
      </c>
      <c r="C9" t="s">
        <v>1226</v>
      </c>
      <c r="D9" t="s">
        <v>1242</v>
      </c>
      <c r="E9" t="s">
        <v>1243</v>
      </c>
      <c r="F9" t="s">
        <v>223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1222</v>
      </c>
      <c r="M9" s="133">
        <v>0.41</v>
      </c>
      <c r="N9" s="137">
        <v>46080</v>
      </c>
      <c r="O9" s="136">
        <v>5.0000000000000001E-3</v>
      </c>
      <c r="P9" s="136">
        <v>4.0300000000000002E-2</v>
      </c>
      <c r="Q9" s="135"/>
      <c r="R9" s="133">
        <v>1080070</v>
      </c>
      <c r="S9" s="133">
        <v>1</v>
      </c>
      <c r="T9" s="133">
        <v>98.89</v>
      </c>
      <c r="U9" s="133">
        <v>1068.08122</v>
      </c>
      <c r="V9" s="135"/>
      <c r="W9"/>
      <c r="X9" s="136">
        <v>4.3000000000000002E-5</v>
      </c>
      <c r="Y9" s="136">
        <v>0.145674</v>
      </c>
      <c r="Z9" s="136">
        <v>2.197E-2</v>
      </c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513</v>
      </c>
      <c r="B2">
        <v>513</v>
      </c>
      <c r="C2" t="s">
        <v>1244</v>
      </c>
      <c r="D2">
        <v>513623314</v>
      </c>
      <c r="E2" t="s">
        <v>429</v>
      </c>
      <c r="F2" t="s">
        <v>1245</v>
      </c>
      <c r="G2" t="s">
        <v>1246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1247</v>
      </c>
      <c r="Q2" t="s">
        <v>70</v>
      </c>
      <c r="R2" t="s">
        <v>57</v>
      </c>
      <c r="S2" t="s">
        <v>1222</v>
      </c>
      <c r="T2" s="133">
        <v>3.54</v>
      </c>
      <c r="U2" s="137">
        <v>47937</v>
      </c>
      <c r="V2" s="136">
        <v>1.3299999999999999E-2</v>
      </c>
      <c r="W2" s="136">
        <v>2.8799999999999999E-2</v>
      </c>
      <c r="X2" t="s">
        <v>620</v>
      </c>
      <c r="Y2"/>
      <c r="Z2" s="133">
        <v>40183.58</v>
      </c>
      <c r="AA2" s="133">
        <v>1</v>
      </c>
      <c r="AB2" s="133">
        <v>112.31</v>
      </c>
      <c r="AC2" s="133"/>
      <c r="AD2" s="133">
        <v>45.130180000000003</v>
      </c>
      <c r="AE2" s="133"/>
      <c r="AF2" s="133"/>
      <c r="AG2"/>
      <c r="AH2" s="136">
        <v>3.4999999999999997E-5</v>
      </c>
      <c r="AI2" s="136">
        <v>0.483151</v>
      </c>
      <c r="AJ2" s="136">
        <v>9.2800000000000001E-4</v>
      </c>
    </row>
    <row r="3" spans="1:36" x14ac:dyDescent="0.2">
      <c r="A3">
        <v>513</v>
      </c>
      <c r="B3">
        <v>513</v>
      </c>
      <c r="C3" t="s">
        <v>1248</v>
      </c>
      <c r="D3">
        <v>513893123</v>
      </c>
      <c r="E3" t="s">
        <v>429</v>
      </c>
      <c r="F3" t="s">
        <v>1249</v>
      </c>
      <c r="G3" t="s">
        <v>1250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633</v>
      </c>
      <c r="O3" t="s">
        <v>62</v>
      </c>
      <c r="P3" t="s">
        <v>1251</v>
      </c>
      <c r="Q3" t="s">
        <v>70</v>
      </c>
      <c r="R3" t="s">
        <v>57</v>
      </c>
      <c r="S3" t="s">
        <v>1222</v>
      </c>
      <c r="T3" s="133">
        <v>2.8</v>
      </c>
      <c r="U3" s="137">
        <v>48060</v>
      </c>
      <c r="V3" s="136">
        <v>0.01</v>
      </c>
      <c r="W3" s="136">
        <v>3.2000000000000001E-2</v>
      </c>
      <c r="X3" t="s">
        <v>620</v>
      </c>
      <c r="Y3"/>
      <c r="Z3" s="133">
        <v>44258.96</v>
      </c>
      <c r="AA3" s="133">
        <v>1</v>
      </c>
      <c r="AB3" s="133">
        <v>109.08</v>
      </c>
      <c r="AC3" s="135"/>
      <c r="AD3" s="133">
        <v>48.277670000000001</v>
      </c>
      <c r="AE3" s="135"/>
      <c r="AF3" s="135"/>
      <c r="AG3"/>
      <c r="AH3" s="136">
        <v>2.3E-5</v>
      </c>
      <c r="AI3" s="136">
        <v>0.51684799999999997</v>
      </c>
      <c r="AJ3" s="136">
        <v>9.9299999999999996E-4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513</v>
      </c>
      <c r="B2">
        <v>513</v>
      </c>
      <c r="C2" t="s">
        <v>1252</v>
      </c>
      <c r="D2">
        <v>520044322</v>
      </c>
      <c r="E2" t="s">
        <v>429</v>
      </c>
      <c r="F2" t="s">
        <v>1253</v>
      </c>
      <c r="G2" t="s">
        <v>1254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1222</v>
      </c>
      <c r="Q2" s="133">
        <v>59</v>
      </c>
      <c r="R2" s="133">
        <v>1</v>
      </c>
      <c r="S2" s="133">
        <v>80070</v>
      </c>
      <c r="T2" s="133"/>
      <c r="U2" s="133">
        <v>47.241300000000003</v>
      </c>
      <c r="V2" s="136">
        <v>3.0000000000000001E-6</v>
      </c>
      <c r="W2" s="136">
        <v>1</v>
      </c>
      <c r="X2" s="136">
        <v>9.7099999999999997E-4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8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513</v>
      </c>
      <c r="B2">
        <v>513</v>
      </c>
      <c r="C2" t="s">
        <v>1255</v>
      </c>
      <c r="D2">
        <v>510938608</v>
      </c>
      <c r="E2" t="s">
        <v>429</v>
      </c>
      <c r="F2" t="s">
        <v>1256</v>
      </c>
      <c r="G2" t="s">
        <v>1257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985</v>
      </c>
      <c r="N2" t="s">
        <v>62</v>
      </c>
      <c r="O2" t="s">
        <v>1222</v>
      </c>
      <c r="P2" s="133">
        <v>33381</v>
      </c>
      <c r="Q2" s="133">
        <v>1</v>
      </c>
      <c r="R2" s="133">
        <v>4586.37</v>
      </c>
      <c r="S2" s="133"/>
      <c r="T2" s="133">
        <v>1530.9761699999999</v>
      </c>
      <c r="U2" s="136">
        <v>3.137E-3</v>
      </c>
      <c r="V2" s="136">
        <v>3.9655000000000003E-2</v>
      </c>
      <c r="W2" s="136">
        <v>3.1491999999999999E-2</v>
      </c>
    </row>
    <row r="3" spans="1:23" x14ac:dyDescent="0.2">
      <c r="A3">
        <v>513</v>
      </c>
      <c r="B3">
        <v>513</v>
      </c>
      <c r="C3" t="s">
        <v>1258</v>
      </c>
      <c r="D3">
        <v>513534974</v>
      </c>
      <c r="E3" t="s">
        <v>429</v>
      </c>
      <c r="F3" t="s">
        <v>1259</v>
      </c>
      <c r="G3" t="s">
        <v>1260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985</v>
      </c>
      <c r="N3" t="s">
        <v>62</v>
      </c>
      <c r="O3" t="s">
        <v>1222</v>
      </c>
      <c r="P3" s="133">
        <v>49104</v>
      </c>
      <c r="Q3" s="133">
        <v>1</v>
      </c>
      <c r="R3" s="133">
        <v>421.35</v>
      </c>
      <c r="S3" s="133"/>
      <c r="T3" s="133">
        <v>206.8997</v>
      </c>
      <c r="U3" s="136">
        <v>6.6000000000000005E-5</v>
      </c>
      <c r="V3" s="136">
        <v>5.359E-3</v>
      </c>
      <c r="W3" s="136">
        <v>4.2550000000000001E-3</v>
      </c>
    </row>
    <row r="4" spans="1:23" x14ac:dyDescent="0.2">
      <c r="A4">
        <v>513</v>
      </c>
      <c r="B4">
        <v>513</v>
      </c>
      <c r="C4" t="s">
        <v>1258</v>
      </c>
      <c r="D4">
        <v>513534974</v>
      </c>
      <c r="E4" t="s">
        <v>429</v>
      </c>
      <c r="F4" t="s">
        <v>1261</v>
      </c>
      <c r="G4" t="s">
        <v>1262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963</v>
      </c>
      <c r="N4" t="s">
        <v>62</v>
      </c>
      <c r="O4" t="s">
        <v>1222</v>
      </c>
      <c r="P4" s="133">
        <v>56373</v>
      </c>
      <c r="Q4" s="133">
        <v>1</v>
      </c>
      <c r="R4" s="133">
        <v>4173.34</v>
      </c>
      <c r="S4" s="133"/>
      <c r="T4" s="133">
        <v>2352.6369599999998</v>
      </c>
      <c r="U4" s="136">
        <v>4.1070000000000004E-3</v>
      </c>
      <c r="V4" s="136">
        <v>6.0936999999999998E-2</v>
      </c>
      <c r="W4" s="136">
        <v>4.8392999999999999E-2</v>
      </c>
    </row>
    <row r="5" spans="1:23" x14ac:dyDescent="0.2">
      <c r="A5">
        <v>513</v>
      </c>
      <c r="B5">
        <v>513</v>
      </c>
      <c r="C5" t="s">
        <v>1263</v>
      </c>
      <c r="D5">
        <v>511303661</v>
      </c>
      <c r="E5" t="s">
        <v>429</v>
      </c>
      <c r="F5" t="s">
        <v>1264</v>
      </c>
      <c r="G5" t="s">
        <v>1265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985</v>
      </c>
      <c r="N5" t="s">
        <v>62</v>
      </c>
      <c r="O5" t="s">
        <v>1222</v>
      </c>
      <c r="P5" s="133">
        <v>44354</v>
      </c>
      <c r="Q5" s="133">
        <v>1</v>
      </c>
      <c r="R5" s="133">
        <v>339.54</v>
      </c>
      <c r="S5" s="133"/>
      <c r="T5" s="133">
        <v>150.59957</v>
      </c>
      <c r="U5" s="136">
        <v>1.7699999999999999E-4</v>
      </c>
      <c r="V5" s="136">
        <v>3.8999999999999998E-3</v>
      </c>
      <c r="W5" s="136">
        <v>3.0969999999999999E-3</v>
      </c>
    </row>
    <row r="6" spans="1:23" x14ac:dyDescent="0.2">
      <c r="A6">
        <v>513</v>
      </c>
      <c r="B6">
        <v>513</v>
      </c>
      <c r="C6" t="s">
        <v>1266</v>
      </c>
      <c r="D6">
        <v>511776783</v>
      </c>
      <c r="E6" t="s">
        <v>429</v>
      </c>
      <c r="F6" t="s">
        <v>1267</v>
      </c>
      <c r="G6" t="s">
        <v>1268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42" t="s">
        <v>965</v>
      </c>
      <c r="N6" t="s">
        <v>62</v>
      </c>
      <c r="O6" t="s">
        <v>1222</v>
      </c>
      <c r="P6" s="133">
        <v>48142</v>
      </c>
      <c r="Q6" s="133">
        <v>1</v>
      </c>
      <c r="R6" s="133">
        <v>390.79</v>
      </c>
      <c r="S6" s="133"/>
      <c r="T6" s="133">
        <v>188.13412</v>
      </c>
      <c r="U6" s="136">
        <v>1.55E-4</v>
      </c>
      <c r="V6" s="136">
        <v>4.8729999999999997E-3</v>
      </c>
      <c r="W6" s="136">
        <v>3.869E-3</v>
      </c>
    </row>
    <row r="7" spans="1:23" x14ac:dyDescent="0.2">
      <c r="A7">
        <v>513</v>
      </c>
      <c r="B7">
        <v>513</v>
      </c>
      <c r="C7" t="s">
        <v>1269</v>
      </c>
      <c r="D7">
        <v>514884485</v>
      </c>
      <c r="E7" t="s">
        <v>429</v>
      </c>
      <c r="F7" t="s">
        <v>1270</v>
      </c>
      <c r="G7" t="s">
        <v>1271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1045</v>
      </c>
      <c r="N7" t="s">
        <v>62</v>
      </c>
      <c r="O7" t="s">
        <v>1222</v>
      </c>
      <c r="P7" s="133">
        <v>12916</v>
      </c>
      <c r="Q7" s="133">
        <v>1</v>
      </c>
      <c r="R7" s="133">
        <v>8845</v>
      </c>
      <c r="S7" s="133"/>
      <c r="T7" s="133">
        <v>1142.4202</v>
      </c>
      <c r="U7" s="136">
        <v>1.0499999999999999E-3</v>
      </c>
      <c r="V7" s="136">
        <v>2.9590000000000002E-2</v>
      </c>
      <c r="W7" s="136">
        <v>2.3498999999999999E-2</v>
      </c>
    </row>
    <row r="8" spans="1:23" x14ac:dyDescent="0.2">
      <c r="A8">
        <v>513</v>
      </c>
      <c r="B8">
        <v>513</v>
      </c>
      <c r="C8" t="s">
        <v>1266</v>
      </c>
      <c r="D8">
        <v>511776783</v>
      </c>
      <c r="E8" t="s">
        <v>429</v>
      </c>
      <c r="F8" t="s">
        <v>1272</v>
      </c>
      <c r="G8" t="s">
        <v>1273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42" t="s">
        <v>1053</v>
      </c>
      <c r="N8" t="s">
        <v>62</v>
      </c>
      <c r="O8" t="s">
        <v>1222</v>
      </c>
      <c r="P8" s="133">
        <v>7445</v>
      </c>
      <c r="Q8" s="133">
        <v>1</v>
      </c>
      <c r="R8" s="133">
        <v>3192</v>
      </c>
      <c r="S8" s="133"/>
      <c r="T8" s="133">
        <v>237.64439999999999</v>
      </c>
      <c r="U8" s="136">
        <v>3.6000000000000001E-5</v>
      </c>
      <c r="V8" s="136">
        <v>6.1549999999999999E-3</v>
      </c>
      <c r="W8" s="136">
        <v>4.888E-3</v>
      </c>
    </row>
    <row r="9" spans="1:23" x14ac:dyDescent="0.2">
      <c r="A9">
        <v>513</v>
      </c>
      <c r="B9">
        <v>513</v>
      </c>
      <c r="C9" t="s">
        <v>1274</v>
      </c>
      <c r="D9">
        <v>513765339</v>
      </c>
      <c r="E9" t="s">
        <v>429</v>
      </c>
      <c r="F9" t="s">
        <v>1275</v>
      </c>
      <c r="G9" t="s">
        <v>1276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965</v>
      </c>
      <c r="N9" t="s">
        <v>62</v>
      </c>
      <c r="O9" t="s">
        <v>1222</v>
      </c>
      <c r="P9" s="133">
        <v>22972.86</v>
      </c>
      <c r="Q9" s="133">
        <v>1</v>
      </c>
      <c r="R9" s="133">
        <v>392.58</v>
      </c>
      <c r="S9" s="133"/>
      <c r="T9" s="133">
        <v>90.186850000000007</v>
      </c>
      <c r="U9" s="136">
        <v>1.5999999999999999E-5</v>
      </c>
      <c r="V9" s="136">
        <v>2.3349999999999998E-3</v>
      </c>
      <c r="W9" s="136">
        <v>1.8550000000000001E-3</v>
      </c>
    </row>
    <row r="10" spans="1:23" x14ac:dyDescent="0.2">
      <c r="A10">
        <v>513</v>
      </c>
      <c r="B10">
        <v>513</v>
      </c>
      <c r="C10" t="s">
        <v>1263</v>
      </c>
      <c r="D10">
        <v>511303661</v>
      </c>
      <c r="E10" t="s">
        <v>429</v>
      </c>
      <c r="F10" t="s">
        <v>1277</v>
      </c>
      <c r="G10" t="s">
        <v>1278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2" t="s">
        <v>963</v>
      </c>
      <c r="N10" t="s">
        <v>62</v>
      </c>
      <c r="O10" t="s">
        <v>1222</v>
      </c>
      <c r="P10" s="133">
        <v>24840</v>
      </c>
      <c r="Q10" s="133">
        <v>1</v>
      </c>
      <c r="R10" s="133">
        <v>442.33</v>
      </c>
      <c r="S10" s="133"/>
      <c r="T10" s="133">
        <v>109.87477</v>
      </c>
      <c r="U10" s="136">
        <v>2.1599999999999999E-4</v>
      </c>
      <c r="V10" s="136">
        <v>2.8449999999999999E-3</v>
      </c>
      <c r="W10" s="136">
        <v>2.2599999999999999E-3</v>
      </c>
    </row>
    <row r="11" spans="1:23" x14ac:dyDescent="0.2">
      <c r="A11">
        <v>513</v>
      </c>
      <c r="B11">
        <v>513</v>
      </c>
      <c r="C11" t="s">
        <v>1266</v>
      </c>
      <c r="D11">
        <v>511776783</v>
      </c>
      <c r="E11" t="s">
        <v>429</v>
      </c>
      <c r="F11" t="s">
        <v>1279</v>
      </c>
      <c r="G11" t="s">
        <v>1280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2" t="s">
        <v>985</v>
      </c>
      <c r="N11" t="s">
        <v>62</v>
      </c>
      <c r="O11" t="s">
        <v>1222</v>
      </c>
      <c r="P11" s="133">
        <v>288730</v>
      </c>
      <c r="Q11" s="133">
        <v>1</v>
      </c>
      <c r="R11" s="133">
        <v>422.22</v>
      </c>
      <c r="S11" s="133"/>
      <c r="T11" s="133">
        <v>1219.07581</v>
      </c>
      <c r="U11" s="136">
        <v>1.6639999999999999E-3</v>
      </c>
      <c r="V11" s="136">
        <v>3.1576E-2</v>
      </c>
      <c r="W11" s="136">
        <v>2.5076000000000001E-2</v>
      </c>
    </row>
    <row r="12" spans="1:23" x14ac:dyDescent="0.2">
      <c r="A12">
        <v>513</v>
      </c>
      <c r="B12">
        <v>513</v>
      </c>
      <c r="C12" t="s">
        <v>1255</v>
      </c>
      <c r="D12">
        <v>510938608</v>
      </c>
      <c r="E12" t="s">
        <v>429</v>
      </c>
      <c r="F12" t="s">
        <v>1281</v>
      </c>
      <c r="G12" t="s">
        <v>1282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2" t="s">
        <v>963</v>
      </c>
      <c r="N12" t="s">
        <v>62</v>
      </c>
      <c r="O12" t="s">
        <v>1222</v>
      </c>
      <c r="P12" s="133">
        <v>52392</v>
      </c>
      <c r="Q12" s="133">
        <v>1</v>
      </c>
      <c r="R12" s="133">
        <v>4154.45</v>
      </c>
      <c r="S12" s="133"/>
      <c r="T12" s="133">
        <v>2176.59944</v>
      </c>
      <c r="U12" s="136">
        <v>2.6940000000000002E-3</v>
      </c>
      <c r="V12" s="136">
        <v>5.6376999999999997E-2</v>
      </c>
      <c r="W12" s="136">
        <v>4.4771999999999999E-2</v>
      </c>
    </row>
    <row r="13" spans="1:23" x14ac:dyDescent="0.2">
      <c r="A13">
        <v>513</v>
      </c>
      <c r="B13">
        <v>513</v>
      </c>
      <c r="C13" t="s">
        <v>1266</v>
      </c>
      <c r="D13">
        <v>511776783</v>
      </c>
      <c r="E13" t="s">
        <v>429</v>
      </c>
      <c r="F13" t="s">
        <v>1283</v>
      </c>
      <c r="G13" t="s">
        <v>1284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2" t="s">
        <v>964</v>
      </c>
      <c r="N13" t="s">
        <v>62</v>
      </c>
      <c r="O13" t="s">
        <v>1222</v>
      </c>
      <c r="P13" s="133">
        <v>170120</v>
      </c>
      <c r="Q13" s="133">
        <v>1</v>
      </c>
      <c r="R13" s="133">
        <v>380.94</v>
      </c>
      <c r="S13" s="133"/>
      <c r="T13" s="133">
        <v>648.05512999999996</v>
      </c>
      <c r="U13" s="136">
        <v>1.1739999999999999E-3</v>
      </c>
      <c r="V13" s="136">
        <v>1.6785000000000001E-2</v>
      </c>
      <c r="W13" s="136">
        <v>1.333E-2</v>
      </c>
    </row>
    <row r="14" spans="1:23" x14ac:dyDescent="0.2">
      <c r="A14">
        <v>513</v>
      </c>
      <c r="B14">
        <v>513</v>
      </c>
      <c r="C14" t="s">
        <v>1274</v>
      </c>
      <c r="D14">
        <v>513765339</v>
      </c>
      <c r="E14" t="s">
        <v>429</v>
      </c>
      <c r="F14" t="s">
        <v>1285</v>
      </c>
      <c r="G14" t="s">
        <v>1286</v>
      </c>
      <c r="H14" t="s">
        <v>76</v>
      </c>
      <c r="I14" t="s">
        <v>234</v>
      </c>
      <c r="J14" t="s">
        <v>53</v>
      </c>
      <c r="K14" t="s">
        <v>53</v>
      </c>
      <c r="L14" t="s">
        <v>311</v>
      </c>
      <c r="M14" s="142" t="s">
        <v>1053</v>
      </c>
      <c r="N14" t="s">
        <v>62</v>
      </c>
      <c r="O14" t="s">
        <v>1222</v>
      </c>
      <c r="P14" s="133">
        <v>47998</v>
      </c>
      <c r="Q14" s="133">
        <v>1</v>
      </c>
      <c r="R14" s="133">
        <v>3172</v>
      </c>
      <c r="S14" s="133"/>
      <c r="T14" s="133">
        <v>1522.49656</v>
      </c>
      <c r="U14" s="136">
        <v>1.1900000000000001E-4</v>
      </c>
      <c r="V14" s="136">
        <v>3.9434999999999998E-2</v>
      </c>
      <c r="W14" s="136">
        <v>3.1316999999999998E-2</v>
      </c>
    </row>
    <row r="15" spans="1:23" x14ac:dyDescent="0.2">
      <c r="A15">
        <v>513</v>
      </c>
      <c r="B15">
        <v>513</v>
      </c>
      <c r="C15" t="s">
        <v>1255</v>
      </c>
      <c r="D15">
        <v>510938608</v>
      </c>
      <c r="E15" t="s">
        <v>429</v>
      </c>
      <c r="F15" t="s">
        <v>1287</v>
      </c>
      <c r="G15" t="s">
        <v>1288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2" t="s">
        <v>963</v>
      </c>
      <c r="N15" t="s">
        <v>62</v>
      </c>
      <c r="O15" t="s">
        <v>1222</v>
      </c>
      <c r="P15" s="133">
        <v>23536</v>
      </c>
      <c r="Q15" s="133">
        <v>1</v>
      </c>
      <c r="R15" s="133">
        <v>4036.9</v>
      </c>
      <c r="S15" s="133"/>
      <c r="T15" s="133">
        <v>950.12477999999999</v>
      </c>
      <c r="U15" s="136">
        <v>1.529E-3</v>
      </c>
      <c r="V15" s="136">
        <v>2.4608999999999999E-2</v>
      </c>
      <c r="W15" s="136">
        <v>1.9543000000000001E-2</v>
      </c>
    </row>
    <row r="16" spans="1:23" x14ac:dyDescent="0.2">
      <c r="A16">
        <v>513</v>
      </c>
      <c r="B16">
        <v>513</v>
      </c>
      <c r="C16" t="s">
        <v>1266</v>
      </c>
      <c r="D16">
        <v>511776783</v>
      </c>
      <c r="E16" t="s">
        <v>429</v>
      </c>
      <c r="F16" t="s">
        <v>1289</v>
      </c>
      <c r="G16" t="s">
        <v>1290</v>
      </c>
      <c r="H16" t="s">
        <v>76</v>
      </c>
      <c r="I16" t="s">
        <v>234</v>
      </c>
      <c r="J16" t="s">
        <v>53</v>
      </c>
      <c r="K16" t="s">
        <v>53</v>
      </c>
      <c r="L16" t="s">
        <v>311</v>
      </c>
      <c r="M16" s="142" t="s">
        <v>1044</v>
      </c>
      <c r="N16" t="s">
        <v>62</v>
      </c>
      <c r="O16" t="s">
        <v>1222</v>
      </c>
      <c r="P16" s="133">
        <v>38101</v>
      </c>
      <c r="Q16" s="133">
        <v>1</v>
      </c>
      <c r="R16" s="133">
        <v>3163</v>
      </c>
      <c r="S16" s="133"/>
      <c r="T16" s="133">
        <v>1205.13463</v>
      </c>
      <c r="U16" s="136">
        <v>4.4700000000000002E-4</v>
      </c>
      <c r="V16" s="136">
        <v>3.1215E-2</v>
      </c>
      <c r="W16" s="136">
        <v>2.4788999999999999E-2</v>
      </c>
    </row>
    <row r="17" spans="1:23" x14ac:dyDescent="0.2">
      <c r="A17">
        <v>513</v>
      </c>
      <c r="B17">
        <v>513</v>
      </c>
      <c r="C17" t="s">
        <v>1266</v>
      </c>
      <c r="D17">
        <v>511776783</v>
      </c>
      <c r="E17" t="s">
        <v>429</v>
      </c>
      <c r="F17" t="s">
        <v>1291</v>
      </c>
      <c r="G17" t="s">
        <v>1292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2" t="s">
        <v>985</v>
      </c>
      <c r="N17" t="s">
        <v>62</v>
      </c>
      <c r="O17" t="s">
        <v>1222</v>
      </c>
      <c r="P17" s="133">
        <v>106795</v>
      </c>
      <c r="Q17" s="133">
        <v>1</v>
      </c>
      <c r="R17" s="133">
        <v>419.81</v>
      </c>
      <c r="S17" s="133"/>
      <c r="T17" s="133">
        <v>448.33609000000001</v>
      </c>
      <c r="U17" s="136">
        <v>3.9100000000000002E-4</v>
      </c>
      <c r="V17" s="136">
        <v>1.1612000000000001E-2</v>
      </c>
      <c r="W17" s="136">
        <v>9.2219999999999993E-3</v>
      </c>
    </row>
    <row r="18" spans="1:23" x14ac:dyDescent="0.2">
      <c r="A18">
        <v>513</v>
      </c>
      <c r="B18">
        <v>513</v>
      </c>
      <c r="C18" t="s">
        <v>1255</v>
      </c>
      <c r="D18">
        <v>510938608</v>
      </c>
      <c r="E18" t="s">
        <v>429</v>
      </c>
      <c r="F18" t="s">
        <v>1293</v>
      </c>
      <c r="G18" t="s">
        <v>1294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2" t="s">
        <v>985</v>
      </c>
      <c r="N18" t="s">
        <v>62</v>
      </c>
      <c r="O18" t="s">
        <v>1222</v>
      </c>
      <c r="P18" s="133">
        <v>4306</v>
      </c>
      <c r="Q18" s="133">
        <v>1</v>
      </c>
      <c r="R18" s="133">
        <v>4241.12</v>
      </c>
      <c r="S18" s="133"/>
      <c r="T18" s="133">
        <v>182.62262999999999</v>
      </c>
      <c r="U18" s="136">
        <v>1.1E-4</v>
      </c>
      <c r="V18" s="136">
        <v>4.7299999999999998E-3</v>
      </c>
      <c r="W18" s="136">
        <v>3.7559999999999998E-3</v>
      </c>
    </row>
    <row r="19" spans="1:23" x14ac:dyDescent="0.2">
      <c r="A19">
        <v>513</v>
      </c>
      <c r="B19">
        <v>513</v>
      </c>
      <c r="C19" t="s">
        <v>1258</v>
      </c>
      <c r="D19">
        <v>513534974</v>
      </c>
      <c r="E19" t="s">
        <v>429</v>
      </c>
      <c r="F19" t="s">
        <v>1295</v>
      </c>
      <c r="G19" t="s">
        <v>1296</v>
      </c>
      <c r="H19" t="s">
        <v>76</v>
      </c>
      <c r="I19" t="s">
        <v>234</v>
      </c>
      <c r="J19" t="s">
        <v>53</v>
      </c>
      <c r="K19" t="s">
        <v>53</v>
      </c>
      <c r="L19" t="s">
        <v>311</v>
      </c>
      <c r="M19" s="142" t="s">
        <v>1044</v>
      </c>
      <c r="N19" t="s">
        <v>62</v>
      </c>
      <c r="O19" t="s">
        <v>1222</v>
      </c>
      <c r="P19" s="133">
        <v>14798</v>
      </c>
      <c r="Q19" s="133">
        <v>1</v>
      </c>
      <c r="R19" s="133">
        <v>3151</v>
      </c>
      <c r="S19" s="133"/>
      <c r="T19" s="133">
        <v>466.28498000000002</v>
      </c>
      <c r="U19" s="136">
        <v>5.7000000000000003E-5</v>
      </c>
      <c r="V19" s="136">
        <v>1.2076999999999999E-2</v>
      </c>
      <c r="W19" s="136">
        <v>9.5910000000000006E-3</v>
      </c>
    </row>
    <row r="20" spans="1:23" x14ac:dyDescent="0.2">
      <c r="A20">
        <v>513</v>
      </c>
      <c r="B20">
        <v>513</v>
      </c>
      <c r="C20" t="s">
        <v>1255</v>
      </c>
      <c r="D20">
        <v>510938608</v>
      </c>
      <c r="E20" t="s">
        <v>429</v>
      </c>
      <c r="F20" t="s">
        <v>1297</v>
      </c>
      <c r="G20" t="s">
        <v>1298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1044</v>
      </c>
      <c r="N20" t="s">
        <v>62</v>
      </c>
      <c r="O20" t="s">
        <v>1222</v>
      </c>
      <c r="P20" s="133">
        <v>1506.42</v>
      </c>
      <c r="Q20" s="133">
        <v>1</v>
      </c>
      <c r="R20" s="133">
        <v>31380</v>
      </c>
      <c r="S20" s="133"/>
      <c r="T20" s="133">
        <v>472.71460000000002</v>
      </c>
      <c r="U20" s="136">
        <v>7.7000000000000001E-5</v>
      </c>
      <c r="V20" s="136">
        <v>1.2244E-2</v>
      </c>
      <c r="W20" s="136">
        <v>9.7230000000000007E-3</v>
      </c>
    </row>
    <row r="21" spans="1:23" x14ac:dyDescent="0.2">
      <c r="A21">
        <v>513</v>
      </c>
      <c r="B21">
        <v>513</v>
      </c>
      <c r="C21" t="s">
        <v>1263</v>
      </c>
      <c r="D21">
        <v>511303661</v>
      </c>
      <c r="E21" t="s">
        <v>429</v>
      </c>
      <c r="F21" t="s">
        <v>1299</v>
      </c>
      <c r="G21" t="s">
        <v>1300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2" t="s">
        <v>1044</v>
      </c>
      <c r="N21" t="s">
        <v>62</v>
      </c>
      <c r="O21" t="s">
        <v>1222</v>
      </c>
      <c r="P21" s="133">
        <v>31202</v>
      </c>
      <c r="Q21" s="133">
        <v>1</v>
      </c>
      <c r="R21" s="133">
        <v>4301</v>
      </c>
      <c r="S21" s="133"/>
      <c r="T21" s="133">
        <v>1341.99802</v>
      </c>
      <c r="U21" s="136">
        <v>4.4499999999999997E-4</v>
      </c>
      <c r="V21" s="136">
        <v>3.4759999999999999E-2</v>
      </c>
      <c r="W21" s="136">
        <v>2.7604E-2</v>
      </c>
    </row>
    <row r="22" spans="1:23" x14ac:dyDescent="0.2">
      <c r="A22">
        <v>513</v>
      </c>
      <c r="B22">
        <v>513</v>
      </c>
      <c r="C22" t="s">
        <v>1255</v>
      </c>
      <c r="D22">
        <v>510938608</v>
      </c>
      <c r="E22" t="s">
        <v>429</v>
      </c>
      <c r="F22" t="s">
        <v>1301</v>
      </c>
      <c r="G22" t="s">
        <v>1302</v>
      </c>
      <c r="H22" t="s">
        <v>76</v>
      </c>
      <c r="I22" t="s">
        <v>234</v>
      </c>
      <c r="J22" t="s">
        <v>53</v>
      </c>
      <c r="K22" t="s">
        <v>53</v>
      </c>
      <c r="L22" t="s">
        <v>311</v>
      </c>
      <c r="M22" s="142" t="s">
        <v>1053</v>
      </c>
      <c r="N22" t="s">
        <v>62</v>
      </c>
      <c r="O22" t="s">
        <v>1222</v>
      </c>
      <c r="P22" s="133">
        <v>2201</v>
      </c>
      <c r="Q22" s="133">
        <v>1</v>
      </c>
      <c r="R22" s="133">
        <v>31750</v>
      </c>
      <c r="S22" s="133"/>
      <c r="T22" s="133">
        <v>698.8175</v>
      </c>
      <c r="U22" s="136">
        <v>6.2000000000000003E-5</v>
      </c>
      <c r="V22" s="136">
        <v>1.8100000000000002E-2</v>
      </c>
      <c r="W22" s="136">
        <v>1.4374E-2</v>
      </c>
    </row>
    <row r="23" spans="1:23" x14ac:dyDescent="0.2">
      <c r="A23">
        <v>513</v>
      </c>
      <c r="B23">
        <v>513</v>
      </c>
      <c r="C23" t="s">
        <v>1258</v>
      </c>
      <c r="D23">
        <v>513534974</v>
      </c>
      <c r="E23" t="s">
        <v>429</v>
      </c>
      <c r="F23" t="s">
        <v>1303</v>
      </c>
      <c r="G23" t="s">
        <v>1304</v>
      </c>
      <c r="H23" t="s">
        <v>76</v>
      </c>
      <c r="I23" t="s">
        <v>234</v>
      </c>
      <c r="J23" t="s">
        <v>53</v>
      </c>
      <c r="K23" t="s">
        <v>53</v>
      </c>
      <c r="L23" t="s">
        <v>311</v>
      </c>
      <c r="M23" s="142" t="s">
        <v>1053</v>
      </c>
      <c r="N23" t="s">
        <v>62</v>
      </c>
      <c r="O23" t="s">
        <v>1222</v>
      </c>
      <c r="P23" s="133">
        <v>89928</v>
      </c>
      <c r="Q23" s="133">
        <v>1</v>
      </c>
      <c r="R23" s="133">
        <v>3198</v>
      </c>
      <c r="S23" s="133"/>
      <c r="T23" s="133">
        <v>2875.8974400000002</v>
      </c>
      <c r="U23" s="136">
        <v>2.04E-4</v>
      </c>
      <c r="V23" s="136">
        <v>7.4490000000000001E-2</v>
      </c>
      <c r="W23" s="136">
        <v>5.9157000000000001E-2</v>
      </c>
    </row>
    <row r="24" spans="1:23" x14ac:dyDescent="0.2">
      <c r="A24">
        <v>513</v>
      </c>
      <c r="B24">
        <v>513</v>
      </c>
      <c r="C24" t="s">
        <v>1305</v>
      </c>
      <c r="D24" t="s">
        <v>1306</v>
      </c>
      <c r="E24" t="s">
        <v>430</v>
      </c>
      <c r="F24" t="s">
        <v>1307</v>
      </c>
      <c r="G24" t="s">
        <v>1308</v>
      </c>
      <c r="H24" t="s">
        <v>76</v>
      </c>
      <c r="I24" t="s">
        <v>235</v>
      </c>
      <c r="J24" t="s">
        <v>61</v>
      </c>
      <c r="K24" t="s">
        <v>317</v>
      </c>
      <c r="L24" t="s">
        <v>486</v>
      </c>
      <c r="M24" s="142" t="s">
        <v>759</v>
      </c>
      <c r="N24" t="s">
        <v>62</v>
      </c>
      <c r="O24" t="s">
        <v>1221</v>
      </c>
      <c r="P24" s="133">
        <v>78391</v>
      </c>
      <c r="Q24" s="133">
        <v>3.306</v>
      </c>
      <c r="R24" s="133">
        <v>688.7</v>
      </c>
      <c r="S24" s="133"/>
      <c r="T24" s="133">
        <v>1784.8393699999999</v>
      </c>
      <c r="U24" s="136">
        <v>4.2200000000000001E-4</v>
      </c>
      <c r="V24" s="136">
        <v>4.623E-2</v>
      </c>
      <c r="W24" s="136">
        <v>3.6713999999999997E-2</v>
      </c>
    </row>
    <row r="25" spans="1:23" x14ac:dyDescent="0.2">
      <c r="A25">
        <v>513</v>
      </c>
      <c r="B25">
        <v>513</v>
      </c>
      <c r="C25" t="s">
        <v>1309</v>
      </c>
      <c r="D25" t="s">
        <v>1310</v>
      </c>
      <c r="E25" t="s">
        <v>102</v>
      </c>
      <c r="F25" t="s">
        <v>1311</v>
      </c>
      <c r="G25" t="s">
        <v>1312</v>
      </c>
      <c r="H25" t="s">
        <v>76</v>
      </c>
      <c r="I25" t="s">
        <v>235</v>
      </c>
      <c r="J25" t="s">
        <v>61</v>
      </c>
      <c r="K25" t="s">
        <v>315</v>
      </c>
      <c r="L25" t="s">
        <v>476</v>
      </c>
      <c r="M25" s="142" t="s">
        <v>759</v>
      </c>
      <c r="N25" t="s">
        <v>62</v>
      </c>
      <c r="O25" t="s">
        <v>1218</v>
      </c>
      <c r="P25" s="133">
        <v>3978</v>
      </c>
      <c r="Q25" s="133">
        <v>4.4409000000000001</v>
      </c>
      <c r="R25" s="133">
        <v>1666.9</v>
      </c>
      <c r="S25" s="133"/>
      <c r="T25" s="133">
        <v>294.47287</v>
      </c>
      <c r="U25" s="136">
        <v>1.03E-4</v>
      </c>
      <c r="V25" s="136">
        <v>7.6270000000000001E-3</v>
      </c>
      <c r="W25" s="136">
        <v>6.0569999999999999E-3</v>
      </c>
    </row>
    <row r="26" spans="1:23" x14ac:dyDescent="0.2">
      <c r="A26">
        <v>513</v>
      </c>
      <c r="B26">
        <v>513</v>
      </c>
      <c r="C26" t="s">
        <v>1313</v>
      </c>
      <c r="D26" t="s">
        <v>1314</v>
      </c>
      <c r="E26" t="s">
        <v>430</v>
      </c>
      <c r="F26" t="s">
        <v>1315</v>
      </c>
      <c r="G26" t="s">
        <v>1316</v>
      </c>
      <c r="H26" t="s">
        <v>76</v>
      </c>
      <c r="I26" t="s">
        <v>235</v>
      </c>
      <c r="J26" t="s">
        <v>61</v>
      </c>
      <c r="K26" t="s">
        <v>316</v>
      </c>
      <c r="L26" t="s">
        <v>494</v>
      </c>
      <c r="M26" s="142" t="s">
        <v>759</v>
      </c>
      <c r="N26" t="s">
        <v>62</v>
      </c>
      <c r="O26" t="s">
        <v>1221</v>
      </c>
      <c r="P26" s="133">
        <v>3523</v>
      </c>
      <c r="Q26" s="133">
        <v>3.306</v>
      </c>
      <c r="R26" s="133">
        <v>13492</v>
      </c>
      <c r="S26" s="133"/>
      <c r="T26" s="133">
        <v>1571.4183700000001</v>
      </c>
      <c r="U26" s="136">
        <v>6.7999999999999999E-5</v>
      </c>
      <c r="V26" s="136">
        <v>4.0702000000000002E-2</v>
      </c>
      <c r="W26" s="136">
        <v>3.2322999999999998E-2</v>
      </c>
    </row>
    <row r="27" spans="1:23" x14ac:dyDescent="0.2">
      <c r="A27">
        <v>513</v>
      </c>
      <c r="B27">
        <v>513</v>
      </c>
      <c r="C27" t="s">
        <v>1317</v>
      </c>
      <c r="D27" t="s">
        <v>1318</v>
      </c>
      <c r="E27" t="s">
        <v>430</v>
      </c>
      <c r="F27" t="s">
        <v>1319</v>
      </c>
      <c r="G27" t="s">
        <v>1320</v>
      </c>
      <c r="H27" t="s">
        <v>76</v>
      </c>
      <c r="I27" t="s">
        <v>235</v>
      </c>
      <c r="J27" t="s">
        <v>61</v>
      </c>
      <c r="K27" t="s">
        <v>316</v>
      </c>
      <c r="L27" t="s">
        <v>494</v>
      </c>
      <c r="M27" s="142" t="s">
        <v>759</v>
      </c>
      <c r="N27" t="s">
        <v>62</v>
      </c>
      <c r="O27" t="s">
        <v>1221</v>
      </c>
      <c r="P27" s="133">
        <v>2896</v>
      </c>
      <c r="Q27" s="133">
        <v>3.306</v>
      </c>
      <c r="R27" s="133">
        <v>4303.63</v>
      </c>
      <c r="S27" s="133"/>
      <c r="T27" s="133">
        <v>412.03663</v>
      </c>
      <c r="U27" s="136">
        <v>9.0000000000000002E-6</v>
      </c>
      <c r="V27" s="136">
        <v>1.0671999999999999E-2</v>
      </c>
      <c r="W27" s="136">
        <v>8.4749999999999999E-3</v>
      </c>
    </row>
    <row r="28" spans="1:23" x14ac:dyDescent="0.2">
      <c r="A28">
        <v>513</v>
      </c>
      <c r="B28">
        <v>513</v>
      </c>
      <c r="C28" t="s">
        <v>1321</v>
      </c>
      <c r="D28" t="s">
        <v>1322</v>
      </c>
      <c r="E28" t="s">
        <v>430</v>
      </c>
      <c r="F28" t="s">
        <v>1323</v>
      </c>
      <c r="G28" t="s">
        <v>1324</v>
      </c>
      <c r="H28" t="s">
        <v>76</v>
      </c>
      <c r="I28" t="s">
        <v>235</v>
      </c>
      <c r="J28" t="s">
        <v>61</v>
      </c>
      <c r="K28" t="s">
        <v>316</v>
      </c>
      <c r="L28" t="s">
        <v>494</v>
      </c>
      <c r="M28" s="142" t="s">
        <v>759</v>
      </c>
      <c r="N28" t="s">
        <v>62</v>
      </c>
      <c r="O28" t="s">
        <v>1221</v>
      </c>
      <c r="P28" s="133">
        <v>2082</v>
      </c>
      <c r="Q28" s="133">
        <v>3.306</v>
      </c>
      <c r="R28" s="133">
        <v>12580</v>
      </c>
      <c r="S28" s="133"/>
      <c r="T28" s="133">
        <v>865.89296999999999</v>
      </c>
      <c r="U28" s="136">
        <v>1.9999999999999999E-6</v>
      </c>
      <c r="V28" s="136">
        <v>2.2428E-2</v>
      </c>
      <c r="W28" s="136">
        <v>1.7811E-2</v>
      </c>
    </row>
    <row r="29" spans="1:23" x14ac:dyDescent="0.2">
      <c r="A29">
        <v>513</v>
      </c>
      <c r="B29">
        <v>513</v>
      </c>
      <c r="C29" t="s">
        <v>1305</v>
      </c>
      <c r="D29" t="s">
        <v>1306</v>
      </c>
      <c r="E29" t="s">
        <v>430</v>
      </c>
      <c r="F29" t="s">
        <v>1325</v>
      </c>
      <c r="G29" t="s">
        <v>1326</v>
      </c>
      <c r="H29" t="s">
        <v>76</v>
      </c>
      <c r="I29" t="s">
        <v>235</v>
      </c>
      <c r="J29" t="s">
        <v>61</v>
      </c>
      <c r="K29" t="s">
        <v>317</v>
      </c>
      <c r="L29" t="s">
        <v>494</v>
      </c>
      <c r="M29" s="142" t="s">
        <v>759</v>
      </c>
      <c r="N29" t="s">
        <v>62</v>
      </c>
      <c r="O29" t="s">
        <v>1221</v>
      </c>
      <c r="P29" s="133">
        <v>478</v>
      </c>
      <c r="Q29" s="133">
        <v>3.306</v>
      </c>
      <c r="R29" s="133">
        <v>5994</v>
      </c>
      <c r="S29" s="133"/>
      <c r="T29" s="133">
        <v>94.721260000000001</v>
      </c>
      <c r="U29" s="136">
        <v>6.9999999999999999E-6</v>
      </c>
      <c r="V29" s="136">
        <v>2.4529999999999999E-3</v>
      </c>
      <c r="W29" s="136">
        <v>1.9480000000000001E-3</v>
      </c>
    </row>
    <row r="30" spans="1:23" x14ac:dyDescent="0.2">
      <c r="A30">
        <v>513</v>
      </c>
      <c r="B30">
        <v>513</v>
      </c>
      <c r="C30" t="s">
        <v>1327</v>
      </c>
      <c r="D30" t="s">
        <v>1328</v>
      </c>
      <c r="E30" t="s">
        <v>430</v>
      </c>
      <c r="F30" t="s">
        <v>1329</v>
      </c>
      <c r="G30" t="s">
        <v>1330</v>
      </c>
      <c r="H30" t="s">
        <v>76</v>
      </c>
      <c r="I30" t="s">
        <v>235</v>
      </c>
      <c r="J30" t="s">
        <v>61</v>
      </c>
      <c r="K30" t="s">
        <v>204</v>
      </c>
      <c r="L30" t="s">
        <v>504</v>
      </c>
      <c r="M30" s="142" t="s">
        <v>759</v>
      </c>
      <c r="N30" t="s">
        <v>62</v>
      </c>
      <c r="O30" t="s">
        <v>1217</v>
      </c>
      <c r="P30" s="133">
        <v>1240</v>
      </c>
      <c r="Q30" s="133">
        <v>2.3744999999999998</v>
      </c>
      <c r="R30" s="133">
        <v>7866</v>
      </c>
      <c r="S30" s="133"/>
      <c r="T30" s="133">
        <v>231.60493</v>
      </c>
      <c r="U30" s="136">
        <v>2.0999999999999999E-5</v>
      </c>
      <c r="V30" s="136">
        <v>5.9979999999999999E-3</v>
      </c>
      <c r="W30" s="136">
        <v>4.764E-3</v>
      </c>
    </row>
    <row r="31" spans="1:23" x14ac:dyDescent="0.2">
      <c r="A31">
        <v>513</v>
      </c>
      <c r="B31">
        <v>513</v>
      </c>
      <c r="C31" t="s">
        <v>1331</v>
      </c>
      <c r="D31" t="s">
        <v>1332</v>
      </c>
      <c r="E31" t="s">
        <v>430</v>
      </c>
      <c r="F31" t="s">
        <v>1333</v>
      </c>
      <c r="G31" t="s">
        <v>1334</v>
      </c>
      <c r="H31" t="s">
        <v>76</v>
      </c>
      <c r="I31" t="s">
        <v>235</v>
      </c>
      <c r="J31" t="s">
        <v>61</v>
      </c>
      <c r="K31" t="s">
        <v>1166</v>
      </c>
      <c r="L31" t="s">
        <v>494</v>
      </c>
      <c r="M31" s="142" t="s">
        <v>759</v>
      </c>
      <c r="N31" t="s">
        <v>62</v>
      </c>
      <c r="O31" t="s">
        <v>1221</v>
      </c>
      <c r="P31" s="133">
        <v>719</v>
      </c>
      <c r="Q31" s="133">
        <v>3.306</v>
      </c>
      <c r="R31" s="133">
        <v>8909</v>
      </c>
      <c r="S31" s="133"/>
      <c r="T31" s="133">
        <v>211.76818</v>
      </c>
      <c r="U31" s="136">
        <v>9.1000000000000003E-5</v>
      </c>
      <c r="V31" s="136">
        <v>5.4850000000000003E-3</v>
      </c>
      <c r="W31" s="136">
        <v>4.3559999999999996E-3</v>
      </c>
    </row>
    <row r="32" spans="1:23" x14ac:dyDescent="0.2">
      <c r="A32">
        <v>513</v>
      </c>
      <c r="B32">
        <v>513</v>
      </c>
      <c r="C32" t="s">
        <v>1321</v>
      </c>
      <c r="D32" t="s">
        <v>1322</v>
      </c>
      <c r="E32" t="s">
        <v>430</v>
      </c>
      <c r="F32" t="s">
        <v>1335</v>
      </c>
      <c r="G32" t="s">
        <v>1336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42" t="s">
        <v>759</v>
      </c>
      <c r="N32" t="s">
        <v>62</v>
      </c>
      <c r="O32" t="s">
        <v>1221</v>
      </c>
      <c r="P32" s="133">
        <v>1636</v>
      </c>
      <c r="Q32" s="133">
        <v>3.306</v>
      </c>
      <c r="R32" s="133">
        <v>66930</v>
      </c>
      <c r="S32" s="133"/>
      <c r="T32" s="133">
        <v>3619.9866900000002</v>
      </c>
      <c r="U32" s="136">
        <v>9.9999999999999995E-7</v>
      </c>
      <c r="V32" s="136">
        <v>9.3764E-2</v>
      </c>
      <c r="W32" s="136">
        <v>7.4462E-2</v>
      </c>
    </row>
    <row r="33" spans="1:23" x14ac:dyDescent="0.2">
      <c r="A33">
        <v>513</v>
      </c>
      <c r="B33">
        <v>513</v>
      </c>
      <c r="C33" t="s">
        <v>1337</v>
      </c>
      <c r="D33" t="s">
        <v>1338</v>
      </c>
      <c r="E33" t="s">
        <v>430</v>
      </c>
      <c r="F33" t="s">
        <v>1339</v>
      </c>
      <c r="G33" t="s">
        <v>1340</v>
      </c>
      <c r="H33" t="s">
        <v>76</v>
      </c>
      <c r="I33" t="s">
        <v>235</v>
      </c>
      <c r="J33" t="s">
        <v>61</v>
      </c>
      <c r="K33" t="s">
        <v>314</v>
      </c>
      <c r="L33" t="s">
        <v>476</v>
      </c>
      <c r="M33" s="142" t="s">
        <v>759</v>
      </c>
      <c r="N33" t="s">
        <v>62</v>
      </c>
      <c r="O33" t="s">
        <v>1221</v>
      </c>
      <c r="P33" s="133">
        <v>1245</v>
      </c>
      <c r="Q33" s="133">
        <v>3.306</v>
      </c>
      <c r="R33" s="133">
        <v>61238</v>
      </c>
      <c r="S33" s="133">
        <v>2.1663000000000001</v>
      </c>
      <c r="T33" s="133">
        <v>2527.6995000000002</v>
      </c>
      <c r="U33" s="136">
        <v>9.9999999999999995E-7</v>
      </c>
      <c r="V33" s="136">
        <v>6.5471000000000001E-2</v>
      </c>
      <c r="W33" s="136">
        <v>5.1993999999999999E-2</v>
      </c>
    </row>
    <row r="34" spans="1:23" x14ac:dyDescent="0.2">
      <c r="A34">
        <v>513</v>
      </c>
      <c r="B34">
        <v>513</v>
      </c>
      <c r="C34" t="s">
        <v>1341</v>
      </c>
      <c r="D34" t="s">
        <v>1342</v>
      </c>
      <c r="E34" t="s">
        <v>430</v>
      </c>
      <c r="F34" t="s">
        <v>1343</v>
      </c>
      <c r="G34" t="s">
        <v>1344</v>
      </c>
      <c r="H34" t="s">
        <v>76</v>
      </c>
      <c r="I34" t="s">
        <v>235</v>
      </c>
      <c r="J34" t="s">
        <v>61</v>
      </c>
      <c r="K34" t="s">
        <v>314</v>
      </c>
      <c r="L34" t="s">
        <v>501</v>
      </c>
      <c r="M34" s="142" t="s">
        <v>759</v>
      </c>
      <c r="N34" t="s">
        <v>62</v>
      </c>
      <c r="O34" t="s">
        <v>1221</v>
      </c>
      <c r="P34" s="133">
        <v>10740</v>
      </c>
      <c r="Q34" s="133">
        <v>3.306</v>
      </c>
      <c r="R34" s="133">
        <v>830.8</v>
      </c>
      <c r="S34" s="133"/>
      <c r="T34" s="133">
        <v>294.98750000000001</v>
      </c>
      <c r="U34" s="136">
        <v>4.1307000000000003E-2</v>
      </c>
      <c r="V34" s="136">
        <v>7.6400000000000001E-3</v>
      </c>
      <c r="W34" s="136">
        <v>6.0670000000000003E-3</v>
      </c>
    </row>
    <row r="35" spans="1:23" x14ac:dyDescent="0.2">
      <c r="A35">
        <v>513</v>
      </c>
      <c r="B35">
        <v>513</v>
      </c>
      <c r="C35" t="s">
        <v>1345</v>
      </c>
      <c r="D35" t="s">
        <v>1346</v>
      </c>
      <c r="E35" t="s">
        <v>430</v>
      </c>
      <c r="F35" t="s">
        <v>1347</v>
      </c>
      <c r="G35" t="s">
        <v>1348</v>
      </c>
      <c r="H35" t="s">
        <v>76</v>
      </c>
      <c r="I35" t="s">
        <v>235</v>
      </c>
      <c r="J35" t="s">
        <v>61</v>
      </c>
      <c r="K35" t="s">
        <v>314</v>
      </c>
      <c r="L35" t="s">
        <v>476</v>
      </c>
      <c r="M35" s="142" t="s">
        <v>759</v>
      </c>
      <c r="N35" t="s">
        <v>62</v>
      </c>
      <c r="O35" t="s">
        <v>1221</v>
      </c>
      <c r="P35" s="133">
        <v>1481</v>
      </c>
      <c r="Q35" s="133">
        <v>3.306</v>
      </c>
      <c r="R35" s="133">
        <v>66618</v>
      </c>
      <c r="S35" s="133">
        <v>2.7118699999999998</v>
      </c>
      <c r="T35" s="133">
        <v>3270.7066300000001</v>
      </c>
      <c r="U35" s="136">
        <v>9.9999999999999995E-7</v>
      </c>
      <c r="V35" s="136">
        <v>8.4716E-2</v>
      </c>
      <c r="W35" s="136">
        <v>6.7277000000000003E-2</v>
      </c>
    </row>
    <row r="36" spans="1:23" x14ac:dyDescent="0.2">
      <c r="A36">
        <v>513</v>
      </c>
      <c r="B36">
        <v>513</v>
      </c>
      <c r="C36" t="s">
        <v>1305</v>
      </c>
      <c r="D36" t="s">
        <v>1306</v>
      </c>
      <c r="E36" t="s">
        <v>430</v>
      </c>
      <c r="F36" t="s">
        <v>1349</v>
      </c>
      <c r="G36" t="s">
        <v>1350</v>
      </c>
      <c r="H36" t="s">
        <v>76</v>
      </c>
      <c r="I36" t="s">
        <v>235</v>
      </c>
      <c r="J36" t="s">
        <v>61</v>
      </c>
      <c r="K36" t="s">
        <v>166</v>
      </c>
      <c r="L36" t="s">
        <v>494</v>
      </c>
      <c r="M36" s="142" t="s">
        <v>759</v>
      </c>
      <c r="N36" t="s">
        <v>62</v>
      </c>
      <c r="O36" t="s">
        <v>1221</v>
      </c>
      <c r="P36" s="133">
        <v>9528</v>
      </c>
      <c r="Q36" s="133">
        <v>3.306</v>
      </c>
      <c r="R36" s="133">
        <v>2120</v>
      </c>
      <c r="S36" s="135"/>
      <c r="T36" s="133">
        <v>667.79084</v>
      </c>
      <c r="U36" s="136">
        <v>4.5000000000000003E-5</v>
      </c>
      <c r="V36" s="136">
        <v>1.7295999999999999E-2</v>
      </c>
      <c r="W36" s="136">
        <v>1.3736E-2</v>
      </c>
    </row>
    <row r="37" spans="1:23" x14ac:dyDescent="0.2">
      <c r="A37">
        <v>513</v>
      </c>
      <c r="B37">
        <v>513</v>
      </c>
      <c r="C37" t="s">
        <v>1351</v>
      </c>
      <c r="D37" t="s">
        <v>1314</v>
      </c>
      <c r="E37" t="s">
        <v>430</v>
      </c>
      <c r="F37" t="s">
        <v>1352</v>
      </c>
      <c r="G37" t="s">
        <v>1353</v>
      </c>
      <c r="H37" t="s">
        <v>76</v>
      </c>
      <c r="I37" t="s">
        <v>235</v>
      </c>
      <c r="J37" t="s">
        <v>61</v>
      </c>
      <c r="K37" t="s">
        <v>313</v>
      </c>
      <c r="L37" t="s">
        <v>102</v>
      </c>
      <c r="M37" s="142" t="s">
        <v>759</v>
      </c>
      <c r="N37" t="s">
        <v>62</v>
      </c>
      <c r="O37" t="s">
        <v>1225</v>
      </c>
      <c r="P37" s="133">
        <v>5635</v>
      </c>
      <c r="Q37" s="133">
        <v>3.8807</v>
      </c>
      <c r="R37" s="133">
        <v>4043.5</v>
      </c>
      <c r="S37" s="135"/>
      <c r="T37" s="133">
        <v>884.22225000000003</v>
      </c>
      <c r="U37" s="136">
        <v>5.4640000000000001E-3</v>
      </c>
      <c r="V37" s="136">
        <v>2.2901999999999999E-2</v>
      </c>
      <c r="W37" s="136">
        <v>1.8187999999999999E-2</v>
      </c>
    </row>
    <row r="38" spans="1:23" x14ac:dyDescent="0.2">
      <c r="A38">
        <v>513</v>
      </c>
      <c r="B38">
        <v>513</v>
      </c>
      <c r="C38" t="s">
        <v>1345</v>
      </c>
      <c r="D38" t="s">
        <v>1346</v>
      </c>
      <c r="E38" t="s">
        <v>430</v>
      </c>
      <c r="F38" t="s">
        <v>1354</v>
      </c>
      <c r="G38" t="s">
        <v>1355</v>
      </c>
      <c r="H38" t="s">
        <v>76</v>
      </c>
      <c r="I38" t="s">
        <v>235</v>
      </c>
      <c r="J38" t="s">
        <v>61</v>
      </c>
      <c r="K38" t="s">
        <v>316</v>
      </c>
      <c r="L38" t="s">
        <v>494</v>
      </c>
      <c r="M38" s="142" t="s">
        <v>759</v>
      </c>
      <c r="N38" t="s">
        <v>62</v>
      </c>
      <c r="O38" t="s">
        <v>1221</v>
      </c>
      <c r="P38" s="133">
        <v>10910</v>
      </c>
      <c r="Q38" s="133">
        <v>3.306</v>
      </c>
      <c r="R38" s="133">
        <v>4596</v>
      </c>
      <c r="S38" s="135"/>
      <c r="T38" s="133">
        <v>1657.70642</v>
      </c>
      <c r="U38" s="136">
        <v>3.3000000000000003E-5</v>
      </c>
      <c r="V38" s="136">
        <v>4.2937000000000003E-2</v>
      </c>
      <c r="W38" s="136">
        <v>3.4098000000000003E-2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513</v>
      </c>
      <c r="B2">
        <v>513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513</v>
      </c>
      <c r="B2">
        <v>513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513</v>
      </c>
      <c r="B2">
        <v>513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513</v>
      </c>
      <c r="B2">
        <v>513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4.12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3.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513</v>
      </c>
      <c r="B2">
        <v>513</v>
      </c>
      <c r="C2" t="s">
        <v>353</v>
      </c>
      <c r="D2">
        <v>76021494</v>
      </c>
      <c r="E2" t="s">
        <v>1221</v>
      </c>
      <c r="F2" s="133">
        <v>3.306</v>
      </c>
      <c r="G2" s="133">
        <v>-407000</v>
      </c>
      <c r="H2" s="133">
        <v>-407</v>
      </c>
      <c r="I2" s="136">
        <v>0.1913493182886695</v>
      </c>
      <c r="J2" s="136">
        <v>-2.7677702226239647E-2</v>
      </c>
      <c r="K2">
        <v>760214940</v>
      </c>
      <c r="L2" t="s">
        <v>1222</v>
      </c>
      <c r="M2" s="133">
        <v>1</v>
      </c>
      <c r="N2" s="133">
        <v>407000</v>
      </c>
      <c r="O2" s="133">
        <v>1386.6536699999999</v>
      </c>
      <c r="P2" s="136">
        <v>2.852336632314887E-2</v>
      </c>
      <c r="Q2" s="136">
        <v>0.18236909568397863</v>
      </c>
      <c r="R2" s="133">
        <v>41.111669999999997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1357</v>
      </c>
      <c r="Y2" t="s">
        <v>62</v>
      </c>
      <c r="Z2" s="137">
        <v>45881</v>
      </c>
      <c r="AA2" s="137">
        <v>46247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3.43</v>
      </c>
      <c r="AJ2" s="133"/>
      <c r="AK2"/>
      <c r="AL2" s="136"/>
      <c r="AM2" t="s">
        <v>1356</v>
      </c>
      <c r="AN2" s="136">
        <v>7.1911992951616557E-2</v>
      </c>
      <c r="AO2" s="136">
        <v>8.4566409690922293E-4</v>
      </c>
    </row>
    <row r="3" spans="1:41" x14ac:dyDescent="0.2">
      <c r="A3">
        <v>513</v>
      </c>
      <c r="B3">
        <v>513</v>
      </c>
      <c r="C3" t="s">
        <v>353</v>
      </c>
      <c r="D3">
        <v>76021536</v>
      </c>
      <c r="E3" t="s">
        <v>1221</v>
      </c>
      <c r="F3" s="133">
        <v>3.306</v>
      </c>
      <c r="G3" s="133">
        <v>-180000</v>
      </c>
      <c r="H3" s="133">
        <v>-180</v>
      </c>
      <c r="I3" s="136">
        <v>8.4626234132581094E-2</v>
      </c>
      <c r="J3" s="136">
        <v>-1.2240752827329575E-2</v>
      </c>
      <c r="K3">
        <v>760215360</v>
      </c>
      <c r="L3" t="s">
        <v>1222</v>
      </c>
      <c r="M3" s="133">
        <v>1</v>
      </c>
      <c r="N3" s="133">
        <v>180000</v>
      </c>
      <c r="O3" s="133">
        <v>599.08479</v>
      </c>
      <c r="P3" s="136">
        <v>1.2323131069776574E-2</v>
      </c>
      <c r="Q3" s="136">
        <v>7.8790078412532702E-2</v>
      </c>
      <c r="R3" s="133">
        <v>4.0047899999999998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1357</v>
      </c>
      <c r="Y3" t="s">
        <v>62</v>
      </c>
      <c r="Z3" s="137">
        <v>45916</v>
      </c>
      <c r="AA3" s="137">
        <v>46247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3.3395000000000001</v>
      </c>
      <c r="AJ3" s="133"/>
      <c r="AK3"/>
      <c r="AL3" s="136"/>
      <c r="AM3" t="s">
        <v>1356</v>
      </c>
      <c r="AN3" s="136">
        <v>7.0051260445684761E-3</v>
      </c>
      <c r="AO3" s="136">
        <v>8.2378242447000752E-5</v>
      </c>
    </row>
    <row r="4" spans="1:41" x14ac:dyDescent="0.2">
      <c r="A4">
        <v>513</v>
      </c>
      <c r="B4">
        <v>513</v>
      </c>
      <c r="C4" t="s">
        <v>353</v>
      </c>
      <c r="D4">
        <v>76021233</v>
      </c>
      <c r="E4" t="s">
        <v>1221</v>
      </c>
      <c r="F4" s="133">
        <v>3.306</v>
      </c>
      <c r="G4" s="133">
        <v>-450000</v>
      </c>
      <c r="H4" s="133">
        <v>-450</v>
      </c>
      <c r="I4" s="136">
        <v>0.21156558533145275</v>
      </c>
      <c r="J4" s="136">
        <v>-3.0601882068323937E-2</v>
      </c>
      <c r="K4">
        <v>760212330</v>
      </c>
      <c r="L4" t="s">
        <v>1222</v>
      </c>
      <c r="M4" s="133">
        <v>1</v>
      </c>
      <c r="N4" s="133">
        <v>450000</v>
      </c>
      <c r="O4" s="133">
        <v>1670.65346</v>
      </c>
      <c r="P4" s="136">
        <v>3.4365221590345732E-2</v>
      </c>
      <c r="Q4" s="136">
        <v>0.21972001177591086</v>
      </c>
      <c r="R4" s="133">
        <v>182.95346000000001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1357</v>
      </c>
      <c r="Y4" t="s">
        <v>62</v>
      </c>
      <c r="Z4" s="137">
        <v>45757</v>
      </c>
      <c r="AA4" s="137">
        <v>46121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3.7570000000000001</v>
      </c>
      <c r="AJ4" s="133"/>
      <c r="AK4"/>
      <c r="AL4" s="136"/>
      <c r="AM4" t="s">
        <v>1356</v>
      </c>
      <c r="AN4" s="136">
        <v>0.32001978820110843</v>
      </c>
      <c r="AO4" s="136">
        <v>3.7633395220217926E-3</v>
      </c>
    </row>
    <row r="5" spans="1:41" x14ac:dyDescent="0.2">
      <c r="A5">
        <v>513</v>
      </c>
      <c r="B5">
        <v>513</v>
      </c>
      <c r="C5" t="s">
        <v>353</v>
      </c>
      <c r="D5">
        <v>76021077</v>
      </c>
      <c r="E5" t="s">
        <v>1221</v>
      </c>
      <c r="F5" s="133">
        <v>3.306</v>
      </c>
      <c r="G5" s="133">
        <v>-1090000</v>
      </c>
      <c r="H5" s="133">
        <v>-1090</v>
      </c>
      <c r="I5" s="136">
        <v>0.51245886224729664</v>
      </c>
      <c r="J5" s="136">
        <v>-7.4124558787717981E-2</v>
      </c>
      <c r="K5">
        <v>760210770</v>
      </c>
      <c r="L5" t="s">
        <v>1222</v>
      </c>
      <c r="M5" s="133">
        <v>1</v>
      </c>
      <c r="N5" s="133">
        <v>1090000</v>
      </c>
      <c r="O5" s="133">
        <v>3947.1642899999997</v>
      </c>
      <c r="P5" s="136">
        <v>8.1192885734274092E-2</v>
      </c>
      <c r="Q5" s="136">
        <v>0.51912081412757782</v>
      </c>
      <c r="R5" s="133">
        <v>343.62428999999997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1357</v>
      </c>
      <c r="Y5" t="s">
        <v>62</v>
      </c>
      <c r="Z5" s="137">
        <v>45727</v>
      </c>
      <c r="AA5" s="137">
        <v>46002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3.6459999999999999</v>
      </c>
      <c r="AJ5" s="133"/>
      <c r="AK5"/>
      <c r="AL5" s="136"/>
      <c r="AM5" t="s">
        <v>1356</v>
      </c>
      <c r="AN5" s="136">
        <v>0.60106309280270653</v>
      </c>
      <c r="AO5" s="136">
        <v>7.0683269465561223E-3</v>
      </c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513</v>
      </c>
      <c r="B2">
        <v>513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513</v>
      </c>
      <c r="B2">
        <v>513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2025-11-27T10:59:59Z</dcterms:modified>
</cp:coreProperties>
</file>