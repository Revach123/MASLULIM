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BLD\"/>
    </mc:Choice>
  </mc:AlternateContent>
  <xr:revisionPtr revIDLastSave="0" documentId="8_{FC7F708A-6260-42AF-89EC-D893C36E58DC}" xr6:coauthVersionLast="47" xr6:coauthVersionMax="47" xr10:uidLastSave="{00000000-0000-0000-0000-000000000000}"/>
  <bookViews>
    <workbookView xWindow="190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חוב'!$A$1:$AJ$33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ויהש'!$A$1:$Z$47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/>
  <c r="B32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l="1"/>
  <c r="E23" i="2" s="1"/>
  <c r="E16" i="2" l="1"/>
  <c r="E26" i="2"/>
  <c r="E29" i="2"/>
  <c r="E32" i="2"/>
  <c r="E7" i="2"/>
  <c r="E8" i="2"/>
  <c r="E15" i="2"/>
  <c r="E18" i="2"/>
  <c r="E20" i="2"/>
  <c r="E9" i="2"/>
  <c r="E4" i="2"/>
  <c r="E12" i="2"/>
  <c r="E22" i="2"/>
  <c r="E3" i="2"/>
  <c r="E11" i="2"/>
  <c r="E19" i="2"/>
  <c r="E27" i="2"/>
  <c r="E10" i="2"/>
  <c r="E28" i="2"/>
  <c r="E17" i="2"/>
  <c r="E25" i="2"/>
  <c r="E6" i="2"/>
  <c r="E14" i="2"/>
  <c r="E24" i="2"/>
  <c r="E5" i="2"/>
  <c r="E13" i="2"/>
  <c r="E21" i="2"/>
  <c r="E30" i="2" l="1"/>
</calcChain>
</file>

<file path=xl/sharedStrings.xml><?xml version="1.0" encoding="utf-8"?>
<sst xmlns="http://schemas.openxmlformats.org/spreadsheetml/2006/main" count="6805" uniqueCount="1811">
  <si>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</si>
  <si>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</si>
  <si>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</si>
  <si>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</si>
  <si>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</si>
  <si>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</si>
  <si>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</si>
  <si>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</si>
  <si>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</si>
  <si>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</si>
  <si>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</si>
  <si>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</si>
  <si>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</si>
  <si>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</si>
  <si>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</si>
  <si>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</si>
  <si>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</si>
  <si>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</si>
  <si>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</si>
  <si>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</si>
  <si>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</si>
  <si>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</si>
  <si>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</si>
  <si>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</si>
  <si>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</si>
  <si>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</si>
  <si>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</si>
  <si>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1131</t>
  </si>
  <si>
    <t>IL0011722209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</si>
  <si>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</si>
  <si>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</si>
  <si>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</si>
  <si>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</si>
  <si>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</si>
  <si>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</si>
  <si>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30/11/2031</t>
  </si>
  <si>
    <t>שווי הוגן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</si>
  <si>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</si>
  <si>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</si>
  <si>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</si>
  <si>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</si>
  <si>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</si>
  <si>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</si>
  <si>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</si>
  <si>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</si>
  <si>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</si>
  <si>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</si>
  <si>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</si>
  <si>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</si>
  <si>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</si>
  <si>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</si>
  <si>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</si>
  <si>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</si>
  <si>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</si>
  <si>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</si>
  <si>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</si>
  <si>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</si>
  <si>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US TREASURY Bills</t>
  </si>
  <si>
    <t>19/02/2026 0% TREASURY BILL</t>
  </si>
  <si>
    <t>US912797PM34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</si>
  <si>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</si>
  <si>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</si>
  <si>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</si>
  <si>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</si>
  <si>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</si>
  <si>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</si>
  <si>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</si>
  <si>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19/02/2026</t>
  </si>
  <si>
    <t>מדינת ישראל</t>
  </si>
  <si>
    <t>STATE OF ISAREL 5.5% 12/03/2034</t>
  </si>
  <si>
    <t>US46514BRL35</t>
  </si>
  <si>
    <t>אחר</t>
  </si>
  <si>
    <t>Baa1</t>
  </si>
  <si>
    <t>Moodys</t>
  </si>
  <si>
    <t>12/03/2034</t>
  </si>
  <si>
    <t>US Govt</t>
  </si>
  <si>
    <t>T 4.625  02/15/35  Govt</t>
  </si>
  <si>
    <t>US91282CMM00</t>
  </si>
  <si>
    <t>Aa1</t>
  </si>
  <si>
    <t>15/02/2035</t>
  </si>
  <si>
    <t>US TREASURY 3.8755 15/08/2034</t>
  </si>
  <si>
    <t>US91282CLF67</t>
  </si>
  <si>
    <t>15/08/2034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</si>
  <si>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</si>
  <si>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</si>
  <si>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</si>
  <si>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</si>
  <si>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</si>
  <si>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</si>
  <si>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</si>
  <si>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</si>
  <si>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</si>
  <si>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</si>
  <si>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</si>
  <si>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</si>
  <si>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</si>
  <si>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</si>
  <si>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</si>
  <si>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</si>
  <si>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</si>
  <si>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</si>
  <si>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</si>
  <si>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</si>
  <si>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</si>
  <si>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</si>
  <si>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</si>
  <si>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</si>
  <si>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</si>
  <si>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</si>
  <si>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אלוני-חץ נכסים והשקעות בע"מ</t>
  </si>
  <si>
    <t>520038506</t>
  </si>
  <si>
    <t>אלוני חץ אגח טו</t>
  </si>
  <si>
    <t>IL0011894149</t>
  </si>
  <si>
    <t>צמוד למדד המחירים לצרכן</t>
  </si>
  <si>
    <t>נדל"ן מניב בישראל</t>
  </si>
  <si>
    <t>AA-</t>
  </si>
  <si>
    <t>S&amp;P מעלות</t>
  </si>
  <si>
    <t>01/03/2037</t>
  </si>
  <si>
    <t>אמות השקעות בע"מ</t>
  </si>
  <si>
    <t>520026683</t>
  </si>
  <si>
    <t>אמות אגח ד</t>
  </si>
  <si>
    <t>IL0011331498</t>
  </si>
  <si>
    <t>AA</t>
  </si>
  <si>
    <t>02/07/2028</t>
  </si>
  <si>
    <t>אנלייט אנרגיה מתחדשת בע"מ</t>
  </si>
  <si>
    <t>LEI</t>
  </si>
  <si>
    <t>אנלייט אנר אגח ו</t>
  </si>
  <si>
    <t>IL0072001733</t>
  </si>
  <si>
    <t>אנרגיה מתחדשת</t>
  </si>
  <si>
    <t>01/09/2026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</si>
  <si>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</si>
  <si>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</si>
  <si>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</si>
  <si>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</si>
  <si>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</si>
  <si>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</si>
  <si>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קבוצת אשטרום</t>
  </si>
  <si>
    <t>510381601</t>
  </si>
  <si>
    <t>אשטרום קב אגח ג</t>
  </si>
  <si>
    <t>IL0011401028</t>
  </si>
  <si>
    <t>בנייה</t>
  </si>
  <si>
    <t>15/01/2029</t>
  </si>
  <si>
    <t>בתי זקוק לנפט בע"מ</t>
  </si>
  <si>
    <t>520036658</t>
  </si>
  <si>
    <t>בזן אגח י</t>
  </si>
  <si>
    <t>IL0025905113</t>
  </si>
  <si>
    <t>אנרגיה</t>
  </si>
  <si>
    <t>A+</t>
  </si>
  <si>
    <t>25/09/2031</t>
  </si>
  <si>
    <t>ביג מרכזי קניות (2004) בע"מ</t>
  </si>
  <si>
    <t>513623314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</si>
  <si>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</si>
  <si>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</si>
  <si>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</si>
  <si>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</si>
  <si>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</si>
  <si>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</si>
  <si>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</si>
  <si>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</si>
  <si>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</si>
  <si>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</si>
  <si>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</si>
  <si>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</si>
  <si>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</si>
  <si>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</si>
  <si>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דליה חברות אנרגיה בע"מ</t>
  </si>
  <si>
    <t>516269248</t>
  </si>
  <si>
    <t>דליה אגח א</t>
  </si>
  <si>
    <t>IL0011849515</t>
  </si>
  <si>
    <t>30/09/2031</t>
  </si>
  <si>
    <t>י.ח.דמרי בניה ופיתוח בע"מ</t>
  </si>
  <si>
    <t>511399388</t>
  </si>
  <si>
    <t>דמרי אגח ט</t>
  </si>
  <si>
    <t>IL0011683682</t>
  </si>
  <si>
    <t>A1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</si>
  <si>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</si>
  <si>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</si>
  <si>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</si>
  <si>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</si>
  <si>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</si>
  <si>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</si>
  <si>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</si>
  <si>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</si>
  <si>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</si>
  <si>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</si>
  <si>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</si>
  <si>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</si>
  <si>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חברת החשמל לישראל בע"מ</t>
  </si>
  <si>
    <t>חשמל אגח 31</t>
  </si>
  <si>
    <t>IL0060002859</t>
  </si>
  <si>
    <t>AAA</t>
  </si>
  <si>
    <t>21/09/2031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</si>
  <si>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</si>
  <si>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</si>
  <si>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</si>
  <si>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</si>
  <si>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</si>
  <si>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</si>
  <si>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</si>
  <si>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</si>
  <si>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</si>
  <si>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</si>
  <si>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</si>
  <si>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</si>
  <si>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</si>
  <si>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</si>
  <si>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בנק לאומי לישראל בע"מ</t>
  </si>
  <si>
    <t>לאומי אגח 186</t>
  </si>
  <si>
    <t>IL0012018391</t>
  </si>
  <si>
    <t>בנקים</t>
  </si>
  <si>
    <t>30/11/2033</t>
  </si>
  <si>
    <t>מבנה נדל"ן (כ.ד)  בע"מ</t>
  </si>
  <si>
    <t>520024126</t>
  </si>
  <si>
    <t>מבני תעש אגח כג</t>
  </si>
  <si>
    <t>IL0022605450</t>
  </si>
  <si>
    <t>30/09/2026</t>
  </si>
  <si>
    <t>מזרחי טפחות חברה להנפקות בע"מ</t>
  </si>
  <si>
    <t>520032046</t>
  </si>
  <si>
    <t>מז טפ הנ אגח 68</t>
  </si>
  <si>
    <t>IL0012021429</t>
  </si>
  <si>
    <t>25/12/2033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</si>
  <si>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</si>
  <si>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</si>
  <si>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</si>
  <si>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</si>
  <si>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</si>
  <si>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</si>
  <si>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ו</t>
  </si>
  <si>
    <t>IL0011916595</t>
  </si>
  <si>
    <t>31/03/2027</t>
  </si>
  <si>
    <t>מליסרון בע"מ</t>
  </si>
  <si>
    <t>520037789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</si>
  <si>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</si>
  <si>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</si>
  <si>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</si>
  <si>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</si>
  <si>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</si>
  <si>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</si>
  <si>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</si>
  <si>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</si>
  <si>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</si>
  <si>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</si>
  <si>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</si>
  <si>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</si>
  <si>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</si>
  <si>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</si>
  <si>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</si>
  <si>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</si>
  <si>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</si>
  <si>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קבוצת עזריאלי בע"מ (לשעבר קנית מימון)</t>
  </si>
  <si>
    <t>510960719</t>
  </si>
  <si>
    <t>עזריאלי אגח ז</t>
  </si>
  <si>
    <t>IL0011786725</t>
  </si>
  <si>
    <t>02/07/2036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</si>
  <si>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</si>
  <si>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</si>
  <si>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</si>
  <si>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</si>
  <si>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</si>
  <si>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</si>
  <si>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</si>
  <si>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</si>
  <si>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</si>
  <si>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</si>
  <si>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</si>
  <si>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</si>
  <si>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</si>
  <si>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</si>
  <si>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</si>
  <si>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אל על נתיבי אויר לישראל בע"מ</t>
  </si>
  <si>
    <t>520017146</t>
  </si>
  <si>
    <t>אל על</t>
  </si>
  <si>
    <t>IL0010878242</t>
  </si>
  <si>
    <t>מניות</t>
  </si>
  <si>
    <t>שירותים</t>
  </si>
  <si>
    <t>אלביט מערכות בע"מ</t>
  </si>
  <si>
    <t>520043027</t>
  </si>
  <si>
    <t>אלביט מערכות</t>
  </si>
  <si>
    <t>IL0010811243</t>
  </si>
  <si>
    <t>ביטחוניות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</si>
  <si>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</si>
  <si>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</si>
  <si>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</si>
  <si>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</si>
  <si>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</si>
  <si>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</si>
  <si>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</si>
  <si>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</si>
  <si>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</si>
  <si>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</si>
  <si>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</si>
  <si>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</si>
  <si>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תקשורת ומדיה</t>
  </si>
  <si>
    <t>אחים דוניץ בע"מ</t>
  </si>
  <si>
    <t>520038605</t>
  </si>
  <si>
    <t>דוניץ</t>
  </si>
  <si>
    <t>IL0004000100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</si>
  <si>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</si>
  <si>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</si>
  <si>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</si>
  <si>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</si>
  <si>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</si>
  <si>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</si>
  <si>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</si>
  <si>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</si>
  <si>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</si>
  <si>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</si>
  <si>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</si>
  <si>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</si>
  <si>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</si>
  <si>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</si>
  <si>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</si>
  <si>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</si>
  <si>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</si>
  <si>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</si>
  <si>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</si>
  <si>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</si>
  <si>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בנק מזרחי טפחות בע"מ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</si>
  <si>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</si>
  <si>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</si>
  <si>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</si>
  <si>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</si>
  <si>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</si>
  <si>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</si>
  <si>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</si>
  <si>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</si>
  <si>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</si>
  <si>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</si>
  <si>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</si>
  <si>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</si>
  <si>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</si>
  <si>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</si>
  <si>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מספר שותפות</t>
  </si>
  <si>
    <t>נאוויטס פט יהש</t>
  </si>
  <si>
    <t>IL0011419699</t>
  </si>
  <si>
    <t>חיפושי נפט וגז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</si>
  <si>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</si>
  <si>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</si>
  <si>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</si>
  <si>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</si>
  <si>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</si>
  <si>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</si>
  <si>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</si>
  <si>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</si>
  <si>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</si>
  <si>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</si>
  <si>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</si>
  <si>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</si>
  <si>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</si>
  <si>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</si>
  <si>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</si>
  <si>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בנק הפועלים בע"מ</t>
  </si>
  <si>
    <t>פועלים</t>
  </si>
  <si>
    <t>IL0006625771</t>
  </si>
  <si>
    <t>פוקס-ויזל בע"מ</t>
  </si>
  <si>
    <t>512157603</t>
  </si>
  <si>
    <t>פוקס- ויזל</t>
  </si>
  <si>
    <t>IL0010870223</t>
  </si>
  <si>
    <t>רשתות שיווק</t>
  </si>
  <si>
    <t>קבוצת אקרשטיין בע"מ</t>
  </si>
  <si>
    <t>512714494</t>
  </si>
  <si>
    <t>קבוצת אקרשטיין</t>
  </si>
  <si>
    <t>IL0011762056</t>
  </si>
  <si>
    <t>מתכת ומוצרי בניה</t>
  </si>
  <si>
    <t>amazon.com</t>
  </si>
  <si>
    <t>ZXTILKJKG63JELOEG630</t>
  </si>
  <si>
    <t>AMAZON COM INC</t>
  </si>
  <si>
    <t>US0231351067</t>
  </si>
  <si>
    <t>NASDAQ</t>
  </si>
  <si>
    <t>Textiles, Apparel &amp; Luxury Goods</t>
  </si>
  <si>
    <t>Advanced Micro Devices inc</t>
  </si>
  <si>
    <t>R2I72C950HOYXII45366</t>
  </si>
  <si>
    <t>AMD</t>
  </si>
  <si>
    <t>US007931078</t>
  </si>
  <si>
    <t>Semiconductors &amp; Semiconductor Equipment</t>
  </si>
  <si>
    <t>ASML HOLDING NV-NY</t>
  </si>
  <si>
    <t>724500Y6DUVHQD6OXN27</t>
  </si>
  <si>
    <t>ASML Holding NV</t>
  </si>
  <si>
    <t>NL0010273215</t>
  </si>
  <si>
    <t>הולנד</t>
  </si>
  <si>
    <t>EUR</t>
  </si>
  <si>
    <t>ASML_ASML HOLDING NV-NY REG</t>
  </si>
  <si>
    <t>USN070592100</t>
  </si>
  <si>
    <t>Broadcom Inc</t>
  </si>
  <si>
    <t>549300WV6GIDOZJTV909</t>
  </si>
  <si>
    <t>BROADCOM LTD</t>
  </si>
  <si>
    <t>US11135F1012</t>
  </si>
  <si>
    <t>קמטק בע"מ</t>
  </si>
  <si>
    <t>511235434</t>
  </si>
  <si>
    <t>CAMTEK LTD</t>
  </si>
  <si>
    <t>IL0010952641</t>
  </si>
  <si>
    <t>גלובלי</t>
  </si>
  <si>
    <t>Cellebrite Di Ltd</t>
  </si>
  <si>
    <t>CELLEBRITE DI LTD</t>
  </si>
  <si>
    <t>IL0011794802</t>
  </si>
  <si>
    <t>Software</t>
  </si>
  <si>
    <t>COSTCO WHOLESAL</t>
  </si>
  <si>
    <t>29DX7H14B9S6O3FD6V18</t>
  </si>
  <si>
    <t>COSTCO WHOLESALE CORP</t>
  </si>
  <si>
    <t>US22160K1051</t>
  </si>
  <si>
    <t>Consumer Staples Distribution &amp; Retail</t>
  </si>
  <si>
    <t>Meta Platforms Inc</t>
  </si>
  <si>
    <t>BQ4BKCS1HXDV9HN80Z93</t>
  </si>
  <si>
    <t>FB US E_FACEBOOK INC-A</t>
  </si>
  <si>
    <t>US30303M1027</t>
  </si>
  <si>
    <t>Software &amp; Services</t>
  </si>
  <si>
    <t>פייבר אינטרנשיונל בע"מ</t>
  </si>
  <si>
    <t>FIVERR INTERNATIONAL LTD</t>
  </si>
  <si>
    <t>IL0011582033</t>
  </si>
  <si>
    <t>NYSE</t>
  </si>
  <si>
    <t>Commercial Services &amp; Supplies</t>
  </si>
  <si>
    <t>JD.com Inc</t>
  </si>
  <si>
    <t>549300HVTWB0GJZ16V92</t>
  </si>
  <si>
    <t>JD.COM INC -CL A</t>
  </si>
  <si>
    <t>KYG8208B1014</t>
  </si>
  <si>
    <t>סין</t>
  </si>
  <si>
    <t>HKSE</t>
  </si>
  <si>
    <t>HKD</t>
  </si>
  <si>
    <t>MASTERCARD INC</t>
  </si>
  <si>
    <t>AR5L2ODV9HN37376R084</t>
  </si>
  <si>
    <t>MA US _MASTERCARD</t>
  </si>
  <si>
    <t>US57636Q1040</t>
  </si>
  <si>
    <t>Consumer Finance </t>
  </si>
  <si>
    <t>MICROSOFT CORP</t>
  </si>
  <si>
    <t>INR2EJN1ERAN0W5ZP974</t>
  </si>
  <si>
    <t>Microsoft crop</t>
  </si>
  <si>
    <t>US5949181045</t>
  </si>
  <si>
    <t>NVIDIA CORP</t>
  </si>
  <si>
    <t>549300S4KLFTLO7GSQ80</t>
  </si>
  <si>
    <t>NVDA_NVIDIA CORP</t>
  </si>
  <si>
    <t>US67066G1040</t>
  </si>
  <si>
    <t>נובה 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</si>
  <si>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</si>
  <si>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</si>
  <si>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</si>
  <si>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</si>
  <si>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</si>
  <si>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</si>
  <si>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</si>
  <si>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Water Utilities</t>
  </si>
  <si>
    <t>TAIWAN Semiconductor</t>
  </si>
  <si>
    <t>549300KB6NK5SBD14S87</t>
  </si>
  <si>
    <t>TAIWAN SEMICONDUCTOR</t>
  </si>
  <si>
    <t>US8740391003</t>
  </si>
  <si>
    <t>TESLA MOTORS INC</t>
  </si>
  <si>
    <t>54930043XZGB27CTOV49</t>
  </si>
  <si>
    <t>TESLA MOTROS INC</t>
  </si>
  <si>
    <t>US88160R1014</t>
  </si>
  <si>
    <t>Automobiles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</si>
  <si>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</si>
  <si>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</si>
  <si>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</si>
  <si>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</si>
  <si>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</si>
  <si>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</si>
  <si>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</si>
  <si>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</si>
  <si>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</si>
  <si>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</si>
  <si>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</si>
  <si>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</si>
  <si>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</si>
  <si>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</si>
  <si>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</si>
  <si>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</si>
  <si>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</si>
  <si>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</si>
  <si>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הראל קרנות נאמנות בע"מ</t>
  </si>
  <si>
    <t>511776783</t>
  </si>
  <si>
    <t>הראל סל תא בנקים</t>
  </si>
  <si>
    <t>IL0011489494</t>
  </si>
  <si>
    <t>מניות בארץ - מניות לפי ענפים-ת"א בנקים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</si>
  <si>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</si>
  <si>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</si>
  <si>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</si>
  <si>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</si>
  <si>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קסם קרנות נאמנות בע"מ</t>
  </si>
  <si>
    <t>510938608</t>
  </si>
  <si>
    <t>קסם תא 90</t>
  </si>
  <si>
    <t>IL0011463317</t>
  </si>
  <si>
    <t>State Street Corp</t>
  </si>
  <si>
    <t>07F5H7W3ET8ZLWNMFP29</t>
  </si>
  <si>
    <t>Amex tech sel indx</t>
  </si>
  <si>
    <t>US81369Y8030</t>
  </si>
  <si>
    <t>עוקב אחר מדדי מניות בחו"ל</t>
  </si>
  <si>
    <t>Technology מניות בחו"ל - מניות לפי ענפים בחו"ל - חשופת מט"ח-ארה"ב- מניות</t>
  </si>
  <si>
    <t>Amundi Asset Management</t>
  </si>
  <si>
    <t>213800VZW861M5FHMD50</t>
  </si>
  <si>
    <t>AMUNDI DAX ETF ACC</t>
  </si>
  <si>
    <t>LU0252633754</t>
  </si>
  <si>
    <t>גרמניה</t>
  </si>
  <si>
    <t>EUREX</t>
  </si>
  <si>
    <t>DAX 30 - מניות בחו"ל - מניות גיאוגרפי - חשופת מט"ח-אירופה גרמניה</t>
  </si>
  <si>
    <t>DEUTSCHE BANK AG</t>
  </si>
  <si>
    <t>549300L70BS183Y6ML67</t>
  </si>
  <si>
    <t>DBX MSCI EMU 1D ETF</t>
  </si>
  <si>
    <t>LU0846194776</t>
  </si>
  <si>
    <t>אירופה</t>
  </si>
  <si>
    <t>FWB</t>
  </si>
  <si>
    <t>MSCI EMERGING MARKETS - מניות בחו"ל - מניות גיאוגרפי - חשופת מט"ח-שווקים מתעוררים כללי</t>
  </si>
  <si>
    <t>Financial select sector spdr</t>
  </si>
  <si>
    <t>US81369Y6059</t>
  </si>
  <si>
    <t>Financial מניות בחו"ל - מניות לפי ענפים בחו"ל - חשופת מט"ח-ארה"ב- מניות</t>
  </si>
  <si>
    <t>Global X Management Co LLc</t>
  </si>
  <si>
    <t>213800R3E823B1UBIA81</t>
  </si>
  <si>
    <t>GLOBAL X CLOUD COMPUTING ETF</t>
  </si>
  <si>
    <t>US37954Y4420</t>
  </si>
  <si>
    <t>מניות בחו"ל - מניות בחו"ל משולבת</t>
  </si>
  <si>
    <t>INDUSTRIAL SELECT SECT FUND</t>
  </si>
  <si>
    <t>US81369Y7040</t>
  </si>
  <si>
    <t>Invesco investment management limited</t>
  </si>
  <si>
    <t>635400TLFJSNHVSOFH59</t>
  </si>
  <si>
    <t>INVESCO AT1 CAPITAL BOND ETF</t>
  </si>
  <si>
    <t>IE00BFZPF322</t>
  </si>
  <si>
    <t>עוקב אחר מדדים אחרים בחו"ל</t>
  </si>
  <si>
    <t>LSE</t>
  </si>
  <si>
    <t>אג"ח בחו"ל - אג"ח חשופת מט"ח</t>
  </si>
  <si>
    <t>Invesco QQQ Trust NASDAQ 100</t>
  </si>
  <si>
    <t>US46090E1038</t>
  </si>
  <si>
    <t>NASDAQ 100 - מניות בחו"ל - מניות גיאוגרפי - חשופת מט"ח-ארה"ב</t>
  </si>
  <si>
    <t xml:space="preserve">BlackRock  Asset Managment </t>
  </si>
  <si>
    <t>97ZR60BLU36N5VJMH054</t>
  </si>
  <si>
    <t>ISHARES CORE S&amp;P 500 ETF</t>
  </si>
  <si>
    <t>US4642872000</t>
  </si>
  <si>
    <t>S&amp;P 500 - מניות בחו"ל - מניות גיאוגרפי - חשופת מט"ח-ארה"ב</t>
  </si>
  <si>
    <t>Ishares ftse china25</t>
  </si>
  <si>
    <t>US4642871846</t>
  </si>
  <si>
    <t>FTSE China 50 - מניות בחו"ל - מניות גיאוגרפי - חשופת מט"ח-אסיה סין</t>
  </si>
  <si>
    <t>ISHARES NASDAQ 100 ETF</t>
  </si>
  <si>
    <t>IE00B53SZB19</t>
  </si>
  <si>
    <t>ISHARES S&amp;P US BANKS UCITS</t>
  </si>
  <si>
    <t>IE00BD3V0B10</t>
  </si>
  <si>
    <t>Regional Banks מניות בחו"ל - מניות לפי ענפים בחו"ל - חשופת מט"ח-ארה"ב- מניות</t>
  </si>
  <si>
    <t>ITB US Equity</t>
  </si>
  <si>
    <t>US4642887529</t>
  </si>
  <si>
    <t>KRANESHARES</t>
  </si>
  <si>
    <t>549300VLDRC0RUX0E553</t>
  </si>
  <si>
    <t>KRANESHARES CSI CHINA INTERNET</t>
  </si>
  <si>
    <t>US5007673065</t>
  </si>
  <si>
    <t>SHARES DJ EURO STOXX 50 DE</t>
  </si>
  <si>
    <t>DE0005933956</t>
  </si>
  <si>
    <t>EURO STOXX 50 - מניות בחו"ל - מניות גיאוגרפי - חשופת מט"ח-אירופה כללי</t>
  </si>
  <si>
    <t>SPDR S&amp;P TECH SELECT ETF</t>
  </si>
  <si>
    <t>IE00BWBXM948</t>
  </si>
  <si>
    <t>SPDR S&amp;P US ENERGY SELECT</t>
  </si>
  <si>
    <t>IE00BWBXM492</t>
  </si>
  <si>
    <t>SPDR S&amp;P US FINANCIAL SELECT</t>
  </si>
  <si>
    <t>IE00BWBXM500</t>
  </si>
  <si>
    <t>SPDR S&amp;P500 UCITS ETF</t>
  </si>
  <si>
    <t>IE00B6YX5C33</t>
  </si>
  <si>
    <t>SPDR SP CHINA ETF</t>
  </si>
  <si>
    <t>US78463X4007</t>
  </si>
  <si>
    <t>SPXS L_sorce sp 500 etf</t>
  </si>
  <si>
    <t>IE00B3YCGJ38</t>
  </si>
  <si>
    <t>Vanguard Group</t>
  </si>
  <si>
    <t>549300Y88GQ3VLJIBX57</t>
  </si>
  <si>
    <t>VANG FTSE EM Etf usd</t>
  </si>
  <si>
    <t>IE00BK5BR733</t>
  </si>
  <si>
    <t>VANG FTSE EM EUR</t>
  </si>
  <si>
    <t>VOO US-Vanguard s&amp;p 500 etf</t>
  </si>
  <si>
    <t>US9229083632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</si>
  <si>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</si>
  <si>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</si>
  <si>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</si>
  <si>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</si>
  <si>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</si>
  <si>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</si>
  <si>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</si>
  <si>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IL0010972607</t>
  </si>
  <si>
    <t>01/06/2026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</si>
  <si>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</si>
  <si>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</si>
  <si>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</si>
  <si>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</si>
  <si>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</si>
  <si>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</si>
  <si>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</si>
  <si>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</si>
  <si>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</si>
  <si>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</si>
  <si>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</si>
  <si>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</si>
  <si>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 בע"מ</t>
  </si>
  <si>
    <t>520041690</t>
  </si>
  <si>
    <t>אלון חברת הדלק אגח סד' א דיסקונט</t>
  </si>
  <si>
    <t>IL0011015679</t>
  </si>
  <si>
    <t>השקעה ואחזקות</t>
  </si>
  <si>
    <t>30/03/2026</t>
  </si>
  <si>
    <t>החוב נחות</t>
  </si>
  <si>
    <t>גורם תלוי/פנימי</t>
  </si>
  <si>
    <t>אי-תלות</t>
  </si>
  <si>
    <t>30/09/2025</t>
  </si>
  <si>
    <t>מספר תאגיד או שותפות בחו"ל</t>
  </si>
  <si>
    <t>כן</t>
  </si>
  <si>
    <t>קיימת תלות</t>
  </si>
  <si>
    <t>בולוס גד תיירות ומלונאות בע"מ</t>
  </si>
  <si>
    <t>512559824</t>
  </si>
  <si>
    <t>בולוס גד תיירות  אג"ח מחוקה</t>
  </si>
  <si>
    <t>IL0010851173</t>
  </si>
  <si>
    <t>מלונאות ותיירות</t>
  </si>
  <si>
    <t>NR</t>
  </si>
  <si>
    <t>05/05/2008</t>
  </si>
  <si>
    <t>15/03/2018</t>
  </si>
  <si>
    <t>בולוס גד תיירות ומלונאות אג"ח(מחוקה)</t>
  </si>
  <si>
    <t>il1087816</t>
  </si>
  <si>
    <t>30/12/2021</t>
  </si>
  <si>
    <t>31/08/2020</t>
  </si>
  <si>
    <t>בנק לאומי ש.ה  6.6%</t>
  </si>
  <si>
    <t>80006929</t>
  </si>
  <si>
    <t>24/01/2027</t>
  </si>
  <si>
    <t>חברת ציטוט</t>
  </si>
  <si>
    <t>בסר לאס וגאס</t>
  </si>
  <si>
    <t>513751610</t>
  </si>
  <si>
    <t>בסר לאס וגס סידרה 1</t>
  </si>
  <si>
    <t>800068835</t>
  </si>
  <si>
    <t>10/02/2019</t>
  </si>
  <si>
    <t>D</t>
  </si>
  <si>
    <t>30/09/2008</t>
  </si>
  <si>
    <t>31/10/2017</t>
  </si>
  <si>
    <t>דרך ארץ הייווייז (1997) בע"מ</t>
  </si>
  <si>
    <t>514874155</t>
  </si>
  <si>
    <t>דרך ארץ א מאוחדת A2</t>
  </si>
  <si>
    <t>800068801</t>
  </si>
  <si>
    <t>30/06/2027</t>
  </si>
  <si>
    <t>בוימלגרין קפיטל בע"מ</t>
  </si>
  <si>
    <t>520038555</t>
  </si>
  <si>
    <t>בוימלגרין</t>
  </si>
  <si>
    <t>IL0004020165</t>
  </si>
  <si>
    <t>מניות לא סחירות</t>
  </si>
  <si>
    <t>10/11/2024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</si>
  <si>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</si>
  <si>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</si>
  <si>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</si>
  <si>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</si>
  <si>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</si>
  <si>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</si>
  <si>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</si>
  <si>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</si>
  <si>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</si>
  <si>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</si>
  <si>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</si>
  <si>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Fimi Israel Opportunity</t>
  </si>
  <si>
    <t>530278548</t>
  </si>
  <si>
    <t>Fimi Apportunity 7 l.p</t>
  </si>
  <si>
    <t>פרייבט אקוויטי</t>
  </si>
  <si>
    <t>Co-Investment/Direct</t>
  </si>
  <si>
    <t>כתובת: יגאל אלון 94 , תל אביב</t>
  </si>
  <si>
    <t>31/05/2021</t>
  </si>
  <si>
    <t>29/09/2025</t>
  </si>
  <si>
    <t>IGP</t>
  </si>
  <si>
    <t>540281839</t>
  </si>
  <si>
    <t>IGP Investments II</t>
  </si>
  <si>
    <t>Value Added Infrastructure</t>
  </si>
  <si>
    <t>כתובת:  אריק איינשטיין 3 , הרצליה</t>
  </si>
  <si>
    <t>19/07/2018</t>
  </si>
  <si>
    <t>11/06/2025</t>
  </si>
  <si>
    <t>קומרה קפיטל</t>
  </si>
  <si>
    <t>540310885</t>
  </si>
  <si>
    <t>Qumra Capital</t>
  </si>
  <si>
    <t>כתובת: הנביאים 4 , תל אביב</t>
  </si>
  <si>
    <t>07/03/2021</t>
  </si>
  <si>
    <t>21/07/2025</t>
  </si>
  <si>
    <t>Vertex 2 Fund</t>
  </si>
  <si>
    <t>27370</t>
  </si>
  <si>
    <t>Vertex II Fund</t>
  </si>
  <si>
    <t>Other</t>
  </si>
  <si>
    <t>15/04/2019</t>
  </si>
  <si>
    <t>Vertex</t>
  </si>
  <si>
    <t>540283272</t>
  </si>
  <si>
    <t>Vertex VI Fund</t>
  </si>
  <si>
    <t>כתובת: השיקמה 1 , סביון</t>
  </si>
  <si>
    <t>04/01/2021</t>
  </si>
  <si>
    <t>10/09/2025</t>
  </si>
  <si>
    <t>ויטהלייף</t>
  </si>
  <si>
    <t>550226906</t>
  </si>
  <si>
    <t>VITALIFE</t>
  </si>
  <si>
    <t>כתובת: הברזל 32 , רמת החייל , תל אביב</t>
  </si>
  <si>
    <t>15/12/2020</t>
  </si>
  <si>
    <t>גולדן גייט קרן הון סיכון ב</t>
  </si>
  <si>
    <t>512875410</t>
  </si>
  <si>
    <t>גולדן גייט</t>
  </si>
  <si>
    <t>aMoon</t>
  </si>
  <si>
    <t>540278827</t>
  </si>
  <si>
    <t>Amoon 2 Fund  L.p</t>
  </si>
  <si>
    <t>כתובת:  שד' ירושלים 34, רעננה</t>
  </si>
  <si>
    <t>20/03/2019</t>
  </si>
  <si>
    <t>21/08/2025</t>
  </si>
  <si>
    <t>Electra</t>
  </si>
  <si>
    <t>89410</t>
  </si>
  <si>
    <t>Electra Capital PM II  Feeder 3</t>
  </si>
  <si>
    <t>קרן חוב</t>
  </si>
  <si>
    <t>Mezzanine Debt</t>
  </si>
  <si>
    <t>איי קיימן</t>
  </si>
  <si>
    <t>Address: 4890 West Kennedy blvd. Tampa, FL 33609 USA</t>
  </si>
  <si>
    <t>29/12/2022</t>
  </si>
  <si>
    <t>11/09/2025</t>
  </si>
  <si>
    <t>IBI</t>
  </si>
  <si>
    <t>550270045</t>
  </si>
  <si>
    <t>IBI CCF</t>
  </si>
  <si>
    <t>Venture Debt</t>
  </si>
  <si>
    <t>כתובת:  אחד העם 9 תל אביב</t>
  </si>
  <si>
    <t>30/01/2022</t>
  </si>
  <si>
    <t>Millennium International</t>
  </si>
  <si>
    <t>10285</t>
  </si>
  <si>
    <t>Address: 399 Park Avenue, New York, NY 10022</t>
  </si>
  <si>
    <t>17/09/2025</t>
  </si>
  <si>
    <t>פאגאיה</t>
  </si>
  <si>
    <t>515469229</t>
  </si>
  <si>
    <t>PAGAYA OPP OF FE I SER 10.21</t>
  </si>
  <si>
    <t>Address: P.O. Box 309, Ugland House, Grand Cayman, KY1-1104, Cayman Islands</t>
  </si>
  <si>
    <t>02/11/2021</t>
  </si>
  <si>
    <t>Pagaya Opportunity</t>
  </si>
  <si>
    <t>04/10/2021</t>
  </si>
  <si>
    <t>04/01/2022</t>
  </si>
  <si>
    <t xml:space="preserve">Pagaya Opportunity </t>
  </si>
  <si>
    <t>PAGAYA OPPORTUNITY- SPV</t>
  </si>
  <si>
    <t>31/12/2024</t>
  </si>
  <si>
    <t>דוניץ אופציה לא סחירה</t>
  </si>
  <si>
    <t>4000101</t>
  </si>
  <si>
    <t>24/02/2025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</si>
  <si>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</si>
  <si>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</si>
  <si>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</si>
  <si>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</si>
  <si>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</si>
  <si>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</si>
  <si>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</si>
  <si>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</si>
  <si>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</si>
  <si>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</si>
  <si>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</si>
  <si>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</si>
  <si>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</si>
  <si>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</si>
  <si>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</si>
  <si>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</si>
  <si>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</si>
  <si>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</si>
  <si>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</si>
  <si>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</si>
  <si>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</si>
  <si>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</si>
  <si>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</si>
  <si>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</si>
  <si>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</si>
  <si>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</si>
  <si>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</si>
  <si>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</si>
  <si>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</si>
  <si>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</si>
  <si>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</si>
  <si>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</si>
  <si>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</si>
  <si>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</si>
  <si>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</si>
  <si>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</si>
  <si>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</si>
  <si>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</si>
  <si>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</si>
  <si>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</si>
  <si>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</si>
  <si>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</si>
  <si>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</si>
  <si>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</si>
  <si>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</si>
  <si>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</si>
  <si>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</si>
  <si>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</si>
  <si>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</si>
  <si>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</si>
  <si>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</si>
  <si>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</si>
  <si>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</si>
  <si>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</si>
  <si>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</si>
  <si>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</si>
  <si>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</si>
  <si>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</si>
  <si>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</si>
  <si>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</si>
  <si>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</si>
  <si>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</si>
  <si>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</si>
  <si>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</si>
  <si>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</si>
  <si>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</si>
  <si>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</si>
  <si>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</si>
  <si>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</si>
  <si>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</si>
  <si>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</si>
  <si>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</si>
  <si>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</si>
  <si>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</si>
  <si>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</si>
  <si>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</si>
  <si>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</si>
  <si>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</si>
  <si>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</si>
  <si>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</si>
  <si>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</si>
  <si>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</si>
  <si>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</si>
  <si>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</si>
  <si>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</si>
  <si>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</si>
  <si>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</si>
  <si>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</si>
  <si>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</si>
  <si>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</si>
  <si>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</si>
  <si>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</si>
  <si>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</si>
  <si>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</si>
  <si>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</si>
  <si>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</si>
  <si>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</si>
  <si>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</si>
  <si>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</si>
  <si>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</si>
  <si>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</si>
  <si>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</si>
  <si>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</si>
  <si>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</si>
  <si>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</si>
  <si>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</si>
  <si>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</si>
  <si>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</si>
  <si>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</si>
  <si>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</si>
  <si>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</si>
  <si>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</si>
  <si>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</si>
  <si>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</si>
  <si>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</si>
  <si>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</si>
  <si>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</si>
  <si>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</si>
  <si>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</si>
  <si>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</si>
  <si>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</si>
  <si>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</si>
  <si>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</si>
  <si>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</si>
  <si>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</si>
  <si>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</si>
  <si>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</si>
  <si>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</si>
  <si>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</si>
  <si>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</si>
  <si>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</si>
  <si>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</si>
  <si>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</si>
  <si>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</si>
  <si>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</si>
  <si>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</si>
  <si>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</si>
  <si>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</si>
  <si>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</si>
  <si>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</si>
  <si>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</si>
  <si>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</si>
  <si>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</si>
  <si>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</si>
  <si>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</si>
  <si>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</si>
  <si>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</si>
  <si>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</si>
  <si>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</si>
  <si>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</si>
  <si>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</si>
  <si>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</si>
  <si>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</si>
  <si>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</si>
  <si>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</si>
  <si>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</si>
  <si>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</si>
  <si>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</si>
  <si>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</si>
  <si>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</si>
  <si>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</si>
  <si>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</si>
  <si>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</si>
  <si>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</si>
  <si>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</si>
  <si>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</si>
  <si>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</si>
  <si>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</si>
  <si>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</si>
  <si>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</si>
  <si>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</si>
  <si>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</si>
  <si>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</si>
  <si>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</si>
  <si>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</si>
  <si>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</si>
  <si>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</si>
  <si>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</si>
  <si>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</si>
  <si>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</si>
  <si>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</si>
  <si>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</si>
  <si>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</si>
  <si>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</si>
  <si>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</si>
  <si>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</si>
  <si>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</si>
  <si>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</si>
  <si>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</si>
  <si>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</si>
  <si>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</si>
  <si>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</si>
  <si>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</si>
  <si>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</si>
  <si>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</si>
  <si>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</si>
  <si>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</si>
  <si>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</si>
  <si>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</si>
  <si>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</si>
  <si>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</si>
  <si>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</si>
  <si>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</si>
  <si>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</si>
  <si>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</si>
  <si>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</si>
  <si>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</si>
  <si>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</si>
  <si>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</si>
  <si>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</si>
  <si>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</si>
  <si>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</si>
  <si>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</si>
  <si>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</si>
  <si>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</si>
  <si>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</si>
  <si>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</si>
  <si>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</si>
  <si>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</si>
  <si>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</si>
  <si>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</si>
  <si>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</si>
  <si>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</si>
  <si>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</si>
  <si>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</si>
  <si>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</si>
  <si>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</si>
  <si>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</si>
  <si>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</si>
  <si>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</si>
  <si>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</si>
  <si>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</si>
  <si>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</si>
  <si>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</si>
  <si>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</si>
  <si>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</si>
  <si>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</si>
  <si>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</si>
  <si>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</si>
  <si>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</si>
  <si>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</si>
  <si>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</si>
  <si>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</si>
  <si>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</si>
  <si>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</si>
  <si>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</si>
  <si>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</si>
  <si>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</si>
  <si>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</si>
  <si>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</si>
  <si>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</si>
  <si>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</si>
  <si>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</si>
  <si>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</si>
  <si>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</si>
  <si>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</si>
  <si>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</si>
  <si>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</si>
  <si>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</si>
  <si>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</si>
  <si>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</si>
  <si>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</si>
  <si>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</si>
  <si>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</si>
  <si>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</si>
  <si>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</si>
  <si>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</si>
  <si>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</si>
  <si>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</si>
  <si>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</si>
  <si>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</si>
  <si>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</si>
  <si>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</si>
  <si>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</si>
  <si>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</si>
  <si>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</si>
  <si>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</si>
  <si>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</si>
  <si>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</si>
  <si>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</si>
  <si>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</si>
  <si>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</si>
  <si>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</si>
  <si>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</si>
  <si>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</si>
  <si>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</si>
  <si>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</si>
  <si>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</si>
  <si>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</si>
  <si>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</si>
  <si>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</si>
  <si>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</si>
  <si>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</si>
  <si>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</si>
  <si>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</si>
  <si>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</si>
  <si>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</si>
  <si>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</si>
  <si>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</si>
  <si>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</si>
  <si>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</si>
  <si>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</si>
  <si>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</si>
  <si>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</si>
  <si>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</si>
  <si>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</si>
  <si>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נדל"ן מניב בחו"ל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</si>
  <si>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</si>
  <si>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</si>
  <si>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</si>
  <si>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</si>
  <si>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</si>
  <si>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</si>
  <si>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</si>
  <si>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</si>
  <si>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</si>
  <si>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</si>
  <si>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</si>
  <si>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</si>
  <si>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</si>
  <si>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</si>
  <si>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</si>
  <si>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</si>
  <si>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</si>
  <si>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</si>
  <si>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</si>
  <si>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</si>
  <si>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</si>
  <si>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</si>
  <si>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</si>
  <si>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</si>
  <si>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</si>
  <si>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</si>
  <si>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</si>
  <si>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</si>
  <si>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</si>
  <si>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</si>
  <si>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</si>
  <si>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</si>
  <si>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</si>
  <si>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</si>
  <si>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</si>
  <si>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</si>
  <si>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</si>
  <si>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</si>
  <si>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</si>
  <si>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</si>
  <si>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</si>
  <si>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</si>
  <si>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</si>
  <si>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</si>
  <si>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</si>
  <si>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</si>
  <si>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</si>
  <si>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</si>
  <si>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</si>
  <si>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</si>
  <si>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</si>
  <si>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</si>
  <si>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</si>
  <si>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</si>
  <si>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</si>
  <si>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</si>
  <si>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</si>
  <si>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</si>
  <si>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</si>
  <si>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</si>
  <si>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</si>
  <si>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</si>
  <si>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</si>
  <si>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</si>
  <si>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</si>
  <si>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</si>
  <si>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</si>
  <si>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</si>
  <si>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</si>
  <si>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</si>
  <si>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</si>
  <si>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</si>
  <si>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</si>
  <si>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</si>
  <si>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</si>
  <si>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</si>
  <si>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</si>
  <si>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</si>
  <si>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</si>
  <si>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</si>
  <si>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</si>
  <si>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</si>
  <si>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</si>
  <si>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</si>
  <si>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</si>
  <si>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</si>
  <si>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</si>
  <si>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</si>
  <si>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</si>
  <si>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</si>
  <si>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</si>
  <si>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</si>
  <si>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</si>
  <si>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</si>
  <si>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</si>
  <si>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</si>
  <si>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</si>
  <si>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</si>
  <si>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</si>
  <si>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</si>
  <si>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</si>
  <si>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</si>
  <si>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</si>
  <si>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</si>
  <si>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</si>
  <si>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</si>
  <si>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</si>
  <si>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</si>
  <si>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</si>
  <si>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</si>
  <si>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</si>
  <si>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</si>
  <si>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</si>
  <si>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</si>
  <si>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</si>
  <si>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</si>
  <si>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</si>
  <si>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</si>
  <si>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</si>
  <si>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</si>
  <si>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</si>
  <si>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</si>
  <si>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</si>
  <si>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</si>
  <si>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</si>
  <si>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</si>
  <si>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</si>
  <si>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</si>
  <si>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</si>
  <si>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</si>
  <si>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</si>
  <si>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</si>
  <si>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</si>
  <si>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</si>
  <si>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</si>
  <si>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</si>
  <si>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</si>
  <si>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</si>
  <si>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</si>
  <si>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</si>
  <si>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</si>
  <si>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</si>
  <si>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</si>
  <si>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</si>
  <si>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</si>
  <si>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</si>
  <si>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</si>
  <si>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</si>
  <si>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</si>
  <si>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</si>
  <si>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</si>
  <si>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</si>
  <si>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</si>
  <si>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</si>
  <si>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</si>
  <si>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</si>
  <si>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</si>
  <si>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</si>
  <si>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</si>
  <si>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</si>
  <si>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</si>
  <si>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</si>
  <si>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</si>
  <si>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</si>
  <si>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</si>
  <si>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</si>
  <si>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</si>
  <si>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</si>
  <si>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</si>
  <si>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</si>
  <si>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</si>
  <si>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</si>
  <si>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</si>
  <si>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</si>
  <si>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</si>
  <si>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</si>
  <si>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</si>
  <si>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</si>
  <si>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</si>
  <si>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</si>
  <si>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</si>
  <si>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</si>
  <si>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</si>
  <si>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</si>
  <si>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</si>
  <si>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</si>
  <si>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</si>
  <si>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</si>
  <si>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</si>
  <si>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</si>
  <si>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</si>
  <si>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</si>
  <si>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</si>
  <si>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</si>
  <si>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</si>
  <si>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</si>
  <si>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</si>
  <si>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</si>
  <si>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</si>
  <si>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</si>
  <si>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</si>
  <si>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</si>
  <si>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</si>
  <si>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</si>
  <si>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</si>
  <si>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</si>
  <si>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</si>
  <si>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</si>
  <si>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</si>
  <si>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</si>
  <si>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</si>
  <si>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</si>
  <si>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</si>
  <si>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</si>
  <si>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</si>
  <si>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</si>
  <si>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</si>
  <si>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</si>
  <si>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</si>
  <si>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</si>
  <si>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</si>
  <si>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</si>
  <si>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</si>
  <si>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</si>
  <si>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</si>
  <si>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</si>
  <si>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</si>
  <si>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</si>
  <si>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</si>
  <si>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</si>
  <si>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</si>
  <si>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</si>
  <si>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</si>
  <si>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</si>
  <si>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</si>
  <si>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</si>
  <si>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</si>
  <si>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</si>
  <si>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</si>
  <si>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</si>
  <si>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</si>
  <si>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</si>
  <si>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</si>
  <si>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</si>
  <si>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</si>
  <si>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</si>
  <si>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</si>
  <si>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</si>
  <si>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</si>
  <si>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</si>
  <si>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</si>
  <si>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</si>
  <si>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</si>
  <si>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</si>
  <si>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</si>
  <si>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</si>
  <si>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</si>
  <si>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</si>
  <si>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</si>
  <si>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</si>
  <si>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</si>
  <si>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</si>
  <si>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</si>
  <si>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</si>
  <si>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</si>
  <si>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</si>
  <si>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</si>
  <si>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</si>
  <si>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</si>
  <si>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</si>
  <si>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</si>
  <si>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</si>
  <si>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</si>
  <si>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</si>
  <si>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</si>
  <si>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</si>
  <si>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</si>
  <si>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</si>
  <si>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</si>
  <si>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</si>
  <si>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</si>
  <si>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</si>
  <si>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</si>
  <si>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</si>
  <si>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</si>
  <si>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</si>
  <si>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</si>
  <si>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</si>
  <si>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</si>
  <si>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</si>
  <si>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</si>
  <si>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</si>
  <si>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</si>
  <si>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</si>
  <si>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</si>
  <si>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</si>
  <si>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</si>
  <si>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</si>
  <si>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</si>
  <si>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</si>
  <si>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</si>
  <si>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</si>
  <si>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</si>
  <si>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</si>
  <si>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</si>
  <si>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</si>
  <si>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</si>
  <si>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</si>
  <si>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</si>
  <si>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</si>
  <si>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</si>
  <si>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</si>
  <si>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</si>
  <si>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</si>
  <si>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</si>
  <si>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</si>
  <si>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</si>
  <si>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</si>
  <si>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</si>
  <si>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</si>
  <si>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</si>
  <si>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</si>
  <si>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</si>
  <si>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</si>
  <si>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</si>
  <si>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</si>
  <si>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</si>
  <si>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</si>
  <si>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</si>
  <si>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</si>
  <si>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</si>
  <si>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</si>
  <si>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</si>
  <si>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</si>
  <si>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</si>
  <si>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</si>
  <si>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</si>
  <si>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</si>
  <si>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</si>
  <si>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</si>
  <si>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</si>
  <si>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Special Situations Debt</t>
  </si>
  <si>
    <t>Distressed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</si>
  <si>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</si>
  <si>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</si>
  <si>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</si>
  <si>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</si>
  <si>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</si>
  <si>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</si>
  <si>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</si>
  <si>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</si>
  <si>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</si>
  <si>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</si>
  <si>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</si>
  <si>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</si>
  <si>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</si>
  <si>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</si>
  <si>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</si>
  <si>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</si>
  <si>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</si>
  <si>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</si>
  <si>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</si>
  <si>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</si>
  <si>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</si>
  <si>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</si>
  <si>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</si>
  <si>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</si>
  <si>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</si>
  <si>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</si>
  <si>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</si>
  <si>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</si>
  <si>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</si>
  <si>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</si>
  <si>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</si>
  <si>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</si>
  <si>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</si>
  <si>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</si>
  <si>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</si>
  <si>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</si>
  <si>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</si>
  <si>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</si>
  <si>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</si>
  <si>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</si>
  <si>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</si>
  <si>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</si>
  <si>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</si>
  <si>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</si>
  <si>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</si>
  <si>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</si>
  <si>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</si>
  <si>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</si>
  <si>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</si>
  <si>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</si>
  <si>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</si>
  <si>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</si>
  <si>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</si>
  <si>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</si>
  <si>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</si>
  <si>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</si>
  <si>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</si>
  <si>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</si>
  <si>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</si>
  <si>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</si>
  <si>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</si>
  <si>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</si>
  <si>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</si>
  <si>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</si>
  <si>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</si>
  <si>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</si>
  <si>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</si>
  <si>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</si>
  <si>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</si>
  <si>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</si>
  <si>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</si>
  <si>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</si>
  <si>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</si>
  <si>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</si>
  <si>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</si>
  <si>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</si>
  <si>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</si>
  <si>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</si>
  <si>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</si>
  <si>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</si>
  <si>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</si>
  <si>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</si>
  <si>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</si>
  <si>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</si>
  <si>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</si>
  <si>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</si>
  <si>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</si>
  <si>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</si>
  <si>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</si>
  <si>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</si>
  <si>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</si>
  <si>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</si>
  <si>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</si>
  <si>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</si>
  <si>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</si>
  <si>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</si>
  <si>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</si>
  <si>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</si>
  <si>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</si>
  <si>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</si>
  <si>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</si>
  <si>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</si>
  <si>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</si>
  <si>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מק"מ קצר משנים עשר חודשים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</si>
  <si>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</si>
  <si>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</si>
  <si>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</si>
  <si>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</si>
  <si>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</si>
  <si>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</si>
  <si>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</si>
  <si>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</si>
  <si>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</si>
  <si>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</si>
  <si>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</si>
  <si>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</si>
  <si>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</si>
  <si>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</si>
  <si>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</si>
  <si>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</si>
  <si>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</si>
  <si>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</si>
  <si>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</si>
  <si>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</si>
  <si>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</si>
  <si>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</si>
  <si>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</si>
  <si>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</si>
  <si>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</si>
  <si>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</si>
  <si>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</si>
  <si>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</si>
  <si>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</si>
  <si>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</si>
  <si>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</si>
  <si>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</si>
  <si>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</si>
  <si>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</si>
  <si>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</si>
  <si>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</si>
  <si>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</si>
  <si>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</si>
  <si>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</si>
  <si>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</si>
  <si>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</si>
  <si>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</si>
  <si>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</si>
  <si>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</si>
  <si>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</si>
  <si>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</si>
  <si>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</si>
  <si>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</si>
  <si>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</si>
  <si>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</si>
  <si>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</si>
  <si>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</si>
  <si>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</si>
  <si>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</si>
  <si>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</si>
  <si>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</si>
  <si>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</si>
  <si>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</si>
  <si>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</si>
  <si>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</si>
  <si>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</si>
  <si>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</si>
  <si>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</si>
  <si>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</si>
  <si>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</si>
  <si>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</si>
  <si>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</si>
  <si>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</si>
  <si>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</si>
  <si>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</si>
  <si>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</si>
  <si>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</si>
  <si>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</si>
  <si>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</si>
  <si>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</si>
  <si>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</si>
  <si>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</si>
  <si>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</si>
  <si>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</si>
  <si>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</si>
  <si>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</si>
  <si>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</si>
  <si>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</si>
  <si>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</si>
  <si>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</si>
  <si>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</si>
  <si>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</si>
  <si>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</si>
  <si>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</si>
  <si>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</si>
  <si>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</si>
  <si>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</si>
  <si>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</si>
  <si>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</si>
  <si>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</si>
  <si>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</si>
  <si>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</si>
  <si>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</si>
  <si>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</si>
  <si>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</si>
  <si>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</si>
  <si>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</si>
  <si>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</si>
  <si>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</si>
  <si>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</si>
  <si>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</si>
  <si>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</si>
  <si>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</si>
  <si>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</si>
  <si>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</si>
  <si>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</si>
  <si>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</si>
  <si>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</si>
  <si>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</si>
  <si>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</si>
  <si>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</si>
  <si>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</si>
  <si>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</si>
  <si>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</si>
  <si>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</si>
  <si>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</si>
  <si>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</si>
  <si>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</si>
  <si>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</si>
  <si>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</si>
  <si>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</si>
  <si>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</si>
  <si>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</si>
  <si>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</si>
  <si>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</si>
  <si>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</si>
  <si>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</si>
  <si>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</si>
  <si>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</si>
  <si>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</si>
  <si>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</si>
  <si>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</si>
  <si>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</si>
  <si>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</si>
  <si>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</si>
  <si>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</si>
  <si>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</si>
  <si>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</si>
  <si>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</si>
  <si>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</si>
  <si>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</si>
  <si>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</si>
  <si>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</si>
  <si>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</si>
  <si>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</si>
  <si>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</si>
  <si>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</si>
  <si>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</si>
  <si>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</si>
  <si>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</si>
  <si>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</si>
  <si>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</si>
  <si>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</si>
  <si>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</si>
  <si>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</si>
  <si>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</si>
  <si>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</si>
  <si>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</si>
  <si>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</si>
  <si>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</si>
  <si>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</si>
  <si>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</si>
  <si>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</si>
  <si>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</si>
  <si>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</si>
  <si>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</si>
  <si>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</si>
  <si>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</si>
  <si>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</si>
  <si>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</si>
  <si>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</si>
  <si>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</si>
  <si>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</si>
  <si>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</si>
  <si>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</si>
  <si>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</si>
  <si>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</si>
  <si>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</si>
  <si>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</si>
  <si>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</si>
  <si>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</si>
  <si>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</si>
  <si>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</si>
  <si>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</si>
  <si>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</si>
  <si>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</si>
  <si>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</si>
  <si>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</si>
  <si>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</si>
  <si>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</si>
  <si>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</si>
  <si>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</si>
  <si>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</si>
  <si>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</si>
  <si>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</si>
  <si>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</si>
  <si>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</si>
  <si>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</si>
  <si>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</si>
  <si>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</si>
  <si>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</si>
  <si>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</si>
  <si>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</si>
  <si>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</si>
  <si>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</si>
  <si>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</si>
  <si>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</si>
  <si>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</si>
  <si>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</si>
  <si>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</si>
  <si>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</si>
  <si>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</si>
  <si>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</si>
  <si>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</si>
  <si>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</si>
  <si>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</si>
  <si>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</si>
  <si>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</si>
  <si>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</si>
  <si>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</si>
  <si>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</si>
  <si>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</si>
  <si>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</si>
  <si>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</si>
  <si>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</si>
  <si>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</si>
  <si>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</si>
  <si>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</si>
  <si>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</si>
  <si>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</si>
  <si>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</si>
  <si>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</si>
  <si>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</si>
  <si>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</si>
  <si>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</si>
  <si>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</si>
  <si>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</si>
  <si>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</si>
  <si>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</si>
  <si>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</si>
  <si>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</si>
  <si>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</si>
  <si>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</si>
  <si>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</si>
  <si>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</si>
  <si>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</si>
  <si>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</si>
  <si>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</si>
  <si>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</si>
  <si>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</si>
  <si>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</si>
  <si>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</si>
  <si>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</si>
  <si>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</si>
  <si>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</si>
  <si>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</si>
  <si>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</si>
  <si>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</si>
  <si>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</si>
  <si>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</si>
  <si>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</si>
  <si>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</si>
  <si>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</si>
  <si>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</si>
  <si>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</si>
  <si>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</si>
  <si>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</si>
  <si>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</si>
  <si>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</si>
  <si>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</si>
  <si>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</si>
  <si>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</si>
  <si>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</si>
  <si>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</si>
  <si>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</si>
  <si>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</si>
  <si>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</si>
  <si>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</si>
  <si>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</si>
  <si>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</si>
  <si>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</si>
  <si>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</si>
  <si>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</si>
  <si>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</si>
  <si>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</si>
  <si>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</si>
  <si>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</si>
  <si>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</si>
  <si>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</si>
  <si>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דיסקונט לישראל בע"מ</t>
  </si>
  <si>
    <t>11-10</t>
  </si>
  <si>
    <t>GBP</t>
  </si>
  <si>
    <t>10-800</t>
  </si>
  <si>
    <t>CPI</t>
  </si>
  <si>
    <t>NA</t>
  </si>
  <si>
    <t>IDBLILIT</t>
  </si>
  <si>
    <t>delivery</t>
  </si>
  <si>
    <t>עינת מאיר , מנכ"ל</t>
  </si>
  <si>
    <t>einat.meir@dbank.co.il</t>
  </si>
  <si>
    <t>520041146</t>
  </si>
  <si>
    <t>520000472</t>
  </si>
  <si>
    <t>520018078</t>
  </si>
  <si>
    <t>520013954</t>
  </si>
  <si>
    <t>520000522</t>
  </si>
  <si>
    <t>520000118</t>
  </si>
  <si>
    <t>512766577</t>
  </si>
  <si>
    <t>514440874</t>
  </si>
  <si>
    <t>Fimi Israel Opportunity 7</t>
  </si>
  <si>
    <t>IGP II</t>
  </si>
  <si>
    <t>קומרה קפיטל III</t>
  </si>
  <si>
    <t>Vertex VI</t>
  </si>
  <si>
    <t>aMoon 2</t>
  </si>
  <si>
    <t>אמפל-אמריקן ישראל קורפוריישן</t>
  </si>
  <si>
    <t>אמפל אמריקן אגח ב (מחוקה )</t>
  </si>
  <si>
    <t>IL0011103780</t>
  </si>
  <si>
    <t>04/05/2018</t>
  </si>
  <si>
    <t>אמפל אמריקן אגח ב חש 1/12</t>
  </si>
  <si>
    <t>אמפל אמריקן חש 01/13</t>
  </si>
  <si>
    <t>28/03/2018</t>
  </si>
  <si>
    <t>אמפל אמריקן חש 01/14</t>
  </si>
  <si>
    <t>אמפל אמריקן חש 1/15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</si>
  <si>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</si>
  <si>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</si>
  <si>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</si>
  <si>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</si>
  <si>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</si>
  <si>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28/12/2014</t>
  </si>
  <si>
    <t>IL0011256240</t>
  </si>
  <si>
    <t>IL0011276792</t>
  </si>
  <si>
    <t>IL0011311847</t>
  </si>
  <si>
    <t>IL0011343943</t>
  </si>
  <si>
    <t>13-0435685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</si>
</sst>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10" fontId="24" fillId="0" borderId="20" xfId="5" applyNumberFormat="1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43" fontId="2" fillId="0" borderId="0" xfId="4" applyFont="1" applyFill="1" applyBorder="1" applyAlignment="1">
      <alignment horizontal="center"/>
    </xf>
    <xf numFmtId="43" fontId="0" fillId="0" borderId="0" xfId="4" applyFont="1" applyFill="1" applyBorder="1" applyAlignment="1">
      <alignment horizontal="center"/>
    </xf>
    <xf numFmtId="43" fontId="2" fillId="0" borderId="0" xfId="4" applyFont="1" applyFill="1" applyBorder="1"/>
    <xf numFmtId="43" fontId="0" fillId="0" borderId="0" xfId="4" applyFont="1" applyFill="1" applyBorder="1"/>
    <xf numFmtId="10" fontId="4" fillId="0" borderId="0" xfId="0" applyNumberFormat="1" applyFont="1" applyFill="1" applyBorder="1" applyProtection="1">
      <protection locked="0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4" fontId="0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 applyAlignment="1">
      <alignment horizontal="right"/>
    </xf>
    <xf numFmtId="0" fontId="2" fillId="0" borderId="0" xfId="0" applyFont="1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67" fontId="2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4" fontId="3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67" fontId="3" fillId="0" borderId="0" xfId="0" applyNumberFormat="1" applyFont="1"/>
    <xf numFmtId="0" fontId="7" fillId="3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>
      <alignment horizontal="right"/>
    </xf>
    <xf numFmtId="0" fontId="3" fillId="0" borderId="0" xfId="0" applyNumberFormat="1" applyFont="1" applyFill="1" applyBorder="1" applyAlignment="1">
      <alignment horizontal="right"/>
    </xf>
    <xf numFmtId="168" fontId="2" fillId="0" borderId="0" xfId="0" applyNumberFormat="1" applyFont="1"/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43" fontId="4" fillId="0" borderId="0" xfId="4" applyFont="1" applyFill="1" applyBorder="1"/>
    <xf numFmtId="0" fontId="4" fillId="0" borderId="0" xfId="0" applyNumberFormat="1" applyFont="1" applyFill="1" applyBorder="1" applyAlignment="1">
      <alignment horizontal="right"/>
    </xf>
    <xf numFmtId="14" fontId="2" fillId="0" borderId="0" xfId="0" applyNumberFormat="1" applyFont="1" applyProtection="1"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0" fillId="0" borderId="0" xfId="0"/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5" fillId="4" borderId="0" xfId="0" applyFont="1" applyFill="1"/>
    <xf numFmtId="0" fontId="0" fillId="0" borderId="0" xfId="0" applyAlignment="1">
      <alignment horizontal="right"/>
    </xf>
    <xf numFmtId="0" fontId="10" fillId="4" borderId="0" xfId="0" applyFont="1" applyFill="1"/>
    <xf numFmtId="0" fontId="0" fillId="0" borderId="0" xfId="0" applyProtection="1">
      <protection locked="0"/>
    </xf>
    <xf numFmtId="0" fontId="11" fillId="0" borderId="0" xfId="0" applyFont="1"/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5">
          <cell r="A35" t="str">
            <v>אי. אם. איי - עזר חברה לביטוח משכנתאות בע"מ</v>
          </cell>
          <cell r="B35">
            <v>512310509</v>
          </cell>
        </row>
        <row r="36">
          <cell r="A36" t="str">
            <v>איי. די. איי. חברה לביטוח בע"מ</v>
          </cell>
          <cell r="B36">
            <v>513910703</v>
          </cell>
        </row>
        <row r="37">
          <cell r="A37" t="str">
            <v>איי.אי.ג'י חברה לביטוח בע"מ</v>
          </cell>
          <cell r="B37">
            <v>512304882</v>
          </cell>
        </row>
        <row r="38">
          <cell r="A38" t="str">
            <v>איילון חברה לביטוח בע"מ</v>
          </cell>
          <cell r="B38">
            <v>520030677</v>
          </cell>
        </row>
        <row r="39">
          <cell r="A39" t="str">
            <v>אינפיניטי השתלמות, גמל ופנסיה בע"מ</v>
          </cell>
          <cell r="B39">
            <v>513621110</v>
          </cell>
        </row>
        <row r="40">
          <cell r="A40" t="str">
            <v>אלטשולר שחם גמל ופנסיה בע"מ</v>
          </cell>
          <cell r="B40">
            <v>513173393</v>
          </cell>
        </row>
        <row r="41">
          <cell r="A41" t="str">
            <v>אנליסט קופות גמל בע"מ</v>
          </cell>
          <cell r="B41">
            <v>511880460</v>
          </cell>
        </row>
        <row r="42">
          <cell r="A42" t="str">
            <v>ארם גמולים - חברה לניהול קופות גמל בע''מ</v>
          </cell>
          <cell r="B42">
            <v>510773922</v>
          </cell>
        </row>
        <row r="43">
          <cell r="A43" t="str">
            <v>אשרא - החברה הישראלית לביטוח יצוא בע"מ</v>
          </cell>
          <cell r="B43">
            <v>520021916</v>
          </cell>
        </row>
        <row r="44">
          <cell r="A44" t="str">
            <v>ב.ס.ס.ח. - החברה הישראלית לביטוח אשראי בע"מ</v>
          </cell>
          <cell r="B44">
            <v>520044025</v>
          </cell>
        </row>
        <row r="45">
          <cell r="A45" t="str">
            <v>ביטוח חקלאי אגודה מרכזית בע"מ</v>
          </cell>
          <cell r="B45">
            <v>570003152</v>
          </cell>
        </row>
        <row r="46">
          <cell r="A46" t="str">
            <v>גילעד גימלאות לעובדים דתיים בע"מ</v>
          </cell>
          <cell r="B46">
            <v>520023094</v>
          </cell>
        </row>
        <row r="47">
          <cell r="A47" t="str">
            <v>גל - ניהול קופות גמל לעובדי הוראה בע"מ</v>
          </cell>
          <cell r="B47">
            <v>512711409</v>
          </cell>
        </row>
        <row r="48">
          <cell r="A48" t="str">
            <v>דיויד שילד חברה לביטוח בע"מ</v>
          </cell>
          <cell r="B48">
            <v>515859379</v>
          </cell>
        </row>
        <row r="49">
          <cell r="A49" t="str">
            <v>החברה המנהלת של מינהל קרן ההשתלמות לפקידים עובדי המנהל והשירותים בע"מ</v>
          </cell>
          <cell r="B49">
            <v>520030990</v>
          </cell>
        </row>
        <row r="50">
          <cell r="A50" t="str">
            <v>החברה המנהלת של קרן הגמלאות של חברי "דן" בע"מ</v>
          </cell>
          <cell r="B50">
            <v>520028812</v>
          </cell>
        </row>
        <row r="51">
          <cell r="A51" t="str">
            <v>החברה המנהלת של קרן השתלמות של עובדי חברת החשמל לישראל בע"מ</v>
          </cell>
          <cell r="B51">
            <v>520034968</v>
          </cell>
        </row>
        <row r="52">
          <cell r="A52" t="str">
            <v>החברה המנהלת של רום קרן ההשתלמות לעובדי הרשויות המקומיות בע"מ</v>
          </cell>
          <cell r="B52">
            <v>520031824</v>
          </cell>
        </row>
        <row r="53">
          <cell r="A53" t="str">
            <v>החברה לניהול קופות התגמולים והפיצויים של עובדי בנק לאומי בע"מ</v>
          </cell>
          <cell r="B53">
            <v>520005497</v>
          </cell>
        </row>
        <row r="54">
          <cell r="A54" t="str">
            <v>החברה לניהול קופת התגמולים והפנסיה של עובדי הסוכנות היהודית לארץ ישראל בע"מ</v>
          </cell>
          <cell r="B54">
            <v>520022518</v>
          </cell>
        </row>
        <row r="55">
          <cell r="A55" t="str">
            <v>החברה לניהול קרן ההשתלמות להנדסאים וטכנאים בע"מ</v>
          </cell>
          <cell r="B55">
            <v>520028556</v>
          </cell>
        </row>
        <row r="56">
          <cell r="A56" t="str">
            <v>החברה לניהול קרן ההשתלמות לעובדי המדינה בע"מ</v>
          </cell>
          <cell r="B56">
            <v>520032269</v>
          </cell>
        </row>
        <row r="57">
          <cell r="A57" t="str">
            <v>החברה לניהול קרן השתלמות לאקדמאים במדעי החברה והרוח בע"מ</v>
          </cell>
          <cell r="B57">
            <v>520027954</v>
          </cell>
        </row>
        <row r="58">
          <cell r="A58" t="str">
            <v>החברה לניהול קרן השתלמות לביוכימאים  ומקרוביולוגים בע"מ</v>
          </cell>
          <cell r="B58">
            <v>520029620</v>
          </cell>
        </row>
        <row r="59">
          <cell r="A59" t="str">
            <v>החברה לניהול קרן השתלמות למשפטנים בע"מ</v>
          </cell>
          <cell r="B59">
            <v>520028861</v>
          </cell>
        </row>
        <row r="60">
          <cell r="A60" t="str">
            <v>החברה לניהול קרן השתלמות לשופטים בע"מ</v>
          </cell>
          <cell r="B60">
            <v>520030743</v>
          </cell>
        </row>
        <row r="61">
          <cell r="A61" t="str">
            <v>הכשרה חברה לביטוח בע"מ</v>
          </cell>
          <cell r="B61">
            <v>520042177</v>
          </cell>
        </row>
        <row r="62">
          <cell r="A62" t="str">
            <v>הלמן-אלדובי חח"י גמל בע"מ</v>
          </cell>
          <cell r="B62">
            <v>515447035</v>
          </cell>
        </row>
        <row r="63">
          <cell r="A63" t="str">
            <v>הנדסאים וטכנאים - חברה לניהול קופות גמל בע"מ</v>
          </cell>
          <cell r="B63">
            <v>520042607</v>
          </cell>
        </row>
        <row r="64">
          <cell r="A64" t="str">
            <v>הפניקס אקסלנס פנסיה וגמל בע"מ</v>
          </cell>
          <cell r="B64">
            <v>513026484</v>
          </cell>
        </row>
        <row r="65">
          <cell r="A65" t="str">
            <v>הפניקס חברה לביטוח בע"מ</v>
          </cell>
          <cell r="B65">
            <v>520023185</v>
          </cell>
        </row>
        <row r="66">
          <cell r="A66" t="str">
            <v>הראל חברה לביטוח בע"מ</v>
          </cell>
          <cell r="B66">
            <v>520004078</v>
          </cell>
        </row>
        <row r="67">
          <cell r="A67" t="str">
            <v>הראל פנסיה וגמל בע"מ</v>
          </cell>
          <cell r="B67">
            <v>512267592</v>
          </cell>
        </row>
        <row r="68">
          <cell r="A68" t="str">
            <v>ווישור חברה לביטוח בע"מ</v>
          </cell>
          <cell r="B68">
            <v>515764868</v>
          </cell>
        </row>
        <row r="69">
          <cell r="A69" t="str">
            <v>חברה לניהול קופות גמל של העובדים בעיריית תל - אביב יפו בע"מ</v>
          </cell>
          <cell r="B69">
            <v>513452003</v>
          </cell>
        </row>
        <row r="70">
          <cell r="A70" t="str">
            <v>חברת ב'ת למ'ד דל'ת בע"מ</v>
          </cell>
          <cell r="B70">
            <v>510142789</v>
          </cell>
        </row>
        <row r="71">
          <cell r="A71" t="str">
            <v>חברת הגמל לעובדי האוניברסיטה העברית בע"מ</v>
          </cell>
          <cell r="B71">
            <v>510960586</v>
          </cell>
        </row>
        <row r="72">
          <cell r="A72" t="str">
            <v>יהב - פ.ר.ח. - חברה לניהול קופות גמל בע"מ</v>
          </cell>
          <cell r="B72">
            <v>510930670</v>
          </cell>
        </row>
        <row r="73">
          <cell r="A73" t="str">
            <v>יהב אחים ואחיות - חברה לניהול קופות גמל בע"מ</v>
          </cell>
          <cell r="B73">
            <v>510927536</v>
          </cell>
        </row>
        <row r="74">
          <cell r="A74" t="str">
            <v>יהב רופאים - חברה לניהול קופות גמל בע"מ</v>
          </cell>
          <cell r="B74">
            <v>510930654</v>
          </cell>
        </row>
        <row r="75">
          <cell r="A75" t="str">
            <v>יוזמה קרן פנסיה לעצמאים בע"מ</v>
          </cell>
          <cell r="B75">
            <v>520032566</v>
          </cell>
        </row>
        <row r="76">
          <cell r="A76" t="str">
            <v>ילין לפידות ניהול קופות גמל בע"מ</v>
          </cell>
          <cell r="B76">
            <v>513611509</v>
          </cell>
        </row>
        <row r="77">
          <cell r="A77" t="str">
            <v>כלל חברה לביטוח אשראי בע"מ</v>
          </cell>
          <cell r="B77">
            <v>510888985</v>
          </cell>
        </row>
        <row r="78">
          <cell r="A78" t="str">
            <v>כלל חברה לביטוח בע"מ</v>
          </cell>
          <cell r="B78">
            <v>520024647</v>
          </cell>
        </row>
        <row r="79">
          <cell r="A79" t="str">
            <v>כלל פנסיה וגמל בע"מ</v>
          </cell>
          <cell r="B79">
            <v>512244146</v>
          </cell>
        </row>
        <row r="80">
          <cell r="A80" t="str">
            <v>לאומי קמ"פ בע"מ</v>
          </cell>
          <cell r="B80">
            <v>510694821</v>
          </cell>
        </row>
        <row r="81">
          <cell r="A81" t="str">
            <v>ליברה חברה לביטוח בע"מ</v>
          </cell>
          <cell r="B81">
            <v>515761625</v>
          </cell>
        </row>
        <row r="82">
          <cell r="A82" t="str">
            <v>לעתיד חברה לניהול קרנות פנסיה בע"מ</v>
          </cell>
          <cell r="B82">
            <v>511423048</v>
          </cell>
        </row>
        <row r="83">
          <cell r="A83" t="str">
            <v>מבטחים מוסד לביטוח סוציאלי של העובדים בע"מ</v>
          </cell>
          <cell r="B83">
            <v>520019688</v>
          </cell>
        </row>
        <row r="84">
          <cell r="A84" t="str">
            <v>מגדל חברה לביטוח בע"מ</v>
          </cell>
          <cell r="B84">
            <v>520004896</v>
          </cell>
        </row>
        <row r="85">
          <cell r="A85" t="str">
            <v>מגדל מקפת קרנות פנסיה וקופות גמל בע"מ</v>
          </cell>
          <cell r="B85">
            <v>512237744</v>
          </cell>
        </row>
        <row r="86">
          <cell r="A86" t="str">
            <v>מור גמל ופנסיה בע"מ</v>
          </cell>
          <cell r="B86">
            <v>514956465</v>
          </cell>
        </row>
        <row r="87">
          <cell r="A87" t="str">
            <v>מחוג - מינהל גמל לעובדי חברת חשמל לישראל בע"מ</v>
          </cell>
          <cell r="B87">
            <v>512362914</v>
          </cell>
        </row>
        <row r="88">
          <cell r="A88" t="str">
            <v>מחר - חברה לניהול קופות גמל בע"מ</v>
          </cell>
          <cell r="B88">
            <v>520042615</v>
          </cell>
        </row>
        <row r="89">
          <cell r="A89" t="str">
            <v>מיטב דש גמל ופנסיה בע"מ</v>
          </cell>
          <cell r="B89">
            <v>512065202</v>
          </cell>
        </row>
        <row r="90">
          <cell r="A90" t="str">
            <v>מנורה מבטחים ביטוח בע"מ</v>
          </cell>
          <cell r="B90">
            <v>520042540</v>
          </cell>
        </row>
        <row r="91">
          <cell r="A91" t="str">
            <v>מנורה מבטחים והסתדרות המהנדסים ניהול קופות גמל בע"מ</v>
          </cell>
          <cell r="B91">
            <v>520027715</v>
          </cell>
        </row>
        <row r="92">
          <cell r="A92" t="str">
            <v>מנורה מבטחים פנסיה וגמל בע"מ</v>
          </cell>
          <cell r="B92">
            <v>512245812</v>
          </cell>
        </row>
        <row r="93">
          <cell r="A93" t="str">
            <v>נתיב קרן הפנסיה של פועלי ועובדי מפעלי משק ההסתדרות בע"מ</v>
          </cell>
          <cell r="B93">
            <v>520022351</v>
          </cell>
        </row>
        <row r="94">
          <cell r="A94" t="str">
            <v>סלייס גמל בע"מ</v>
          </cell>
          <cell r="B94">
            <v>514767490</v>
          </cell>
        </row>
        <row r="95">
          <cell r="A95" t="str">
            <v>עגור חברה לניהול קופות גמל וקרנות השתלמות בע"מ</v>
          </cell>
          <cell r="B95">
            <v>520024985</v>
          </cell>
        </row>
        <row r="96">
          <cell r="A96" t="str">
            <v>עו"ס - חברה לניהול קופות גמל בע"מ</v>
          </cell>
          <cell r="B96">
            <v>520042573</v>
          </cell>
        </row>
        <row r="97">
          <cell r="A97" t="str">
            <v>עוצ"מ - אגודה שיתופית לניהול קופות גמל בע"מ</v>
          </cell>
          <cell r="B97">
            <v>570009449</v>
          </cell>
        </row>
        <row r="98">
          <cell r="A98" t="str">
            <v>עוצ"מ חברה לניהול קופות גמל והשתלמות בע"מ</v>
          </cell>
          <cell r="B98">
            <v>520031659</v>
          </cell>
        </row>
        <row r="99">
          <cell r="A99" t="str">
            <v>עמ"י - חברה לניהול קופות גמל ענפיות בע"מ</v>
          </cell>
          <cell r="B99">
            <v>520042581</v>
          </cell>
        </row>
        <row r="100">
          <cell r="A100" t="str">
            <v>ענבל חברה לביטוח בע"מ</v>
          </cell>
          <cell r="B100">
            <v>520031030</v>
          </cell>
        </row>
        <row r="101">
          <cell r="A101" t="str">
            <v>ק.ל.ע. - חברה לניהול קרן השתלמות לעובדים סוציאליים בע"מ</v>
          </cell>
          <cell r="B101">
            <v>520030941</v>
          </cell>
        </row>
        <row r="102">
          <cell r="A102" t="str">
            <v>קו הבריאות חברה לניהול קופות גמל בע"מ</v>
          </cell>
          <cell r="B102">
            <v>512008335</v>
          </cell>
        </row>
        <row r="103">
          <cell r="A103" t="str">
            <v>קופת הפנסיה לעובדי הדסה בע"מ</v>
          </cell>
          <cell r="B103">
            <v>520022963</v>
          </cell>
        </row>
        <row r="104">
          <cell r="A104" t="str">
            <v>קופת תגמולים של עובדי אל על נתיבי אוויר לישראל בע"מ אגודה שיתופית</v>
          </cell>
          <cell r="B104">
            <v>570011767</v>
          </cell>
        </row>
        <row r="105">
          <cell r="A105" t="str">
            <v>קופת תגמולים של עובדי התעשיה האוירית לישראל בע"מ</v>
          </cell>
          <cell r="B105">
            <v>570014928</v>
          </cell>
        </row>
        <row r="106">
          <cell r="A106" t="str">
            <v>קופת"ג של עובדי עירית חיפה</v>
          </cell>
          <cell r="B106">
            <v>570005959</v>
          </cell>
        </row>
        <row r="107">
          <cell r="A107" t="str">
            <v>קרן ביטוח הדדי לחברי הסתדרות עובדי המדינה בישראל בע"מ</v>
          </cell>
          <cell r="B107">
            <v>510800402</v>
          </cell>
        </row>
        <row r="108">
          <cell r="A108" t="str">
            <v>קרן ביטוח ופנסיה לפועלים חקלאים ובלתי מקצועיים בישראל אגודה שיתופית בע"מ</v>
          </cell>
          <cell r="B108">
            <v>570007476</v>
          </cell>
        </row>
        <row r="109">
          <cell r="A109" t="str">
            <v>קרן הביטוח והפנסיה של פועלי בנין ועבודות ציבוריות אגודה שיתופית בע"מ</v>
          </cell>
          <cell r="B109">
            <v>570005850</v>
          </cell>
        </row>
        <row r="110">
          <cell r="A110" t="str">
            <v>קרן הגמלאות המרכזית של עובדי ההסתדרות בע"מ</v>
          </cell>
          <cell r="B110">
            <v>520020504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קרן החסכון לצבא הקבע - חברה לניהול קופות גמל בע"מ</v>
          </cell>
          <cell r="B112">
            <v>511033060</v>
          </cell>
        </row>
        <row r="113">
          <cell r="A113" t="str">
            <v>קרן לביטוח נזקי טבע בחקלאות בע"מ</v>
          </cell>
          <cell r="B113">
            <v>520027848</v>
          </cell>
        </row>
        <row r="114">
          <cell r="A114" t="str">
            <v>קרן מקפת מרכז לפנסיה ותגמולים אגודה שיתופית בע"מ</v>
          </cell>
          <cell r="B114">
            <v>570009852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>רעות חברה לניהול קופות גמל בע"מ</v>
          </cell>
          <cell r="B117">
            <v>510806870</v>
          </cell>
        </row>
        <row r="118">
          <cell r="A118" t="str">
            <v>ש. שלמה חברה לביטוח בע"מ</v>
          </cell>
          <cell r="B118">
            <v>513879189</v>
          </cell>
        </row>
        <row r="119">
          <cell r="A119" t="str">
            <v>שומרה חברה לביטוח בע"מ</v>
          </cell>
          <cell r="B119">
            <v>510015951</v>
          </cell>
        </row>
        <row r="120">
          <cell r="A120" t="str">
            <v>שיבולת - חברה לניהול קופות גמל בע"מ</v>
          </cell>
          <cell r="B120">
            <v>520030693</v>
          </cell>
        </row>
        <row r="121">
          <cell r="A121" t="str">
            <v>תגמולים של עובדים בעירית ת"א-יפו א.ש. בע"מ</v>
          </cell>
          <cell r="B121">
            <v>570002618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L28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9" sqref="D19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12" ht="18">
      <c r="A1" s="211" t="s">
        <v>1612</v>
      </c>
      <c r="B1" s="212"/>
      <c r="C1" s="212"/>
      <c r="D1" s="212"/>
      <c r="E1" s="213"/>
      <c r="F1" s="213"/>
      <c r="G1" s="213"/>
      <c r="H1" s="213"/>
      <c r="I1" s="213"/>
      <c r="J1" s="213"/>
      <c r="K1" s="213"/>
      <c r="L1" s="213"/>
    </row>
    <row r="2" spans="1:12" hidden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</row>
    <row r="3" spans="1:12" ht="20.25" customHeight="1">
      <c r="A3" s="213" t="s">
        <v>1613</v>
      </c>
      <c r="B3" s="213"/>
      <c r="C3" s="213"/>
      <c r="D3" s="214" t="s">
        <v>1627</v>
      </c>
      <c r="E3" s="213"/>
      <c r="F3" s="213"/>
      <c r="G3" s="213"/>
      <c r="H3" s="213"/>
      <c r="I3" s="213"/>
      <c r="J3" s="213"/>
      <c r="K3" s="213"/>
      <c r="L3" s="213"/>
    </row>
    <row r="4" spans="1:12" ht="20.25" customHeight="1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</row>
    <row r="5" spans="1:12" ht="20.25" customHeight="1">
      <c r="A5" s="213" t="s">
        <v>1614</v>
      </c>
      <c r="B5" s="213"/>
      <c r="C5" s="213"/>
      <c r="D5" s="214" t="s">
        <v>1639</v>
      </c>
      <c r="E5" s="213"/>
      <c r="F5" s="213"/>
      <c r="G5" s="213"/>
      <c r="H5" s="213"/>
      <c r="I5" s="213"/>
      <c r="J5" s="213"/>
      <c r="K5" s="213"/>
      <c r="L5" s="213"/>
    </row>
    <row r="6" spans="1:12" ht="20.25" customHeight="1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</row>
    <row r="7" spans="1:12" ht="20.25" customHeight="1">
      <c r="A7" s="213" t="s">
        <v>1615</v>
      </c>
      <c r="B7" s="213"/>
      <c r="C7" s="213"/>
      <c r="D7" s="214" t="s">
        <v>1644</v>
      </c>
      <c r="E7" s="213"/>
      <c r="F7" s="213"/>
      <c r="G7" s="213"/>
      <c r="H7" s="213"/>
      <c r="I7" s="213"/>
      <c r="J7" s="213"/>
      <c r="K7" s="213"/>
      <c r="L7" s="213"/>
    </row>
    <row r="8" spans="1:12" ht="20.25" customHeight="1">
      <c r="A8" s="213"/>
      <c r="B8" s="213"/>
      <c r="C8" s="213"/>
      <c r="D8" s="215"/>
      <c r="E8" s="213"/>
      <c r="F8" s="213"/>
      <c r="G8" s="213"/>
      <c r="H8" s="213"/>
      <c r="I8" s="213"/>
      <c r="J8" s="213"/>
      <c r="K8" s="213"/>
      <c r="L8" s="213"/>
    </row>
    <row r="9" spans="1:12" ht="20.25" customHeight="1">
      <c r="A9" s="213" t="s">
        <v>1616</v>
      </c>
      <c r="B9" s="213"/>
      <c r="C9" s="213"/>
      <c r="D9" s="214">
        <v>2025</v>
      </c>
      <c r="E9" s="213"/>
      <c r="F9" s="213"/>
      <c r="G9" s="213"/>
      <c r="H9" s="213"/>
      <c r="I9" s="213"/>
      <c r="J9" s="213"/>
      <c r="K9" s="213"/>
      <c r="L9" s="213"/>
    </row>
    <row r="10" spans="1:12" ht="20.2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</row>
    <row r="11" spans="1:12" ht="20.25" customHeight="1">
      <c r="A11" s="213" t="s">
        <v>1617</v>
      </c>
      <c r="B11" s="213"/>
      <c r="C11" s="213"/>
      <c r="D11" s="214" t="s">
        <v>1714</v>
      </c>
      <c r="E11" s="213"/>
      <c r="F11" s="213"/>
      <c r="G11" s="213"/>
      <c r="H11" s="213"/>
      <c r="I11" s="213"/>
      <c r="J11" s="213"/>
      <c r="K11" s="213"/>
      <c r="L11" s="213"/>
    </row>
    <row r="12" spans="1:12" ht="20.2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</row>
    <row r="13" spans="1:12" ht="20.25" customHeight="1">
      <c r="A13" s="213" t="s">
        <v>1618</v>
      </c>
      <c r="B13" s="213"/>
      <c r="C13" s="213"/>
      <c r="D13" s="216">
        <v>510142789</v>
      </c>
      <c r="E13" s="213"/>
      <c r="F13" s="213"/>
      <c r="G13" s="213"/>
      <c r="H13" s="213"/>
      <c r="I13" s="213"/>
      <c r="J13" s="213"/>
      <c r="K13" s="213"/>
      <c r="L13" s="213"/>
    </row>
    <row r="14" spans="1:12" ht="20.2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</row>
    <row r="15" spans="1:12" ht="20.25" customHeight="1">
      <c r="A15" s="217" t="s">
        <v>1619</v>
      </c>
      <c r="B15" s="213"/>
      <c r="C15" s="213"/>
      <c r="D15" s="21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510142789_gm_p_0325.xlsx</v>
      </c>
      <c r="E15" s="213"/>
      <c r="F15" s="213"/>
      <c r="G15" s="213"/>
      <c r="H15" s="213"/>
      <c r="I15" s="213"/>
      <c r="J15" s="213"/>
      <c r="K15" s="213"/>
      <c r="L15" s="213"/>
    </row>
    <row r="16" spans="1:12" ht="20.25" customHeight="1">
      <c r="A16" s="217"/>
      <c r="B16" s="213"/>
      <c r="C16" s="213"/>
      <c r="D16" s="215"/>
      <c r="E16" s="213"/>
      <c r="F16" s="213"/>
      <c r="G16" s="213"/>
      <c r="H16" s="213"/>
      <c r="I16" s="213"/>
      <c r="J16" s="213"/>
      <c r="K16" s="213"/>
      <c r="L16" s="213"/>
    </row>
    <row r="17" spans="1:12" ht="20.25" customHeight="1">
      <c r="A17" s="217" t="s">
        <v>1620</v>
      </c>
      <c r="B17" s="218" t="s">
        <v>1621</v>
      </c>
      <c r="C17" s="218"/>
      <c r="D17" s="177" t="s">
        <v>1776</v>
      </c>
      <c r="E17" s="213"/>
      <c r="F17" s="213"/>
      <c r="G17" s="213"/>
      <c r="H17" s="213"/>
      <c r="I17" s="213"/>
      <c r="J17" s="213"/>
      <c r="K17" s="213"/>
      <c r="L17" s="213"/>
    </row>
    <row r="18" spans="1:12" ht="20.25" customHeight="1">
      <c r="A18" s="219"/>
      <c r="B18" s="213"/>
      <c r="C18" s="213"/>
      <c r="D18" s="220"/>
      <c r="E18" s="213"/>
      <c r="F18" s="213"/>
      <c r="G18" s="213"/>
      <c r="H18" s="213"/>
      <c r="I18" s="213"/>
      <c r="J18" s="213"/>
      <c r="K18" s="213"/>
      <c r="L18" s="213"/>
    </row>
    <row r="19" spans="1:12" ht="20.25" customHeight="1">
      <c r="A19" s="219"/>
      <c r="B19" s="218" t="s">
        <v>1622</v>
      </c>
      <c r="C19" s="218"/>
      <c r="D19" s="177"/>
      <c r="E19" s="213"/>
      <c r="F19" s="213"/>
      <c r="G19" s="213"/>
      <c r="H19" s="213"/>
      <c r="I19" s="213"/>
      <c r="J19" s="213"/>
      <c r="K19" s="213"/>
      <c r="L19" s="213"/>
    </row>
    <row r="20" spans="1:12" ht="20.25" customHeight="1">
      <c r="A20" s="219"/>
      <c r="B20" s="213"/>
      <c r="C20" s="213"/>
      <c r="D20" s="220"/>
      <c r="E20" s="213"/>
      <c r="F20" s="213"/>
      <c r="G20" s="213"/>
      <c r="H20" s="213"/>
      <c r="I20" s="213"/>
      <c r="J20" s="213"/>
      <c r="K20" s="213"/>
      <c r="L20" s="213"/>
    </row>
    <row r="21" spans="1:12" ht="20.25" customHeight="1">
      <c r="A21" s="219"/>
      <c r="B21" s="218" t="s">
        <v>1623</v>
      </c>
      <c r="C21" s="218"/>
      <c r="D21" s="178" t="s">
        <v>1777</v>
      </c>
      <c r="E21" s="213"/>
      <c r="F21" s="213"/>
      <c r="G21" s="213"/>
      <c r="H21" s="213"/>
      <c r="I21" s="213"/>
      <c r="J21" s="213"/>
      <c r="K21" s="213"/>
      <c r="L21" s="213"/>
    </row>
    <row r="22" spans="1:12" ht="20.25" customHeight="1">
      <c r="A22" s="219"/>
      <c r="B22" s="221"/>
      <c r="C22" s="221"/>
      <c r="D22" s="213"/>
      <c r="E22" s="213"/>
      <c r="F22" s="213"/>
      <c r="G22" s="213"/>
      <c r="H22" s="213"/>
      <c r="I22" s="213"/>
      <c r="J22" s="213"/>
      <c r="K22" s="213"/>
      <c r="L22" s="213"/>
    </row>
    <row r="23" spans="1:12" ht="20.25" customHeight="1">
      <c r="A23" s="217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</row>
    <row r="24" spans="1:12" hidden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</row>
    <row r="25" spans="1:12" hidden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</row>
    <row r="26" spans="1:12" hidden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</row>
    <row r="27" spans="1:12" hidden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</row>
    <row r="28" spans="1:12" hidden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</row>
  </sheetData>
  <conditionalFormatting sqref="D3">
    <cfRule type="containsText" dxfId="8" priority="8" operator="containsText" text="Please fill in data">
      <formula>NOT(ISERROR(SEARCH("Please fill in data",D3)))</formula>
    </cfRule>
  </conditionalFormatting>
  <conditionalFormatting sqref="D5">
    <cfRule type="containsText" dxfId="7" priority="7" operator="containsText" text="Please fill in data">
      <formula>NOT(ISERROR(SEARCH("Please fill in data",D5)))</formula>
    </cfRule>
  </conditionalFormatting>
  <conditionalFormatting sqref="D7:D9">
    <cfRule type="containsText" dxfId="6" priority="6" operator="containsText" text="Please fill in data">
      <formula>NOT(ISERROR(SEARCH("Please fill in data",D7)))</formula>
    </cfRule>
  </conditionalFormatting>
  <conditionalFormatting sqref="D13">
    <cfRule type="containsText" dxfId="5" priority="5" operator="containsText" text="Please fill in data">
      <formula>NOT(ISERROR(SEARCH("Please fill in data",D13)))</formula>
    </cfRule>
  </conditionalFormatting>
  <conditionalFormatting sqref="D15:D16">
    <cfRule type="containsText" dxfId="4" priority="4" operator="containsText" text="Please fill in data">
      <formula>NOT(ISERROR(SEARCH("Please fill in data",D15)))</formula>
    </cfRule>
  </conditionalFormatting>
  <conditionalFormatting sqref="D19">
    <cfRule type="containsText" dxfId="3" priority="9" operator="containsText" text="Please fill in data">
      <formula>NOT(ISERROR(SEARCH("Please fill in data",D19)))</formula>
    </cfRule>
  </conditionalFormatting>
  <conditionalFormatting sqref="D21">
    <cfRule type="containsText" dxfId="2" priority="3" operator="containsText" text="Please fill in data">
      <formula>NOT(ISERROR(SEARCH("Please fill in data",D21)))</formula>
    </cfRule>
  </conditionalFormatting>
  <conditionalFormatting sqref="D11">
    <cfRule type="containsText" dxfId="1" priority="2" operator="containsText" text="Please fill in data">
      <formula>NOT(ISERROR(SEARCH("Please fill in data",D11)))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2371F2A6-7C50-4282-9C16-2C2D5C69C83E}">
      <formula1>Type</formula1>
    </dataValidation>
    <dataValidation type="list" allowBlank="1" showInputMessage="1" showErrorMessage="1" sqref="D5" xr:uid="{78E74C92-5A68-461E-9222-DA9A03FEF487}">
      <formula1>File_Type</formula1>
    </dataValidation>
    <dataValidation type="list" allowBlank="1" showInputMessage="1" showErrorMessage="1" sqref="D7" xr:uid="{601B746F-CD9E-4A0E-8008-2DF7E6F92986}">
      <formula1>QTR</formula1>
    </dataValidation>
    <dataValidation type="list" allowBlank="1" showInputMessage="1" showErrorMessage="1" sqref="D9" xr:uid="{56048E26-7724-424E-BEC0-0CE38AD039A3}">
      <formula1>YEAR</formula1>
    </dataValidation>
    <dataValidation type="list" allowBlank="1" showInputMessage="1" showErrorMessage="1" sqref="D11" xr:uid="{3E1E51C2-6EFF-4690-B0A6-A8528735B077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20.25" customHeight="1">
      <c r="A1" s="46"/>
      <c r="B1" s="47"/>
      <c r="C1" s="106" t="s">
        <v>1764</v>
      </c>
      <c r="D1" s="105"/>
      <c r="E1" s="47"/>
    </row>
    <row r="2" spans="1:5" ht="25.5">
      <c r="A2" s="46"/>
      <c r="B2" s="47" t="s">
        <v>36</v>
      </c>
      <c r="C2" s="47" t="s">
        <v>1415</v>
      </c>
      <c r="D2" s="47" t="s">
        <v>22</v>
      </c>
      <c r="E2" s="47" t="s">
        <v>1765</v>
      </c>
    </row>
    <row r="3" spans="1:5" ht="16.5" customHeight="1">
      <c r="A3" s="49" t="s">
        <v>1459</v>
      </c>
      <c r="B3" s="169">
        <f>SUM('מזומנים ושווי מזומנים'!O:O)</f>
        <v>45380.58</v>
      </c>
      <c r="C3" s="50"/>
      <c r="D3" s="50"/>
      <c r="E3" s="166">
        <f>SUM('מזומנים ושווי מזומנים'!O:O)/B30</f>
        <v>4.6825378019309201E-2</v>
      </c>
    </row>
    <row r="4" spans="1:5" ht="16.5" customHeight="1">
      <c r="A4" s="49" t="s">
        <v>1469</v>
      </c>
      <c r="B4" s="169">
        <f>SUM('איגרות חוב ממשלתיות'!U:U)</f>
        <v>297563.90300000005</v>
      </c>
      <c r="C4" s="50"/>
      <c r="D4" s="50"/>
      <c r="E4" s="166">
        <f>SUM('איגרות חוב ממשלתיות'!U:U)/B30</f>
        <v>0.30703755313123049</v>
      </c>
    </row>
    <row r="5" spans="1:5" ht="16.5" customHeight="1">
      <c r="A5" s="49" t="s">
        <v>1475</v>
      </c>
      <c r="B5" s="169">
        <f>SUM('ניירות ערך מסחריים'!AD:AD)</f>
        <v>0</v>
      </c>
      <c r="C5" s="50"/>
      <c r="D5" s="50"/>
      <c r="E5" s="166">
        <f>SUM('ניירות ערך מסחריים'!AD:AD)/B30</f>
        <v>0</v>
      </c>
    </row>
    <row r="6" spans="1:5" ht="16.5" customHeight="1">
      <c r="A6" s="49" t="s">
        <v>1476</v>
      </c>
      <c r="B6" s="169">
        <f>SUM('איגרות חוב'!AD:AD)</f>
        <v>107975.87699999998</v>
      </c>
      <c r="C6" s="50"/>
      <c r="D6" s="50"/>
      <c r="E6" s="166">
        <f>SUM('איגרות חוב'!AD:AD)/B30</f>
        <v>0.11141354424054149</v>
      </c>
    </row>
    <row r="7" spans="1:5" ht="16.5" customHeight="1">
      <c r="A7" s="49" t="s">
        <v>1482</v>
      </c>
      <c r="B7" s="169">
        <f>SUM('מניות מבכ ויהש'!U:U)</f>
        <v>183809.587</v>
      </c>
      <c r="C7" s="50"/>
      <c r="D7" s="50"/>
      <c r="E7" s="166">
        <f>SUM('מניות מבכ ויהש'!U:U)/B30</f>
        <v>0.18966159962803697</v>
      </c>
    </row>
    <row r="8" spans="1:5" ht="16.5" customHeight="1">
      <c r="A8" s="49" t="s">
        <v>1033</v>
      </c>
      <c r="B8" s="169">
        <f>SUM('קרנות סל'!T:T)</f>
        <v>242886.40699999995</v>
      </c>
      <c r="C8" s="50"/>
      <c r="D8" s="50"/>
      <c r="E8" s="166">
        <f>SUM('קרנות סל'!T:T)/B30</f>
        <v>0.25061926981820826</v>
      </c>
    </row>
    <row r="9" spans="1:5" ht="16.5" customHeight="1">
      <c r="A9" s="49" t="s">
        <v>1491</v>
      </c>
      <c r="B9" s="169">
        <f>SUM('קרנות נאמנות'!T:T)</f>
        <v>0</v>
      </c>
      <c r="C9" s="50"/>
      <c r="D9" s="50"/>
      <c r="E9" s="166">
        <f>SUM('קרנות נאמנות'!T:T)/B30</f>
        <v>0</v>
      </c>
    </row>
    <row r="10" spans="1:5" ht="16.5" customHeight="1">
      <c r="A10" s="49" t="s">
        <v>1752</v>
      </c>
      <c r="B10" s="169">
        <f>SUM('כתבי אופציה'!W:W)</f>
        <v>278.45999999999998</v>
      </c>
      <c r="C10" s="50"/>
      <c r="D10" s="50"/>
      <c r="E10" s="166">
        <f>SUM('כתבי אופציה'!W:W)/B30</f>
        <v>2.8732543222798914E-4</v>
      </c>
    </row>
    <row r="11" spans="1:5" ht="16.5" customHeight="1">
      <c r="A11" s="49" t="s">
        <v>1494</v>
      </c>
      <c r="B11" s="169">
        <f>SUM(אופציות!V:V)</f>
        <v>0</v>
      </c>
      <c r="C11" s="50"/>
      <c r="D11" s="50"/>
      <c r="E11" s="166">
        <f>SUM(אופציות!V:V)/B30</f>
        <v>0</v>
      </c>
    </row>
    <row r="12" spans="1:5" ht="16.5" customHeight="1">
      <c r="A12" s="49" t="s">
        <v>1753</v>
      </c>
      <c r="B12" s="169">
        <f>SUM('חוזים עתידיים'!R:R)</f>
        <v>0</v>
      </c>
      <c r="C12" s="50"/>
      <c r="D12" s="50"/>
      <c r="E12" s="166">
        <f>SUM('חוזים עתידיים'!R:R)/B30</f>
        <v>0</v>
      </c>
    </row>
    <row r="13" spans="1:5" ht="16.5" customHeight="1">
      <c r="A13" s="49" t="s">
        <v>1499</v>
      </c>
      <c r="B13" s="169">
        <f>SUM('מוצרים מובנים'!Z:Z)</f>
        <v>0</v>
      </c>
      <c r="C13" s="50"/>
      <c r="D13" s="50"/>
      <c r="E13" s="166">
        <f>SUM('מוצרים מובנים'!Z:Z)/B30</f>
        <v>0</v>
      </c>
    </row>
    <row r="14" spans="1:5" ht="16.5" customHeight="1">
      <c r="A14" s="49" t="s">
        <v>1506</v>
      </c>
      <c r="B14" s="169">
        <f>SUM('לא סחיר איגרות חוב ממשלתיות'!U:U)</f>
        <v>0</v>
      </c>
      <c r="C14" s="50"/>
      <c r="D14" s="50"/>
      <c r="E14" s="166">
        <f>SUM('לא סחיר איגרות חוב ממשלתיות'!U:U)/B30</f>
        <v>0</v>
      </c>
    </row>
    <row r="15" spans="1:5" ht="16.5" customHeight="1">
      <c r="A15" s="49" t="s">
        <v>1507</v>
      </c>
      <c r="B15" s="169">
        <f>SUM('לא סחיר איגרות חוב מיועדות'!N:N)</f>
        <v>0</v>
      </c>
      <c r="C15" s="50"/>
      <c r="D15" s="50"/>
      <c r="E15" s="166">
        <f>SUM('לא סחיר איגרות חוב מיועדות'!N:N)/B30</f>
        <v>0</v>
      </c>
    </row>
    <row r="16" spans="1:5" s="109" customFormat="1" ht="16.5" customHeight="1">
      <c r="A16" s="51" t="s">
        <v>1513</v>
      </c>
      <c r="B16" s="169">
        <f>SUM('אפיק השקעה מובטח תשואה'!F:F)</f>
        <v>0</v>
      </c>
      <c r="C16" s="52"/>
      <c r="D16" s="52"/>
      <c r="E16" s="166">
        <f>SUM('אפיק השקעה מובטח תשואה'!F:F)/B30</f>
        <v>0</v>
      </c>
    </row>
    <row r="17" spans="1:5" ht="16.5" customHeight="1">
      <c r="A17" s="51" t="s">
        <v>1517</v>
      </c>
      <c r="B17" s="169">
        <f>SUM('לא סחיר ניירות ערך מסחריים'!AI:AI)</f>
        <v>0</v>
      </c>
      <c r="C17" s="52"/>
      <c r="D17" s="52"/>
      <c r="E17" s="166">
        <f>SUM('לא סחיר ניירות ערך מסחריים'!AI:AI)/B30</f>
        <v>0</v>
      </c>
    </row>
    <row r="18" spans="1:5" ht="16.5" customHeight="1">
      <c r="A18" s="49" t="s">
        <v>1519</v>
      </c>
      <c r="B18" s="169">
        <f>SUM('לא סחיר איגרות חוב'!AG:AG)</f>
        <v>7394.2620000000006</v>
      </c>
      <c r="C18" s="50"/>
      <c r="D18" s="50"/>
      <c r="E18" s="166">
        <f>SUM('לא סחיר איגרות חוב'!AG:AG)/B30</f>
        <v>7.6296758067837239E-3</v>
      </c>
    </row>
    <row r="19" spans="1:5" ht="16.5" customHeight="1">
      <c r="A19" s="49" t="s">
        <v>1522</v>
      </c>
      <c r="B19" s="169">
        <f>SUM('לא סחיר מניות מבכ ויהש'!X:X)</f>
        <v>0</v>
      </c>
      <c r="C19" s="50"/>
      <c r="D19" s="50"/>
      <c r="E19" s="166">
        <f>SUM('לא סחיר מניות מבכ ויהש'!X:X)/B30</f>
        <v>0</v>
      </c>
    </row>
    <row r="20" spans="1:5" ht="16.5" customHeight="1">
      <c r="A20" s="49" t="s">
        <v>1305</v>
      </c>
      <c r="B20" s="169">
        <f>SUM('קרנות השקעה'!W:W)</f>
        <v>79506.638000000021</v>
      </c>
      <c r="C20" s="50"/>
      <c r="D20" s="50"/>
      <c r="E20" s="166">
        <f>SUM('קרנות השקעה'!W:W)/B30</f>
        <v>8.2037919731179604E-2</v>
      </c>
    </row>
    <row r="21" spans="1:5" ht="16.5" customHeight="1">
      <c r="A21" s="49" t="s">
        <v>1756</v>
      </c>
      <c r="B21" s="169">
        <f>SUM('לא סחיר כתבי אופציה'!Z:Z)</f>
        <v>1.976</v>
      </c>
      <c r="C21" s="50"/>
      <c r="D21" s="50"/>
      <c r="E21" s="166">
        <f>SUM('לא סחיר כתבי אופציה'!Z:Z)/B30</f>
        <v>2.0389106301892787E-6</v>
      </c>
    </row>
    <row r="22" spans="1:5" ht="16.5" customHeight="1">
      <c r="A22" s="49" t="s">
        <v>1535</v>
      </c>
      <c r="B22" s="169">
        <f>SUM('לא סחיר אופציות'!Z:Z)</f>
        <v>0</v>
      </c>
      <c r="C22" s="50"/>
      <c r="D22" s="50"/>
      <c r="E22" s="166">
        <f>SUM('לא סחיר אופציות'!Z:Z)/B30</f>
        <v>0</v>
      </c>
    </row>
    <row r="23" spans="1:5" ht="16.5" customHeight="1">
      <c r="A23" s="49" t="s">
        <v>1544</v>
      </c>
      <c r="B23" s="169">
        <f>SUM('לא סחיר נגזרים אחרים'!R:R)</f>
        <v>4357.7820600000505</v>
      </c>
      <c r="C23" s="50"/>
      <c r="D23" s="50"/>
      <c r="E23" s="166">
        <f>SUM('לא סחיר נגזרים אחרים'!R:R)/B30</f>
        <v>4.4965223513067998E-3</v>
      </c>
    </row>
    <row r="24" spans="1:5" ht="16.5" customHeight="1">
      <c r="A24" s="49" t="s">
        <v>1537</v>
      </c>
      <c r="B24" s="169">
        <f>SUM(הלוואות!AT:AT)</f>
        <v>0</v>
      </c>
      <c r="C24" s="50"/>
      <c r="D24" s="50"/>
      <c r="E24" s="166">
        <f>SUM(הלוואות!AT:AT)/B30</f>
        <v>0</v>
      </c>
    </row>
    <row r="25" spans="1:5" ht="16.5" customHeight="1">
      <c r="A25" s="49" t="s">
        <v>1556</v>
      </c>
      <c r="B25" s="169">
        <f>SUM('לא סחיר מוצרים מובנים'!AB:AB)</f>
        <v>0</v>
      </c>
      <c r="C25" s="50"/>
      <c r="D25" s="50"/>
      <c r="E25" s="166">
        <f>SUM('לא סחיר מוצרים מובנים'!AB:AB)/B30</f>
        <v>0</v>
      </c>
    </row>
    <row r="26" spans="1:5" ht="16.5" customHeight="1">
      <c r="A26" s="49" t="s">
        <v>1561</v>
      </c>
      <c r="B26" s="169">
        <f>SUM('פיקדונות מעל 3 חודשים'!T:T)</f>
        <v>0</v>
      </c>
      <c r="C26" s="50"/>
      <c r="D26" s="50"/>
      <c r="E26" s="166">
        <f>SUM('פיקדונות מעל 3 חודשים'!T:T)/B30</f>
        <v>0</v>
      </c>
    </row>
    <row r="27" spans="1:5" ht="16.5" customHeight="1">
      <c r="A27" s="49" t="s">
        <v>1564</v>
      </c>
      <c r="B27" s="169">
        <f>SUM('זכויות מקרקעין'!S:S)</f>
        <v>0</v>
      </c>
      <c r="C27" s="50"/>
      <c r="D27" s="50"/>
      <c r="E27" s="166">
        <f>SUM('זכויות מקרקעין'!S:S)/B30</f>
        <v>0</v>
      </c>
    </row>
    <row r="28" spans="1:5" ht="16.5" customHeight="1">
      <c r="A28" s="49" t="s">
        <v>1600</v>
      </c>
      <c r="B28" s="169">
        <f>SUM('השקעה בחברות מוחזקות'!U:U)</f>
        <v>0</v>
      </c>
      <c r="C28" s="50"/>
      <c r="D28" s="50"/>
      <c r="E28" s="166">
        <f>SUM('השקעה בחברות מוחזקות'!U:U)/B30</f>
        <v>0</v>
      </c>
    </row>
    <row r="29" spans="1:5" ht="16.5" customHeight="1">
      <c r="A29" s="49" t="s">
        <v>1567</v>
      </c>
      <c r="B29" s="170">
        <f>SUM('נכסים אחרים'!N:N)</f>
        <v>-10.493</v>
      </c>
      <c r="C29" s="141"/>
      <c r="D29" s="141"/>
      <c r="E29" s="167">
        <f>SUM('נכסים אחרים'!N:N)/B30</f>
        <v>-1.0827069454744991E-5</v>
      </c>
    </row>
    <row r="30" spans="1:5" ht="16.5" customHeight="1">
      <c r="A30" s="48" t="s">
        <v>1766</v>
      </c>
      <c r="B30" s="171">
        <f>IF(SUM(B3:B29)=0,0.0001,SUM(B3:B29))</f>
        <v>969144.97906000004</v>
      </c>
      <c r="C30" s="142"/>
      <c r="D30" s="142"/>
      <c r="E30" s="168">
        <f>SUM(E3:E29)</f>
        <v>1</v>
      </c>
    </row>
    <row r="31" spans="1:5" s="109" customFormat="1" ht="16.5" customHeight="1">
      <c r="A31" s="51" t="s">
        <v>1763</v>
      </c>
      <c r="B31" s="52"/>
      <c r="C31" s="52"/>
      <c r="D31" s="52"/>
      <c r="E31" s="52"/>
    </row>
    <row r="32" spans="1:5" ht="16.5" customHeight="1">
      <c r="A32" s="51" t="s">
        <v>1767</v>
      </c>
      <c r="B32" s="52">
        <f>SUM('יתרות התחייבות להשקעה'!O:O)</f>
        <v>17111.727065999999</v>
      </c>
      <c r="C32" s="52"/>
      <c r="D32" s="52"/>
      <c r="E32" s="166">
        <f>B32/B30</f>
        <v>1.7656519339962044E-2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topLeftCell="C1" workbookViewId="0">
      <selection activeCell="H9" sqref="H9"/>
    </sheetView>
  </sheetViews>
  <sheetFormatPr defaultColWidth="0" defaultRowHeight="14.25"/>
  <cols>
    <col min="1" max="2" width="11.625" style="3" customWidth="1"/>
    <col min="3" max="3" width="23.5" style="3" customWidth="1"/>
    <col min="4" max="4" width="11.625" style="3" customWidth="1"/>
    <col min="5" max="5" width="11.625" style="5" customWidth="1"/>
    <col min="6" max="6" width="21.25" style="3" customWidth="1"/>
    <col min="7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18" t="s">
        <v>0</v>
      </c>
      <c r="B1" s="18" t="s">
        <v>1</v>
      </c>
      <c r="C1" s="18" t="s">
        <v>774</v>
      </c>
      <c r="D1" s="18" t="s">
        <v>775</v>
      </c>
      <c r="E1" s="18" t="s">
        <v>776</v>
      </c>
      <c r="F1" s="18" t="s">
        <v>5</v>
      </c>
      <c r="G1" s="18" t="s">
        <v>6</v>
      </c>
      <c r="H1" s="18" t="s">
        <v>87</v>
      </c>
      <c r="I1" s="18" t="s">
        <v>778</v>
      </c>
      <c r="J1" s="18" t="s">
        <v>10</v>
      </c>
      <c r="K1" s="18" t="s">
        <v>11</v>
      </c>
      <c r="L1" s="18" t="s">
        <v>779</v>
      </c>
      <c r="M1" s="147" t="s">
        <v>18</v>
      </c>
      <c r="N1" s="149" t="s">
        <v>14</v>
      </c>
      <c r="O1" s="18" t="s">
        <v>20</v>
      </c>
      <c r="P1" s="149" t="s">
        <v>24</v>
      </c>
      <c r="Q1" s="149" t="s">
        <v>25</v>
      </c>
    </row>
    <row r="2" spans="1:17">
      <c r="A2" s="3">
        <v>233</v>
      </c>
      <c r="B2" s="3">
        <v>233</v>
      </c>
      <c r="C2" s="3" t="s">
        <v>1768</v>
      </c>
      <c r="D2" s="3" t="s">
        <v>1769</v>
      </c>
      <c r="E2" s="5" t="s">
        <v>910</v>
      </c>
      <c r="F2" s="3" t="s">
        <v>1462</v>
      </c>
      <c r="G2" s="3" t="s">
        <v>30</v>
      </c>
      <c r="H2" s="3" t="s">
        <v>593</v>
      </c>
      <c r="I2" s="3" t="s">
        <v>190</v>
      </c>
      <c r="J2" s="3" t="s">
        <v>116</v>
      </c>
      <c r="K2" s="3" t="s">
        <v>66</v>
      </c>
      <c r="L2" s="179">
        <v>7134.2439999999997</v>
      </c>
      <c r="M2" s="148">
        <v>3.306</v>
      </c>
      <c r="N2" s="150">
        <v>3.2399999999999998E-2</v>
      </c>
      <c r="O2" s="143">
        <v>23585.81</v>
      </c>
      <c r="P2" s="150">
        <v>0.51973354110169401</v>
      </c>
      <c r="Q2" s="150">
        <v>2.444664467849E-2</v>
      </c>
    </row>
    <row r="3" spans="1:17">
      <c r="A3" s="3">
        <v>233</v>
      </c>
      <c r="B3" s="3">
        <v>233</v>
      </c>
      <c r="C3" s="3" t="s">
        <v>1768</v>
      </c>
      <c r="D3" s="3" t="s">
        <v>1769</v>
      </c>
      <c r="E3" s="27" t="s">
        <v>910</v>
      </c>
      <c r="F3" s="3" t="s">
        <v>1462</v>
      </c>
      <c r="G3" s="3" t="s">
        <v>30</v>
      </c>
      <c r="H3" s="3" t="s">
        <v>593</v>
      </c>
      <c r="I3" s="3" t="s">
        <v>190</v>
      </c>
      <c r="J3" s="3" t="s">
        <v>116</v>
      </c>
      <c r="K3" s="3" t="s">
        <v>417</v>
      </c>
      <c r="L3" s="180">
        <v>1E-3</v>
      </c>
      <c r="M3" s="148">
        <v>0.42420000000000002</v>
      </c>
      <c r="N3" s="150">
        <v>0</v>
      </c>
      <c r="O3" s="143">
        <v>0</v>
      </c>
      <c r="P3" s="150">
        <v>7.2911363268562303E-9</v>
      </c>
      <c r="Q3" s="150">
        <v>3.4295231111553101E-10</v>
      </c>
    </row>
    <row r="4" spans="1:17">
      <c r="A4" s="3">
        <v>233</v>
      </c>
      <c r="B4" s="3">
        <v>233</v>
      </c>
      <c r="C4" s="3" t="s">
        <v>1768</v>
      </c>
      <c r="D4" s="3" t="s">
        <v>1769</v>
      </c>
      <c r="E4" s="27" t="s">
        <v>910</v>
      </c>
      <c r="F4" s="3" t="s">
        <v>1462</v>
      </c>
      <c r="G4" s="3" t="s">
        <v>30</v>
      </c>
      <c r="H4" s="3" t="s">
        <v>593</v>
      </c>
      <c r="I4" s="3" t="s">
        <v>190</v>
      </c>
      <c r="J4" s="3" t="s">
        <v>116</v>
      </c>
      <c r="K4" s="3" t="s">
        <v>380</v>
      </c>
      <c r="L4" s="180">
        <v>375.23399999999998</v>
      </c>
      <c r="M4" s="148">
        <v>3.8807</v>
      </c>
      <c r="N4" s="150">
        <v>0</v>
      </c>
      <c r="O4" s="143">
        <v>1456.1690000000001</v>
      </c>
      <c r="P4" s="150">
        <v>3.2087926172286597E-2</v>
      </c>
      <c r="Q4" s="150">
        <v>1.50931596206146E-3</v>
      </c>
    </row>
    <row r="5" spans="1:17">
      <c r="A5" s="3">
        <v>233</v>
      </c>
      <c r="B5" s="3">
        <v>233</v>
      </c>
      <c r="C5" s="3" t="s">
        <v>1768</v>
      </c>
      <c r="D5" s="3" t="s">
        <v>1769</v>
      </c>
      <c r="E5" s="27" t="s">
        <v>910</v>
      </c>
      <c r="F5" s="3" t="s">
        <v>1462</v>
      </c>
      <c r="G5" s="3" t="s">
        <v>30</v>
      </c>
      <c r="H5" s="3" t="s">
        <v>593</v>
      </c>
      <c r="I5" s="3" t="s">
        <v>190</v>
      </c>
      <c r="J5" s="3" t="s">
        <v>116</v>
      </c>
      <c r="K5" s="3" t="s">
        <v>1770</v>
      </c>
      <c r="L5" s="180">
        <v>0</v>
      </c>
      <c r="M5" s="148">
        <v>4.4409000000000001</v>
      </c>
      <c r="N5" s="150">
        <v>0</v>
      </c>
      <c r="O5" s="143">
        <v>1E-3</v>
      </c>
      <c r="P5" s="150">
        <v>2.9357711632698501E-8</v>
      </c>
      <c r="Q5" s="150">
        <v>1.3808951859001202E-9</v>
      </c>
    </row>
    <row r="6" spans="1:17">
      <c r="A6" s="3">
        <v>233</v>
      </c>
      <c r="B6" s="3">
        <v>233</v>
      </c>
      <c r="C6" s="3" t="s">
        <v>1768</v>
      </c>
      <c r="D6" s="3" t="s">
        <v>1769</v>
      </c>
      <c r="E6" s="27" t="s">
        <v>910</v>
      </c>
      <c r="F6" s="3" t="s">
        <v>1460</v>
      </c>
      <c r="G6" s="3" t="s">
        <v>30</v>
      </c>
      <c r="H6" s="3" t="s">
        <v>593</v>
      </c>
      <c r="I6" s="3" t="s">
        <v>190</v>
      </c>
      <c r="J6" s="3" t="s">
        <v>116</v>
      </c>
      <c r="K6" s="3" t="s">
        <v>34</v>
      </c>
      <c r="L6" s="180">
        <v>20337.913</v>
      </c>
      <c r="M6" s="148">
        <v>1</v>
      </c>
      <c r="N6" s="150">
        <v>4.1200000000000001E-2</v>
      </c>
      <c r="O6" s="143">
        <v>20337.913</v>
      </c>
      <c r="P6" s="150">
        <v>0.44816335457853002</v>
      </c>
      <c r="Q6" s="150">
        <v>2.10802063381892E-2</v>
      </c>
    </row>
    <row r="7" spans="1:17">
      <c r="A7" s="3">
        <v>233</v>
      </c>
      <c r="B7" s="3">
        <v>233</v>
      </c>
      <c r="C7" s="3" t="s">
        <v>206</v>
      </c>
      <c r="D7" s="3" t="s">
        <v>1771</v>
      </c>
      <c r="E7" s="27" t="s">
        <v>910</v>
      </c>
      <c r="F7" s="3" t="s">
        <v>1460</v>
      </c>
      <c r="G7" s="3" t="s">
        <v>30</v>
      </c>
      <c r="H7" s="3" t="s">
        <v>103</v>
      </c>
      <c r="I7" s="3" t="s">
        <v>190</v>
      </c>
      <c r="J7" s="3" t="s">
        <v>116</v>
      </c>
      <c r="K7" s="3" t="s">
        <v>34</v>
      </c>
      <c r="L7" s="180">
        <v>0.68700000000000006</v>
      </c>
      <c r="M7" s="148">
        <v>1</v>
      </c>
      <c r="N7" s="150">
        <v>4.1200000000000001E-2</v>
      </c>
      <c r="O7" s="143">
        <v>0.68700000000000006</v>
      </c>
      <c r="P7" s="150">
        <v>1.5141498640798101E-5</v>
      </c>
      <c r="Q7" s="150">
        <v>7.12208868388202E-7</v>
      </c>
    </row>
    <row r="8" spans="1:17">
      <c r="E8" s="27"/>
    </row>
    <row r="9" spans="1:17">
      <c r="E9" s="27"/>
    </row>
    <row r="10" spans="1:17">
      <c r="E10" s="27"/>
    </row>
    <row r="11" spans="1:17">
      <c r="E11" s="27"/>
    </row>
    <row r="12" spans="1:17">
      <c r="E12" s="27"/>
    </row>
    <row r="13" spans="1:17">
      <c r="E13" s="27"/>
    </row>
    <row r="14" spans="1:17">
      <c r="E14" s="27"/>
    </row>
    <row r="15" spans="1:17">
      <c r="E15" s="27"/>
    </row>
    <row r="16" spans="1:17">
      <c r="E16" s="27"/>
    </row>
    <row r="17" spans="4:5">
      <c r="E17" s="27"/>
    </row>
    <row r="18" spans="4:5">
      <c r="E18" s="27"/>
    </row>
    <row r="19" spans="4:5">
      <c r="E19" s="27"/>
    </row>
    <row r="20" spans="4:5">
      <c r="E20" s="27"/>
    </row>
    <row r="21" spans="4:5" s="35" customFormat="1">
      <c r="D21" s="34"/>
      <c r="E21" s="38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O1" workbookViewId="0">
      <selection activeCell="Z15" sqref="Z15"/>
    </sheetView>
  </sheetViews>
  <sheetFormatPr defaultColWidth="0" defaultRowHeight="14.25"/>
  <cols>
    <col min="1" max="2" width="11.625" style="5" customWidth="1"/>
    <col min="3" max="3" width="21.375" style="5" customWidth="1"/>
    <col min="4" max="4" width="29.375" style="5" customWidth="1"/>
    <col min="5" max="5" width="16.125" style="5" customWidth="1"/>
    <col min="6" max="6" width="31.625" style="5" customWidth="1"/>
    <col min="7" max="8" width="11.625" style="5" customWidth="1"/>
    <col min="9" max="9" width="20.25" style="5" customWidth="1"/>
    <col min="10" max="17" width="11.625" style="5" customWidth="1"/>
    <col min="18" max="18" width="18.625" style="5" customWidth="1"/>
    <col min="19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49" t="s">
        <v>14</v>
      </c>
      <c r="P1" s="149" t="s">
        <v>15</v>
      </c>
      <c r="Q1" s="18" t="s">
        <v>16</v>
      </c>
      <c r="R1" s="18" t="s">
        <v>17</v>
      </c>
      <c r="S1" s="147" t="s">
        <v>18</v>
      </c>
      <c r="T1" s="153" t="s">
        <v>19</v>
      </c>
      <c r="U1" s="18" t="s">
        <v>20</v>
      </c>
      <c r="V1" s="18" t="s">
        <v>21</v>
      </c>
      <c r="W1" s="18" t="s">
        <v>22</v>
      </c>
      <c r="X1" s="149" t="s">
        <v>23</v>
      </c>
      <c r="Y1" s="149" t="s">
        <v>24</v>
      </c>
      <c r="Z1" s="149" t="s">
        <v>25</v>
      </c>
    </row>
    <row r="2" spans="1:26">
      <c r="A2" s="17">
        <v>233</v>
      </c>
      <c r="B2" s="17">
        <v>233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30</v>
      </c>
      <c r="I2" s="17" t="s">
        <v>31</v>
      </c>
      <c r="J2" s="17" t="s">
        <v>32</v>
      </c>
      <c r="K2" s="17" t="s">
        <v>33</v>
      </c>
      <c r="L2" s="5" t="s">
        <v>34</v>
      </c>
      <c r="M2" s="144">
        <v>6.1859999999999999</v>
      </c>
      <c r="N2" s="5" t="s">
        <v>35</v>
      </c>
      <c r="O2" s="151">
        <v>1E-3</v>
      </c>
      <c r="P2" s="151">
        <v>1.9130000000000001E-2</v>
      </c>
      <c r="R2" s="144">
        <v>30325000</v>
      </c>
      <c r="S2" s="152">
        <v>1</v>
      </c>
      <c r="T2" s="154">
        <v>106.54</v>
      </c>
      <c r="U2" s="144">
        <v>32308.255000000001</v>
      </c>
      <c r="W2" s="17" t="s">
        <v>36</v>
      </c>
      <c r="X2" s="151">
        <v>8.8599999999999996E-4</v>
      </c>
      <c r="Y2" s="151">
        <v>0.108575854352256</v>
      </c>
      <c r="Z2" s="151">
        <v>3.3487441580410497E-2</v>
      </c>
    </row>
    <row r="3" spans="1:26">
      <c r="A3" s="17">
        <v>233</v>
      </c>
      <c r="B3" s="17">
        <v>233</v>
      </c>
      <c r="C3" s="17" t="s">
        <v>37</v>
      </c>
      <c r="D3" s="17" t="s">
        <v>38</v>
      </c>
      <c r="E3" s="17" t="s">
        <v>39</v>
      </c>
      <c r="F3" s="17" t="s">
        <v>40</v>
      </c>
      <c r="G3" s="17" t="s">
        <v>30</v>
      </c>
      <c r="H3" s="17" t="s">
        <v>30</v>
      </c>
      <c r="I3" s="17" t="s">
        <v>31</v>
      </c>
      <c r="J3" s="17" t="s">
        <v>32</v>
      </c>
      <c r="K3" s="17" t="s">
        <v>33</v>
      </c>
      <c r="L3" s="5" t="s">
        <v>34</v>
      </c>
      <c r="M3" s="144">
        <v>2.9009999999999998</v>
      </c>
      <c r="N3" s="5" t="s">
        <v>41</v>
      </c>
      <c r="O3" s="151">
        <v>2.2499999999999999E-2</v>
      </c>
      <c r="P3" s="151">
        <v>3.9269999999999999E-2</v>
      </c>
      <c r="R3" s="144">
        <v>18647000</v>
      </c>
      <c r="S3" s="152">
        <v>1</v>
      </c>
      <c r="T3" s="154">
        <v>95.37</v>
      </c>
      <c r="U3" s="144">
        <v>17783.644</v>
      </c>
      <c r="W3" s="17" t="s">
        <v>36</v>
      </c>
      <c r="X3" s="151">
        <v>5.3700000000000004E-4</v>
      </c>
      <c r="Y3" s="151">
        <v>5.9764116939735303E-2</v>
      </c>
      <c r="Z3" s="151">
        <v>1.8432711274195199E-2</v>
      </c>
    </row>
    <row r="4" spans="1:26">
      <c r="A4" s="17">
        <v>233</v>
      </c>
      <c r="B4" s="17">
        <v>233</v>
      </c>
      <c r="C4" s="17" t="s">
        <v>37</v>
      </c>
      <c r="D4" s="17" t="s">
        <v>42</v>
      </c>
      <c r="E4" s="17" t="s">
        <v>43</v>
      </c>
      <c r="F4" s="17" t="s">
        <v>40</v>
      </c>
      <c r="G4" s="17" t="s">
        <v>30</v>
      </c>
      <c r="H4" s="17" t="s">
        <v>30</v>
      </c>
      <c r="I4" s="17" t="s">
        <v>31</v>
      </c>
      <c r="J4" s="17" t="s">
        <v>32</v>
      </c>
      <c r="K4" s="17" t="s">
        <v>33</v>
      </c>
      <c r="L4" s="5" t="s">
        <v>34</v>
      </c>
      <c r="M4" s="144">
        <v>7.9660000000000002</v>
      </c>
      <c r="N4" s="5" t="s">
        <v>44</v>
      </c>
      <c r="O4" s="151">
        <v>0.04</v>
      </c>
      <c r="P4" s="151">
        <v>4.1079999999999998E-2</v>
      </c>
      <c r="R4" s="144">
        <v>47312000</v>
      </c>
      <c r="S4" s="152">
        <v>1</v>
      </c>
      <c r="T4" s="154">
        <v>101.25</v>
      </c>
      <c r="U4" s="144">
        <v>47903.4</v>
      </c>
      <c r="W4" s="17" t="s">
        <v>36</v>
      </c>
      <c r="X4" s="151">
        <v>1.33E-3</v>
      </c>
      <c r="Y4" s="151">
        <v>0.16098525226379001</v>
      </c>
      <c r="Z4" s="151">
        <v>4.9651778129243998E-2</v>
      </c>
    </row>
    <row r="5" spans="1:26">
      <c r="A5" s="17">
        <v>233</v>
      </c>
      <c r="B5" s="17">
        <v>233</v>
      </c>
      <c r="C5" s="17" t="s">
        <v>37</v>
      </c>
      <c r="D5" s="17" t="s">
        <v>45</v>
      </c>
      <c r="E5" s="17" t="s">
        <v>46</v>
      </c>
      <c r="F5" s="17" t="s">
        <v>40</v>
      </c>
      <c r="G5" s="17" t="s">
        <v>30</v>
      </c>
      <c r="H5" s="17" t="s">
        <v>30</v>
      </c>
      <c r="I5" s="17" t="s">
        <v>31</v>
      </c>
      <c r="J5" s="17" t="s">
        <v>32</v>
      </c>
      <c r="K5" s="17" t="s">
        <v>33</v>
      </c>
      <c r="L5" s="5" t="s">
        <v>34</v>
      </c>
      <c r="M5" s="144">
        <v>11.21</v>
      </c>
      <c r="N5" s="5" t="s">
        <v>47</v>
      </c>
      <c r="O5" s="151">
        <v>5.5E-2</v>
      </c>
      <c r="P5" s="151">
        <v>4.3619999999999999E-2</v>
      </c>
      <c r="R5" s="144">
        <v>21600000</v>
      </c>
      <c r="S5" s="152">
        <v>1</v>
      </c>
      <c r="T5" s="154">
        <v>117</v>
      </c>
      <c r="U5" s="144">
        <v>25272</v>
      </c>
      <c r="W5" s="17" t="s">
        <v>36</v>
      </c>
      <c r="X5" s="151">
        <v>6.9700000000000003E-4</v>
      </c>
      <c r="Y5" s="151">
        <v>8.4929656250088803E-2</v>
      </c>
      <c r="Z5" s="151">
        <v>2.61943773695031E-2</v>
      </c>
    </row>
    <row r="6" spans="1:26">
      <c r="A6" s="17">
        <v>233</v>
      </c>
      <c r="B6" s="17">
        <v>233</v>
      </c>
      <c r="C6" s="17" t="s">
        <v>26</v>
      </c>
      <c r="D6" s="17" t="s">
        <v>48</v>
      </c>
      <c r="E6" s="17" t="s">
        <v>49</v>
      </c>
      <c r="F6" s="17" t="s">
        <v>29</v>
      </c>
      <c r="G6" s="17" t="s">
        <v>30</v>
      </c>
      <c r="H6" s="17" t="s">
        <v>30</v>
      </c>
      <c r="I6" s="17" t="s">
        <v>31</v>
      </c>
      <c r="J6" s="17" t="s">
        <v>32</v>
      </c>
      <c r="K6" s="17" t="s">
        <v>33</v>
      </c>
      <c r="L6" s="5" t="s">
        <v>34</v>
      </c>
      <c r="M6" s="144">
        <v>3.6760000000000002</v>
      </c>
      <c r="N6" s="5" t="s">
        <v>50</v>
      </c>
      <c r="O6" s="151">
        <v>5.0000000000000001E-3</v>
      </c>
      <c r="P6" s="151">
        <v>1.9300000000000001E-2</v>
      </c>
      <c r="R6" s="144">
        <v>39650103</v>
      </c>
      <c r="S6" s="152">
        <v>1</v>
      </c>
      <c r="T6" s="154">
        <v>113</v>
      </c>
      <c r="U6" s="144">
        <v>44804.616000000002</v>
      </c>
      <c r="W6" s="17" t="s">
        <v>36</v>
      </c>
      <c r="X6" s="151">
        <v>1.3470000000000001E-3</v>
      </c>
      <c r="Y6" s="151">
        <v>0.15057140979818801</v>
      </c>
      <c r="Z6" s="151">
        <v>4.6439895125652199E-2</v>
      </c>
    </row>
    <row r="7" spans="1:26">
      <c r="A7" s="17">
        <v>233</v>
      </c>
      <c r="B7" s="17">
        <v>233</v>
      </c>
      <c r="C7" s="17" t="s">
        <v>26</v>
      </c>
      <c r="D7" s="17" t="s">
        <v>51</v>
      </c>
      <c r="E7" s="17" t="s">
        <v>52</v>
      </c>
      <c r="F7" s="17" t="s">
        <v>29</v>
      </c>
      <c r="G7" s="17" t="s">
        <v>30</v>
      </c>
      <c r="H7" s="17" t="s">
        <v>30</v>
      </c>
      <c r="I7" s="17" t="s">
        <v>31</v>
      </c>
      <c r="J7" s="17" t="s">
        <v>32</v>
      </c>
      <c r="K7" s="17" t="s">
        <v>33</v>
      </c>
      <c r="L7" s="5" t="s">
        <v>34</v>
      </c>
      <c r="M7" s="144">
        <v>3.06</v>
      </c>
      <c r="N7" s="5" t="s">
        <v>53</v>
      </c>
      <c r="O7" s="151">
        <v>1.0999999999999999E-2</v>
      </c>
      <c r="P7" s="151">
        <v>1.9699999999999999E-2</v>
      </c>
      <c r="R7" s="144">
        <v>55080000</v>
      </c>
      <c r="S7" s="152">
        <v>1</v>
      </c>
      <c r="T7" s="154">
        <v>105.65</v>
      </c>
      <c r="U7" s="144">
        <v>58192.02</v>
      </c>
      <c r="W7" s="17" t="s">
        <v>36</v>
      </c>
      <c r="X7" s="151">
        <v>1.756E-3</v>
      </c>
      <c r="Y7" s="151">
        <v>0.19556142193329801</v>
      </c>
      <c r="Z7" s="151">
        <v>6.0315912146789802E-2</v>
      </c>
    </row>
    <row r="8" spans="1:26">
      <c r="A8" s="17">
        <v>233</v>
      </c>
      <c r="B8" s="17">
        <v>233</v>
      </c>
      <c r="C8" s="17" t="s">
        <v>37</v>
      </c>
      <c r="D8" s="17" t="s">
        <v>54</v>
      </c>
      <c r="E8" s="17" t="s">
        <v>55</v>
      </c>
      <c r="F8" s="17" t="s">
        <v>40</v>
      </c>
      <c r="G8" s="17" t="s">
        <v>30</v>
      </c>
      <c r="H8" s="17" t="s">
        <v>30</v>
      </c>
      <c r="I8" s="17" t="s">
        <v>31</v>
      </c>
      <c r="J8" s="17" t="s">
        <v>32</v>
      </c>
      <c r="K8" s="17" t="s">
        <v>33</v>
      </c>
      <c r="L8" s="5" t="s">
        <v>34</v>
      </c>
      <c r="M8" s="144">
        <v>6.33</v>
      </c>
      <c r="N8" s="5" t="s">
        <v>56</v>
      </c>
      <c r="O8" s="151">
        <v>1.2999999999999999E-2</v>
      </c>
      <c r="P8" s="151">
        <v>4.0219999999999999E-2</v>
      </c>
      <c r="R8" s="144">
        <v>23850000</v>
      </c>
      <c r="S8" s="152">
        <v>1</v>
      </c>
      <c r="T8" s="154">
        <v>85.09</v>
      </c>
      <c r="U8" s="144">
        <v>20293.965</v>
      </c>
      <c r="W8" s="17" t="s">
        <v>36</v>
      </c>
      <c r="X8" s="151">
        <v>6.5300000000000004E-4</v>
      </c>
      <c r="Y8" s="151">
        <v>6.8200358950670101E-2</v>
      </c>
      <c r="Z8" s="151">
        <v>2.10346540651111E-2</v>
      </c>
    </row>
    <row r="9" spans="1:26">
      <c r="A9" s="17">
        <v>233</v>
      </c>
      <c r="B9" s="17">
        <v>233</v>
      </c>
      <c r="C9" s="17" t="s">
        <v>68</v>
      </c>
      <c r="D9" s="17" t="s">
        <v>69</v>
      </c>
      <c r="E9" s="17" t="s">
        <v>70</v>
      </c>
      <c r="F9" s="17" t="s">
        <v>60</v>
      </c>
      <c r="G9" s="17" t="s">
        <v>61</v>
      </c>
      <c r="H9" s="17" t="s">
        <v>30</v>
      </c>
      <c r="I9" s="17" t="s">
        <v>71</v>
      </c>
      <c r="J9" s="17" t="s">
        <v>72</v>
      </c>
      <c r="K9" s="17" t="s">
        <v>73</v>
      </c>
      <c r="L9" s="5" t="s">
        <v>66</v>
      </c>
      <c r="M9" s="144">
        <v>6.8620000000000001</v>
      </c>
      <c r="N9" s="5" t="s">
        <v>74</v>
      </c>
      <c r="O9" s="151">
        <v>5.5E-2</v>
      </c>
      <c r="P9" s="151">
        <v>5.1110000000000003E-2</v>
      </c>
      <c r="R9" s="144">
        <v>2800000</v>
      </c>
      <c r="S9" s="152">
        <v>3.306</v>
      </c>
      <c r="T9" s="154">
        <v>102.74299999999999</v>
      </c>
      <c r="U9" s="144">
        <v>9510.7139999999999</v>
      </c>
      <c r="W9" s="17" t="s">
        <v>36</v>
      </c>
      <c r="X9" s="151">
        <v>9.3300000000000002E-4</v>
      </c>
      <c r="Y9" s="151">
        <v>3.1961921207313199E-2</v>
      </c>
      <c r="Z9" s="151">
        <v>9.8578360318962201E-3</v>
      </c>
    </row>
    <row r="10" spans="1:26">
      <c r="A10" s="17">
        <v>233</v>
      </c>
      <c r="B10" s="17">
        <v>233</v>
      </c>
      <c r="C10" s="17" t="s">
        <v>57</v>
      </c>
      <c r="D10" s="17" t="s">
        <v>58</v>
      </c>
      <c r="E10" s="17" t="s">
        <v>59</v>
      </c>
      <c r="F10" s="17" t="s">
        <v>60</v>
      </c>
      <c r="G10" s="17" t="s">
        <v>61</v>
      </c>
      <c r="H10" s="17" t="s">
        <v>62</v>
      </c>
      <c r="I10" s="17" t="s">
        <v>63</v>
      </c>
      <c r="J10" s="17" t="s">
        <v>64</v>
      </c>
      <c r="K10" s="17" t="s">
        <v>65</v>
      </c>
      <c r="L10" s="5" t="s">
        <v>66</v>
      </c>
      <c r="M10" s="144">
        <v>0.374</v>
      </c>
      <c r="N10" s="5" t="s">
        <v>67</v>
      </c>
      <c r="O10" s="151">
        <v>0</v>
      </c>
      <c r="P10" s="151">
        <v>3.8359999999999998E-2</v>
      </c>
      <c r="R10" s="144">
        <v>3100000</v>
      </c>
      <c r="S10" s="152">
        <v>3.306</v>
      </c>
      <c r="T10" s="154">
        <v>98.533000000000001</v>
      </c>
      <c r="U10" s="144">
        <v>10098.253000000001</v>
      </c>
      <c r="W10" s="17" t="s">
        <v>36</v>
      </c>
      <c r="X10" s="151">
        <v>2.4000000000000001E-5</v>
      </c>
      <c r="Y10" s="151">
        <v>3.3936418140382799E-2</v>
      </c>
      <c r="Z10" s="151">
        <v>1.04668190428183E-2</v>
      </c>
    </row>
    <row r="11" spans="1:26">
      <c r="A11" s="17">
        <v>233</v>
      </c>
      <c r="B11" s="17">
        <v>233</v>
      </c>
      <c r="C11" s="17" t="s">
        <v>75</v>
      </c>
      <c r="D11" s="17" t="s">
        <v>76</v>
      </c>
      <c r="E11" s="17" t="s">
        <v>77</v>
      </c>
      <c r="F11" s="17" t="s">
        <v>60</v>
      </c>
      <c r="G11" s="17" t="s">
        <v>61</v>
      </c>
      <c r="H11" s="17" t="s">
        <v>62</v>
      </c>
      <c r="I11" s="17" t="s">
        <v>63</v>
      </c>
      <c r="J11" s="17" t="s">
        <v>78</v>
      </c>
      <c r="K11" s="17" t="s">
        <v>73</v>
      </c>
      <c r="L11" s="5" t="s">
        <v>66</v>
      </c>
      <c r="M11" s="144">
        <v>7.6950000000000003</v>
      </c>
      <c r="N11" s="5" t="s">
        <v>79</v>
      </c>
      <c r="O11" s="151">
        <v>3.875E-2</v>
      </c>
      <c r="P11" s="151">
        <v>4.086E-2</v>
      </c>
      <c r="R11" s="144">
        <v>4200000</v>
      </c>
      <c r="S11" s="152">
        <v>3.306</v>
      </c>
      <c r="T11" s="154">
        <v>104.527</v>
      </c>
      <c r="U11" s="144">
        <v>14513.782999999999</v>
      </c>
      <c r="W11" s="17" t="s">
        <v>36</v>
      </c>
      <c r="X11" s="151">
        <v>3.0000000000000001E-5</v>
      </c>
      <c r="Y11" s="151">
        <v>4.8775348267572897E-2</v>
      </c>
      <c r="Z11" s="151">
        <v>1.50435070064046E-2</v>
      </c>
    </row>
    <row r="12" spans="1:26">
      <c r="A12" s="17">
        <v>233</v>
      </c>
      <c r="B12" s="17">
        <v>233</v>
      </c>
      <c r="C12" s="17" t="s">
        <v>75</v>
      </c>
      <c r="D12" s="17" t="s">
        <v>80</v>
      </c>
      <c r="E12" s="17" t="s">
        <v>81</v>
      </c>
      <c r="F12" s="17" t="s">
        <v>60</v>
      </c>
      <c r="G12" s="17" t="s">
        <v>61</v>
      </c>
      <c r="H12" s="17" t="s">
        <v>62</v>
      </c>
      <c r="I12" s="17" t="s">
        <v>63</v>
      </c>
      <c r="J12" s="17" t="s">
        <v>78</v>
      </c>
      <c r="K12" s="17" t="s">
        <v>73</v>
      </c>
      <c r="L12" s="5" t="s">
        <v>66</v>
      </c>
      <c r="M12" s="144">
        <v>7.5309999999999997</v>
      </c>
      <c r="N12" s="5" t="s">
        <v>82</v>
      </c>
      <c r="O12" s="151">
        <v>3.875E-2</v>
      </c>
      <c r="P12" s="151">
        <v>4.0570000000000002E-2</v>
      </c>
      <c r="R12" s="144">
        <v>5160000</v>
      </c>
      <c r="S12" s="152">
        <v>3.306</v>
      </c>
      <c r="T12" s="154">
        <v>98.97</v>
      </c>
      <c r="U12" s="144">
        <v>16883.253000000001</v>
      </c>
      <c r="W12" s="17" t="s">
        <v>36</v>
      </c>
      <c r="X12" s="151">
        <v>4.0000000000000003E-5</v>
      </c>
      <c r="Y12" s="151">
        <v>5.6738241896705399E-2</v>
      </c>
      <c r="Z12" s="151">
        <v>1.74994576116973E-2</v>
      </c>
    </row>
    <row r="13" spans="1:2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W13" s="17"/>
    </row>
    <row r="14" spans="1:2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W14" s="17"/>
    </row>
    <row r="15" spans="1:2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W15" s="17"/>
    </row>
    <row r="16" spans="1:2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W16" s="17"/>
    </row>
    <row r="17" spans="1:2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W17" s="17"/>
    </row>
    <row r="18" spans="1:2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W18" s="17"/>
    </row>
    <row r="19" spans="1:2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W19" s="17"/>
    </row>
    <row r="20" spans="1:23">
      <c r="F20" s="17"/>
      <c r="G20" s="17"/>
      <c r="H20" s="17"/>
      <c r="I20" s="17"/>
      <c r="K20" s="17"/>
      <c r="W20" s="17"/>
    </row>
    <row r="21" spans="1:23" s="38" customFormat="1">
      <c r="L21" s="27"/>
    </row>
    <row r="22" spans="1:23">
      <c r="L22" s="17"/>
    </row>
    <row r="23" spans="1:23">
      <c r="L23" s="17"/>
    </row>
    <row r="24" spans="1:23">
      <c r="L24" s="17"/>
    </row>
    <row r="25" spans="1:23">
      <c r="L25" s="17"/>
    </row>
    <row r="26" spans="1:23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11:G20 G2:G10" xr:uid="{00000000-0002-0000-0300-000000000000}">
      <formula1>israel_abroad</formula1>
    </dataValidation>
    <dataValidation type="list" allowBlank="1" showInputMessage="1" showErrorMessage="1" sqref="I11:I20 I2:I10" xr:uid="{00000000-0002-0000-0300-000001000000}">
      <formula1>Stock_Exchange_Gov_Bonds</formula1>
    </dataValidation>
    <dataValidation type="list" allowBlank="1" showInputMessage="1" showErrorMessage="1" sqref="K11:K20 K2:K10" xr:uid="{00000000-0002-0000-0300-000002000000}">
      <formula1>Rating_Agency</formula1>
    </dataValidation>
    <dataValidation type="list" allowBlank="1" showInputMessage="1" showErrorMessage="1" sqref="W11:W20 W2:W10" xr:uid="{00000000-0002-0000-0300-000003000000}">
      <formula1>In_the_books</formula1>
    </dataValidation>
    <dataValidation type="list" allowBlank="1" showInputMessage="1" showErrorMessage="1" sqref="H11:H20 H2:H1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F11:F20 F2:F10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86</v>
      </c>
      <c r="N1" s="18" t="s">
        <v>87</v>
      </c>
      <c r="O1" s="18" t="s">
        <v>9</v>
      </c>
      <c r="P1" s="18" t="s">
        <v>10</v>
      </c>
      <c r="Q1" s="18" t="s">
        <v>88</v>
      </c>
      <c r="R1" s="18" t="s">
        <v>11</v>
      </c>
      <c r="S1" s="18" t="s">
        <v>12</v>
      </c>
      <c r="T1" s="18" t="s">
        <v>89</v>
      </c>
      <c r="U1" s="18" t="s">
        <v>13</v>
      </c>
      <c r="V1" s="18" t="s">
        <v>14</v>
      </c>
      <c r="W1" s="18" t="s">
        <v>15</v>
      </c>
      <c r="X1" s="18" t="s">
        <v>90</v>
      </c>
      <c r="Y1" s="18" t="s">
        <v>91</v>
      </c>
      <c r="Z1" s="18" t="s">
        <v>17</v>
      </c>
      <c r="AA1" s="18" t="s">
        <v>18</v>
      </c>
      <c r="AB1" s="18" t="s">
        <v>19</v>
      </c>
      <c r="AC1" s="18" t="s">
        <v>16</v>
      </c>
      <c r="AD1" s="18" t="s">
        <v>20</v>
      </c>
      <c r="AE1" s="18" t="s">
        <v>21</v>
      </c>
      <c r="AF1" s="18" t="s">
        <v>92</v>
      </c>
      <c r="AG1" s="18" t="s">
        <v>22</v>
      </c>
      <c r="AH1" s="18" t="s">
        <v>23</v>
      </c>
      <c r="AI1" s="18" t="s">
        <v>24</v>
      </c>
      <c r="AJ1" s="18" t="s">
        <v>25</v>
      </c>
    </row>
    <row r="2" spans="1:3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  <c r="S2" s="17"/>
      <c r="T2" s="19"/>
      <c r="U2" s="17"/>
      <c r="V2" s="17"/>
      <c r="X2" s="17"/>
      <c r="Y2" s="27"/>
      <c r="Z2" s="17"/>
      <c r="AA2" s="17"/>
      <c r="AB2" s="17"/>
      <c r="AC2" s="17"/>
      <c r="AD2" s="17"/>
      <c r="AE2" s="17"/>
      <c r="AG2" s="17"/>
    </row>
    <row r="3" spans="1:3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6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</row>
    <row r="9" spans="1:3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6"/>
      <c r="AG9" s="17"/>
    </row>
    <row r="10" spans="1:3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>
      <c r="E20" s="17"/>
      <c r="H20" s="17"/>
      <c r="I20" s="17"/>
      <c r="J20" s="17"/>
      <c r="K20" s="17"/>
      <c r="L20" s="17"/>
      <c r="M20" s="17"/>
      <c r="N20" s="17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3"/>
  <sheetViews>
    <sheetView rightToLeft="1" topLeftCell="D1" workbookViewId="0">
      <selection activeCell="H1" sqref="H1"/>
    </sheetView>
  </sheetViews>
  <sheetFormatPr defaultColWidth="0" defaultRowHeight="14.25"/>
  <cols>
    <col min="1" max="2" width="11.625" style="3" customWidth="1"/>
    <col min="3" max="3" width="27.875" style="3" customWidth="1"/>
    <col min="4" max="4" width="25.125" style="3" customWidth="1"/>
    <col min="5" max="5" width="11.625" style="5" customWidth="1"/>
    <col min="6" max="6" width="19" style="3" customWidth="1"/>
    <col min="7" max="13" width="11.625" style="3" customWidth="1"/>
    <col min="14" max="14" width="22.75" style="3" customWidth="1"/>
    <col min="15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8</v>
      </c>
      <c r="N1" s="18" t="s">
        <v>86</v>
      </c>
      <c r="O1" s="18" t="s">
        <v>87</v>
      </c>
      <c r="P1" s="18" t="s">
        <v>9</v>
      </c>
      <c r="Q1" s="18" t="s">
        <v>10</v>
      </c>
      <c r="R1" s="18" t="s">
        <v>88</v>
      </c>
      <c r="S1" s="18" t="s">
        <v>11</v>
      </c>
      <c r="T1" s="18" t="s">
        <v>12</v>
      </c>
      <c r="U1" s="18" t="s">
        <v>13</v>
      </c>
      <c r="V1" s="149" t="s">
        <v>14</v>
      </c>
      <c r="W1" s="149" t="s">
        <v>15</v>
      </c>
      <c r="X1" s="18" t="s">
        <v>90</v>
      </c>
      <c r="Y1" s="18" t="s">
        <v>91</v>
      </c>
      <c r="Z1" s="18" t="s">
        <v>17</v>
      </c>
      <c r="AA1" s="147" t="s">
        <v>18</v>
      </c>
      <c r="AB1" s="153" t="s">
        <v>19</v>
      </c>
      <c r="AC1" s="18" t="s">
        <v>16</v>
      </c>
      <c r="AD1" s="18" t="s">
        <v>20</v>
      </c>
      <c r="AE1" s="18" t="s">
        <v>21</v>
      </c>
      <c r="AF1" s="18" t="s">
        <v>92</v>
      </c>
      <c r="AG1" s="18" t="s">
        <v>22</v>
      </c>
      <c r="AH1" s="149" t="s">
        <v>23</v>
      </c>
      <c r="AI1" s="149" t="s">
        <v>24</v>
      </c>
      <c r="AJ1" s="149" t="s">
        <v>25</v>
      </c>
    </row>
    <row r="2" spans="1:36">
      <c r="A2" s="181">
        <v>233</v>
      </c>
      <c r="B2" s="182">
        <v>233</v>
      </c>
      <c r="C2" s="182" t="s">
        <v>94</v>
      </c>
      <c r="D2" s="182" t="s">
        <v>95</v>
      </c>
      <c r="E2" s="183" t="s">
        <v>96</v>
      </c>
      <c r="F2" s="182" t="s">
        <v>97</v>
      </c>
      <c r="G2" s="182" t="s">
        <v>98</v>
      </c>
      <c r="H2" s="183" t="s">
        <v>99</v>
      </c>
      <c r="I2" s="182" t="s">
        <v>100</v>
      </c>
      <c r="J2" s="183" t="s">
        <v>30</v>
      </c>
      <c r="K2" s="183" t="s">
        <v>30</v>
      </c>
      <c r="L2" s="182" t="s">
        <v>101</v>
      </c>
      <c r="M2" s="183" t="s">
        <v>31</v>
      </c>
      <c r="N2" s="182" t="s">
        <v>102</v>
      </c>
      <c r="O2" s="182" t="s">
        <v>103</v>
      </c>
      <c r="P2" s="182" t="s">
        <v>104</v>
      </c>
      <c r="Q2" s="182" t="s">
        <v>105</v>
      </c>
      <c r="R2" s="182" t="s">
        <v>106</v>
      </c>
      <c r="S2" s="183" t="s">
        <v>34</v>
      </c>
      <c r="T2" s="184">
        <v>5.9370000000000003</v>
      </c>
      <c r="U2" s="182" t="s">
        <v>107</v>
      </c>
      <c r="V2" s="185">
        <v>5.1299999999999998E-2</v>
      </c>
      <c r="W2" s="185">
        <v>5.1470000000000002E-2</v>
      </c>
      <c r="X2" s="183" t="s">
        <v>108</v>
      </c>
      <c r="Y2" s="183" t="s">
        <v>103</v>
      </c>
      <c r="Z2" s="184">
        <v>950000</v>
      </c>
      <c r="AA2" s="186">
        <v>1</v>
      </c>
      <c r="AB2" s="187">
        <v>100.43</v>
      </c>
      <c r="AC2" s="182"/>
      <c r="AD2" s="184">
        <v>954.08500000000004</v>
      </c>
      <c r="AE2" s="182"/>
      <c r="AF2" s="182"/>
      <c r="AG2" s="183" t="s">
        <v>36</v>
      </c>
      <c r="AH2" s="188">
        <v>2.7889999999999998E-3</v>
      </c>
      <c r="AI2" s="188">
        <v>8.8360939153787794E-3</v>
      </c>
      <c r="AJ2" s="188">
        <v>9.8890719106451189E-4</v>
      </c>
    </row>
    <row r="3" spans="1:36">
      <c r="A3" s="182">
        <v>233</v>
      </c>
      <c r="B3" s="182">
        <v>233</v>
      </c>
      <c r="C3" s="182" t="s">
        <v>109</v>
      </c>
      <c r="D3" s="182" t="s">
        <v>110</v>
      </c>
      <c r="E3" s="183" t="s">
        <v>96</v>
      </c>
      <c r="F3" s="182" t="s">
        <v>111</v>
      </c>
      <c r="G3" s="182" t="s">
        <v>112</v>
      </c>
      <c r="H3" s="183" t="s">
        <v>99</v>
      </c>
      <c r="I3" s="182" t="s">
        <v>113</v>
      </c>
      <c r="J3" s="183" t="s">
        <v>30</v>
      </c>
      <c r="K3" s="183" t="s">
        <v>30</v>
      </c>
      <c r="L3" s="182" t="s">
        <v>101</v>
      </c>
      <c r="M3" s="183" t="s">
        <v>31</v>
      </c>
      <c r="N3" s="182" t="s">
        <v>114</v>
      </c>
      <c r="O3" s="182" t="s">
        <v>103</v>
      </c>
      <c r="P3" s="182" t="s">
        <v>115</v>
      </c>
      <c r="Q3" s="182" t="s">
        <v>116</v>
      </c>
      <c r="R3" s="182" t="s">
        <v>106</v>
      </c>
      <c r="S3" s="183" t="s">
        <v>34</v>
      </c>
      <c r="T3" s="184">
        <v>6.23</v>
      </c>
      <c r="U3" s="182" t="s">
        <v>117</v>
      </c>
      <c r="V3" s="185">
        <v>2.5600000000000001E-2</v>
      </c>
      <c r="W3" s="185">
        <v>3.1940000000000003E-2</v>
      </c>
      <c r="X3" s="183" t="s">
        <v>108</v>
      </c>
      <c r="Y3" s="183" t="s">
        <v>103</v>
      </c>
      <c r="Z3" s="184">
        <v>950000</v>
      </c>
      <c r="AA3" s="186">
        <v>1</v>
      </c>
      <c r="AB3" s="187">
        <v>108.14</v>
      </c>
      <c r="AC3" s="182"/>
      <c r="AD3" s="184">
        <v>1027.33</v>
      </c>
      <c r="AE3" s="182"/>
      <c r="AF3" s="181"/>
      <c r="AG3" s="183" t="s">
        <v>36</v>
      </c>
      <c r="AH3" s="188">
        <v>9.0399999999999996E-4</v>
      </c>
      <c r="AI3" s="188">
        <v>9.5144398686554006E-3</v>
      </c>
      <c r="AJ3" s="188">
        <v>1.0648254868238199E-3</v>
      </c>
    </row>
    <row r="4" spans="1:36">
      <c r="A4" s="182">
        <v>233</v>
      </c>
      <c r="B4" s="182">
        <v>233</v>
      </c>
      <c r="C4" s="182" t="s">
        <v>118</v>
      </c>
      <c r="D4" s="182" t="s">
        <v>119</v>
      </c>
      <c r="E4" s="183" t="s">
        <v>96</v>
      </c>
      <c r="F4" s="182" t="s">
        <v>120</v>
      </c>
      <c r="G4" s="182" t="s">
        <v>121</v>
      </c>
      <c r="H4" s="183" t="s">
        <v>99</v>
      </c>
      <c r="I4" s="182" t="s">
        <v>113</v>
      </c>
      <c r="J4" s="183" t="s">
        <v>30</v>
      </c>
      <c r="K4" s="183" t="s">
        <v>30</v>
      </c>
      <c r="L4" s="182" t="s">
        <v>101</v>
      </c>
      <c r="M4" s="183" t="s">
        <v>31</v>
      </c>
      <c r="N4" s="182" t="s">
        <v>114</v>
      </c>
      <c r="O4" s="182" t="s">
        <v>103</v>
      </c>
      <c r="P4" s="182" t="s">
        <v>122</v>
      </c>
      <c r="Q4" s="182" t="s">
        <v>116</v>
      </c>
      <c r="R4" s="182" t="s">
        <v>106</v>
      </c>
      <c r="S4" s="183" t="s">
        <v>34</v>
      </c>
      <c r="T4" s="184">
        <v>1.754</v>
      </c>
      <c r="U4" s="182" t="s">
        <v>123</v>
      </c>
      <c r="V4" s="185">
        <v>3.2000000000000001E-2</v>
      </c>
      <c r="W4" s="185">
        <v>2.8060000000000002E-2</v>
      </c>
      <c r="X4" s="183" t="s">
        <v>108</v>
      </c>
      <c r="Y4" s="183" t="s">
        <v>103</v>
      </c>
      <c r="Z4" s="184">
        <v>688500</v>
      </c>
      <c r="AA4" s="186">
        <v>1</v>
      </c>
      <c r="AB4" s="187">
        <v>120.07</v>
      </c>
      <c r="AC4" s="182"/>
      <c r="AD4" s="184">
        <v>826.68200000000002</v>
      </c>
      <c r="AE4" s="182"/>
      <c r="AF4" s="181"/>
      <c r="AG4" s="183" t="s">
        <v>36</v>
      </c>
      <c r="AH4" s="188">
        <v>1.663E-3</v>
      </c>
      <c r="AI4" s="188">
        <v>7.6561725091039796E-3</v>
      </c>
      <c r="AJ4" s="188">
        <v>8.5685418498166604E-4</v>
      </c>
    </row>
    <row r="5" spans="1:36">
      <c r="A5" s="182">
        <v>233</v>
      </c>
      <c r="B5" s="182">
        <v>233</v>
      </c>
      <c r="C5" s="182" t="s">
        <v>124</v>
      </c>
      <c r="D5" s="182" t="s">
        <v>1778</v>
      </c>
      <c r="E5" s="183" t="s">
        <v>96</v>
      </c>
      <c r="F5" s="182" t="s">
        <v>126</v>
      </c>
      <c r="G5" s="182" t="s">
        <v>127</v>
      </c>
      <c r="H5" s="183" t="s">
        <v>99</v>
      </c>
      <c r="I5" s="182" t="s">
        <v>100</v>
      </c>
      <c r="J5" s="183" t="s">
        <v>30</v>
      </c>
      <c r="K5" s="183" t="s">
        <v>62</v>
      </c>
      <c r="L5" s="182" t="s">
        <v>101</v>
      </c>
      <c r="M5" s="183" t="s">
        <v>31</v>
      </c>
      <c r="N5" s="182" t="s">
        <v>128</v>
      </c>
      <c r="O5" s="182" t="s">
        <v>103</v>
      </c>
      <c r="P5" s="182" t="s">
        <v>104</v>
      </c>
      <c r="Q5" s="182" t="s">
        <v>105</v>
      </c>
      <c r="R5" s="182" t="s">
        <v>106</v>
      </c>
      <c r="S5" s="183" t="s">
        <v>34</v>
      </c>
      <c r="T5" s="184">
        <v>0.95</v>
      </c>
      <c r="U5" s="182" t="s">
        <v>129</v>
      </c>
      <c r="V5" s="185">
        <v>3.4500000000000003E-2</v>
      </c>
      <c r="W5" s="185">
        <v>5.1819999999999998E-2</v>
      </c>
      <c r="X5" s="183" t="s">
        <v>108</v>
      </c>
      <c r="Y5" s="183" t="s">
        <v>103</v>
      </c>
      <c r="Z5" s="184">
        <v>5200044.8600000003</v>
      </c>
      <c r="AA5" s="186">
        <v>1</v>
      </c>
      <c r="AB5" s="187">
        <v>98.92</v>
      </c>
      <c r="AC5" s="182"/>
      <c r="AD5" s="184">
        <v>5143.884</v>
      </c>
      <c r="AE5" s="182"/>
      <c r="AF5" s="181"/>
      <c r="AG5" s="183" t="s">
        <v>36</v>
      </c>
      <c r="AH5" s="188">
        <v>9.3349999999999995E-3</v>
      </c>
      <c r="AI5" s="188">
        <v>4.7639199266180203E-2</v>
      </c>
      <c r="AJ5" s="188">
        <v>5.33162584984378E-3</v>
      </c>
    </row>
    <row r="6" spans="1:36">
      <c r="A6" s="182">
        <v>233</v>
      </c>
      <c r="B6" s="182">
        <v>233</v>
      </c>
      <c r="C6" s="182" t="s">
        <v>130</v>
      </c>
      <c r="D6" s="182" t="s">
        <v>131</v>
      </c>
      <c r="E6" s="183" t="s">
        <v>96</v>
      </c>
      <c r="F6" s="182" t="s">
        <v>132</v>
      </c>
      <c r="G6" s="182" t="s">
        <v>133</v>
      </c>
      <c r="H6" s="183" t="s">
        <v>99</v>
      </c>
      <c r="I6" s="182" t="s">
        <v>100</v>
      </c>
      <c r="J6" s="183" t="s">
        <v>30</v>
      </c>
      <c r="K6" s="183" t="s">
        <v>30</v>
      </c>
      <c r="L6" s="182" t="s">
        <v>101</v>
      </c>
      <c r="M6" s="183" t="s">
        <v>31</v>
      </c>
      <c r="N6" s="182" t="s">
        <v>128</v>
      </c>
      <c r="O6" s="182" t="s">
        <v>103</v>
      </c>
      <c r="P6" s="182" t="s">
        <v>134</v>
      </c>
      <c r="Q6" s="182" t="s">
        <v>116</v>
      </c>
      <c r="R6" s="182" t="s">
        <v>106</v>
      </c>
      <c r="S6" s="183" t="s">
        <v>34</v>
      </c>
      <c r="T6" s="184">
        <v>2.4849999999999999</v>
      </c>
      <c r="U6" s="182" t="s">
        <v>135</v>
      </c>
      <c r="V6" s="185">
        <v>2.0500000000000001E-2</v>
      </c>
      <c r="W6" s="185">
        <v>5.1389999999999998E-2</v>
      </c>
      <c r="X6" s="183" t="s">
        <v>108</v>
      </c>
      <c r="Y6" s="183" t="s">
        <v>103</v>
      </c>
      <c r="Z6" s="189">
        <v>8338501.3399999999</v>
      </c>
      <c r="AA6" s="190">
        <v>1</v>
      </c>
      <c r="AB6" s="191">
        <v>93.47</v>
      </c>
      <c r="AC6" s="182"/>
      <c r="AD6" s="189">
        <v>7793.9970000000003</v>
      </c>
      <c r="AE6" s="181"/>
      <c r="AF6" s="181"/>
      <c r="AG6" s="181" t="s">
        <v>36</v>
      </c>
      <c r="AH6" s="188">
        <v>9.5670000000000009E-3</v>
      </c>
      <c r="AI6" s="188">
        <v>7.2182762811984102E-2</v>
      </c>
      <c r="AJ6" s="188">
        <v>8.0784624857187393E-3</v>
      </c>
    </row>
    <row r="7" spans="1:36">
      <c r="A7" s="182">
        <v>233</v>
      </c>
      <c r="B7" s="182">
        <v>233</v>
      </c>
      <c r="C7" s="182" t="s">
        <v>136</v>
      </c>
      <c r="D7" s="182" t="s">
        <v>137</v>
      </c>
      <c r="E7" s="183" t="s">
        <v>96</v>
      </c>
      <c r="F7" s="182" t="s">
        <v>138</v>
      </c>
      <c r="G7" s="182" t="s">
        <v>139</v>
      </c>
      <c r="H7" s="183" t="s">
        <v>99</v>
      </c>
      <c r="I7" s="182" t="s">
        <v>100</v>
      </c>
      <c r="J7" s="183" t="s">
        <v>30</v>
      </c>
      <c r="K7" s="183" t="s">
        <v>30</v>
      </c>
      <c r="L7" s="182" t="s">
        <v>101</v>
      </c>
      <c r="M7" s="183" t="s">
        <v>31</v>
      </c>
      <c r="N7" s="182" t="s">
        <v>140</v>
      </c>
      <c r="O7" s="182" t="s">
        <v>103</v>
      </c>
      <c r="P7" s="182" t="s">
        <v>134</v>
      </c>
      <c r="Q7" s="182" t="s">
        <v>116</v>
      </c>
      <c r="R7" s="182" t="s">
        <v>106</v>
      </c>
      <c r="S7" s="183" t="s">
        <v>34</v>
      </c>
      <c r="T7" s="184">
        <v>1.7410000000000001</v>
      </c>
      <c r="U7" s="182" t="s">
        <v>141</v>
      </c>
      <c r="V7" s="185">
        <v>4.2999999999999997E-2</v>
      </c>
      <c r="W7" s="185">
        <v>5.2109999999999997E-2</v>
      </c>
      <c r="X7" s="183" t="s">
        <v>108</v>
      </c>
      <c r="Y7" s="183" t="s">
        <v>103</v>
      </c>
      <c r="Z7" s="189">
        <v>2027023.44</v>
      </c>
      <c r="AA7" s="190">
        <v>1</v>
      </c>
      <c r="AB7" s="191">
        <v>99.73</v>
      </c>
      <c r="AC7" s="182"/>
      <c r="AD7" s="189">
        <v>2021.55</v>
      </c>
      <c r="AE7" s="181"/>
      <c r="AF7" s="181"/>
      <c r="AG7" s="181" t="s">
        <v>36</v>
      </c>
      <c r="AH7" s="188">
        <v>2.869E-3</v>
      </c>
      <c r="AI7" s="188">
        <v>1.87222415894873E-2</v>
      </c>
      <c r="AJ7" s="188">
        <v>2.0953330190920001E-3</v>
      </c>
    </row>
    <row r="8" spans="1:36">
      <c r="A8" s="182">
        <v>233</v>
      </c>
      <c r="B8" s="182">
        <v>233</v>
      </c>
      <c r="C8" s="182" t="s">
        <v>142</v>
      </c>
      <c r="D8" s="182" t="s">
        <v>143</v>
      </c>
      <c r="E8" s="183" t="s">
        <v>96</v>
      </c>
      <c r="F8" s="182" t="s">
        <v>144</v>
      </c>
      <c r="G8" s="182" t="s">
        <v>145</v>
      </c>
      <c r="H8" s="183" t="s">
        <v>99</v>
      </c>
      <c r="I8" s="182" t="s">
        <v>100</v>
      </c>
      <c r="J8" s="183" t="s">
        <v>30</v>
      </c>
      <c r="K8" s="183" t="s">
        <v>30</v>
      </c>
      <c r="L8" s="182" t="s">
        <v>101</v>
      </c>
      <c r="M8" s="183" t="s">
        <v>31</v>
      </c>
      <c r="N8" s="182" t="s">
        <v>146</v>
      </c>
      <c r="O8" s="182" t="s">
        <v>103</v>
      </c>
      <c r="P8" s="182" t="s">
        <v>147</v>
      </c>
      <c r="Q8" s="182" t="s">
        <v>116</v>
      </c>
      <c r="R8" s="182" t="s">
        <v>106</v>
      </c>
      <c r="S8" s="183" t="s">
        <v>34</v>
      </c>
      <c r="T8" s="184">
        <v>1.784</v>
      </c>
      <c r="U8" s="182" t="s">
        <v>148</v>
      </c>
      <c r="V8" s="185">
        <v>2.7E-2</v>
      </c>
      <c r="W8" s="185">
        <v>5.2589999999999998E-2</v>
      </c>
      <c r="X8" s="183" t="s">
        <v>108</v>
      </c>
      <c r="Y8" s="183" t="s">
        <v>103</v>
      </c>
      <c r="Z8" s="184">
        <v>4431313.49</v>
      </c>
      <c r="AA8" s="186">
        <v>1</v>
      </c>
      <c r="AB8" s="187">
        <v>95.21</v>
      </c>
      <c r="AC8" s="182"/>
      <c r="AD8" s="184">
        <v>4219.0540000000001</v>
      </c>
      <c r="AE8" s="182"/>
      <c r="AF8" s="181"/>
      <c r="AG8" s="183" t="s">
        <v>36</v>
      </c>
      <c r="AH8" s="188">
        <v>7.7499999999999999E-3</v>
      </c>
      <c r="AI8" s="188">
        <v>3.9074038070368501E-2</v>
      </c>
      <c r="AJ8" s="188">
        <v>4.3730405767263203E-3</v>
      </c>
    </row>
    <row r="9" spans="1:36">
      <c r="A9" s="182">
        <v>233</v>
      </c>
      <c r="B9" s="182">
        <v>233</v>
      </c>
      <c r="C9" s="182" t="s">
        <v>149</v>
      </c>
      <c r="D9" s="182" t="s">
        <v>150</v>
      </c>
      <c r="E9" s="183" t="s">
        <v>96</v>
      </c>
      <c r="F9" s="182" t="s">
        <v>151</v>
      </c>
      <c r="G9" s="182" t="s">
        <v>152</v>
      </c>
      <c r="H9" s="183" t="s">
        <v>99</v>
      </c>
      <c r="I9" s="182" t="s">
        <v>113</v>
      </c>
      <c r="J9" s="183" t="s">
        <v>30</v>
      </c>
      <c r="K9" s="183" t="s">
        <v>30</v>
      </c>
      <c r="L9" s="182" t="s">
        <v>101</v>
      </c>
      <c r="M9" s="183" t="s">
        <v>31</v>
      </c>
      <c r="N9" s="182" t="s">
        <v>114</v>
      </c>
      <c r="O9" s="182" t="s">
        <v>103</v>
      </c>
      <c r="P9" s="182" t="s">
        <v>115</v>
      </c>
      <c r="Q9" s="182" t="s">
        <v>116</v>
      </c>
      <c r="R9" s="182" t="s">
        <v>106</v>
      </c>
      <c r="S9" s="183" t="s">
        <v>34</v>
      </c>
      <c r="T9" s="184">
        <v>4.7190000000000003</v>
      </c>
      <c r="U9" s="182" t="s">
        <v>153</v>
      </c>
      <c r="V9" s="185">
        <v>1.8700000000000001E-2</v>
      </c>
      <c r="W9" s="185">
        <v>3.0210000000000001E-2</v>
      </c>
      <c r="X9" s="183" t="s">
        <v>108</v>
      </c>
      <c r="Y9" s="183" t="s">
        <v>103</v>
      </c>
      <c r="Z9" s="184">
        <v>1240909.0900000001</v>
      </c>
      <c r="AA9" s="186">
        <v>1</v>
      </c>
      <c r="AB9" s="187">
        <v>109.28</v>
      </c>
      <c r="AC9" s="182"/>
      <c r="AD9" s="184">
        <v>1356.0650000000001</v>
      </c>
      <c r="AE9" s="182"/>
      <c r="AF9" s="181"/>
      <c r="AG9" s="183" t="s">
        <v>36</v>
      </c>
      <c r="AH9" s="188">
        <v>1.2700000000000001E-3</v>
      </c>
      <c r="AI9" s="188">
        <v>1.2558966657044399E-2</v>
      </c>
      <c r="AJ9" s="188">
        <v>1.4055591258344199E-3</v>
      </c>
    </row>
    <row r="10" spans="1:36">
      <c r="A10" s="182">
        <v>233</v>
      </c>
      <c r="B10" s="182">
        <v>233</v>
      </c>
      <c r="C10" s="182" t="s">
        <v>154</v>
      </c>
      <c r="D10" s="182" t="s">
        <v>155</v>
      </c>
      <c r="E10" s="183" t="s">
        <v>96</v>
      </c>
      <c r="F10" s="182" t="s">
        <v>156</v>
      </c>
      <c r="G10" s="182" t="s">
        <v>157</v>
      </c>
      <c r="H10" s="183" t="s">
        <v>99</v>
      </c>
      <c r="I10" s="182" t="s">
        <v>100</v>
      </c>
      <c r="J10" s="183" t="s">
        <v>30</v>
      </c>
      <c r="K10" s="183" t="s">
        <v>30</v>
      </c>
      <c r="L10" s="182" t="s">
        <v>101</v>
      </c>
      <c r="M10" s="183" t="s">
        <v>31</v>
      </c>
      <c r="N10" s="182" t="s">
        <v>146</v>
      </c>
      <c r="O10" s="182" t="s">
        <v>103</v>
      </c>
      <c r="P10" s="182" t="s">
        <v>158</v>
      </c>
      <c r="Q10" s="182" t="s">
        <v>105</v>
      </c>
      <c r="R10" s="182" t="s">
        <v>106</v>
      </c>
      <c r="S10" s="183" t="s">
        <v>34</v>
      </c>
      <c r="T10" s="184">
        <v>2.5640000000000001</v>
      </c>
      <c r="U10" s="182" t="s">
        <v>159</v>
      </c>
      <c r="V10" s="185">
        <v>7.2499999999999995E-2</v>
      </c>
      <c r="W10" s="185">
        <v>5.6169999999999998E-2</v>
      </c>
      <c r="X10" s="183" t="s">
        <v>108</v>
      </c>
      <c r="Y10" s="183" t="s">
        <v>103</v>
      </c>
      <c r="Z10" s="184">
        <v>4054577.78</v>
      </c>
      <c r="AA10" s="186">
        <v>1</v>
      </c>
      <c r="AB10" s="187">
        <v>107.9</v>
      </c>
      <c r="AC10" s="182"/>
      <c r="AD10" s="184">
        <v>4374.8890000000001</v>
      </c>
      <c r="AE10" s="182"/>
      <c r="AF10" s="181"/>
      <c r="AG10" s="183" t="s">
        <v>36</v>
      </c>
      <c r="AH10" s="188">
        <v>6.3350000000000004E-3</v>
      </c>
      <c r="AI10" s="188">
        <v>4.0517284964484097E-2</v>
      </c>
      <c r="AJ10" s="188">
        <v>4.5345641238661201E-3</v>
      </c>
    </row>
    <row r="11" spans="1:36">
      <c r="A11" s="182">
        <v>233</v>
      </c>
      <c r="B11" s="182">
        <v>233</v>
      </c>
      <c r="C11" s="182" t="s">
        <v>160</v>
      </c>
      <c r="D11" s="182" t="s">
        <v>161</v>
      </c>
      <c r="E11" s="183" t="s">
        <v>96</v>
      </c>
      <c r="F11" s="182" t="s">
        <v>162</v>
      </c>
      <c r="G11" s="182" t="s">
        <v>163</v>
      </c>
      <c r="H11" s="183" t="s">
        <v>99</v>
      </c>
      <c r="I11" s="182" t="s">
        <v>113</v>
      </c>
      <c r="J11" s="183" t="s">
        <v>30</v>
      </c>
      <c r="K11" s="183" t="s">
        <v>30</v>
      </c>
      <c r="L11" s="182" t="s">
        <v>101</v>
      </c>
      <c r="M11" s="183" t="s">
        <v>31</v>
      </c>
      <c r="N11" s="182" t="s">
        <v>114</v>
      </c>
      <c r="O11" s="182" t="s">
        <v>103</v>
      </c>
      <c r="P11" s="182" t="s">
        <v>122</v>
      </c>
      <c r="Q11" s="182" t="s">
        <v>116</v>
      </c>
      <c r="R11" s="182" t="s">
        <v>106</v>
      </c>
      <c r="S11" s="183" t="s">
        <v>34</v>
      </c>
      <c r="T11" s="184">
        <v>3.7789999999999999</v>
      </c>
      <c r="U11" s="182" t="s">
        <v>164</v>
      </c>
      <c r="V11" s="185">
        <v>5.0000000000000001E-3</v>
      </c>
      <c r="W11" s="185">
        <v>2.9790000000000001E-2</v>
      </c>
      <c r="X11" s="183" t="s">
        <v>108</v>
      </c>
      <c r="Y11" s="183" t="s">
        <v>103</v>
      </c>
      <c r="Z11" s="184">
        <v>2555393.9900000002</v>
      </c>
      <c r="AA11" s="186">
        <v>1</v>
      </c>
      <c r="AB11" s="187">
        <v>108.26</v>
      </c>
      <c r="AC11" s="182"/>
      <c r="AD11" s="184">
        <v>2766.47</v>
      </c>
      <c r="AE11" s="182"/>
      <c r="AF11" s="181"/>
      <c r="AG11" s="183" t="s">
        <v>36</v>
      </c>
      <c r="AH11" s="188">
        <v>1.913E-3</v>
      </c>
      <c r="AI11" s="188">
        <v>2.5621181144965099E-2</v>
      </c>
      <c r="AJ11" s="188">
        <v>2.86744012914176E-3</v>
      </c>
    </row>
    <row r="12" spans="1:36">
      <c r="A12" s="182">
        <v>233</v>
      </c>
      <c r="B12" s="182">
        <v>233</v>
      </c>
      <c r="C12" s="182" t="s">
        <v>165</v>
      </c>
      <c r="D12" s="182" t="s">
        <v>166</v>
      </c>
      <c r="E12" s="183" t="s">
        <v>96</v>
      </c>
      <c r="F12" s="182" t="s">
        <v>167</v>
      </c>
      <c r="G12" s="182" t="s">
        <v>168</v>
      </c>
      <c r="H12" s="183" t="s">
        <v>99</v>
      </c>
      <c r="I12" s="182" t="s">
        <v>113</v>
      </c>
      <c r="J12" s="183" t="s">
        <v>30</v>
      </c>
      <c r="K12" s="183" t="s">
        <v>30</v>
      </c>
      <c r="L12" s="182" t="s">
        <v>101</v>
      </c>
      <c r="M12" s="183" t="s">
        <v>31</v>
      </c>
      <c r="N12" s="182" t="s">
        <v>146</v>
      </c>
      <c r="O12" s="182" t="s">
        <v>103</v>
      </c>
      <c r="P12" s="182" t="s">
        <v>158</v>
      </c>
      <c r="Q12" s="182" t="s">
        <v>105</v>
      </c>
      <c r="R12" s="182" t="s">
        <v>106</v>
      </c>
      <c r="S12" s="183" t="s">
        <v>34</v>
      </c>
      <c r="T12" s="184">
        <v>2.992</v>
      </c>
      <c r="U12" s="182" t="s">
        <v>169</v>
      </c>
      <c r="V12" s="185">
        <v>1.7999999999999999E-2</v>
      </c>
      <c r="W12" s="185">
        <v>3.3709999999999997E-2</v>
      </c>
      <c r="X12" s="183" t="s">
        <v>108</v>
      </c>
      <c r="Y12" s="183" t="s">
        <v>103</v>
      </c>
      <c r="Z12" s="184">
        <v>3677142.86</v>
      </c>
      <c r="AA12" s="186">
        <v>1</v>
      </c>
      <c r="AB12" s="187">
        <v>113.57</v>
      </c>
      <c r="AC12" s="182"/>
      <c r="AD12" s="184">
        <v>4176.1310000000003</v>
      </c>
      <c r="AE12" s="182"/>
      <c r="AF12" s="181"/>
      <c r="AG12" s="183" t="s">
        <v>36</v>
      </c>
      <c r="AH12" s="188">
        <v>4.1710000000000002E-3</v>
      </c>
      <c r="AI12" s="188">
        <v>3.8676519398057503E-2</v>
      </c>
      <c r="AJ12" s="188">
        <v>4.3285515663790399E-3</v>
      </c>
    </row>
    <row r="13" spans="1:36">
      <c r="A13" s="182">
        <v>233</v>
      </c>
      <c r="B13" s="182">
        <v>233</v>
      </c>
      <c r="C13" s="182" t="s">
        <v>170</v>
      </c>
      <c r="D13" s="182" t="s">
        <v>171</v>
      </c>
      <c r="E13" s="183" t="s">
        <v>96</v>
      </c>
      <c r="F13" s="182" t="s">
        <v>172</v>
      </c>
      <c r="G13" s="182" t="s">
        <v>173</v>
      </c>
      <c r="H13" s="183" t="s">
        <v>99</v>
      </c>
      <c r="I13" s="182" t="s">
        <v>100</v>
      </c>
      <c r="J13" s="183" t="s">
        <v>30</v>
      </c>
      <c r="K13" s="183" t="s">
        <v>30</v>
      </c>
      <c r="L13" s="182" t="s">
        <v>101</v>
      </c>
      <c r="M13" s="183" t="s">
        <v>31</v>
      </c>
      <c r="N13" s="182" t="s">
        <v>140</v>
      </c>
      <c r="O13" s="182" t="s">
        <v>103</v>
      </c>
      <c r="P13" s="182" t="s">
        <v>174</v>
      </c>
      <c r="Q13" s="182" t="s">
        <v>105</v>
      </c>
      <c r="R13" s="182" t="s">
        <v>106</v>
      </c>
      <c r="S13" s="183" t="s">
        <v>34</v>
      </c>
      <c r="T13" s="184">
        <v>1.478</v>
      </c>
      <c r="U13" s="182" t="s">
        <v>175</v>
      </c>
      <c r="V13" s="185">
        <v>2.58E-2</v>
      </c>
      <c r="W13" s="185">
        <v>5.0090000000000003E-2</v>
      </c>
      <c r="X13" s="183" t="s">
        <v>108</v>
      </c>
      <c r="Y13" s="183" t="s">
        <v>103</v>
      </c>
      <c r="Z13" s="184">
        <v>4238650.3099999996</v>
      </c>
      <c r="AA13" s="186">
        <v>1</v>
      </c>
      <c r="AB13" s="187">
        <v>97.57</v>
      </c>
      <c r="AC13" s="182"/>
      <c r="AD13" s="184">
        <v>4135.6509999999998</v>
      </c>
      <c r="AE13" s="182"/>
      <c r="AF13" s="181"/>
      <c r="AG13" s="183" t="s">
        <v>36</v>
      </c>
      <c r="AH13" s="188">
        <v>1.8283000000000001E-2</v>
      </c>
      <c r="AI13" s="188">
        <v>3.8301620491694797E-2</v>
      </c>
      <c r="AJ13" s="188">
        <v>4.2865940874324904E-3</v>
      </c>
    </row>
    <row r="14" spans="1:36">
      <c r="A14" s="182">
        <v>233</v>
      </c>
      <c r="B14" s="182">
        <v>233</v>
      </c>
      <c r="C14" s="182" t="s">
        <v>176</v>
      </c>
      <c r="D14" s="182" t="s">
        <v>177</v>
      </c>
      <c r="E14" s="183" t="s">
        <v>96</v>
      </c>
      <c r="F14" s="182" t="s">
        <v>178</v>
      </c>
      <c r="G14" s="182" t="s">
        <v>179</v>
      </c>
      <c r="H14" s="183" t="s">
        <v>99</v>
      </c>
      <c r="I14" s="182" t="s">
        <v>100</v>
      </c>
      <c r="J14" s="183" t="s">
        <v>30</v>
      </c>
      <c r="K14" s="183" t="s">
        <v>30</v>
      </c>
      <c r="L14" s="182" t="s">
        <v>101</v>
      </c>
      <c r="M14" s="183" t="s">
        <v>31</v>
      </c>
      <c r="N14" s="182" t="s">
        <v>102</v>
      </c>
      <c r="O14" s="182" t="s">
        <v>103</v>
      </c>
      <c r="P14" s="182" t="s">
        <v>115</v>
      </c>
      <c r="Q14" s="182" t="s">
        <v>116</v>
      </c>
      <c r="R14" s="182" t="s">
        <v>106</v>
      </c>
      <c r="S14" s="183" t="s">
        <v>34</v>
      </c>
      <c r="T14" s="184">
        <v>3.9239999999999999</v>
      </c>
      <c r="U14" s="182" t="s">
        <v>180</v>
      </c>
      <c r="V14" s="185">
        <v>4.3799999999999999E-2</v>
      </c>
      <c r="W14" s="185">
        <v>4.6269999999999999E-2</v>
      </c>
      <c r="X14" s="183" t="s">
        <v>108</v>
      </c>
      <c r="Y14" s="183" t="s">
        <v>103</v>
      </c>
      <c r="Z14" s="184">
        <v>2240000</v>
      </c>
      <c r="AA14" s="186">
        <v>1</v>
      </c>
      <c r="AB14" s="187">
        <v>100.56</v>
      </c>
      <c r="AC14" s="182"/>
      <c r="AD14" s="184">
        <v>2252.5439999999999</v>
      </c>
      <c r="AE14" s="182"/>
      <c r="AF14" s="181"/>
      <c r="AG14" s="183" t="s">
        <v>36</v>
      </c>
      <c r="AH14" s="188">
        <v>4.4799999999999996E-3</v>
      </c>
      <c r="AI14" s="188">
        <v>2.0861548323810802E-2</v>
      </c>
      <c r="AJ14" s="188">
        <v>2.33475734320236E-3</v>
      </c>
    </row>
    <row r="15" spans="1:36">
      <c r="A15" s="182">
        <v>233</v>
      </c>
      <c r="B15" s="182">
        <v>233</v>
      </c>
      <c r="C15" s="182" t="s">
        <v>181</v>
      </c>
      <c r="D15" s="182" t="s">
        <v>182</v>
      </c>
      <c r="E15" s="183" t="s">
        <v>96</v>
      </c>
      <c r="F15" s="182" t="s">
        <v>183</v>
      </c>
      <c r="G15" s="182" t="s">
        <v>184</v>
      </c>
      <c r="H15" s="183" t="s">
        <v>99</v>
      </c>
      <c r="I15" s="182" t="s">
        <v>100</v>
      </c>
      <c r="J15" s="183" t="s">
        <v>30</v>
      </c>
      <c r="K15" s="183" t="s">
        <v>30</v>
      </c>
      <c r="L15" s="182" t="s">
        <v>101</v>
      </c>
      <c r="M15" s="183" t="s">
        <v>31</v>
      </c>
      <c r="N15" s="182" t="s">
        <v>102</v>
      </c>
      <c r="O15" s="182" t="s">
        <v>103</v>
      </c>
      <c r="P15" s="182" t="s">
        <v>185</v>
      </c>
      <c r="Q15" s="182" t="s">
        <v>105</v>
      </c>
      <c r="R15" s="182" t="s">
        <v>106</v>
      </c>
      <c r="S15" s="183" t="s">
        <v>34</v>
      </c>
      <c r="T15" s="184">
        <v>4.7240000000000002</v>
      </c>
      <c r="U15" s="182" t="s">
        <v>186</v>
      </c>
      <c r="V15" s="185">
        <v>1.95E-2</v>
      </c>
      <c r="W15" s="185">
        <v>4.607E-2</v>
      </c>
      <c r="X15" s="183" t="s">
        <v>108</v>
      </c>
      <c r="Y15" s="183" t="s">
        <v>103</v>
      </c>
      <c r="Z15" s="184">
        <v>4550067.7</v>
      </c>
      <c r="AA15" s="186">
        <v>1</v>
      </c>
      <c r="AB15" s="187">
        <v>89.16</v>
      </c>
      <c r="AC15" s="182"/>
      <c r="AD15" s="184">
        <v>4056.84</v>
      </c>
      <c r="AE15" s="182"/>
      <c r="AF15" s="181"/>
      <c r="AG15" s="183" t="s">
        <v>36</v>
      </c>
      <c r="AH15" s="188">
        <v>4.751E-3</v>
      </c>
      <c r="AI15" s="188">
        <v>3.7571728339008299E-2</v>
      </c>
      <c r="AJ15" s="188">
        <v>4.2049069069423602E-3</v>
      </c>
    </row>
    <row r="16" spans="1:36">
      <c r="A16" s="182">
        <v>233</v>
      </c>
      <c r="B16" s="182">
        <v>233</v>
      </c>
      <c r="C16" s="182" t="s">
        <v>187</v>
      </c>
      <c r="D16" s="182" t="s">
        <v>1779</v>
      </c>
      <c r="E16" s="183" t="s">
        <v>96</v>
      </c>
      <c r="F16" s="182" t="s">
        <v>188</v>
      </c>
      <c r="G16" s="182" t="s">
        <v>189</v>
      </c>
      <c r="H16" s="183" t="s">
        <v>99</v>
      </c>
      <c r="I16" s="182" t="s">
        <v>113</v>
      </c>
      <c r="J16" s="183" t="s">
        <v>30</v>
      </c>
      <c r="K16" s="183" t="s">
        <v>30</v>
      </c>
      <c r="L16" s="182" t="s">
        <v>101</v>
      </c>
      <c r="M16" s="183" t="s">
        <v>31</v>
      </c>
      <c r="N16" s="182" t="s">
        <v>146</v>
      </c>
      <c r="O16" s="182" t="s">
        <v>103</v>
      </c>
      <c r="P16" s="182" t="s">
        <v>190</v>
      </c>
      <c r="Q16" s="182" t="s">
        <v>116</v>
      </c>
      <c r="R16" s="182" t="s">
        <v>106</v>
      </c>
      <c r="S16" s="183" t="s">
        <v>34</v>
      </c>
      <c r="T16" s="184">
        <v>4.9690000000000003</v>
      </c>
      <c r="U16" s="182" t="s">
        <v>191</v>
      </c>
      <c r="V16" s="185">
        <v>2.3900000000000001E-2</v>
      </c>
      <c r="W16" s="185">
        <v>2.6620000000000001E-2</v>
      </c>
      <c r="X16" s="183" t="s">
        <v>108</v>
      </c>
      <c r="Y16" s="183" t="s">
        <v>103</v>
      </c>
      <c r="Z16" s="184">
        <v>4100000</v>
      </c>
      <c r="AA16" s="186">
        <v>1</v>
      </c>
      <c r="AB16" s="187">
        <v>117.27</v>
      </c>
      <c r="AC16" s="182"/>
      <c r="AD16" s="184">
        <v>4808.07</v>
      </c>
      <c r="AE16" s="182"/>
      <c r="AF16" s="181"/>
      <c r="AG16" s="183" t="s">
        <v>36</v>
      </c>
      <c r="AH16" s="188">
        <v>1.054E-3</v>
      </c>
      <c r="AI16" s="188">
        <v>4.4529112261187699E-2</v>
      </c>
      <c r="AJ16" s="188">
        <v>4.9835549224037101E-3</v>
      </c>
    </row>
    <row r="17" spans="1:36">
      <c r="A17" s="182">
        <v>233</v>
      </c>
      <c r="B17" s="182">
        <v>233</v>
      </c>
      <c r="C17" s="182" t="s">
        <v>187</v>
      </c>
      <c r="D17" s="182" t="s">
        <v>1779</v>
      </c>
      <c r="E17" s="183" t="s">
        <v>96</v>
      </c>
      <c r="F17" s="182" t="s">
        <v>192</v>
      </c>
      <c r="G17" s="182" t="s">
        <v>193</v>
      </c>
      <c r="H17" s="183" t="s">
        <v>99</v>
      </c>
      <c r="I17" s="182" t="s">
        <v>113</v>
      </c>
      <c r="J17" s="183" t="s">
        <v>30</v>
      </c>
      <c r="K17" s="183" t="s">
        <v>30</v>
      </c>
      <c r="L17" s="182" t="s">
        <v>101</v>
      </c>
      <c r="M17" s="183" t="s">
        <v>31</v>
      </c>
      <c r="N17" s="182" t="s">
        <v>146</v>
      </c>
      <c r="O17" s="182" t="s">
        <v>103</v>
      </c>
      <c r="P17" s="182" t="s">
        <v>190</v>
      </c>
      <c r="Q17" s="182" t="s">
        <v>116</v>
      </c>
      <c r="R17" s="182" t="s">
        <v>106</v>
      </c>
      <c r="S17" s="183" t="s">
        <v>34</v>
      </c>
      <c r="T17" s="184">
        <v>9.9849999999999994</v>
      </c>
      <c r="U17" s="182" t="s">
        <v>194</v>
      </c>
      <c r="V17" s="185">
        <v>1.2500000000000001E-2</v>
      </c>
      <c r="W17" s="185">
        <v>2.845E-2</v>
      </c>
      <c r="X17" s="183" t="s">
        <v>108</v>
      </c>
      <c r="Y17" s="183" t="s">
        <v>103</v>
      </c>
      <c r="Z17" s="184">
        <v>1400000</v>
      </c>
      <c r="AA17" s="186">
        <v>1</v>
      </c>
      <c r="AB17" s="187">
        <v>101.02</v>
      </c>
      <c r="AC17" s="182"/>
      <c r="AD17" s="184">
        <v>1414.28</v>
      </c>
      <c r="AE17" s="182"/>
      <c r="AF17" s="181"/>
      <c r="AG17" s="183" t="s">
        <v>36</v>
      </c>
      <c r="AH17" s="188">
        <v>3.2600000000000001E-4</v>
      </c>
      <c r="AI17" s="188">
        <v>1.3098110653287601E-2</v>
      </c>
      <c r="AJ17" s="188">
        <v>1.46589838659943E-3</v>
      </c>
    </row>
    <row r="18" spans="1:36">
      <c r="A18" s="182">
        <v>233</v>
      </c>
      <c r="B18" s="182">
        <v>233</v>
      </c>
      <c r="C18" s="182" t="s">
        <v>195</v>
      </c>
      <c r="D18" s="182" t="s">
        <v>196</v>
      </c>
      <c r="E18" s="183" t="s">
        <v>96</v>
      </c>
      <c r="F18" s="182" t="s">
        <v>197</v>
      </c>
      <c r="G18" s="182" t="s">
        <v>198</v>
      </c>
      <c r="H18" s="183" t="s">
        <v>99</v>
      </c>
      <c r="I18" s="182" t="s">
        <v>100</v>
      </c>
      <c r="J18" s="183" t="s">
        <v>30</v>
      </c>
      <c r="K18" s="183" t="s">
        <v>30</v>
      </c>
      <c r="L18" s="182" t="s">
        <v>101</v>
      </c>
      <c r="M18" s="183" t="s">
        <v>31</v>
      </c>
      <c r="N18" s="182" t="s">
        <v>199</v>
      </c>
      <c r="O18" s="182" t="s">
        <v>103</v>
      </c>
      <c r="P18" s="182" t="s">
        <v>115</v>
      </c>
      <c r="Q18" s="182" t="s">
        <v>116</v>
      </c>
      <c r="R18" s="182" t="s">
        <v>106</v>
      </c>
      <c r="S18" s="183" t="s">
        <v>34</v>
      </c>
      <c r="T18" s="184">
        <v>1.7050000000000001</v>
      </c>
      <c r="U18" s="182" t="s">
        <v>200</v>
      </c>
      <c r="V18" s="185">
        <v>2.18E-2</v>
      </c>
      <c r="W18" s="185">
        <v>4.9959999999999997E-2</v>
      </c>
      <c r="X18" s="183" t="s">
        <v>108</v>
      </c>
      <c r="Y18" s="183" t="s">
        <v>103</v>
      </c>
      <c r="Z18" s="184">
        <v>3997295.37</v>
      </c>
      <c r="AA18" s="186">
        <v>1</v>
      </c>
      <c r="AB18" s="187">
        <v>96.03</v>
      </c>
      <c r="AC18" s="182"/>
      <c r="AD18" s="184">
        <v>3838.6030000000001</v>
      </c>
      <c r="AE18" s="182"/>
      <c r="AF18" s="181"/>
      <c r="AG18" s="183" t="s">
        <v>36</v>
      </c>
      <c r="AH18" s="188">
        <v>1.5001E-2</v>
      </c>
      <c r="AI18" s="188">
        <v>3.5550558229240199E-2</v>
      </c>
      <c r="AJ18" s="188">
        <v>3.9787040536164598E-3</v>
      </c>
    </row>
    <row r="19" spans="1:36">
      <c r="A19" s="182">
        <v>233</v>
      </c>
      <c r="B19" s="182">
        <v>233</v>
      </c>
      <c r="C19" s="182" t="s">
        <v>201</v>
      </c>
      <c r="D19" s="182" t="s">
        <v>202</v>
      </c>
      <c r="E19" s="183" t="s">
        <v>96</v>
      </c>
      <c r="F19" s="182" t="s">
        <v>203</v>
      </c>
      <c r="G19" s="182" t="s">
        <v>204</v>
      </c>
      <c r="H19" s="183" t="s">
        <v>99</v>
      </c>
      <c r="I19" s="182" t="s">
        <v>113</v>
      </c>
      <c r="J19" s="183" t="s">
        <v>30</v>
      </c>
      <c r="K19" s="183" t="s">
        <v>30</v>
      </c>
      <c r="L19" s="182" t="s">
        <v>101</v>
      </c>
      <c r="M19" s="183" t="s">
        <v>31</v>
      </c>
      <c r="N19" s="182" t="s">
        <v>114</v>
      </c>
      <c r="O19" s="182" t="s">
        <v>103</v>
      </c>
      <c r="P19" s="182" t="s">
        <v>115</v>
      </c>
      <c r="Q19" s="182" t="s">
        <v>116</v>
      </c>
      <c r="R19" s="182" t="s">
        <v>106</v>
      </c>
      <c r="S19" s="183" t="s">
        <v>34</v>
      </c>
      <c r="T19" s="184">
        <v>3.266</v>
      </c>
      <c r="U19" s="182" t="s">
        <v>205</v>
      </c>
      <c r="V19" s="185">
        <v>2.4E-2</v>
      </c>
      <c r="W19" s="185">
        <v>2.9350000000000001E-2</v>
      </c>
      <c r="X19" s="183" t="s">
        <v>108</v>
      </c>
      <c r="Y19" s="183" t="s">
        <v>103</v>
      </c>
      <c r="Z19" s="184">
        <v>2515893.17</v>
      </c>
      <c r="AA19" s="186">
        <v>1</v>
      </c>
      <c r="AB19" s="187">
        <v>118.32</v>
      </c>
      <c r="AC19" s="182"/>
      <c r="AD19" s="184">
        <v>2976.8049999999998</v>
      </c>
      <c r="AE19" s="182"/>
      <c r="AF19" s="181"/>
      <c r="AG19" s="183" t="s">
        <v>36</v>
      </c>
      <c r="AH19" s="188">
        <v>2.4429999999999999E-3</v>
      </c>
      <c r="AI19" s="188">
        <v>2.7569164979485299E-2</v>
      </c>
      <c r="AJ19" s="188">
        <v>3.0854522101000301E-3</v>
      </c>
    </row>
    <row r="20" spans="1:36">
      <c r="A20" s="181">
        <v>233</v>
      </c>
      <c r="B20" s="181">
        <v>233</v>
      </c>
      <c r="C20" s="181" t="s">
        <v>206</v>
      </c>
      <c r="D20" s="181" t="s">
        <v>1780</v>
      </c>
      <c r="E20" s="183" t="s">
        <v>96</v>
      </c>
      <c r="F20" s="181" t="s">
        <v>207</v>
      </c>
      <c r="G20" s="181" t="s">
        <v>208</v>
      </c>
      <c r="H20" s="183" t="s">
        <v>99</v>
      </c>
      <c r="I20" s="182" t="s">
        <v>113</v>
      </c>
      <c r="J20" s="183" t="s">
        <v>30</v>
      </c>
      <c r="K20" s="183" t="s">
        <v>30</v>
      </c>
      <c r="L20" s="182" t="s">
        <v>101</v>
      </c>
      <c r="M20" s="183" t="s">
        <v>31</v>
      </c>
      <c r="N20" s="182" t="s">
        <v>209</v>
      </c>
      <c r="O20" s="182" t="s">
        <v>103</v>
      </c>
      <c r="P20" s="181" t="s">
        <v>190</v>
      </c>
      <c r="Q20" s="182" t="s">
        <v>116</v>
      </c>
      <c r="R20" s="182" t="s">
        <v>106</v>
      </c>
      <c r="S20" s="181" t="s">
        <v>34</v>
      </c>
      <c r="T20" s="189">
        <v>4.1840000000000002</v>
      </c>
      <c r="U20" s="181" t="s">
        <v>210</v>
      </c>
      <c r="V20" s="188">
        <v>2.0199999999999999E-2</v>
      </c>
      <c r="W20" s="188">
        <v>2.5669999999999998E-2</v>
      </c>
      <c r="X20" s="183" t="s">
        <v>108</v>
      </c>
      <c r="Y20" s="183" t="s">
        <v>103</v>
      </c>
      <c r="Z20" s="189">
        <v>4500000</v>
      </c>
      <c r="AA20" s="190">
        <v>1</v>
      </c>
      <c r="AB20" s="191">
        <v>105.02</v>
      </c>
      <c r="AC20" s="181"/>
      <c r="AD20" s="189">
        <v>4725.8999999999996</v>
      </c>
      <c r="AE20" s="181"/>
      <c r="AF20" s="181"/>
      <c r="AG20" s="181" t="s">
        <v>36</v>
      </c>
      <c r="AH20" s="188">
        <v>1.261E-3</v>
      </c>
      <c r="AI20" s="188">
        <v>4.3768108957470901E-2</v>
      </c>
      <c r="AJ20" s="188">
        <v>4.8983858820249504E-3</v>
      </c>
    </row>
    <row r="21" spans="1:36" s="35" customFormat="1">
      <c r="A21" s="181">
        <v>233</v>
      </c>
      <c r="B21" s="181">
        <v>233</v>
      </c>
      <c r="C21" s="181" t="s">
        <v>211</v>
      </c>
      <c r="D21" s="181" t="s">
        <v>212</v>
      </c>
      <c r="E21" s="192" t="s">
        <v>96</v>
      </c>
      <c r="F21" s="181" t="s">
        <v>213</v>
      </c>
      <c r="G21" s="181" t="s">
        <v>214</v>
      </c>
      <c r="H21" s="192" t="s">
        <v>99</v>
      </c>
      <c r="I21" s="181" t="s">
        <v>113</v>
      </c>
      <c r="J21" s="181" t="s">
        <v>30</v>
      </c>
      <c r="K21" s="181" t="s">
        <v>30</v>
      </c>
      <c r="L21" s="181" t="s">
        <v>101</v>
      </c>
      <c r="M21" s="192" t="s">
        <v>31</v>
      </c>
      <c r="N21" s="181" t="s">
        <v>114</v>
      </c>
      <c r="O21" s="181" t="s">
        <v>103</v>
      </c>
      <c r="P21" s="181" t="s">
        <v>122</v>
      </c>
      <c r="Q21" s="181" t="s">
        <v>116</v>
      </c>
      <c r="R21" s="181" t="s">
        <v>106</v>
      </c>
      <c r="S21" s="181" t="s">
        <v>34</v>
      </c>
      <c r="T21" s="189">
        <v>0.94799999999999995</v>
      </c>
      <c r="U21" s="181" t="s">
        <v>215</v>
      </c>
      <c r="V21" s="188">
        <v>2.4E-2</v>
      </c>
      <c r="W21" s="188">
        <v>3.3180000000000001E-2</v>
      </c>
      <c r="X21" s="192" t="s">
        <v>108</v>
      </c>
      <c r="Y21" s="192" t="s">
        <v>103</v>
      </c>
      <c r="Z21" s="189">
        <v>1288636.3500000001</v>
      </c>
      <c r="AA21" s="190">
        <v>1</v>
      </c>
      <c r="AB21" s="191">
        <v>118.36</v>
      </c>
      <c r="AC21" s="181"/>
      <c r="AD21" s="189">
        <v>1525.23</v>
      </c>
      <c r="AE21" s="181"/>
      <c r="AF21" s="181"/>
      <c r="AG21" s="181" t="s">
        <v>36</v>
      </c>
      <c r="AH21" s="188">
        <v>2.398E-3</v>
      </c>
      <c r="AI21" s="188">
        <v>1.4125654821047001E-2</v>
      </c>
      <c r="AJ21" s="188">
        <v>1.5808978225906099E-3</v>
      </c>
    </row>
    <row r="22" spans="1:36">
      <c r="A22" s="181">
        <v>233</v>
      </c>
      <c r="B22" s="181">
        <v>233</v>
      </c>
      <c r="C22" s="181" t="s">
        <v>216</v>
      </c>
      <c r="D22" s="181" t="s">
        <v>217</v>
      </c>
      <c r="E22" s="192" t="s">
        <v>96</v>
      </c>
      <c r="F22" s="181" t="s">
        <v>218</v>
      </c>
      <c r="G22" s="181" t="s">
        <v>219</v>
      </c>
      <c r="H22" s="192" t="s">
        <v>99</v>
      </c>
      <c r="I22" s="181" t="s">
        <v>113</v>
      </c>
      <c r="J22" s="181" t="s">
        <v>30</v>
      </c>
      <c r="K22" s="181" t="s">
        <v>30</v>
      </c>
      <c r="L22" s="181" t="s">
        <v>101</v>
      </c>
      <c r="M22" s="192" t="s">
        <v>31</v>
      </c>
      <c r="N22" s="181" t="s">
        <v>209</v>
      </c>
      <c r="O22" s="181" t="s">
        <v>103</v>
      </c>
      <c r="P22" s="181" t="s">
        <v>190</v>
      </c>
      <c r="Q22" s="181" t="s">
        <v>116</v>
      </c>
      <c r="R22" s="181" t="s">
        <v>106</v>
      </c>
      <c r="S22" s="181" t="s">
        <v>34</v>
      </c>
      <c r="T22" s="189">
        <v>3.988</v>
      </c>
      <c r="U22" s="181" t="s">
        <v>220</v>
      </c>
      <c r="V22" s="188">
        <v>1.9900000000000001E-2</v>
      </c>
      <c r="W22" s="188">
        <v>2.5680000000000001E-2</v>
      </c>
      <c r="X22" s="192" t="s">
        <v>108</v>
      </c>
      <c r="Y22" s="192" t="s">
        <v>103</v>
      </c>
      <c r="Z22" s="189">
        <v>2430000</v>
      </c>
      <c r="AA22" s="190">
        <v>1</v>
      </c>
      <c r="AB22" s="191">
        <v>105.83</v>
      </c>
      <c r="AC22" s="181"/>
      <c r="AD22" s="189">
        <v>2571.6689999999999</v>
      </c>
      <c r="AE22" s="181"/>
      <c r="AF22" s="181"/>
      <c r="AG22" s="181" t="s">
        <v>36</v>
      </c>
      <c r="AH22" s="188">
        <v>1E-3</v>
      </c>
      <c r="AI22" s="188">
        <v>2.3817069551736202E-2</v>
      </c>
      <c r="AJ22" s="188">
        <v>2.6655297663601102E-3</v>
      </c>
    </row>
    <row r="23" spans="1:36">
      <c r="A23" s="181">
        <v>233</v>
      </c>
      <c r="B23" s="181">
        <v>233</v>
      </c>
      <c r="C23" s="181" t="s">
        <v>221</v>
      </c>
      <c r="D23" s="181" t="s">
        <v>222</v>
      </c>
      <c r="E23" s="192" t="s">
        <v>96</v>
      </c>
      <c r="F23" s="181" t="s">
        <v>223</v>
      </c>
      <c r="G23" s="181" t="s">
        <v>224</v>
      </c>
      <c r="H23" s="192" t="s">
        <v>99</v>
      </c>
      <c r="I23" s="181" t="s">
        <v>113</v>
      </c>
      <c r="J23" s="181" t="s">
        <v>30</v>
      </c>
      <c r="K23" s="181" t="s">
        <v>30</v>
      </c>
      <c r="L23" s="181" t="s">
        <v>101</v>
      </c>
      <c r="M23" s="181" t="s">
        <v>31</v>
      </c>
      <c r="N23" s="181" t="s">
        <v>225</v>
      </c>
      <c r="O23" s="181" t="s">
        <v>103</v>
      </c>
      <c r="P23" s="181" t="s">
        <v>174</v>
      </c>
      <c r="Q23" s="181" t="s">
        <v>105</v>
      </c>
      <c r="R23" s="181" t="s">
        <v>106</v>
      </c>
      <c r="S23" s="181" t="s">
        <v>34</v>
      </c>
      <c r="T23" s="189">
        <v>2.843</v>
      </c>
      <c r="U23" s="181" t="s">
        <v>226</v>
      </c>
      <c r="V23" s="188">
        <v>0.01</v>
      </c>
      <c r="W23" s="188">
        <v>3.1809999999999998E-2</v>
      </c>
      <c r="X23" s="192" t="s">
        <v>108</v>
      </c>
      <c r="Y23" s="192" t="s">
        <v>103</v>
      </c>
      <c r="Z23" s="189">
        <v>3980067.02</v>
      </c>
      <c r="AA23" s="190">
        <v>1</v>
      </c>
      <c r="AB23" s="191">
        <v>109.08</v>
      </c>
      <c r="AC23" s="181"/>
      <c r="AD23" s="189">
        <v>4341.4570000000003</v>
      </c>
      <c r="AE23" s="181"/>
      <c r="AF23" s="181"/>
      <c r="AG23" s="181" t="s">
        <v>36</v>
      </c>
      <c r="AH23" s="188">
        <v>2.4069999999999999E-3</v>
      </c>
      <c r="AI23" s="188">
        <v>4.0207657297876301E-2</v>
      </c>
      <c r="AJ23" s="188">
        <v>4.4999115919902404E-3</v>
      </c>
    </row>
    <row r="24" spans="1:36">
      <c r="A24" s="181">
        <v>233</v>
      </c>
      <c r="B24" s="181">
        <v>233</v>
      </c>
      <c r="C24" s="181" t="s">
        <v>221</v>
      </c>
      <c r="D24" s="181" t="s">
        <v>222</v>
      </c>
      <c r="E24" s="192" t="s">
        <v>96</v>
      </c>
      <c r="F24" s="181" t="s">
        <v>227</v>
      </c>
      <c r="G24" s="181" t="s">
        <v>228</v>
      </c>
      <c r="H24" s="181" t="s">
        <v>99</v>
      </c>
      <c r="I24" s="181" t="s">
        <v>113</v>
      </c>
      <c r="J24" s="181" t="s">
        <v>30</v>
      </c>
      <c r="K24" s="181" t="s">
        <v>30</v>
      </c>
      <c r="L24" s="181" t="s">
        <v>101</v>
      </c>
      <c r="M24" s="181" t="s">
        <v>31</v>
      </c>
      <c r="N24" s="181" t="s">
        <v>225</v>
      </c>
      <c r="O24" s="181" t="s">
        <v>103</v>
      </c>
      <c r="P24" s="181" t="s">
        <v>174</v>
      </c>
      <c r="Q24" s="181" t="s">
        <v>105</v>
      </c>
      <c r="R24" s="181" t="s">
        <v>106</v>
      </c>
      <c r="S24" s="181" t="s">
        <v>34</v>
      </c>
      <c r="T24" s="189">
        <v>0.84699999999999998</v>
      </c>
      <c r="U24" s="181" t="s">
        <v>229</v>
      </c>
      <c r="V24" s="188">
        <v>3.5400000000000001E-2</v>
      </c>
      <c r="W24" s="188">
        <v>3.5959999999999999E-2</v>
      </c>
      <c r="X24" s="192" t="s">
        <v>108</v>
      </c>
      <c r="Y24" s="192" t="s">
        <v>103</v>
      </c>
      <c r="Z24" s="189">
        <v>2700000</v>
      </c>
      <c r="AA24" s="190">
        <v>1</v>
      </c>
      <c r="AB24" s="191">
        <v>109.63</v>
      </c>
      <c r="AC24" s="181"/>
      <c r="AD24" s="189">
        <v>2960.01</v>
      </c>
      <c r="AE24" s="181"/>
      <c r="AF24" s="181"/>
      <c r="AG24" s="181" t="s">
        <v>36</v>
      </c>
      <c r="AH24" s="188">
        <v>2.686E-3</v>
      </c>
      <c r="AI24" s="188">
        <v>2.7413622843310999E-2</v>
      </c>
      <c r="AJ24" s="188">
        <v>3.06804443484896E-3</v>
      </c>
    </row>
    <row r="25" spans="1:36">
      <c r="A25" s="181">
        <v>233</v>
      </c>
      <c r="B25" s="181">
        <v>233</v>
      </c>
      <c r="C25" s="181" t="s">
        <v>230</v>
      </c>
      <c r="D25" s="181" t="s">
        <v>231</v>
      </c>
      <c r="E25" s="192" t="s">
        <v>96</v>
      </c>
      <c r="F25" s="181" t="s">
        <v>232</v>
      </c>
      <c r="G25" s="181" t="s">
        <v>233</v>
      </c>
      <c r="H25" s="181" t="s">
        <v>99</v>
      </c>
      <c r="I25" s="181" t="s">
        <v>113</v>
      </c>
      <c r="J25" s="181" t="s">
        <v>30</v>
      </c>
      <c r="K25" s="181" t="s">
        <v>30</v>
      </c>
      <c r="L25" s="181" t="s">
        <v>101</v>
      </c>
      <c r="M25" s="181" t="s">
        <v>31</v>
      </c>
      <c r="N25" s="181" t="s">
        <v>114</v>
      </c>
      <c r="O25" s="181" t="s">
        <v>103</v>
      </c>
      <c r="P25" s="181" t="s">
        <v>122</v>
      </c>
      <c r="Q25" s="181" t="s">
        <v>116</v>
      </c>
      <c r="R25" s="181" t="s">
        <v>106</v>
      </c>
      <c r="S25" s="181" t="s">
        <v>34</v>
      </c>
      <c r="T25" s="189">
        <v>3.536</v>
      </c>
      <c r="U25" s="181" t="s">
        <v>234</v>
      </c>
      <c r="V25" s="188">
        <v>1.43E-2</v>
      </c>
      <c r="W25" s="188">
        <v>2.852E-2</v>
      </c>
      <c r="X25" s="192" t="s">
        <v>108</v>
      </c>
      <c r="Y25" s="192" t="s">
        <v>103</v>
      </c>
      <c r="Z25" s="189">
        <v>3600631.14</v>
      </c>
      <c r="AA25" s="190">
        <v>1</v>
      </c>
      <c r="AB25" s="191">
        <v>113.61</v>
      </c>
      <c r="AC25" s="181"/>
      <c r="AD25" s="189">
        <v>4090.6770000000001</v>
      </c>
      <c r="AE25" s="181"/>
      <c r="AF25" s="181"/>
      <c r="AG25" s="181" t="s">
        <v>36</v>
      </c>
      <c r="AH25" s="188">
        <v>1.867E-3</v>
      </c>
      <c r="AI25" s="188">
        <v>3.7885100894168001E-2</v>
      </c>
      <c r="AJ25" s="188">
        <v>4.23997855469164E-3</v>
      </c>
    </row>
    <row r="26" spans="1:36">
      <c r="A26" s="181">
        <v>233</v>
      </c>
      <c r="B26" s="181">
        <v>233</v>
      </c>
      <c r="C26" s="181" t="s">
        <v>230</v>
      </c>
      <c r="D26" s="181" t="s">
        <v>231</v>
      </c>
      <c r="E26" s="192" t="s">
        <v>96</v>
      </c>
      <c r="F26" s="181" t="s">
        <v>235</v>
      </c>
      <c r="G26" s="181" t="s">
        <v>236</v>
      </c>
      <c r="H26" s="181" t="s">
        <v>99</v>
      </c>
      <c r="I26" s="181" t="s">
        <v>113</v>
      </c>
      <c r="J26" s="181" t="s">
        <v>30</v>
      </c>
      <c r="K26" s="181" t="s">
        <v>30</v>
      </c>
      <c r="L26" s="181" t="s">
        <v>101</v>
      </c>
      <c r="M26" s="181" t="s">
        <v>31</v>
      </c>
      <c r="N26" s="181" t="s">
        <v>114</v>
      </c>
      <c r="O26" s="181" t="s">
        <v>103</v>
      </c>
      <c r="P26" s="181" t="s">
        <v>122</v>
      </c>
      <c r="Q26" s="181" t="s">
        <v>116</v>
      </c>
      <c r="R26" s="181" t="s">
        <v>106</v>
      </c>
      <c r="S26" s="181" t="s">
        <v>34</v>
      </c>
      <c r="T26" s="189">
        <v>0.6</v>
      </c>
      <c r="U26" s="181" t="s">
        <v>237</v>
      </c>
      <c r="V26" s="188">
        <v>2.1499999999999998E-2</v>
      </c>
      <c r="W26" s="188">
        <v>3.4009999999999999E-2</v>
      </c>
      <c r="X26" s="192" t="s">
        <v>108</v>
      </c>
      <c r="Y26" s="192" t="s">
        <v>103</v>
      </c>
      <c r="Z26" s="189">
        <v>905710.74</v>
      </c>
      <c r="AA26" s="190">
        <v>1</v>
      </c>
      <c r="AB26" s="191">
        <v>120.11</v>
      </c>
      <c r="AC26" s="181"/>
      <c r="AD26" s="189">
        <v>1087.8489999999999</v>
      </c>
      <c r="AE26" s="181"/>
      <c r="AF26" s="181"/>
      <c r="AG26" s="181" t="s">
        <v>36</v>
      </c>
      <c r="AH26" s="188">
        <v>1.5629999999999999E-3</v>
      </c>
      <c r="AI26" s="188">
        <v>1.00749277373015E-2</v>
      </c>
      <c r="AJ26" s="188">
        <v>1.1275534850905601E-3</v>
      </c>
    </row>
    <row r="27" spans="1:36">
      <c r="A27" s="181">
        <v>233</v>
      </c>
      <c r="B27" s="181">
        <v>233</v>
      </c>
      <c r="C27" s="181" t="s">
        <v>230</v>
      </c>
      <c r="D27" s="181" t="s">
        <v>231</v>
      </c>
      <c r="E27" s="192" t="s">
        <v>96</v>
      </c>
      <c r="F27" s="181" t="s">
        <v>238</v>
      </c>
      <c r="G27" s="181" t="s">
        <v>239</v>
      </c>
      <c r="H27" s="181" t="s">
        <v>99</v>
      </c>
      <c r="I27" s="181" t="s">
        <v>113</v>
      </c>
      <c r="J27" s="181" t="s">
        <v>30</v>
      </c>
      <c r="K27" s="181" t="s">
        <v>30</v>
      </c>
      <c r="L27" s="181" t="s">
        <v>101</v>
      </c>
      <c r="M27" s="181" t="s">
        <v>31</v>
      </c>
      <c r="N27" s="181" t="s">
        <v>114</v>
      </c>
      <c r="O27" s="181" t="s">
        <v>103</v>
      </c>
      <c r="P27" s="181" t="s">
        <v>122</v>
      </c>
      <c r="Q27" s="181" t="s">
        <v>116</v>
      </c>
      <c r="R27" s="181" t="s">
        <v>106</v>
      </c>
      <c r="S27" s="181" t="s">
        <v>34</v>
      </c>
      <c r="T27" s="189">
        <v>3.1190000000000002</v>
      </c>
      <c r="U27" s="181" t="s">
        <v>240</v>
      </c>
      <c r="V27" s="188">
        <v>2.2499999999999999E-2</v>
      </c>
      <c r="W27" s="188">
        <v>2.9399999999999999E-2</v>
      </c>
      <c r="X27" s="192" t="s">
        <v>108</v>
      </c>
      <c r="Y27" s="192" t="s">
        <v>103</v>
      </c>
      <c r="Z27" s="189">
        <v>2893396.3</v>
      </c>
      <c r="AA27" s="190">
        <v>1</v>
      </c>
      <c r="AB27" s="191">
        <v>118.47</v>
      </c>
      <c r="AC27" s="181"/>
      <c r="AD27" s="189">
        <v>3427.8069999999998</v>
      </c>
      <c r="AE27" s="181"/>
      <c r="AF27" s="181"/>
      <c r="AG27" s="181" t="s">
        <v>36</v>
      </c>
      <c r="AH27" s="188">
        <v>1.6659999999999999E-3</v>
      </c>
      <c r="AI27" s="188">
        <v>3.17460404590795E-2</v>
      </c>
      <c r="AJ27" s="188">
        <v>3.5529146700409302E-3</v>
      </c>
    </row>
    <row r="28" spans="1:36">
      <c r="A28" s="181">
        <v>233</v>
      </c>
      <c r="B28" s="181">
        <v>233</v>
      </c>
      <c r="C28" s="181" t="s">
        <v>230</v>
      </c>
      <c r="D28" s="181" t="s">
        <v>231</v>
      </c>
      <c r="E28" s="192" t="s">
        <v>96</v>
      </c>
      <c r="F28" s="181" t="s">
        <v>241</v>
      </c>
      <c r="G28" s="181" t="s">
        <v>242</v>
      </c>
      <c r="H28" s="181" t="s">
        <v>99</v>
      </c>
      <c r="I28" s="181" t="s">
        <v>113</v>
      </c>
      <c r="J28" s="181" t="s">
        <v>30</v>
      </c>
      <c r="K28" s="181" t="s">
        <v>30</v>
      </c>
      <c r="L28" s="181" t="s">
        <v>101</v>
      </c>
      <c r="M28" s="181" t="s">
        <v>31</v>
      </c>
      <c r="N28" s="181" t="s">
        <v>114</v>
      </c>
      <c r="O28" s="181" t="s">
        <v>103</v>
      </c>
      <c r="P28" s="181" t="s">
        <v>122</v>
      </c>
      <c r="Q28" s="181" t="s">
        <v>116</v>
      </c>
      <c r="R28" s="181" t="s">
        <v>106</v>
      </c>
      <c r="S28" s="181" t="s">
        <v>34</v>
      </c>
      <c r="T28" s="189">
        <v>4.4829999999999997</v>
      </c>
      <c r="U28" s="181" t="s">
        <v>243</v>
      </c>
      <c r="V28" s="188">
        <v>2.5000000000000001E-3</v>
      </c>
      <c r="W28" s="188">
        <v>2.7799999999999998E-2</v>
      </c>
      <c r="X28" s="192" t="s">
        <v>108</v>
      </c>
      <c r="Y28" s="192" t="s">
        <v>103</v>
      </c>
      <c r="Z28" s="189">
        <v>4556909.0999999996</v>
      </c>
      <c r="AA28" s="190">
        <v>1</v>
      </c>
      <c r="AB28" s="191">
        <v>104.64</v>
      </c>
      <c r="AC28" s="181"/>
      <c r="AD28" s="189">
        <v>4768.3500000000004</v>
      </c>
      <c r="AE28" s="181"/>
      <c r="AF28" s="181"/>
      <c r="AG28" s="181" t="s">
        <v>36</v>
      </c>
      <c r="AH28" s="188">
        <v>3.4090000000000001E-3</v>
      </c>
      <c r="AI28" s="188">
        <v>4.4161249378869998E-2</v>
      </c>
      <c r="AJ28" s="188">
        <v>4.9423848926220598E-3</v>
      </c>
    </row>
    <row r="29" spans="1:36">
      <c r="A29" s="181">
        <v>233</v>
      </c>
      <c r="B29" s="181">
        <v>233</v>
      </c>
      <c r="C29" s="181" t="s">
        <v>244</v>
      </c>
      <c r="D29" s="181" t="s">
        <v>245</v>
      </c>
      <c r="E29" s="192" t="s">
        <v>96</v>
      </c>
      <c r="F29" s="181" t="s">
        <v>246</v>
      </c>
      <c r="G29" s="181" t="s">
        <v>247</v>
      </c>
      <c r="H29" s="181" t="s">
        <v>99</v>
      </c>
      <c r="I29" s="181" t="s">
        <v>113</v>
      </c>
      <c r="J29" s="181" t="s">
        <v>30</v>
      </c>
      <c r="K29" s="181" t="s">
        <v>30</v>
      </c>
      <c r="L29" s="181" t="s">
        <v>101</v>
      </c>
      <c r="M29" s="181" t="s">
        <v>31</v>
      </c>
      <c r="N29" s="181" t="s">
        <v>114</v>
      </c>
      <c r="O29" s="181" t="s">
        <v>103</v>
      </c>
      <c r="P29" s="181" t="s">
        <v>134</v>
      </c>
      <c r="Q29" s="181" t="s">
        <v>116</v>
      </c>
      <c r="R29" s="181" t="s">
        <v>106</v>
      </c>
      <c r="S29" s="181" t="s">
        <v>34</v>
      </c>
      <c r="T29" s="189">
        <v>0.28999999999999998</v>
      </c>
      <c r="U29" s="181" t="s">
        <v>248</v>
      </c>
      <c r="V29" s="188">
        <v>4.9500000000000002E-2</v>
      </c>
      <c r="W29" s="188">
        <v>4.0419999999999998E-2</v>
      </c>
      <c r="X29" s="192" t="s">
        <v>108</v>
      </c>
      <c r="Y29" s="192" t="s">
        <v>103</v>
      </c>
      <c r="Z29" s="189">
        <v>802393.1</v>
      </c>
      <c r="AA29" s="190">
        <v>1</v>
      </c>
      <c r="AB29" s="191">
        <v>144.53</v>
      </c>
      <c r="AC29" s="181"/>
      <c r="AD29" s="189">
        <v>1159.6990000000001</v>
      </c>
      <c r="AE29" s="181"/>
      <c r="AF29" s="181"/>
      <c r="AG29" s="181" t="s">
        <v>36</v>
      </c>
      <c r="AH29" s="188">
        <v>3.6540000000000001E-3</v>
      </c>
      <c r="AI29" s="188">
        <v>1.07403502264878E-2</v>
      </c>
      <c r="AJ29" s="188">
        <v>1.2020254283444699E-3</v>
      </c>
    </row>
    <row r="30" spans="1:36">
      <c r="A30" s="181">
        <v>233</v>
      </c>
      <c r="B30" s="181">
        <v>233</v>
      </c>
      <c r="C30" s="181" t="s">
        <v>249</v>
      </c>
      <c r="D30" s="181" t="s">
        <v>250</v>
      </c>
      <c r="E30" s="192" t="s">
        <v>96</v>
      </c>
      <c r="F30" s="181" t="s">
        <v>251</v>
      </c>
      <c r="G30" s="181" t="s">
        <v>252</v>
      </c>
      <c r="H30" s="181" t="s">
        <v>99</v>
      </c>
      <c r="I30" s="181" t="s">
        <v>113</v>
      </c>
      <c r="J30" s="181" t="s">
        <v>30</v>
      </c>
      <c r="K30" s="181" t="s">
        <v>30</v>
      </c>
      <c r="L30" s="181" t="s">
        <v>101</v>
      </c>
      <c r="M30" s="181" t="s">
        <v>31</v>
      </c>
      <c r="N30" s="181" t="s">
        <v>114</v>
      </c>
      <c r="O30" s="181" t="s">
        <v>103</v>
      </c>
      <c r="P30" s="181" t="s">
        <v>64</v>
      </c>
      <c r="Q30" s="181" t="s">
        <v>116</v>
      </c>
      <c r="R30" s="181" t="s">
        <v>106</v>
      </c>
      <c r="S30" s="181" t="s">
        <v>34</v>
      </c>
      <c r="T30" s="189">
        <v>6.21</v>
      </c>
      <c r="U30" s="181" t="s">
        <v>253</v>
      </c>
      <c r="V30" s="188">
        <v>8.9999999999999993E-3</v>
      </c>
      <c r="W30" s="188">
        <v>2.7990000000000001E-2</v>
      </c>
      <c r="X30" s="192" t="s">
        <v>108</v>
      </c>
      <c r="Y30" s="192" t="s">
        <v>103</v>
      </c>
      <c r="Z30" s="189">
        <v>4503591.84</v>
      </c>
      <c r="AA30" s="190">
        <v>1</v>
      </c>
      <c r="AB30" s="191">
        <v>104.46</v>
      </c>
      <c r="AC30" s="181"/>
      <c r="AD30" s="189">
        <v>4704.4520000000002</v>
      </c>
      <c r="AE30" s="181"/>
      <c r="AF30" s="181"/>
      <c r="AG30" s="181" t="s">
        <v>36</v>
      </c>
      <c r="AH30" s="188">
        <v>1.671E-3</v>
      </c>
      <c r="AI30" s="188">
        <v>4.3569472333236998E-2</v>
      </c>
      <c r="AJ30" s="188">
        <v>4.8761551103746201E-3</v>
      </c>
    </row>
    <row r="31" spans="1:36">
      <c r="A31" s="181">
        <v>233</v>
      </c>
      <c r="B31" s="181">
        <v>233</v>
      </c>
      <c r="C31" s="181" t="s">
        <v>254</v>
      </c>
      <c r="D31" s="181" t="s">
        <v>255</v>
      </c>
      <c r="E31" s="192" t="s">
        <v>96</v>
      </c>
      <c r="F31" s="181" t="s">
        <v>256</v>
      </c>
      <c r="G31" s="181" t="s">
        <v>257</v>
      </c>
      <c r="H31" s="181" t="s">
        <v>99</v>
      </c>
      <c r="I31" s="181" t="s">
        <v>100</v>
      </c>
      <c r="J31" s="181" t="s">
        <v>30</v>
      </c>
      <c r="K31" s="181" t="s">
        <v>30</v>
      </c>
      <c r="L31" s="181" t="s">
        <v>101</v>
      </c>
      <c r="M31" s="181" t="s">
        <v>31</v>
      </c>
      <c r="N31" s="181" t="s">
        <v>102</v>
      </c>
      <c r="O31" s="181" t="s">
        <v>103</v>
      </c>
      <c r="P31" s="181" t="s">
        <v>122</v>
      </c>
      <c r="Q31" s="181" t="s">
        <v>116</v>
      </c>
      <c r="R31" s="181" t="s">
        <v>106</v>
      </c>
      <c r="S31" s="181" t="s">
        <v>34</v>
      </c>
      <c r="T31" s="189">
        <v>4.2759999999999998</v>
      </c>
      <c r="U31" s="181" t="s">
        <v>258</v>
      </c>
      <c r="V31" s="188">
        <v>4.6899999999999997E-2</v>
      </c>
      <c r="W31" s="188">
        <v>4.6929999999999999E-2</v>
      </c>
      <c r="X31" s="192" t="s">
        <v>108</v>
      </c>
      <c r="Y31" s="192" t="s">
        <v>103</v>
      </c>
      <c r="Z31" s="189">
        <v>5799000</v>
      </c>
      <c r="AA31" s="190">
        <v>1</v>
      </c>
      <c r="AB31" s="191">
        <v>100.58</v>
      </c>
      <c r="AC31" s="181"/>
      <c r="AD31" s="189">
        <v>5832.634</v>
      </c>
      <c r="AE31" s="181"/>
      <c r="AF31" s="181"/>
      <c r="AG31" s="181" t="s">
        <v>36</v>
      </c>
      <c r="AH31" s="188">
        <v>1.1598000000000001E-2</v>
      </c>
      <c r="AI31" s="188">
        <v>5.4017937149468002E-2</v>
      </c>
      <c r="AJ31" s="188">
        <v>6.0455136630685998E-3</v>
      </c>
    </row>
    <row r="32" spans="1:36">
      <c r="A32" s="181">
        <v>233</v>
      </c>
      <c r="B32" s="181">
        <v>233</v>
      </c>
      <c r="C32" s="181" t="s">
        <v>259</v>
      </c>
      <c r="D32" s="181" t="s">
        <v>260</v>
      </c>
      <c r="E32" s="192" t="s">
        <v>96</v>
      </c>
      <c r="F32" s="181" t="s">
        <v>261</v>
      </c>
      <c r="G32" s="181" t="s">
        <v>262</v>
      </c>
      <c r="H32" s="181" t="s">
        <v>99</v>
      </c>
      <c r="I32" s="181" t="s">
        <v>113</v>
      </c>
      <c r="J32" s="181" t="s">
        <v>30</v>
      </c>
      <c r="K32" s="181" t="s">
        <v>30</v>
      </c>
      <c r="L32" s="181" t="s">
        <v>101</v>
      </c>
      <c r="M32" s="181" t="s">
        <v>31</v>
      </c>
      <c r="N32" s="181" t="s">
        <v>114</v>
      </c>
      <c r="O32" s="181" t="s">
        <v>103</v>
      </c>
      <c r="P32" s="181" t="s">
        <v>115</v>
      </c>
      <c r="Q32" s="181" t="s">
        <v>116</v>
      </c>
      <c r="R32" s="181" t="s">
        <v>106</v>
      </c>
      <c r="S32" s="181" t="s">
        <v>34</v>
      </c>
      <c r="T32" s="189">
        <v>0.69499999999999995</v>
      </c>
      <c r="U32" s="181" t="s">
        <v>263</v>
      </c>
      <c r="V32" s="188">
        <v>2.1499999999999998E-2</v>
      </c>
      <c r="W32" s="188">
        <v>3.3020000000000001E-2</v>
      </c>
      <c r="X32" s="192" t="s">
        <v>108</v>
      </c>
      <c r="Y32" s="192" t="s">
        <v>103</v>
      </c>
      <c r="Z32" s="189">
        <v>1733552.86</v>
      </c>
      <c r="AA32" s="190">
        <v>1</v>
      </c>
      <c r="AB32" s="191">
        <v>120.13</v>
      </c>
      <c r="AC32" s="181"/>
      <c r="AD32" s="189">
        <v>2082.5169999999998</v>
      </c>
      <c r="AE32" s="181"/>
      <c r="AF32" s="181"/>
      <c r="AG32" s="181" t="s">
        <v>36</v>
      </c>
      <c r="AH32" s="188">
        <v>1.237E-3</v>
      </c>
      <c r="AI32" s="188">
        <v>1.9286873015005899E-2</v>
      </c>
      <c r="AJ32" s="188">
        <v>2.1585247509073998E-3</v>
      </c>
    </row>
    <row r="33" spans="1:36">
      <c r="A33" s="181">
        <v>233</v>
      </c>
      <c r="B33" s="181">
        <v>233</v>
      </c>
      <c r="C33" s="181" t="s">
        <v>264</v>
      </c>
      <c r="D33" s="181" t="s">
        <v>265</v>
      </c>
      <c r="E33" s="192" t="s">
        <v>96</v>
      </c>
      <c r="F33" s="181" t="s">
        <v>266</v>
      </c>
      <c r="G33" s="181" t="s">
        <v>267</v>
      </c>
      <c r="H33" s="181" t="s">
        <v>99</v>
      </c>
      <c r="I33" s="181" t="s">
        <v>100</v>
      </c>
      <c r="J33" s="181" t="s">
        <v>30</v>
      </c>
      <c r="K33" s="181" t="s">
        <v>30</v>
      </c>
      <c r="L33" s="181" t="s">
        <v>101</v>
      </c>
      <c r="M33" s="181" t="s">
        <v>31</v>
      </c>
      <c r="N33" s="181" t="s">
        <v>146</v>
      </c>
      <c r="O33" s="181" t="s">
        <v>103</v>
      </c>
      <c r="P33" s="181" t="s">
        <v>158</v>
      </c>
      <c r="Q33" s="181" t="s">
        <v>105</v>
      </c>
      <c r="R33" s="181" t="s">
        <v>106</v>
      </c>
      <c r="S33" s="181" t="s">
        <v>34</v>
      </c>
      <c r="T33" s="189">
        <v>4.0460000000000003</v>
      </c>
      <c r="U33" s="181" t="s">
        <v>268</v>
      </c>
      <c r="V33" s="188">
        <v>6.7699999999999996E-2</v>
      </c>
      <c r="W33" s="188">
        <v>5.3199999999999997E-2</v>
      </c>
      <c r="X33" s="192" t="s">
        <v>108</v>
      </c>
      <c r="Y33" s="192" t="s">
        <v>103</v>
      </c>
      <c r="Z33" s="189">
        <v>6049000</v>
      </c>
      <c r="AA33" s="190">
        <v>1</v>
      </c>
      <c r="AB33" s="191">
        <v>108.36</v>
      </c>
      <c r="AC33" s="181"/>
      <c r="AD33" s="189">
        <v>6554.6959999999999</v>
      </c>
      <c r="AE33" s="181"/>
      <c r="AF33" s="181"/>
      <c r="AG33" s="181" t="s">
        <v>36</v>
      </c>
      <c r="AH33" s="188">
        <v>8.9610000000000002E-3</v>
      </c>
      <c r="AI33" s="188">
        <v>6.0705191861516801E-2</v>
      </c>
      <c r="AJ33" s="188">
        <v>6.7939296867728398E-3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75E07B53-86FC-4D78-8D64-A81DBC8A8377}">
      <formula1>israel_abroad</formula1>
    </dataValidation>
    <dataValidation type="list" allowBlank="1" showInputMessage="1" showErrorMessage="1" sqref="O2:O20" xr:uid="{055EA21F-806A-4282-BC8E-112521EEC6CD}">
      <formula1>Holding_interest</formula1>
    </dataValidation>
    <dataValidation type="list" allowBlank="1" showInputMessage="1" showErrorMessage="1" sqref="Q2:Q20" xr:uid="{0DBAACF5-42B2-4E55-9B81-DD33841A8FF6}">
      <formula1>Rating_Agency</formula1>
    </dataValidation>
    <dataValidation type="list" allowBlank="1" showInputMessage="1" showErrorMessage="1" sqref="R2:R20" xr:uid="{25B6A8B5-DC88-4DAA-BAF6-52DC397E65E9}">
      <formula1>What_is_rated</formula1>
    </dataValidation>
    <dataValidation type="list" allowBlank="1" showInputMessage="1" showErrorMessage="1" sqref="X2:X20" xr:uid="{5CE27939-0D86-4225-9ADA-3F63EC4CB69A}">
      <formula1>Subordination_Risk</formula1>
    </dataValidation>
    <dataValidation type="list" allowBlank="1" showInputMessage="1" showErrorMessage="1" sqref="AG2:AG5 AG8:AG19" xr:uid="{2C89CD07-00F0-47D3-9ABB-AF4AA5FA912E}">
      <formula1>In_the_books</formula1>
    </dataValidation>
    <dataValidation type="list" allowBlank="1" showInputMessage="1" showErrorMessage="1" sqref="K2:K20" xr:uid="{A9A724F1-6FDD-4AD6-817F-9EB6BE9C8729}">
      <formula1>Country_list</formula1>
    </dataValidation>
    <dataValidation type="list" allowBlank="1" showInputMessage="1" showErrorMessage="1" sqref="Y2:Y20" xr:uid="{A4EE8116-8AAF-46D1-9838-B4D9ED08AA24}">
      <formula1>Yes_No_Bad_Debt</formula1>
    </dataValidation>
    <dataValidation type="list" allowBlank="1" showInputMessage="1" showErrorMessage="1" sqref="H3:H20" xr:uid="{5BB7564E-5780-4761-9E85-E170105C8DEA}">
      <formula1>Type_of_Security_ID_Fund</formula1>
    </dataValidation>
    <dataValidation type="list" allowBlank="1" showInputMessage="1" showErrorMessage="1" sqref="E2:E20" xr:uid="{85D58EAF-6E5A-454A-A0E2-6C471919A29F}">
      <formula1>Issuer_Number_Type_2</formula1>
    </dataValidation>
    <dataValidation type="list" allowBlank="1" showInputMessage="1" showErrorMessage="1" sqref="H2" xr:uid="{1308D0D7-4840-4AD7-86DB-CF49D00A4B62}">
      <formula1>Security_ID_Number_Type</formula1>
    </dataValidation>
    <dataValidation type="list" allowBlank="1" showInputMessage="1" showErrorMessage="1" sqref="N2:N20" xr:uid="{3EEF80DE-2427-40AC-B7D9-8043AB86E6F6}">
      <formula1>Industry_Sector</formula1>
    </dataValidation>
    <dataValidation type="list" allowBlank="1" showInputMessage="1" showErrorMessage="1" sqref="L2:L20" xr:uid="{B89AE89B-A7AB-4B95-ADFD-CBE7F4BD4FE6}">
      <formula1>Tradeable_Status</formula1>
    </dataValidation>
    <dataValidation type="list" allowBlank="1" showInputMessage="1" showErrorMessage="1" sqref="M2:M20" xr:uid="{CB654B8F-8C7D-40EE-9C83-0205F26D4147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47"/>
  <sheetViews>
    <sheetView rightToLeft="1" topLeftCell="D1" workbookViewId="0">
      <selection activeCell="L25" sqref="L25"/>
    </sheetView>
  </sheetViews>
  <sheetFormatPr defaultColWidth="0" defaultRowHeight="14.25"/>
  <cols>
    <col min="1" max="2" width="11.625" style="5" customWidth="1"/>
    <col min="3" max="3" width="25.375" style="204" customWidth="1"/>
    <col min="4" max="4" width="26.25" style="5" customWidth="1"/>
    <col min="5" max="5" width="11.625" style="5" customWidth="1"/>
    <col min="6" max="6" width="25.625" style="5" customWidth="1"/>
    <col min="7" max="7" width="17.25" style="5" customWidth="1"/>
    <col min="8" max="11" width="11.625" style="5" customWidth="1"/>
    <col min="12" max="13" width="11.625" style="3" customWidth="1"/>
    <col min="14" max="14" width="38.25" style="5" customWidth="1"/>
    <col min="15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18" t="s">
        <v>0</v>
      </c>
      <c r="B1" s="18" t="s">
        <v>1</v>
      </c>
      <c r="C1" s="201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8</v>
      </c>
      <c r="N1" s="18" t="s">
        <v>86</v>
      </c>
      <c r="O1" s="18" t="s">
        <v>87</v>
      </c>
      <c r="P1" s="18" t="s">
        <v>11</v>
      </c>
      <c r="Q1" s="18" t="s">
        <v>17</v>
      </c>
      <c r="R1" s="147" t="s">
        <v>18</v>
      </c>
      <c r="S1" s="153" t="s">
        <v>19</v>
      </c>
      <c r="T1" s="18" t="s">
        <v>16</v>
      </c>
      <c r="U1" s="18" t="s">
        <v>20</v>
      </c>
      <c r="V1" s="149" t="s">
        <v>23</v>
      </c>
      <c r="W1" s="149" t="s">
        <v>24</v>
      </c>
      <c r="X1" s="149" t="s">
        <v>25</v>
      </c>
    </row>
    <row r="2" spans="1:24">
      <c r="A2" s="183">
        <v>233</v>
      </c>
      <c r="B2" s="183">
        <v>233</v>
      </c>
      <c r="C2" s="202" t="s">
        <v>269</v>
      </c>
      <c r="D2" s="183" t="s">
        <v>270</v>
      </c>
      <c r="E2" s="183" t="s">
        <v>96</v>
      </c>
      <c r="F2" s="183" t="s">
        <v>271</v>
      </c>
      <c r="G2" s="183" t="s">
        <v>272</v>
      </c>
      <c r="H2" s="183" t="s">
        <v>99</v>
      </c>
      <c r="I2" s="183" t="s">
        <v>273</v>
      </c>
      <c r="J2" s="183" t="s">
        <v>30</v>
      </c>
      <c r="K2" s="183" t="s">
        <v>30</v>
      </c>
      <c r="L2" s="182" t="s">
        <v>101</v>
      </c>
      <c r="M2" s="183" t="s">
        <v>31</v>
      </c>
      <c r="N2" s="182" t="s">
        <v>274</v>
      </c>
      <c r="O2" s="182" t="s">
        <v>103</v>
      </c>
      <c r="P2" s="183" t="s">
        <v>34</v>
      </c>
      <c r="Q2" s="193">
        <v>138000</v>
      </c>
      <c r="R2" s="194">
        <v>1</v>
      </c>
      <c r="S2" s="195">
        <v>1509</v>
      </c>
      <c r="T2" s="182"/>
      <c r="U2" s="193">
        <v>2082.42</v>
      </c>
      <c r="V2" s="196">
        <v>2.5099999999999998E-4</v>
      </c>
      <c r="W2" s="196">
        <v>1.13292239827832E-2</v>
      </c>
      <c r="X2" s="196">
        <v>2.1584241580326299E-3</v>
      </c>
    </row>
    <row r="3" spans="1:24">
      <c r="A3" s="183">
        <v>233</v>
      </c>
      <c r="B3" s="183">
        <v>233</v>
      </c>
      <c r="C3" s="202" t="s">
        <v>275</v>
      </c>
      <c r="D3" s="183" t="s">
        <v>276</v>
      </c>
      <c r="E3" s="183" t="s">
        <v>96</v>
      </c>
      <c r="F3" s="183" t="s">
        <v>277</v>
      </c>
      <c r="G3" s="183" t="s">
        <v>278</v>
      </c>
      <c r="H3" s="183" t="s">
        <v>99</v>
      </c>
      <c r="I3" s="183" t="s">
        <v>273</v>
      </c>
      <c r="J3" s="183" t="s">
        <v>30</v>
      </c>
      <c r="K3" s="183" t="s">
        <v>30</v>
      </c>
      <c r="L3" s="182" t="s">
        <v>101</v>
      </c>
      <c r="M3" s="183" t="s">
        <v>31</v>
      </c>
      <c r="N3" s="182" t="s">
        <v>279</v>
      </c>
      <c r="O3" s="182" t="s">
        <v>103</v>
      </c>
      <c r="P3" s="183" t="s">
        <v>34</v>
      </c>
      <c r="Q3" s="193">
        <v>3397</v>
      </c>
      <c r="R3" s="194">
        <v>1</v>
      </c>
      <c r="S3" s="195">
        <v>167700</v>
      </c>
      <c r="T3" s="182"/>
      <c r="U3" s="193">
        <v>5696.7690000000002</v>
      </c>
      <c r="V3" s="196">
        <v>7.2999999999999999E-5</v>
      </c>
      <c r="W3" s="196">
        <v>3.09927737820304E-2</v>
      </c>
      <c r="X3" s="196">
        <v>5.9046896554640202E-3</v>
      </c>
    </row>
    <row r="4" spans="1:24">
      <c r="A4" s="183">
        <v>233</v>
      </c>
      <c r="B4" s="183">
        <v>233</v>
      </c>
      <c r="C4" s="202" t="s">
        <v>109</v>
      </c>
      <c r="D4" s="183" t="s">
        <v>110</v>
      </c>
      <c r="E4" s="183" t="s">
        <v>96</v>
      </c>
      <c r="F4" s="183" t="s">
        <v>280</v>
      </c>
      <c r="G4" s="183" t="s">
        <v>281</v>
      </c>
      <c r="H4" s="183" t="s">
        <v>99</v>
      </c>
      <c r="I4" s="183" t="s">
        <v>273</v>
      </c>
      <c r="J4" s="183" t="s">
        <v>30</v>
      </c>
      <c r="K4" s="183" t="s">
        <v>30</v>
      </c>
      <c r="L4" s="182" t="s">
        <v>101</v>
      </c>
      <c r="M4" s="183" t="s">
        <v>31</v>
      </c>
      <c r="N4" s="182" t="s">
        <v>114</v>
      </c>
      <c r="O4" s="182" t="s">
        <v>103</v>
      </c>
      <c r="P4" s="183" t="s">
        <v>34</v>
      </c>
      <c r="Q4" s="193">
        <v>96836</v>
      </c>
      <c r="R4" s="194">
        <v>1</v>
      </c>
      <c r="S4" s="195">
        <v>3926</v>
      </c>
      <c r="T4" s="182"/>
      <c r="U4" s="193">
        <v>3801.7809999999999</v>
      </c>
      <c r="V4" s="196">
        <v>4.4799999999999999E-4</v>
      </c>
      <c r="W4" s="196">
        <v>2.0683259170104999E-2</v>
      </c>
      <c r="X4" s="196">
        <v>3.94053876306516E-3</v>
      </c>
    </row>
    <row r="5" spans="1:24">
      <c r="A5" s="183">
        <v>233</v>
      </c>
      <c r="B5" s="183">
        <v>233</v>
      </c>
      <c r="C5" s="202" t="s">
        <v>118</v>
      </c>
      <c r="D5" s="183" t="s">
        <v>119</v>
      </c>
      <c r="E5" s="183" t="s">
        <v>96</v>
      </c>
      <c r="F5" s="183" t="s">
        <v>282</v>
      </c>
      <c r="G5" s="183" t="s">
        <v>283</v>
      </c>
      <c r="H5" s="183" t="s">
        <v>99</v>
      </c>
      <c r="I5" s="183" t="s">
        <v>273</v>
      </c>
      <c r="J5" s="183" t="s">
        <v>30</v>
      </c>
      <c r="K5" s="183" t="s">
        <v>30</v>
      </c>
      <c r="L5" s="182" t="s">
        <v>101</v>
      </c>
      <c r="M5" s="183" t="s">
        <v>31</v>
      </c>
      <c r="N5" s="182" t="s">
        <v>114</v>
      </c>
      <c r="O5" s="182" t="s">
        <v>103</v>
      </c>
      <c r="P5" s="183" t="s">
        <v>34</v>
      </c>
      <c r="Q5" s="193">
        <v>62200</v>
      </c>
      <c r="R5" s="194">
        <v>1</v>
      </c>
      <c r="S5" s="195">
        <v>2476</v>
      </c>
      <c r="T5" s="182"/>
      <c r="U5" s="193">
        <v>1540.0719999999999</v>
      </c>
      <c r="V5" s="196">
        <v>1.26E-4</v>
      </c>
      <c r="W5" s="196">
        <v>8.3786270961731402E-3</v>
      </c>
      <c r="X5" s="196">
        <v>1.59628154258489E-3</v>
      </c>
    </row>
    <row r="6" spans="1:24">
      <c r="A6" s="183">
        <v>233</v>
      </c>
      <c r="B6" s="183">
        <v>233</v>
      </c>
      <c r="C6" s="202" t="s">
        <v>124</v>
      </c>
      <c r="D6" s="183" t="s">
        <v>1778</v>
      </c>
      <c r="E6" s="183" t="s">
        <v>96</v>
      </c>
      <c r="F6" s="183" t="s">
        <v>284</v>
      </c>
      <c r="G6" s="183" t="s">
        <v>285</v>
      </c>
      <c r="H6" s="183" t="s">
        <v>99</v>
      </c>
      <c r="I6" s="183" t="s">
        <v>273</v>
      </c>
      <c r="J6" s="183" t="s">
        <v>30</v>
      </c>
      <c r="K6" s="183" t="s">
        <v>62</v>
      </c>
      <c r="L6" s="182" t="s">
        <v>101</v>
      </c>
      <c r="M6" s="183" t="s">
        <v>31</v>
      </c>
      <c r="N6" s="182" t="s">
        <v>128</v>
      </c>
      <c r="O6" s="182" t="s">
        <v>103</v>
      </c>
      <c r="P6" s="183" t="s">
        <v>34</v>
      </c>
      <c r="Q6" s="193">
        <v>54706.1</v>
      </c>
      <c r="R6" s="194">
        <v>1</v>
      </c>
      <c r="S6" s="195">
        <v>10190</v>
      </c>
      <c r="T6" s="182"/>
      <c r="U6" s="193">
        <v>5574.5519999999997</v>
      </c>
      <c r="V6" s="196">
        <v>4.15E-4</v>
      </c>
      <c r="W6" s="196">
        <v>3.0327860646118601E-2</v>
      </c>
      <c r="X6" s="196">
        <v>5.7780115548521404E-3</v>
      </c>
    </row>
    <row r="7" spans="1:24">
      <c r="A7" s="183">
        <v>233</v>
      </c>
      <c r="B7" s="183">
        <v>233</v>
      </c>
      <c r="C7" s="202" t="s">
        <v>130</v>
      </c>
      <c r="D7" s="183" t="s">
        <v>131</v>
      </c>
      <c r="E7" s="183" t="s">
        <v>96</v>
      </c>
      <c r="F7" s="183" t="s">
        <v>286</v>
      </c>
      <c r="G7" s="183" t="s">
        <v>287</v>
      </c>
      <c r="H7" s="183" t="s">
        <v>99</v>
      </c>
      <c r="I7" s="183" t="s">
        <v>273</v>
      </c>
      <c r="J7" s="183" t="s">
        <v>30</v>
      </c>
      <c r="K7" s="183" t="s">
        <v>30</v>
      </c>
      <c r="L7" s="182" t="s">
        <v>101</v>
      </c>
      <c r="M7" s="183" t="s">
        <v>31</v>
      </c>
      <c r="N7" s="182" t="s">
        <v>128</v>
      </c>
      <c r="O7" s="182" t="s">
        <v>103</v>
      </c>
      <c r="P7" s="183" t="s">
        <v>34</v>
      </c>
      <c r="Q7" s="193">
        <v>425305</v>
      </c>
      <c r="R7" s="194">
        <v>1</v>
      </c>
      <c r="S7" s="195">
        <v>1428</v>
      </c>
      <c r="T7" s="182"/>
      <c r="U7" s="193">
        <v>6073.3549999999996</v>
      </c>
      <c r="V7" s="196">
        <v>7.7200000000000001E-4</v>
      </c>
      <c r="W7" s="196">
        <v>3.3041559173291601E-2</v>
      </c>
      <c r="X7" s="196">
        <v>6.2950207046023002E-3</v>
      </c>
    </row>
    <row r="8" spans="1:24">
      <c r="A8" s="183">
        <v>233</v>
      </c>
      <c r="B8" s="183">
        <v>233</v>
      </c>
      <c r="C8" s="202" t="s">
        <v>288</v>
      </c>
      <c r="D8" s="183" t="s">
        <v>289</v>
      </c>
      <c r="E8" s="183" t="s">
        <v>96</v>
      </c>
      <c r="F8" s="183" t="s">
        <v>290</v>
      </c>
      <c r="G8" s="183" t="s">
        <v>291</v>
      </c>
      <c r="H8" s="183" t="s">
        <v>99</v>
      </c>
      <c r="I8" s="183" t="s">
        <v>273</v>
      </c>
      <c r="J8" s="183" t="s">
        <v>30</v>
      </c>
      <c r="K8" s="183" t="s">
        <v>30</v>
      </c>
      <c r="L8" s="182" t="s">
        <v>101</v>
      </c>
      <c r="M8" s="183" t="s">
        <v>31</v>
      </c>
      <c r="N8" s="182" t="s">
        <v>292</v>
      </c>
      <c r="O8" s="182" t="s">
        <v>103</v>
      </c>
      <c r="P8" s="183" t="s">
        <v>34</v>
      </c>
      <c r="Q8" s="193">
        <v>532025</v>
      </c>
      <c r="R8" s="194">
        <v>1</v>
      </c>
      <c r="S8" s="195">
        <v>634.70000000000005</v>
      </c>
      <c r="T8" s="184">
        <v>111.855</v>
      </c>
      <c r="U8" s="193">
        <v>3488.6179999999999</v>
      </c>
      <c r="V8" s="196">
        <v>1.92E-4</v>
      </c>
      <c r="W8" s="196">
        <v>1.89795215832908E-2</v>
      </c>
      <c r="X8" s="196">
        <v>3.6159456248311102E-3</v>
      </c>
    </row>
    <row r="9" spans="1:24">
      <c r="A9" s="183">
        <v>233</v>
      </c>
      <c r="B9" s="183">
        <v>233</v>
      </c>
      <c r="C9" s="202" t="s">
        <v>293</v>
      </c>
      <c r="D9" s="183" t="s">
        <v>294</v>
      </c>
      <c r="E9" s="183" t="s">
        <v>96</v>
      </c>
      <c r="F9" s="183" t="s">
        <v>295</v>
      </c>
      <c r="G9" s="183" t="s">
        <v>296</v>
      </c>
      <c r="H9" s="183" t="s">
        <v>99</v>
      </c>
      <c r="I9" s="183" t="s">
        <v>273</v>
      </c>
      <c r="J9" s="183" t="s">
        <v>30</v>
      </c>
      <c r="K9" s="183" t="s">
        <v>30</v>
      </c>
      <c r="L9" s="182" t="s">
        <v>101</v>
      </c>
      <c r="M9" s="183" t="s">
        <v>31</v>
      </c>
      <c r="N9" s="182" t="s">
        <v>140</v>
      </c>
      <c r="O9" s="182" t="s">
        <v>103</v>
      </c>
      <c r="P9" s="183" t="s">
        <v>34</v>
      </c>
      <c r="Q9" s="193">
        <v>2148</v>
      </c>
      <c r="R9" s="194">
        <v>1</v>
      </c>
      <c r="S9" s="195">
        <v>24800</v>
      </c>
      <c r="T9" s="182"/>
      <c r="U9" s="193">
        <v>532.70399999999995</v>
      </c>
      <c r="V9" s="196">
        <v>2.3800000000000001E-4</v>
      </c>
      <c r="W9" s="196">
        <v>2.8981295476054499E-3</v>
      </c>
      <c r="X9" s="196">
        <v>5.5214662876874702E-4</v>
      </c>
    </row>
    <row r="10" spans="1:24">
      <c r="A10" s="183">
        <v>233</v>
      </c>
      <c r="B10" s="183">
        <v>233</v>
      </c>
      <c r="C10" s="202" t="s">
        <v>170</v>
      </c>
      <c r="D10" s="183" t="s">
        <v>171</v>
      </c>
      <c r="E10" s="183" t="s">
        <v>96</v>
      </c>
      <c r="F10" s="183" t="s">
        <v>297</v>
      </c>
      <c r="G10" s="183" t="s">
        <v>298</v>
      </c>
      <c r="H10" s="183" t="s">
        <v>99</v>
      </c>
      <c r="I10" s="183" t="s">
        <v>273</v>
      </c>
      <c r="J10" s="183" t="s">
        <v>30</v>
      </c>
      <c r="K10" s="183" t="s">
        <v>30</v>
      </c>
      <c r="L10" s="182" t="s">
        <v>101</v>
      </c>
      <c r="M10" s="183" t="s">
        <v>31</v>
      </c>
      <c r="N10" s="182" t="s">
        <v>140</v>
      </c>
      <c r="O10" s="182" t="s">
        <v>103</v>
      </c>
      <c r="P10" s="183" t="s">
        <v>34</v>
      </c>
      <c r="Q10" s="193">
        <v>5846</v>
      </c>
      <c r="R10" s="194">
        <v>1</v>
      </c>
      <c r="S10" s="195">
        <v>38150</v>
      </c>
      <c r="T10" s="182"/>
      <c r="U10" s="193">
        <v>2230.2489999999998</v>
      </c>
      <c r="V10" s="196">
        <v>2.7999999999999998E-4</v>
      </c>
      <c r="W10" s="196">
        <v>1.21334747353455E-2</v>
      </c>
      <c r="X10" s="196">
        <v>2.31164862036866E-3</v>
      </c>
    </row>
    <row r="11" spans="1:24">
      <c r="A11" s="183">
        <v>233</v>
      </c>
      <c r="B11" s="183">
        <v>233</v>
      </c>
      <c r="C11" s="202" t="s">
        <v>299</v>
      </c>
      <c r="D11" s="183" t="s">
        <v>300</v>
      </c>
      <c r="E11" s="183" t="s">
        <v>96</v>
      </c>
      <c r="F11" s="183" t="s">
        <v>301</v>
      </c>
      <c r="G11" s="183" t="s">
        <v>302</v>
      </c>
      <c r="H11" s="183" t="s">
        <v>99</v>
      </c>
      <c r="I11" s="183" t="s">
        <v>273</v>
      </c>
      <c r="J11" s="183" t="s">
        <v>30</v>
      </c>
      <c r="K11" s="183" t="s">
        <v>30</v>
      </c>
      <c r="L11" s="182" t="s">
        <v>101</v>
      </c>
      <c r="M11" s="183" t="s">
        <v>31</v>
      </c>
      <c r="N11" s="182" t="s">
        <v>102</v>
      </c>
      <c r="O11" s="182" t="s">
        <v>103</v>
      </c>
      <c r="P11" s="183" t="s">
        <v>34</v>
      </c>
      <c r="Q11" s="193">
        <v>46052</v>
      </c>
      <c r="R11" s="194">
        <v>1</v>
      </c>
      <c r="S11" s="195">
        <v>12400</v>
      </c>
      <c r="T11" s="182"/>
      <c r="U11" s="193">
        <v>5710.4480000000003</v>
      </c>
      <c r="V11" s="196">
        <v>1.75E-4</v>
      </c>
      <c r="W11" s="196">
        <v>3.1067193185830101E-2</v>
      </c>
      <c r="X11" s="196">
        <v>5.9188679115592E-3</v>
      </c>
    </row>
    <row r="12" spans="1:24">
      <c r="A12" s="183">
        <v>233</v>
      </c>
      <c r="B12" s="183">
        <v>233</v>
      </c>
      <c r="C12" s="202" t="s">
        <v>303</v>
      </c>
      <c r="D12" s="183" t="s">
        <v>1781</v>
      </c>
      <c r="E12" s="183" t="s">
        <v>96</v>
      </c>
      <c r="F12" s="183" t="s">
        <v>304</v>
      </c>
      <c r="G12" s="183" t="s">
        <v>305</v>
      </c>
      <c r="H12" s="183" t="s">
        <v>99</v>
      </c>
      <c r="I12" s="183" t="s">
        <v>273</v>
      </c>
      <c r="J12" s="183" t="s">
        <v>30</v>
      </c>
      <c r="K12" s="183" t="s">
        <v>62</v>
      </c>
      <c r="L12" s="182" t="s">
        <v>101</v>
      </c>
      <c r="M12" s="183" t="s">
        <v>31</v>
      </c>
      <c r="N12" s="182" t="s">
        <v>306</v>
      </c>
      <c r="O12" s="182" t="s">
        <v>103</v>
      </c>
      <c r="P12" s="183" t="s">
        <v>34</v>
      </c>
      <c r="Q12" s="193">
        <v>87650</v>
      </c>
      <c r="R12" s="194">
        <v>1</v>
      </c>
      <c r="S12" s="195">
        <v>6440</v>
      </c>
      <c r="T12" s="182"/>
      <c r="U12" s="193">
        <v>5644.66</v>
      </c>
      <c r="V12" s="196">
        <v>6.9999999999999994E-5</v>
      </c>
      <c r="W12" s="196">
        <v>3.0709279322450302E-2</v>
      </c>
      <c r="X12" s="196">
        <v>5.8506787813603703E-3</v>
      </c>
    </row>
    <row r="13" spans="1:24">
      <c r="A13" s="183">
        <v>233</v>
      </c>
      <c r="B13" s="183">
        <v>233</v>
      </c>
      <c r="C13" s="202" t="s">
        <v>307</v>
      </c>
      <c r="D13" s="183" t="s">
        <v>308</v>
      </c>
      <c r="E13" s="183" t="s">
        <v>96</v>
      </c>
      <c r="F13" s="183" t="s">
        <v>309</v>
      </c>
      <c r="G13" s="183" t="s">
        <v>310</v>
      </c>
      <c r="H13" s="183" t="s">
        <v>99</v>
      </c>
      <c r="I13" s="183" t="s">
        <v>273</v>
      </c>
      <c r="J13" s="183" t="s">
        <v>30</v>
      </c>
      <c r="K13" s="183" t="s">
        <v>30</v>
      </c>
      <c r="L13" s="182" t="s">
        <v>101</v>
      </c>
      <c r="M13" s="183" t="s">
        <v>31</v>
      </c>
      <c r="N13" s="182" t="s">
        <v>140</v>
      </c>
      <c r="O13" s="182" t="s">
        <v>103</v>
      </c>
      <c r="P13" s="183" t="s">
        <v>34</v>
      </c>
      <c r="Q13" s="193">
        <v>121000</v>
      </c>
      <c r="R13" s="194">
        <v>1</v>
      </c>
      <c r="S13" s="195">
        <v>1463</v>
      </c>
      <c r="T13" s="182"/>
      <c r="U13" s="193">
        <v>1770.23</v>
      </c>
      <c r="V13" s="196">
        <v>3.6600000000000001E-4</v>
      </c>
      <c r="W13" s="196">
        <v>9.6307815767435502E-3</v>
      </c>
      <c r="X13" s="196">
        <v>1.8348398484811399E-3</v>
      </c>
    </row>
    <row r="14" spans="1:24">
      <c r="A14" s="183">
        <v>233</v>
      </c>
      <c r="B14" s="183">
        <v>233</v>
      </c>
      <c r="C14" s="202" t="s">
        <v>311</v>
      </c>
      <c r="D14" s="183" t="s">
        <v>312</v>
      </c>
      <c r="E14" s="183" t="s">
        <v>96</v>
      </c>
      <c r="F14" s="183" t="s">
        <v>313</v>
      </c>
      <c r="G14" s="183" t="s">
        <v>314</v>
      </c>
      <c r="H14" s="183" t="s">
        <v>99</v>
      </c>
      <c r="I14" s="183" t="s">
        <v>273</v>
      </c>
      <c r="J14" s="183" t="s">
        <v>30</v>
      </c>
      <c r="K14" s="183" t="s">
        <v>30</v>
      </c>
      <c r="L14" s="182" t="s">
        <v>101</v>
      </c>
      <c r="M14" s="183" t="s">
        <v>31</v>
      </c>
      <c r="N14" s="182" t="s">
        <v>102</v>
      </c>
      <c r="O14" s="182" t="s">
        <v>103</v>
      </c>
      <c r="P14" s="183" t="s">
        <v>34</v>
      </c>
      <c r="Q14" s="193">
        <v>18172</v>
      </c>
      <c r="R14" s="194">
        <v>1</v>
      </c>
      <c r="S14" s="195">
        <v>16970</v>
      </c>
      <c r="T14" s="182"/>
      <c r="U14" s="193">
        <v>3083.788</v>
      </c>
      <c r="V14" s="196">
        <v>2.2699999999999999E-4</v>
      </c>
      <c r="W14" s="196">
        <v>1.6777081231984198E-2</v>
      </c>
      <c r="X14" s="196">
        <v>3.1963404984685102E-3</v>
      </c>
    </row>
    <row r="15" spans="1:24">
      <c r="A15" s="183">
        <v>233</v>
      </c>
      <c r="B15" s="183">
        <v>233</v>
      </c>
      <c r="C15" s="202" t="s">
        <v>206</v>
      </c>
      <c r="D15" s="183" t="s">
        <v>1780</v>
      </c>
      <c r="E15" s="183" t="s">
        <v>96</v>
      </c>
      <c r="F15" s="183" t="s">
        <v>315</v>
      </c>
      <c r="G15" s="183" t="s">
        <v>316</v>
      </c>
      <c r="H15" s="183" t="s">
        <v>99</v>
      </c>
      <c r="I15" s="183" t="s">
        <v>273</v>
      </c>
      <c r="J15" s="183" t="s">
        <v>30</v>
      </c>
      <c r="K15" s="183" t="s">
        <v>30</v>
      </c>
      <c r="L15" s="182" t="s">
        <v>101</v>
      </c>
      <c r="M15" s="183" t="s">
        <v>31</v>
      </c>
      <c r="N15" s="182" t="s">
        <v>209</v>
      </c>
      <c r="O15" s="182" t="s">
        <v>103</v>
      </c>
      <c r="P15" s="183" t="s">
        <v>34</v>
      </c>
      <c r="Q15" s="193">
        <v>108010</v>
      </c>
      <c r="R15" s="194">
        <v>1</v>
      </c>
      <c r="S15" s="195">
        <v>6529</v>
      </c>
      <c r="T15" s="182"/>
      <c r="U15" s="193">
        <v>7051.973</v>
      </c>
      <c r="V15" s="196">
        <v>6.7000000000000002E-5</v>
      </c>
      <c r="W15" s="196">
        <v>3.8365642139730302E-2</v>
      </c>
      <c r="X15" s="196">
        <v>7.3093557827678497E-3</v>
      </c>
    </row>
    <row r="16" spans="1:24">
      <c r="A16" s="183">
        <v>233</v>
      </c>
      <c r="B16" s="183">
        <v>233</v>
      </c>
      <c r="C16" s="202" t="s">
        <v>317</v>
      </c>
      <c r="D16" s="183" t="s">
        <v>1782</v>
      </c>
      <c r="E16" s="183" t="s">
        <v>96</v>
      </c>
      <c r="F16" s="183" t="s">
        <v>318</v>
      </c>
      <c r="G16" s="183" t="s">
        <v>319</v>
      </c>
      <c r="H16" s="183" t="s">
        <v>99</v>
      </c>
      <c r="I16" s="183" t="s">
        <v>273</v>
      </c>
      <c r="J16" s="183" t="s">
        <v>30</v>
      </c>
      <c r="K16" s="183" t="s">
        <v>30</v>
      </c>
      <c r="L16" s="182" t="s">
        <v>101</v>
      </c>
      <c r="M16" s="183" t="s">
        <v>31</v>
      </c>
      <c r="N16" s="182" t="s">
        <v>209</v>
      </c>
      <c r="O16" s="182" t="s">
        <v>103</v>
      </c>
      <c r="P16" s="183" t="s">
        <v>34</v>
      </c>
      <c r="Q16" s="193">
        <v>23859</v>
      </c>
      <c r="R16" s="194">
        <v>1</v>
      </c>
      <c r="S16" s="195">
        <v>21790</v>
      </c>
      <c r="T16" s="182"/>
      <c r="U16" s="193">
        <v>5198.8760000000002</v>
      </c>
      <c r="V16" s="196">
        <v>9.2E-5</v>
      </c>
      <c r="W16" s="196">
        <v>2.82840309810885E-2</v>
      </c>
      <c r="X16" s="196">
        <v>5.3886246621039297E-3</v>
      </c>
    </row>
    <row r="17" spans="1:24">
      <c r="A17" s="183">
        <v>233</v>
      </c>
      <c r="B17" s="183">
        <v>233</v>
      </c>
      <c r="C17" s="202" t="s">
        <v>230</v>
      </c>
      <c r="D17" s="183" t="s">
        <v>231</v>
      </c>
      <c r="E17" s="183" t="s">
        <v>96</v>
      </c>
      <c r="F17" s="183" t="s">
        <v>320</v>
      </c>
      <c r="G17" s="183" t="s">
        <v>321</v>
      </c>
      <c r="H17" s="183" t="s">
        <v>99</v>
      </c>
      <c r="I17" s="183" t="s">
        <v>273</v>
      </c>
      <c r="J17" s="183" t="s">
        <v>30</v>
      </c>
      <c r="K17" s="183" t="s">
        <v>30</v>
      </c>
      <c r="L17" s="182" t="s">
        <v>101</v>
      </c>
      <c r="M17" s="183" t="s">
        <v>31</v>
      </c>
      <c r="N17" s="182" t="s">
        <v>114</v>
      </c>
      <c r="O17" s="182" t="s">
        <v>103</v>
      </c>
      <c r="P17" s="183" t="s">
        <v>34</v>
      </c>
      <c r="Q17" s="193">
        <v>20081</v>
      </c>
      <c r="R17" s="194">
        <v>1</v>
      </c>
      <c r="S17" s="195">
        <v>40000</v>
      </c>
      <c r="T17" s="182"/>
      <c r="U17" s="193">
        <v>8032.4</v>
      </c>
      <c r="V17" s="196">
        <v>4.2099999999999999E-4</v>
      </c>
      <c r="W17" s="196">
        <v>4.3699570076789401E-2</v>
      </c>
      <c r="X17" s="196">
        <v>8.3255665077080002E-3</v>
      </c>
    </row>
    <row r="18" spans="1:24">
      <c r="A18" s="183">
        <v>233</v>
      </c>
      <c r="B18" s="183">
        <v>233</v>
      </c>
      <c r="C18" s="202" t="s">
        <v>322</v>
      </c>
      <c r="D18" s="183" t="s">
        <v>323</v>
      </c>
      <c r="E18" s="183" t="s">
        <v>96</v>
      </c>
      <c r="F18" s="183" t="s">
        <v>324</v>
      </c>
      <c r="G18" s="183" t="s">
        <v>325</v>
      </c>
      <c r="H18" s="183" t="s">
        <v>99</v>
      </c>
      <c r="I18" s="183" t="s">
        <v>273</v>
      </c>
      <c r="J18" s="183" t="s">
        <v>30</v>
      </c>
      <c r="K18" s="183" t="s">
        <v>30</v>
      </c>
      <c r="L18" s="182" t="s">
        <v>101</v>
      </c>
      <c r="M18" s="183" t="s">
        <v>31</v>
      </c>
      <c r="N18" s="182" t="s">
        <v>102</v>
      </c>
      <c r="O18" s="182" t="s">
        <v>103</v>
      </c>
      <c r="P18" s="183" t="s">
        <v>34</v>
      </c>
      <c r="Q18" s="193">
        <v>8100</v>
      </c>
      <c r="R18" s="194">
        <v>1</v>
      </c>
      <c r="S18" s="195">
        <v>32500</v>
      </c>
      <c r="T18" s="182"/>
      <c r="U18" s="193">
        <v>2632.5</v>
      </c>
      <c r="V18" s="196">
        <v>1.2799999999999999E-4</v>
      </c>
      <c r="W18" s="196">
        <v>1.43218861395284E-2</v>
      </c>
      <c r="X18" s="196">
        <v>2.7285809759899E-3</v>
      </c>
    </row>
    <row r="19" spans="1:24">
      <c r="A19" s="183">
        <v>233</v>
      </c>
      <c r="B19" s="183">
        <v>233</v>
      </c>
      <c r="C19" s="202" t="s">
        <v>326</v>
      </c>
      <c r="D19" s="183" t="s">
        <v>327</v>
      </c>
      <c r="E19" s="183" t="s">
        <v>96</v>
      </c>
      <c r="F19" s="183" t="s">
        <v>328</v>
      </c>
      <c r="G19" s="183" t="s">
        <v>329</v>
      </c>
      <c r="H19" s="183" t="s">
        <v>99</v>
      </c>
      <c r="I19" s="183" t="s">
        <v>273</v>
      </c>
      <c r="J19" s="183" t="s">
        <v>30</v>
      </c>
      <c r="K19" s="183" t="s">
        <v>30</v>
      </c>
      <c r="L19" s="182" t="s">
        <v>101</v>
      </c>
      <c r="M19" s="183" t="s">
        <v>31</v>
      </c>
      <c r="N19" s="182" t="s">
        <v>114</v>
      </c>
      <c r="O19" s="182" t="s">
        <v>103</v>
      </c>
      <c r="P19" s="183" t="s">
        <v>34</v>
      </c>
      <c r="Q19" s="193">
        <v>507422</v>
      </c>
      <c r="R19" s="194">
        <v>1</v>
      </c>
      <c r="S19" s="195">
        <v>220.8</v>
      </c>
      <c r="T19" s="182"/>
      <c r="U19" s="193">
        <v>1120.3879999999999</v>
      </c>
      <c r="V19" s="196">
        <v>6.6E-4</v>
      </c>
      <c r="W19" s="196">
        <v>6.0953717606805199E-3</v>
      </c>
      <c r="X19" s="196">
        <v>1.1612796852137699E-3</v>
      </c>
    </row>
    <row r="20" spans="1:24">
      <c r="A20" s="192">
        <v>233</v>
      </c>
      <c r="B20" s="192">
        <v>233</v>
      </c>
      <c r="C20" s="203" t="s">
        <v>330</v>
      </c>
      <c r="D20" s="192" t="s">
        <v>331</v>
      </c>
      <c r="E20" s="183" t="s">
        <v>332</v>
      </c>
      <c r="F20" s="192" t="s">
        <v>333</v>
      </c>
      <c r="G20" s="192" t="s">
        <v>334</v>
      </c>
      <c r="H20" s="183" t="s">
        <v>99</v>
      </c>
      <c r="I20" s="192" t="s">
        <v>273</v>
      </c>
      <c r="J20" s="192" t="s">
        <v>30</v>
      </c>
      <c r="K20" s="183" t="s">
        <v>62</v>
      </c>
      <c r="L20" s="182" t="s">
        <v>101</v>
      </c>
      <c r="M20" s="183" t="s">
        <v>31</v>
      </c>
      <c r="N20" s="182" t="s">
        <v>335</v>
      </c>
      <c r="O20" s="192" t="s">
        <v>103</v>
      </c>
      <c r="P20" s="192" t="s">
        <v>34</v>
      </c>
      <c r="Q20" s="197">
        <v>45820</v>
      </c>
      <c r="R20" s="198">
        <v>1</v>
      </c>
      <c r="S20" s="199">
        <v>11190</v>
      </c>
      <c r="T20" s="181"/>
      <c r="U20" s="197">
        <v>5127.2579999999998</v>
      </c>
      <c r="V20" s="200">
        <v>3.9199999999999999E-4</v>
      </c>
      <c r="W20" s="200">
        <v>2.7894398968275801E-2</v>
      </c>
      <c r="X20" s="200">
        <v>5.3143926449352504E-3</v>
      </c>
    </row>
    <row r="21" spans="1:24" s="38" customFormat="1">
      <c r="A21" s="192">
        <v>233</v>
      </c>
      <c r="B21" s="192">
        <v>233</v>
      </c>
      <c r="C21" s="203" t="s">
        <v>336</v>
      </c>
      <c r="D21" s="192" t="s">
        <v>337</v>
      </c>
      <c r="E21" s="192" t="s">
        <v>332</v>
      </c>
      <c r="F21" s="192" t="s">
        <v>338</v>
      </c>
      <c r="G21" s="192" t="s">
        <v>339</v>
      </c>
      <c r="H21" s="192" t="s">
        <v>99</v>
      </c>
      <c r="I21" s="192" t="s">
        <v>273</v>
      </c>
      <c r="J21" s="192" t="s">
        <v>30</v>
      </c>
      <c r="K21" s="192" t="s">
        <v>30</v>
      </c>
      <c r="L21" s="192" t="s">
        <v>101</v>
      </c>
      <c r="M21" s="192" t="s">
        <v>31</v>
      </c>
      <c r="N21" s="182" t="s">
        <v>335</v>
      </c>
      <c r="O21" s="192" t="s">
        <v>103</v>
      </c>
      <c r="P21" s="192" t="s">
        <v>34</v>
      </c>
      <c r="Q21" s="197">
        <v>251000</v>
      </c>
      <c r="R21" s="198">
        <v>1</v>
      </c>
      <c r="S21" s="199">
        <v>1744</v>
      </c>
      <c r="T21" s="181"/>
      <c r="U21" s="197">
        <v>4377.4399999999996</v>
      </c>
      <c r="V21" s="200">
        <v>2.14E-4</v>
      </c>
      <c r="W21" s="200">
        <v>2.3815079681905899E-2</v>
      </c>
      <c r="X21" s="200">
        <v>4.5372077901376E-3</v>
      </c>
    </row>
    <row r="22" spans="1:24">
      <c r="A22" s="192">
        <v>233</v>
      </c>
      <c r="B22" s="192">
        <v>233</v>
      </c>
      <c r="C22" s="203" t="s">
        <v>340</v>
      </c>
      <c r="D22" s="192" t="s">
        <v>341</v>
      </c>
      <c r="E22" s="192" t="s">
        <v>96</v>
      </c>
      <c r="F22" s="192" t="s">
        <v>342</v>
      </c>
      <c r="G22" s="192" t="s">
        <v>343</v>
      </c>
      <c r="H22" s="192" t="s">
        <v>99</v>
      </c>
      <c r="I22" s="192" t="s">
        <v>273</v>
      </c>
      <c r="J22" s="192" t="s">
        <v>30</v>
      </c>
      <c r="K22" s="192" t="s">
        <v>62</v>
      </c>
      <c r="L22" s="181" t="s">
        <v>101</v>
      </c>
      <c r="M22" s="192" t="s">
        <v>31</v>
      </c>
      <c r="N22" s="192" t="s">
        <v>344</v>
      </c>
      <c r="O22" s="192" t="s">
        <v>103</v>
      </c>
      <c r="P22" s="192" t="s">
        <v>34</v>
      </c>
      <c r="Q22" s="197">
        <v>3756</v>
      </c>
      <c r="R22" s="198">
        <v>1</v>
      </c>
      <c r="S22" s="199">
        <v>48800</v>
      </c>
      <c r="T22" s="181"/>
      <c r="U22" s="197">
        <v>1832.9280000000001</v>
      </c>
      <c r="V22" s="200">
        <v>5.0000000000000002E-5</v>
      </c>
      <c r="W22" s="200">
        <v>9.9718845652245203E-3</v>
      </c>
      <c r="X22" s="200">
        <v>1.8998261998705501E-3</v>
      </c>
    </row>
    <row r="23" spans="1:24">
      <c r="A23" s="192">
        <v>233</v>
      </c>
      <c r="B23" s="192">
        <v>233</v>
      </c>
      <c r="C23" s="203" t="s">
        <v>345</v>
      </c>
      <c r="D23" s="192" t="s">
        <v>346</v>
      </c>
      <c r="E23" s="192" t="s">
        <v>96</v>
      </c>
      <c r="F23" s="192" t="s">
        <v>345</v>
      </c>
      <c r="G23" s="192" t="s">
        <v>347</v>
      </c>
      <c r="H23" s="192" t="s">
        <v>99</v>
      </c>
      <c r="I23" s="192" t="s">
        <v>273</v>
      </c>
      <c r="J23" s="192" t="s">
        <v>30</v>
      </c>
      <c r="K23" s="192" t="s">
        <v>30</v>
      </c>
      <c r="L23" s="181" t="s">
        <v>101</v>
      </c>
      <c r="M23" s="181" t="s">
        <v>31</v>
      </c>
      <c r="N23" s="192" t="s">
        <v>348</v>
      </c>
      <c r="O23" s="192" t="s">
        <v>103</v>
      </c>
      <c r="P23" s="192" t="s">
        <v>34</v>
      </c>
      <c r="Q23" s="197">
        <v>28000</v>
      </c>
      <c r="R23" s="198">
        <v>1</v>
      </c>
      <c r="S23" s="199">
        <v>15000</v>
      </c>
      <c r="T23" s="181"/>
      <c r="U23" s="197">
        <v>4200</v>
      </c>
      <c r="V23" s="200">
        <v>3.4400000000000001E-4</v>
      </c>
      <c r="W23" s="200">
        <v>2.2849732872182098E-2</v>
      </c>
      <c r="X23" s="200">
        <v>4.3532915856249197E-3</v>
      </c>
    </row>
    <row r="24" spans="1:24">
      <c r="A24" s="192">
        <v>233</v>
      </c>
      <c r="B24" s="192">
        <v>233</v>
      </c>
      <c r="C24" s="203" t="s">
        <v>249</v>
      </c>
      <c r="D24" s="192" t="s">
        <v>250</v>
      </c>
      <c r="E24" s="192" t="s">
        <v>96</v>
      </c>
      <c r="F24" s="192" t="s">
        <v>349</v>
      </c>
      <c r="G24" s="192" t="s">
        <v>350</v>
      </c>
      <c r="H24" s="192" t="s">
        <v>99</v>
      </c>
      <c r="I24" s="192" t="s">
        <v>273</v>
      </c>
      <c r="J24" s="192" t="s">
        <v>30</v>
      </c>
      <c r="K24" s="192" t="s">
        <v>30</v>
      </c>
      <c r="L24" s="181" t="s">
        <v>101</v>
      </c>
      <c r="M24" s="181" t="s">
        <v>31</v>
      </c>
      <c r="N24" s="192" t="s">
        <v>114</v>
      </c>
      <c r="O24" s="192" t="s">
        <v>103</v>
      </c>
      <c r="P24" s="192" t="s">
        <v>34</v>
      </c>
      <c r="Q24" s="197">
        <v>17485</v>
      </c>
      <c r="R24" s="198">
        <v>1</v>
      </c>
      <c r="S24" s="199">
        <v>32870</v>
      </c>
      <c r="T24" s="181"/>
      <c r="U24" s="197">
        <v>5747.3190000000004</v>
      </c>
      <c r="V24" s="200">
        <v>1.44E-4</v>
      </c>
      <c r="W24" s="200">
        <v>3.1267789358591203E-2</v>
      </c>
      <c r="X24" s="200">
        <v>5.9570851474400003E-3</v>
      </c>
    </row>
    <row r="25" spans="1:24">
      <c r="A25" s="192">
        <v>233</v>
      </c>
      <c r="B25" s="192">
        <v>233</v>
      </c>
      <c r="C25" s="203" t="s">
        <v>351</v>
      </c>
      <c r="D25" s="192" t="s">
        <v>1783</v>
      </c>
      <c r="E25" s="192" t="s">
        <v>96</v>
      </c>
      <c r="F25" s="192" t="s">
        <v>352</v>
      </c>
      <c r="G25" s="192" t="s">
        <v>353</v>
      </c>
      <c r="H25" s="192" t="s">
        <v>99</v>
      </c>
      <c r="I25" s="192" t="s">
        <v>273</v>
      </c>
      <c r="J25" s="192" t="s">
        <v>30</v>
      </c>
      <c r="K25" s="192" t="s">
        <v>30</v>
      </c>
      <c r="L25" s="181" t="s">
        <v>101</v>
      </c>
      <c r="M25" s="181" t="s">
        <v>31</v>
      </c>
      <c r="N25" s="192" t="s">
        <v>209</v>
      </c>
      <c r="O25" s="192" t="s">
        <v>103</v>
      </c>
      <c r="P25" s="192" t="s">
        <v>34</v>
      </c>
      <c r="Q25" s="197">
        <v>156305</v>
      </c>
      <c r="R25" s="198">
        <v>1</v>
      </c>
      <c r="S25" s="199">
        <v>6732</v>
      </c>
      <c r="T25" s="181"/>
      <c r="U25" s="197">
        <v>10522.453</v>
      </c>
      <c r="V25" s="200">
        <v>1.17E-4</v>
      </c>
      <c r="W25" s="200">
        <v>5.7246483588142397E-2</v>
      </c>
      <c r="X25" s="200">
        <v>1.09065010389802E-2</v>
      </c>
    </row>
    <row r="26" spans="1:24">
      <c r="A26" s="192">
        <v>233</v>
      </c>
      <c r="B26" s="192">
        <v>233</v>
      </c>
      <c r="C26" s="203" t="s">
        <v>354</v>
      </c>
      <c r="D26" s="192" t="s">
        <v>355</v>
      </c>
      <c r="E26" s="192" t="s">
        <v>96</v>
      </c>
      <c r="F26" s="192" t="s">
        <v>356</v>
      </c>
      <c r="G26" s="192" t="s">
        <v>357</v>
      </c>
      <c r="H26" s="192" t="s">
        <v>99</v>
      </c>
      <c r="I26" s="192" t="s">
        <v>273</v>
      </c>
      <c r="J26" s="192" t="s">
        <v>30</v>
      </c>
      <c r="K26" s="192" t="s">
        <v>30</v>
      </c>
      <c r="L26" s="181" t="s">
        <v>101</v>
      </c>
      <c r="M26" s="181" t="s">
        <v>31</v>
      </c>
      <c r="N26" s="192" t="s">
        <v>358</v>
      </c>
      <c r="O26" s="192" t="s">
        <v>103</v>
      </c>
      <c r="P26" s="192" t="s">
        <v>34</v>
      </c>
      <c r="Q26" s="197">
        <v>3574</v>
      </c>
      <c r="R26" s="198">
        <v>1</v>
      </c>
      <c r="S26" s="199">
        <v>35060</v>
      </c>
      <c r="T26" s="181"/>
      <c r="U26" s="197">
        <v>1253.0440000000001</v>
      </c>
      <c r="V26" s="200">
        <v>2.5799999999999998E-4</v>
      </c>
      <c r="W26" s="200">
        <v>6.8170785278532601E-3</v>
      </c>
      <c r="X26" s="200">
        <v>1.29877801022248E-3</v>
      </c>
    </row>
    <row r="27" spans="1:24">
      <c r="A27" s="192">
        <v>233</v>
      </c>
      <c r="B27" s="192">
        <v>233</v>
      </c>
      <c r="C27" s="203" t="s">
        <v>359</v>
      </c>
      <c r="D27" s="192" t="s">
        <v>360</v>
      </c>
      <c r="E27" s="192" t="s">
        <v>96</v>
      </c>
      <c r="F27" s="192" t="s">
        <v>361</v>
      </c>
      <c r="G27" s="192" t="s">
        <v>362</v>
      </c>
      <c r="H27" s="192" t="s">
        <v>99</v>
      </c>
      <c r="I27" s="192" t="s">
        <v>273</v>
      </c>
      <c r="J27" s="192" t="s">
        <v>30</v>
      </c>
      <c r="K27" s="192" t="s">
        <v>30</v>
      </c>
      <c r="L27" s="181" t="s">
        <v>101</v>
      </c>
      <c r="M27" s="181" t="s">
        <v>31</v>
      </c>
      <c r="N27" s="192" t="s">
        <v>363</v>
      </c>
      <c r="O27" s="192" t="s">
        <v>103</v>
      </c>
      <c r="P27" s="192" t="s">
        <v>34</v>
      </c>
      <c r="Q27" s="197">
        <v>296780</v>
      </c>
      <c r="R27" s="198">
        <v>1</v>
      </c>
      <c r="S27" s="199">
        <v>875.3</v>
      </c>
      <c r="T27" s="181"/>
      <c r="U27" s="197">
        <v>2597.7150000000001</v>
      </c>
      <c r="V27" s="200">
        <v>1.029E-3</v>
      </c>
      <c r="W27" s="200">
        <v>1.4132643237373701E-2</v>
      </c>
      <c r="X27" s="200">
        <v>2.6925267455882801E-3</v>
      </c>
    </row>
    <row r="28" spans="1:24">
      <c r="A28" s="192">
        <v>233</v>
      </c>
      <c r="B28" s="192">
        <v>233</v>
      </c>
      <c r="C28" s="203" t="s">
        <v>364</v>
      </c>
      <c r="D28" s="192" t="s">
        <v>365</v>
      </c>
      <c r="E28" s="192" t="s">
        <v>125</v>
      </c>
      <c r="F28" s="192" t="s">
        <v>366</v>
      </c>
      <c r="G28" s="192" t="s">
        <v>367</v>
      </c>
      <c r="H28" s="192" t="s">
        <v>99</v>
      </c>
      <c r="I28" s="192" t="s">
        <v>273</v>
      </c>
      <c r="J28" s="192" t="s">
        <v>61</v>
      </c>
      <c r="K28" s="192" t="s">
        <v>62</v>
      </c>
      <c r="L28" s="181" t="s">
        <v>101</v>
      </c>
      <c r="M28" s="181" t="s">
        <v>368</v>
      </c>
      <c r="N28" s="192" t="s">
        <v>369</v>
      </c>
      <c r="O28" s="192" t="s">
        <v>103</v>
      </c>
      <c r="P28" s="192" t="s">
        <v>66</v>
      </c>
      <c r="Q28" s="197">
        <v>9600</v>
      </c>
      <c r="R28" s="198">
        <v>3.306</v>
      </c>
      <c r="S28" s="199">
        <v>21957</v>
      </c>
      <c r="T28" s="181"/>
      <c r="U28" s="197">
        <v>6968.625</v>
      </c>
      <c r="V28" s="200">
        <v>9.9999999999999995E-7</v>
      </c>
      <c r="W28" s="200">
        <v>3.7912194261346399E-2</v>
      </c>
      <c r="X28" s="200">
        <v>7.2229656772672497E-3</v>
      </c>
    </row>
    <row r="29" spans="1:24">
      <c r="A29" s="192">
        <v>233</v>
      </c>
      <c r="B29" s="192">
        <v>233</v>
      </c>
      <c r="C29" s="203" t="s">
        <v>370</v>
      </c>
      <c r="D29" s="192" t="s">
        <v>371</v>
      </c>
      <c r="E29" s="192" t="s">
        <v>125</v>
      </c>
      <c r="F29" s="192" t="s">
        <v>372</v>
      </c>
      <c r="G29" s="192" t="s">
        <v>373</v>
      </c>
      <c r="H29" s="192" t="s">
        <v>99</v>
      </c>
      <c r="I29" s="192" t="s">
        <v>273</v>
      </c>
      <c r="J29" s="192" t="s">
        <v>61</v>
      </c>
      <c r="K29" s="192" t="s">
        <v>62</v>
      </c>
      <c r="L29" s="181" t="s">
        <v>101</v>
      </c>
      <c r="M29" s="181" t="s">
        <v>368</v>
      </c>
      <c r="N29" s="192" t="s">
        <v>374</v>
      </c>
      <c r="O29" s="192" t="s">
        <v>103</v>
      </c>
      <c r="P29" s="192" t="s">
        <v>66</v>
      </c>
      <c r="Q29" s="197">
        <v>4572</v>
      </c>
      <c r="R29" s="198">
        <v>3.306</v>
      </c>
      <c r="S29" s="199">
        <v>16179</v>
      </c>
      <c r="T29" s="181"/>
      <c r="U29" s="197">
        <v>2445.4609999999998</v>
      </c>
      <c r="V29" s="200">
        <v>3.9999999999999998E-6</v>
      </c>
      <c r="W29" s="200">
        <v>1.3304316957781E-2</v>
      </c>
      <c r="X29" s="200">
        <v>2.53471545548374E-3</v>
      </c>
    </row>
    <row r="30" spans="1:24">
      <c r="A30" s="192">
        <v>233</v>
      </c>
      <c r="B30" s="192">
        <v>233</v>
      </c>
      <c r="C30" s="203" t="s">
        <v>375</v>
      </c>
      <c r="D30" s="192" t="s">
        <v>376</v>
      </c>
      <c r="E30" s="192" t="s">
        <v>125</v>
      </c>
      <c r="F30" s="192" t="s">
        <v>377</v>
      </c>
      <c r="G30" s="192" t="s">
        <v>378</v>
      </c>
      <c r="H30" s="192" t="s">
        <v>99</v>
      </c>
      <c r="I30" s="192" t="s">
        <v>273</v>
      </c>
      <c r="J30" s="192" t="s">
        <v>61</v>
      </c>
      <c r="K30" s="192" t="s">
        <v>379</v>
      </c>
      <c r="L30" s="181" t="s">
        <v>101</v>
      </c>
      <c r="M30" s="181" t="s">
        <v>71</v>
      </c>
      <c r="N30" s="192" t="s">
        <v>374</v>
      </c>
      <c r="O30" s="192" t="s">
        <v>103</v>
      </c>
      <c r="P30" s="192" t="s">
        <v>380</v>
      </c>
      <c r="Q30" s="197">
        <v>1530</v>
      </c>
      <c r="R30" s="198">
        <v>3.8807</v>
      </c>
      <c r="S30" s="199">
        <v>82810</v>
      </c>
      <c r="T30" s="181"/>
      <c r="U30" s="197">
        <v>4916.82</v>
      </c>
      <c r="V30" s="200">
        <v>3.9999999999999998E-6</v>
      </c>
      <c r="W30" s="200">
        <v>2.67495279827876E-2</v>
      </c>
      <c r="X30" s="200">
        <v>5.0962738049631796E-3</v>
      </c>
    </row>
    <row r="31" spans="1:24">
      <c r="A31" s="192">
        <v>233</v>
      </c>
      <c r="B31" s="192">
        <v>233</v>
      </c>
      <c r="C31" s="203" t="s">
        <v>375</v>
      </c>
      <c r="D31" s="192" t="s">
        <v>376</v>
      </c>
      <c r="E31" s="192" t="s">
        <v>125</v>
      </c>
      <c r="F31" s="192" t="s">
        <v>381</v>
      </c>
      <c r="G31" s="192" t="s">
        <v>382</v>
      </c>
      <c r="H31" s="192" t="s">
        <v>99</v>
      </c>
      <c r="I31" s="192" t="s">
        <v>273</v>
      </c>
      <c r="J31" s="192" t="s">
        <v>61</v>
      </c>
      <c r="K31" s="192" t="s">
        <v>379</v>
      </c>
      <c r="L31" s="181" t="s">
        <v>101</v>
      </c>
      <c r="M31" s="181" t="s">
        <v>368</v>
      </c>
      <c r="N31" s="192" t="s">
        <v>374</v>
      </c>
      <c r="O31" s="192" t="s">
        <v>103</v>
      </c>
      <c r="P31" s="192" t="s">
        <v>66</v>
      </c>
      <c r="Q31" s="197">
        <v>598</v>
      </c>
      <c r="R31" s="198">
        <v>3.306</v>
      </c>
      <c r="S31" s="199">
        <v>96809</v>
      </c>
      <c r="T31" s="181"/>
      <c r="U31" s="197">
        <v>1913.902</v>
      </c>
      <c r="V31" s="200">
        <v>9.9999999999999995E-7</v>
      </c>
      <c r="W31" s="200">
        <v>1.0412418236588899E-2</v>
      </c>
      <c r="X31" s="200">
        <v>1.9837559129863599E-3</v>
      </c>
    </row>
    <row r="32" spans="1:24">
      <c r="A32" s="192">
        <v>233</v>
      </c>
      <c r="B32" s="192">
        <v>233</v>
      </c>
      <c r="C32" s="203" t="s">
        <v>383</v>
      </c>
      <c r="D32" s="192" t="s">
        <v>384</v>
      </c>
      <c r="E32" s="192" t="s">
        <v>125</v>
      </c>
      <c r="F32" s="192" t="s">
        <v>385</v>
      </c>
      <c r="G32" s="192" t="s">
        <v>386</v>
      </c>
      <c r="H32" s="192" t="s">
        <v>99</v>
      </c>
      <c r="I32" s="192" t="s">
        <v>273</v>
      </c>
      <c r="J32" s="192" t="s">
        <v>61</v>
      </c>
      <c r="K32" s="192" t="s">
        <v>62</v>
      </c>
      <c r="L32" s="181" t="s">
        <v>101</v>
      </c>
      <c r="M32" s="181" t="s">
        <v>368</v>
      </c>
      <c r="N32" s="192" t="s">
        <v>374</v>
      </c>
      <c r="O32" s="192" t="s">
        <v>103</v>
      </c>
      <c r="P32" s="192" t="s">
        <v>66</v>
      </c>
      <c r="Q32" s="197">
        <v>4900</v>
      </c>
      <c r="R32" s="198">
        <v>3.306</v>
      </c>
      <c r="S32" s="199">
        <v>32991</v>
      </c>
      <c r="T32" s="181"/>
      <c r="U32" s="197">
        <v>5344.3440000000001</v>
      </c>
      <c r="V32" s="200">
        <v>1.1E-5</v>
      </c>
      <c r="W32" s="200">
        <v>2.9075436669270201E-2</v>
      </c>
      <c r="X32" s="200">
        <v>5.5394019049911404E-3</v>
      </c>
    </row>
    <row r="33" spans="1:24">
      <c r="A33" s="192">
        <v>233</v>
      </c>
      <c r="B33" s="192">
        <v>233</v>
      </c>
      <c r="C33" s="203" t="s">
        <v>387</v>
      </c>
      <c r="D33" s="192" t="s">
        <v>388</v>
      </c>
      <c r="E33" s="192" t="s">
        <v>96</v>
      </c>
      <c r="F33" s="192" t="s">
        <v>389</v>
      </c>
      <c r="G33" s="192" t="s">
        <v>390</v>
      </c>
      <c r="H33" s="192" t="s">
        <v>99</v>
      </c>
      <c r="I33" s="192" t="s">
        <v>273</v>
      </c>
      <c r="J33" s="192" t="s">
        <v>61</v>
      </c>
      <c r="K33" s="192" t="s">
        <v>391</v>
      </c>
      <c r="L33" s="181" t="s">
        <v>101</v>
      </c>
      <c r="M33" s="181" t="s">
        <v>368</v>
      </c>
      <c r="N33" s="192" t="s">
        <v>374</v>
      </c>
      <c r="O33" s="192" t="s">
        <v>103</v>
      </c>
      <c r="P33" s="192" t="s">
        <v>66</v>
      </c>
      <c r="Q33" s="197">
        <v>26078</v>
      </c>
      <c r="R33" s="198">
        <v>3.306</v>
      </c>
      <c r="S33" s="199">
        <v>10505</v>
      </c>
      <c r="T33" s="181"/>
      <c r="U33" s="197">
        <v>9056.7669999999998</v>
      </c>
      <c r="V33" s="200">
        <v>9.6400000000000001E-4</v>
      </c>
      <c r="W33" s="200">
        <v>4.9272548292578197E-2</v>
      </c>
      <c r="X33" s="200">
        <v>9.3873206782873891E-3</v>
      </c>
    </row>
    <row r="34" spans="1:24">
      <c r="A34" s="192">
        <v>233</v>
      </c>
      <c r="B34" s="192">
        <v>233</v>
      </c>
      <c r="C34" s="203" t="s">
        <v>392</v>
      </c>
      <c r="D34" s="192" t="s">
        <v>1784</v>
      </c>
      <c r="E34" s="192" t="s">
        <v>96</v>
      </c>
      <c r="F34" s="192" t="s">
        <v>393</v>
      </c>
      <c r="G34" s="192" t="s">
        <v>394</v>
      </c>
      <c r="H34" s="192" t="s">
        <v>99</v>
      </c>
      <c r="I34" s="192" t="s">
        <v>273</v>
      </c>
      <c r="J34" s="192" t="s">
        <v>61</v>
      </c>
      <c r="K34" s="192" t="s">
        <v>30</v>
      </c>
      <c r="L34" s="181" t="s">
        <v>101</v>
      </c>
      <c r="M34" s="181" t="s">
        <v>368</v>
      </c>
      <c r="N34" s="192" t="s">
        <v>395</v>
      </c>
      <c r="O34" s="192" t="s">
        <v>103</v>
      </c>
      <c r="P34" s="192" t="s">
        <v>66</v>
      </c>
      <c r="Q34" s="197">
        <v>18681</v>
      </c>
      <c r="R34" s="198">
        <v>3.306</v>
      </c>
      <c r="S34" s="199">
        <v>1853</v>
      </c>
      <c r="T34" s="181"/>
      <c r="U34" s="197">
        <v>1144.4010000000001</v>
      </c>
      <c r="V34" s="200">
        <v>9.1000000000000003E-5</v>
      </c>
      <c r="W34" s="200">
        <v>6.2260159058328997E-3</v>
      </c>
      <c r="X34" s="200">
        <v>1.18616978178445E-3</v>
      </c>
    </row>
    <row r="35" spans="1:24">
      <c r="A35" s="192">
        <v>233</v>
      </c>
      <c r="B35" s="192">
        <v>233</v>
      </c>
      <c r="C35" s="203" t="s">
        <v>396</v>
      </c>
      <c r="D35" s="192" t="s">
        <v>397</v>
      </c>
      <c r="E35" s="192" t="s">
        <v>125</v>
      </c>
      <c r="F35" s="192" t="s">
        <v>398</v>
      </c>
      <c r="G35" s="192" t="s">
        <v>399</v>
      </c>
      <c r="H35" s="192" t="s">
        <v>99</v>
      </c>
      <c r="I35" s="192" t="s">
        <v>273</v>
      </c>
      <c r="J35" s="192" t="s">
        <v>61</v>
      </c>
      <c r="K35" s="192" t="s">
        <v>62</v>
      </c>
      <c r="L35" s="181" t="s">
        <v>101</v>
      </c>
      <c r="M35" s="181" t="s">
        <v>368</v>
      </c>
      <c r="N35" s="192" t="s">
        <v>400</v>
      </c>
      <c r="O35" s="192" t="s">
        <v>103</v>
      </c>
      <c r="P35" s="192" t="s">
        <v>66</v>
      </c>
      <c r="Q35" s="197">
        <v>1020</v>
      </c>
      <c r="R35" s="198">
        <v>3.306</v>
      </c>
      <c r="S35" s="199">
        <v>92563</v>
      </c>
      <c r="T35" s="181"/>
      <c r="U35" s="197">
        <v>3121.335</v>
      </c>
      <c r="V35" s="200">
        <v>1.9999999999999999E-6</v>
      </c>
      <c r="W35" s="200">
        <v>1.6981352597127599E-2</v>
      </c>
      <c r="X35" s="200">
        <v>3.23525792564533E-3</v>
      </c>
    </row>
    <row r="36" spans="1:24">
      <c r="A36" s="192">
        <v>233</v>
      </c>
      <c r="B36" s="192">
        <v>233</v>
      </c>
      <c r="C36" s="203" t="s">
        <v>401</v>
      </c>
      <c r="D36" s="192" t="s">
        <v>402</v>
      </c>
      <c r="E36" s="192" t="s">
        <v>125</v>
      </c>
      <c r="F36" s="192" t="s">
        <v>403</v>
      </c>
      <c r="G36" s="192" t="s">
        <v>404</v>
      </c>
      <c r="H36" s="192" t="s">
        <v>99</v>
      </c>
      <c r="I36" s="192" t="s">
        <v>273</v>
      </c>
      <c r="J36" s="192" t="s">
        <v>61</v>
      </c>
      <c r="K36" s="192" t="s">
        <v>62</v>
      </c>
      <c r="L36" s="181" t="s">
        <v>101</v>
      </c>
      <c r="M36" s="181" t="s">
        <v>368</v>
      </c>
      <c r="N36" s="192" t="s">
        <v>405</v>
      </c>
      <c r="O36" s="192" t="s">
        <v>103</v>
      </c>
      <c r="P36" s="192" t="s">
        <v>66</v>
      </c>
      <c r="Q36" s="197">
        <v>800</v>
      </c>
      <c r="R36" s="198">
        <v>3.306</v>
      </c>
      <c r="S36" s="199">
        <v>73438</v>
      </c>
      <c r="T36" s="181"/>
      <c r="U36" s="197">
        <v>1942.288</v>
      </c>
      <c r="V36" s="200">
        <v>0</v>
      </c>
      <c r="W36" s="200">
        <v>1.0566849304567799E-2</v>
      </c>
      <c r="X36" s="200">
        <v>2.0131778529518E-3</v>
      </c>
    </row>
    <row r="37" spans="1:24">
      <c r="A37" s="192">
        <v>233</v>
      </c>
      <c r="B37" s="192">
        <v>233</v>
      </c>
      <c r="C37" s="203" t="s">
        <v>406</v>
      </c>
      <c r="D37" s="192" t="s">
        <v>1785</v>
      </c>
      <c r="E37" s="192" t="s">
        <v>96</v>
      </c>
      <c r="F37" s="192" t="s">
        <v>407</v>
      </c>
      <c r="G37" s="192" t="s">
        <v>408</v>
      </c>
      <c r="H37" s="192" t="s">
        <v>99</v>
      </c>
      <c r="I37" s="192" t="s">
        <v>273</v>
      </c>
      <c r="J37" s="192" t="s">
        <v>61</v>
      </c>
      <c r="K37" s="192" t="s">
        <v>30</v>
      </c>
      <c r="L37" s="181" t="s">
        <v>101</v>
      </c>
      <c r="M37" s="181" t="s">
        <v>409</v>
      </c>
      <c r="N37" s="192" t="s">
        <v>410</v>
      </c>
      <c r="O37" s="192" t="s">
        <v>103</v>
      </c>
      <c r="P37" s="192" t="s">
        <v>66</v>
      </c>
      <c r="Q37" s="197">
        <v>1562</v>
      </c>
      <c r="R37" s="198">
        <v>3.306</v>
      </c>
      <c r="S37" s="199">
        <v>2441</v>
      </c>
      <c r="T37" s="181"/>
      <c r="U37" s="197">
        <v>126.053</v>
      </c>
      <c r="V37" s="200">
        <v>4.0000000000000003E-5</v>
      </c>
      <c r="W37" s="200">
        <v>6.8577791531848403E-4</v>
      </c>
      <c r="X37" s="200">
        <v>1.30653222296435E-4</v>
      </c>
    </row>
    <row r="38" spans="1:24">
      <c r="A38" s="192">
        <v>233</v>
      </c>
      <c r="B38" s="192">
        <v>233</v>
      </c>
      <c r="C38" s="203" t="s">
        <v>411</v>
      </c>
      <c r="D38" s="192" t="s">
        <v>412</v>
      </c>
      <c r="E38" s="192" t="s">
        <v>125</v>
      </c>
      <c r="F38" s="192" t="s">
        <v>413</v>
      </c>
      <c r="G38" s="192" t="s">
        <v>414</v>
      </c>
      <c r="H38" s="192" t="s">
        <v>99</v>
      </c>
      <c r="I38" s="192" t="s">
        <v>273</v>
      </c>
      <c r="J38" s="192" t="s">
        <v>61</v>
      </c>
      <c r="K38" s="192" t="s">
        <v>415</v>
      </c>
      <c r="L38" s="181" t="s">
        <v>101</v>
      </c>
      <c r="M38" s="181" t="s">
        <v>416</v>
      </c>
      <c r="N38" s="192" t="s">
        <v>369</v>
      </c>
      <c r="O38" s="192" t="s">
        <v>103</v>
      </c>
      <c r="P38" s="192" t="s">
        <v>417</v>
      </c>
      <c r="Q38" s="197">
        <v>42</v>
      </c>
      <c r="R38" s="198">
        <v>0.42420000000000002</v>
      </c>
      <c r="S38" s="199">
        <v>13850</v>
      </c>
      <c r="T38" s="181"/>
      <c r="U38" s="197">
        <v>2.468</v>
      </c>
      <c r="V38" s="200">
        <v>0</v>
      </c>
      <c r="W38" s="200">
        <v>1.34246065078658E-5</v>
      </c>
      <c r="X38" s="200">
        <v>2.5576328125116002E-6</v>
      </c>
    </row>
    <row r="39" spans="1:24">
      <c r="A39" s="192">
        <v>233</v>
      </c>
      <c r="B39" s="192">
        <v>233</v>
      </c>
      <c r="C39" s="203" t="s">
        <v>418</v>
      </c>
      <c r="D39" s="192" t="s">
        <v>419</v>
      </c>
      <c r="E39" s="192" t="s">
        <v>125</v>
      </c>
      <c r="F39" s="192" t="s">
        <v>420</v>
      </c>
      <c r="G39" s="192" t="s">
        <v>421</v>
      </c>
      <c r="H39" s="192" t="s">
        <v>99</v>
      </c>
      <c r="I39" s="192" t="s">
        <v>273</v>
      </c>
      <c r="J39" s="192" t="s">
        <v>61</v>
      </c>
      <c r="K39" s="192" t="s">
        <v>62</v>
      </c>
      <c r="L39" s="181" t="s">
        <v>101</v>
      </c>
      <c r="M39" s="181" t="s">
        <v>409</v>
      </c>
      <c r="N39" s="192" t="s">
        <v>422</v>
      </c>
      <c r="O39" s="192" t="s">
        <v>103</v>
      </c>
      <c r="P39" s="192" t="s">
        <v>66</v>
      </c>
      <c r="Q39" s="197">
        <v>1607</v>
      </c>
      <c r="R39" s="198">
        <v>3.306</v>
      </c>
      <c r="S39" s="199">
        <v>56881</v>
      </c>
      <c r="T39" s="181"/>
      <c r="U39" s="197">
        <v>3021.9409999999998</v>
      </c>
      <c r="V39" s="200">
        <v>9.9999999999999995E-7</v>
      </c>
      <c r="W39" s="200">
        <v>1.6440604645347901E-2</v>
      </c>
      <c r="X39" s="200">
        <v>3.1322355611566699E-3</v>
      </c>
    </row>
    <row r="40" spans="1:24">
      <c r="A40" s="192">
        <v>233</v>
      </c>
      <c r="B40" s="192">
        <v>233</v>
      </c>
      <c r="C40" s="203" t="s">
        <v>423</v>
      </c>
      <c r="D40" s="192" t="s">
        <v>424</v>
      </c>
      <c r="E40" s="192" t="s">
        <v>125</v>
      </c>
      <c r="F40" s="192" t="s">
        <v>425</v>
      </c>
      <c r="G40" s="192" t="s">
        <v>426</v>
      </c>
      <c r="H40" s="192" t="s">
        <v>99</v>
      </c>
      <c r="I40" s="192" t="s">
        <v>273</v>
      </c>
      <c r="J40" s="192" t="s">
        <v>61</v>
      </c>
      <c r="K40" s="192" t="s">
        <v>62</v>
      </c>
      <c r="L40" s="181" t="s">
        <v>101</v>
      </c>
      <c r="M40" s="181" t="s">
        <v>368</v>
      </c>
      <c r="N40" s="192" t="s">
        <v>395</v>
      </c>
      <c r="O40" s="192" t="s">
        <v>103</v>
      </c>
      <c r="P40" s="192" t="s">
        <v>66</v>
      </c>
      <c r="Q40" s="197">
        <v>3091</v>
      </c>
      <c r="R40" s="198">
        <v>3.306</v>
      </c>
      <c r="S40" s="199">
        <v>51795</v>
      </c>
      <c r="T40" s="181"/>
      <c r="U40" s="197">
        <v>5292.8509999999997</v>
      </c>
      <c r="V40" s="200">
        <v>0</v>
      </c>
      <c r="W40" s="200">
        <v>2.8795294764388201E-2</v>
      </c>
      <c r="X40" s="200">
        <v>5.4860297538099597E-3</v>
      </c>
    </row>
    <row r="41" spans="1:24">
      <c r="A41" s="192">
        <v>233</v>
      </c>
      <c r="B41" s="192">
        <v>233</v>
      </c>
      <c r="C41" s="203" t="s">
        <v>427</v>
      </c>
      <c r="D41" s="192" t="s">
        <v>428</v>
      </c>
      <c r="E41" s="192" t="s">
        <v>125</v>
      </c>
      <c r="F41" s="192" t="s">
        <v>429</v>
      </c>
      <c r="G41" s="192" t="s">
        <v>430</v>
      </c>
      <c r="H41" s="192" t="s">
        <v>99</v>
      </c>
      <c r="I41" s="192" t="s">
        <v>273</v>
      </c>
      <c r="J41" s="192" t="s">
        <v>61</v>
      </c>
      <c r="K41" s="192" t="s">
        <v>62</v>
      </c>
      <c r="L41" s="181" t="s">
        <v>101</v>
      </c>
      <c r="M41" s="181" t="s">
        <v>368</v>
      </c>
      <c r="N41" s="192" t="s">
        <v>374</v>
      </c>
      <c r="O41" s="192" t="s">
        <v>103</v>
      </c>
      <c r="P41" s="192" t="s">
        <v>66</v>
      </c>
      <c r="Q41" s="197">
        <v>11310</v>
      </c>
      <c r="R41" s="198">
        <v>3.306</v>
      </c>
      <c r="S41" s="199">
        <v>18658</v>
      </c>
      <c r="T41" s="181"/>
      <c r="U41" s="197">
        <v>6976.3869999999997</v>
      </c>
      <c r="V41" s="200">
        <v>0</v>
      </c>
      <c r="W41" s="200">
        <v>3.7954421801579701E-2</v>
      </c>
      <c r="X41" s="200">
        <v>7.2310107951952304E-3</v>
      </c>
    </row>
    <row r="42" spans="1:24">
      <c r="A42" s="192">
        <v>233</v>
      </c>
      <c r="B42" s="192">
        <v>233</v>
      </c>
      <c r="C42" s="203" t="s">
        <v>431</v>
      </c>
      <c r="D42" s="192" t="s">
        <v>432</v>
      </c>
      <c r="E42" s="192" t="s">
        <v>96</v>
      </c>
      <c r="F42" s="192" t="s">
        <v>433</v>
      </c>
      <c r="G42" s="192" t="s">
        <v>434</v>
      </c>
      <c r="H42" s="192" t="s">
        <v>99</v>
      </c>
      <c r="I42" s="192" t="s">
        <v>273</v>
      </c>
      <c r="J42" s="192" t="s">
        <v>61</v>
      </c>
      <c r="K42" s="192" t="s">
        <v>391</v>
      </c>
      <c r="L42" s="181" t="s">
        <v>101</v>
      </c>
      <c r="M42" s="181" t="s">
        <v>368</v>
      </c>
      <c r="N42" s="192" t="s">
        <v>374</v>
      </c>
      <c r="O42" s="192" t="s">
        <v>103</v>
      </c>
      <c r="P42" s="192" t="s">
        <v>66</v>
      </c>
      <c r="Q42" s="197">
        <v>4871</v>
      </c>
      <c r="R42" s="198">
        <v>3.306</v>
      </c>
      <c r="S42" s="199">
        <v>31966</v>
      </c>
      <c r="T42" s="181"/>
      <c r="U42" s="197">
        <v>5147.6530000000002</v>
      </c>
      <c r="V42" s="200">
        <v>1.73E-4</v>
      </c>
      <c r="W42" s="200">
        <v>2.8005356842181001E-2</v>
      </c>
      <c r="X42" s="200">
        <v>5.3355321471575401E-3</v>
      </c>
    </row>
    <row r="43" spans="1:24">
      <c r="A43" s="192">
        <v>233</v>
      </c>
      <c r="B43" s="192">
        <v>233</v>
      </c>
      <c r="C43" s="203" t="s">
        <v>435</v>
      </c>
      <c r="D43" s="192" t="s">
        <v>436</v>
      </c>
      <c r="E43" s="192" t="s">
        <v>125</v>
      </c>
      <c r="F43" s="192" t="s">
        <v>437</v>
      </c>
      <c r="G43" s="192" t="s">
        <v>438</v>
      </c>
      <c r="H43" s="192" t="s">
        <v>99</v>
      </c>
      <c r="I43" s="192" t="s">
        <v>273</v>
      </c>
      <c r="J43" s="192" t="s">
        <v>61</v>
      </c>
      <c r="K43" s="192" t="s">
        <v>62</v>
      </c>
      <c r="L43" s="181" t="s">
        <v>101</v>
      </c>
      <c r="M43" s="181" t="s">
        <v>409</v>
      </c>
      <c r="N43" s="192" t="s">
        <v>439</v>
      </c>
      <c r="O43" s="192" t="s">
        <v>103</v>
      </c>
      <c r="P43" s="192" t="s">
        <v>66</v>
      </c>
      <c r="Q43" s="197">
        <v>18440</v>
      </c>
      <c r="R43" s="198">
        <v>3.306</v>
      </c>
      <c r="S43" s="199">
        <v>9625</v>
      </c>
      <c r="T43" s="181"/>
      <c r="U43" s="197">
        <v>5867.6540000000005</v>
      </c>
      <c r="V43" s="200">
        <v>3.0400000000000002E-4</v>
      </c>
      <c r="W43" s="200">
        <v>3.1922459231277102E-2</v>
      </c>
      <c r="X43" s="200">
        <v>6.0818117192589401E-3</v>
      </c>
    </row>
    <row r="44" spans="1:24">
      <c r="A44" s="192">
        <v>233</v>
      </c>
      <c r="B44" s="192">
        <v>233</v>
      </c>
      <c r="C44" s="203" t="s">
        <v>440</v>
      </c>
      <c r="D44" s="192" t="s">
        <v>441</v>
      </c>
      <c r="E44" s="192" t="s">
        <v>125</v>
      </c>
      <c r="F44" s="192" t="s">
        <v>442</v>
      </c>
      <c r="G44" s="192" t="s">
        <v>443</v>
      </c>
      <c r="H44" s="192" t="s">
        <v>99</v>
      </c>
      <c r="I44" s="192" t="s">
        <v>273</v>
      </c>
      <c r="J44" s="192" t="s">
        <v>61</v>
      </c>
      <c r="K44" s="192" t="s">
        <v>391</v>
      </c>
      <c r="L44" s="181" t="s">
        <v>101</v>
      </c>
      <c r="M44" s="181" t="s">
        <v>409</v>
      </c>
      <c r="N44" s="192" t="s">
        <v>374</v>
      </c>
      <c r="O44" s="192" t="s">
        <v>103</v>
      </c>
      <c r="P44" s="192" t="s">
        <v>66</v>
      </c>
      <c r="Q44" s="197">
        <v>2450</v>
      </c>
      <c r="R44" s="198">
        <v>3.306</v>
      </c>
      <c r="S44" s="199">
        <v>27929</v>
      </c>
      <c r="T44" s="181"/>
      <c r="U44" s="197">
        <v>2262.165</v>
      </c>
      <c r="V44" s="200">
        <v>0</v>
      </c>
      <c r="W44" s="200">
        <v>1.23071121023316E-2</v>
      </c>
      <c r="X44" s="200">
        <v>2.3447297112014999E-3</v>
      </c>
    </row>
    <row r="45" spans="1:24">
      <c r="A45" s="192">
        <v>233</v>
      </c>
      <c r="B45" s="192">
        <v>233</v>
      </c>
      <c r="C45" s="203" t="s">
        <v>444</v>
      </c>
      <c r="D45" s="192" t="s">
        <v>445</v>
      </c>
      <c r="E45" s="192" t="s">
        <v>125</v>
      </c>
      <c r="F45" s="192" t="s">
        <v>446</v>
      </c>
      <c r="G45" s="192" t="s">
        <v>447</v>
      </c>
      <c r="H45" s="192" t="s">
        <v>99</v>
      </c>
      <c r="I45" s="192" t="s">
        <v>273</v>
      </c>
      <c r="J45" s="192" t="s">
        <v>61</v>
      </c>
      <c r="K45" s="192" t="s">
        <v>62</v>
      </c>
      <c r="L45" s="181" t="s">
        <v>101</v>
      </c>
      <c r="M45" s="181" t="s">
        <v>368</v>
      </c>
      <c r="N45" s="192" t="s">
        <v>448</v>
      </c>
      <c r="O45" s="192" t="s">
        <v>103</v>
      </c>
      <c r="P45" s="192" t="s">
        <v>66</v>
      </c>
      <c r="Q45" s="197">
        <v>1000</v>
      </c>
      <c r="R45" s="198">
        <v>3.306</v>
      </c>
      <c r="S45" s="199">
        <v>44472</v>
      </c>
      <c r="T45" s="181"/>
      <c r="U45" s="197">
        <v>1470.2439999999999</v>
      </c>
      <c r="V45" s="200">
        <v>0</v>
      </c>
      <c r="W45" s="200">
        <v>7.9987357068673805E-3</v>
      </c>
      <c r="X45" s="200">
        <v>1.52390529215925E-3</v>
      </c>
    </row>
    <row r="46" spans="1:24">
      <c r="A46" s="192">
        <v>233</v>
      </c>
      <c r="B46" s="192">
        <v>233</v>
      </c>
      <c r="C46" s="203" t="s">
        <v>449</v>
      </c>
      <c r="D46" s="192" t="s">
        <v>450</v>
      </c>
      <c r="E46" s="192" t="s">
        <v>125</v>
      </c>
      <c r="F46" s="192" t="s">
        <v>451</v>
      </c>
      <c r="G46" s="192" t="s">
        <v>452</v>
      </c>
      <c r="H46" s="192" t="s">
        <v>99</v>
      </c>
      <c r="I46" s="192" t="s">
        <v>273</v>
      </c>
      <c r="J46" s="192" t="s">
        <v>61</v>
      </c>
      <c r="K46" s="192" t="s">
        <v>62</v>
      </c>
      <c r="L46" s="181" t="s">
        <v>101</v>
      </c>
      <c r="M46" s="181" t="s">
        <v>409</v>
      </c>
      <c r="N46" s="192" t="s">
        <v>422</v>
      </c>
      <c r="O46" s="192" t="s">
        <v>103</v>
      </c>
      <c r="P46" s="192" t="s">
        <v>66</v>
      </c>
      <c r="Q46" s="197">
        <v>4342</v>
      </c>
      <c r="R46" s="198">
        <v>3.306</v>
      </c>
      <c r="S46" s="199">
        <v>34138</v>
      </c>
      <c r="T46" s="181"/>
      <c r="U46" s="197">
        <v>4900.3909999999996</v>
      </c>
      <c r="V46" s="200">
        <v>3.0000000000000001E-6</v>
      </c>
      <c r="W46" s="200">
        <v>2.6660149428270101E-2</v>
      </c>
      <c r="X46" s="200">
        <v>5.0792455573467699E-3</v>
      </c>
    </row>
    <row r="47" spans="1:24">
      <c r="A47" s="192">
        <v>233</v>
      </c>
      <c r="B47" s="192">
        <v>233</v>
      </c>
      <c r="C47" s="203" t="s">
        <v>453</v>
      </c>
      <c r="D47" s="192" t="s">
        <v>454</v>
      </c>
      <c r="E47" s="192" t="s">
        <v>125</v>
      </c>
      <c r="F47" s="192" t="s">
        <v>455</v>
      </c>
      <c r="G47" s="192" t="s">
        <v>456</v>
      </c>
      <c r="H47" s="192" t="s">
        <v>99</v>
      </c>
      <c r="I47" s="192" t="s">
        <v>273</v>
      </c>
      <c r="J47" s="192" t="s">
        <v>61</v>
      </c>
      <c r="K47" s="192" t="s">
        <v>62</v>
      </c>
      <c r="L47" s="181" t="s">
        <v>101</v>
      </c>
      <c r="M47" s="181" t="s">
        <v>409</v>
      </c>
      <c r="N47" s="192" t="s">
        <v>400</v>
      </c>
      <c r="O47" s="192" t="s">
        <v>103</v>
      </c>
      <c r="P47" s="192" t="s">
        <v>66</v>
      </c>
      <c r="Q47" s="197">
        <v>14569</v>
      </c>
      <c r="R47" s="198">
        <v>3.306</v>
      </c>
      <c r="S47" s="199">
        <v>10306</v>
      </c>
      <c r="T47" s="181"/>
      <c r="U47" s="197">
        <v>4963.8969999999999</v>
      </c>
      <c r="V47" s="200">
        <v>1.9999999999999999E-6</v>
      </c>
      <c r="W47" s="200">
        <v>2.7005645816931899E-2</v>
      </c>
      <c r="X47" s="200">
        <v>5.1450689317397401E-3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9F26DF06-960C-4EC9-A5AD-6348F6E2260B}">
      <formula1>israel_abroad</formula1>
    </dataValidation>
    <dataValidation type="list" allowBlank="1" showInputMessage="1" showErrorMessage="1" sqref="O2:O19" xr:uid="{87E1A65C-EE70-48E8-8619-712B1B79CCDF}">
      <formula1>Holding_interest</formula1>
    </dataValidation>
    <dataValidation type="list" allowBlank="1" showInputMessage="1" showErrorMessage="1" sqref="K2:K20" xr:uid="{5831C0C1-52AF-463C-8A4A-B91F3045B211}">
      <formula1>Country_list</formula1>
    </dataValidation>
    <dataValidation type="list" allowBlank="1" showInputMessage="1" showErrorMessage="1" sqref="E2:E20" xr:uid="{6F2590A4-E40E-4D9D-B162-ED70C71D659E}">
      <formula1>Issuer_Number_Type_2</formula1>
    </dataValidation>
    <dataValidation type="list" allowBlank="1" showInputMessage="1" showErrorMessage="1" sqref="H2:H20" xr:uid="{E3BB5981-8A92-46FF-8426-447CD843DD0C}">
      <formula1>Security_ID_Number_Type</formula1>
    </dataValidation>
    <dataValidation type="list" allowBlank="1" showInputMessage="1" showErrorMessage="1" sqref="N2:N21" xr:uid="{78E76D04-A7BC-4580-A23B-13AC34AA7EA8}">
      <formula1>Industry_Sector</formula1>
    </dataValidation>
    <dataValidation type="list" allowBlank="1" showInputMessage="1" showErrorMessage="1" sqref="L2:L20" xr:uid="{BFEDA065-5FF0-45C0-8067-F94DA841BEB5}">
      <formula1>Tradeable_Status</formula1>
    </dataValidation>
    <dataValidation type="list" allowBlank="1" showInputMessage="1" showErrorMessage="1" sqref="M2:M20" xr:uid="{FC60E4F5-15B8-4A6C-9E26-2337B30F4B8E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0"/>
  <sheetViews>
    <sheetView rightToLeft="1" topLeftCell="L1" workbookViewId="0">
      <selection activeCell="T2" sqref="T2"/>
    </sheetView>
  </sheetViews>
  <sheetFormatPr defaultColWidth="0" defaultRowHeight="14.25"/>
  <cols>
    <col min="1" max="2" width="11.625" style="3" customWidth="1"/>
    <col min="3" max="3" width="29.125" style="3" customWidth="1"/>
    <col min="4" max="4" width="28.375" style="3" customWidth="1"/>
    <col min="5" max="5" width="11.625" style="5" customWidth="1"/>
    <col min="6" max="6" width="34" style="3" customWidth="1"/>
    <col min="7" max="7" width="18.125" style="3" customWidth="1"/>
    <col min="8" max="8" width="11.625" style="3" customWidth="1"/>
    <col min="9" max="9" width="27.5" style="3" customWidth="1"/>
    <col min="10" max="10" width="11.625" style="3" customWidth="1"/>
    <col min="11" max="11" width="25.75" style="3" customWidth="1"/>
    <col min="12" max="12" width="16.5" style="3" customWidth="1"/>
    <col min="13" max="13" width="41.5" style="3" customWidth="1"/>
    <col min="14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457</v>
      </c>
      <c r="N1" s="18" t="s">
        <v>87</v>
      </c>
      <c r="O1" s="18" t="s">
        <v>11</v>
      </c>
      <c r="P1" s="18" t="s">
        <v>17</v>
      </c>
      <c r="Q1" s="147" t="s">
        <v>18</v>
      </c>
      <c r="R1" s="153" t="s">
        <v>19</v>
      </c>
      <c r="S1" s="18" t="s">
        <v>16</v>
      </c>
      <c r="T1" s="18" t="s">
        <v>20</v>
      </c>
      <c r="U1" s="149" t="s">
        <v>23</v>
      </c>
      <c r="V1" s="149" t="s">
        <v>24</v>
      </c>
      <c r="W1" s="149" t="s">
        <v>25</v>
      </c>
    </row>
    <row r="2" spans="1:23">
      <c r="A2" s="19">
        <v>233</v>
      </c>
      <c r="B2" s="19">
        <v>233</v>
      </c>
      <c r="C2" s="19" t="s">
        <v>458</v>
      </c>
      <c r="D2" s="19" t="s">
        <v>459</v>
      </c>
      <c r="E2" s="17" t="s">
        <v>96</v>
      </c>
      <c r="F2" s="19" t="s">
        <v>460</v>
      </c>
      <c r="G2" s="19" t="s">
        <v>461</v>
      </c>
      <c r="H2" s="17" t="s">
        <v>99</v>
      </c>
      <c r="I2" s="19" t="s">
        <v>462</v>
      </c>
      <c r="J2" s="17" t="s">
        <v>30</v>
      </c>
      <c r="K2" s="17" t="s">
        <v>30</v>
      </c>
      <c r="L2" s="17" t="s">
        <v>31</v>
      </c>
      <c r="M2" s="19" t="s">
        <v>463</v>
      </c>
      <c r="N2" s="19" t="s">
        <v>103</v>
      </c>
      <c r="O2" s="17" t="s">
        <v>34</v>
      </c>
      <c r="P2" s="146">
        <v>204000</v>
      </c>
      <c r="Q2" s="156">
        <v>1</v>
      </c>
      <c r="R2" s="157">
        <v>5003</v>
      </c>
      <c r="S2" s="19"/>
      <c r="T2" s="145">
        <v>10206.120000000001</v>
      </c>
      <c r="U2" s="155">
        <v>2.147E-3</v>
      </c>
      <c r="V2" s="155">
        <v>4.2020136962790201E-2</v>
      </c>
      <c r="W2" s="155">
        <v>1.0578622932828101E-2</v>
      </c>
    </row>
    <row r="3" spans="1:23">
      <c r="A3" s="19">
        <v>233</v>
      </c>
      <c r="B3" s="19">
        <v>233</v>
      </c>
      <c r="C3" s="19" t="s">
        <v>458</v>
      </c>
      <c r="D3" s="19" t="s">
        <v>459</v>
      </c>
      <c r="E3" s="17" t="s">
        <v>96</v>
      </c>
      <c r="F3" s="19" t="s">
        <v>464</v>
      </c>
      <c r="G3" s="19" t="s">
        <v>465</v>
      </c>
      <c r="H3" s="17" t="s">
        <v>99</v>
      </c>
      <c r="I3" s="19" t="s">
        <v>462</v>
      </c>
      <c r="J3" s="17" t="s">
        <v>30</v>
      </c>
      <c r="K3" s="17" t="s">
        <v>30</v>
      </c>
      <c r="L3" s="17" t="s">
        <v>31</v>
      </c>
      <c r="M3" s="19" t="s">
        <v>466</v>
      </c>
      <c r="N3" s="19" t="s">
        <v>103</v>
      </c>
      <c r="O3" s="17" t="s">
        <v>34</v>
      </c>
      <c r="P3" s="146">
        <v>219998</v>
      </c>
      <c r="Q3" s="156">
        <v>1</v>
      </c>
      <c r="R3" s="157">
        <v>4757</v>
      </c>
      <c r="S3" s="19"/>
      <c r="T3" s="145">
        <v>10465.305</v>
      </c>
      <c r="U3" s="155">
        <v>3.6670000000000001E-3</v>
      </c>
      <c r="V3" s="155">
        <v>4.3087240163211298E-2</v>
      </c>
      <c r="W3" s="155">
        <v>1.0847267520961301E-2</v>
      </c>
    </row>
    <row r="4" spans="1:23">
      <c r="A4" s="19">
        <v>233</v>
      </c>
      <c r="B4" s="19">
        <v>233</v>
      </c>
      <c r="C4" s="19" t="s">
        <v>467</v>
      </c>
      <c r="D4" s="19" t="s">
        <v>468</v>
      </c>
      <c r="E4" s="17" t="s">
        <v>96</v>
      </c>
      <c r="F4" s="19" t="s">
        <v>469</v>
      </c>
      <c r="G4" s="19" t="s">
        <v>470</v>
      </c>
      <c r="H4" s="17" t="s">
        <v>99</v>
      </c>
      <c r="I4" s="19" t="s">
        <v>462</v>
      </c>
      <c r="J4" s="17" t="s">
        <v>30</v>
      </c>
      <c r="K4" s="17" t="s">
        <v>30</v>
      </c>
      <c r="L4" s="17" t="s">
        <v>31</v>
      </c>
      <c r="M4" s="19" t="s">
        <v>471</v>
      </c>
      <c r="N4" s="19" t="s">
        <v>103</v>
      </c>
      <c r="O4" s="17" t="s">
        <v>34</v>
      </c>
      <c r="P4" s="146">
        <v>129122</v>
      </c>
      <c r="Q4" s="156">
        <v>1</v>
      </c>
      <c r="R4" s="157">
        <v>6809</v>
      </c>
      <c r="S4" s="19"/>
      <c r="T4" s="145">
        <v>8791.9169999999995</v>
      </c>
      <c r="U4" s="155">
        <v>1.7340000000000001E-3</v>
      </c>
      <c r="V4" s="155">
        <v>3.6197649612691299E-2</v>
      </c>
      <c r="W4" s="155">
        <v>9.1128043358444898E-3</v>
      </c>
    </row>
    <row r="5" spans="1:23">
      <c r="A5" s="19">
        <v>233</v>
      </c>
      <c r="B5" s="19">
        <v>233</v>
      </c>
      <c r="C5" s="19" t="s">
        <v>467</v>
      </c>
      <c r="D5" s="19" t="s">
        <v>468</v>
      </c>
      <c r="E5" s="17" t="s">
        <v>96</v>
      </c>
      <c r="F5" s="19" t="s">
        <v>472</v>
      </c>
      <c r="G5" s="19" t="s">
        <v>473</v>
      </c>
      <c r="H5" s="17" t="s">
        <v>99</v>
      </c>
      <c r="I5" s="19" t="s">
        <v>474</v>
      </c>
      <c r="J5" s="17" t="s">
        <v>30</v>
      </c>
      <c r="K5" s="17" t="s">
        <v>30</v>
      </c>
      <c r="L5" s="17" t="s">
        <v>31</v>
      </c>
      <c r="M5" s="19" t="s">
        <v>475</v>
      </c>
      <c r="N5" s="19" t="s">
        <v>103</v>
      </c>
      <c r="O5" s="17" t="s">
        <v>34</v>
      </c>
      <c r="P5" s="146">
        <v>5660000</v>
      </c>
      <c r="Q5" s="156">
        <v>1</v>
      </c>
      <c r="R5" s="157">
        <v>419.81</v>
      </c>
      <c r="S5" s="19"/>
      <c r="T5" s="145">
        <v>23761.245999999999</v>
      </c>
      <c r="U5" s="155">
        <v>2.0736999999999998E-2</v>
      </c>
      <c r="V5" s="155">
        <v>9.7828637261422602E-2</v>
      </c>
      <c r="W5" s="155">
        <v>2.4628483875181802E-2</v>
      </c>
    </row>
    <row r="6" spans="1:23">
      <c r="A6" s="19">
        <v>233</v>
      </c>
      <c r="B6" s="19">
        <v>233</v>
      </c>
      <c r="C6" s="19" t="s">
        <v>476</v>
      </c>
      <c r="D6" s="19" t="s">
        <v>477</v>
      </c>
      <c r="E6" s="17" t="s">
        <v>96</v>
      </c>
      <c r="F6" s="19" t="s">
        <v>478</v>
      </c>
      <c r="G6" s="19" t="s">
        <v>479</v>
      </c>
      <c r="H6" s="17" t="s">
        <v>99</v>
      </c>
      <c r="I6" s="19" t="s">
        <v>462</v>
      </c>
      <c r="J6" s="17" t="s">
        <v>30</v>
      </c>
      <c r="K6" s="17" t="s">
        <v>30</v>
      </c>
      <c r="L6" s="17" t="s">
        <v>31</v>
      </c>
      <c r="M6" s="19" t="s">
        <v>466</v>
      </c>
      <c r="N6" s="19" t="s">
        <v>103</v>
      </c>
      <c r="O6" s="17" t="s">
        <v>34</v>
      </c>
      <c r="P6" s="146">
        <v>22990</v>
      </c>
      <c r="Q6" s="156">
        <v>1</v>
      </c>
      <c r="R6" s="157">
        <v>30420</v>
      </c>
      <c r="S6" s="19"/>
      <c r="T6" s="145">
        <v>6993.558</v>
      </c>
      <c r="U6" s="155">
        <v>7.6099999999999996E-4</v>
      </c>
      <c r="V6" s="155">
        <v>2.8793534175300398E-2</v>
      </c>
      <c r="W6" s="155">
        <v>7.24880885594758E-3</v>
      </c>
    </row>
    <row r="7" spans="1:23">
      <c r="A7" s="19">
        <v>233</v>
      </c>
      <c r="B7" s="19">
        <v>233</v>
      </c>
      <c r="C7" s="19" t="s">
        <v>480</v>
      </c>
      <c r="D7" s="19" t="s">
        <v>481</v>
      </c>
      <c r="E7" s="17" t="s">
        <v>125</v>
      </c>
      <c r="F7" s="19" t="s">
        <v>482</v>
      </c>
      <c r="G7" s="19" t="s">
        <v>483</v>
      </c>
      <c r="H7" s="17" t="s">
        <v>99</v>
      </c>
      <c r="I7" s="19" t="s">
        <v>484</v>
      </c>
      <c r="J7" s="17" t="s">
        <v>61</v>
      </c>
      <c r="K7" s="17" t="s">
        <v>62</v>
      </c>
      <c r="L7" s="17" t="s">
        <v>409</v>
      </c>
      <c r="M7" s="19" t="s">
        <v>485</v>
      </c>
      <c r="N7" s="19" t="s">
        <v>103</v>
      </c>
      <c r="O7" s="17" t="s">
        <v>66</v>
      </c>
      <c r="P7" s="146">
        <v>5600</v>
      </c>
      <c r="Q7" s="156">
        <v>3.306</v>
      </c>
      <c r="R7" s="157">
        <v>28186</v>
      </c>
      <c r="S7" s="19"/>
      <c r="T7" s="145">
        <v>5218.2430000000004</v>
      </c>
      <c r="U7" s="155">
        <v>1.9000000000000001E-5</v>
      </c>
      <c r="V7" s="155">
        <v>2.1484295501432601E-2</v>
      </c>
      <c r="W7" s="155">
        <v>5.40869872195725E-3</v>
      </c>
    </row>
    <row r="8" spans="1:23">
      <c r="A8" s="19">
        <v>233</v>
      </c>
      <c r="B8" s="19">
        <v>233</v>
      </c>
      <c r="C8" s="19" t="s">
        <v>486</v>
      </c>
      <c r="D8" s="19" t="s">
        <v>487</v>
      </c>
      <c r="E8" s="17" t="s">
        <v>125</v>
      </c>
      <c r="F8" s="19" t="s">
        <v>488</v>
      </c>
      <c r="G8" s="19" t="s">
        <v>489</v>
      </c>
      <c r="H8" s="17" t="s">
        <v>99</v>
      </c>
      <c r="I8" s="19" t="s">
        <v>484</v>
      </c>
      <c r="J8" s="17" t="s">
        <v>61</v>
      </c>
      <c r="K8" s="17" t="s">
        <v>490</v>
      </c>
      <c r="L8" s="17" t="s">
        <v>491</v>
      </c>
      <c r="M8" s="19" t="s">
        <v>492</v>
      </c>
      <c r="N8" s="19" t="s">
        <v>103</v>
      </c>
      <c r="O8" s="17" t="s">
        <v>380</v>
      </c>
      <c r="P8" s="146">
        <v>5430</v>
      </c>
      <c r="Q8" s="156">
        <v>3.8807</v>
      </c>
      <c r="R8" s="157">
        <v>21790</v>
      </c>
      <c r="S8" s="19"/>
      <c r="T8" s="145">
        <v>4591.6329999999998</v>
      </c>
      <c r="U8" s="155">
        <v>1.0859999999999999E-3</v>
      </c>
      <c r="V8" s="155">
        <v>1.8904444651500301E-2</v>
      </c>
      <c r="W8" s="155">
        <v>4.7592179887426603E-3</v>
      </c>
    </row>
    <row r="9" spans="1:23">
      <c r="A9" s="19">
        <v>233</v>
      </c>
      <c r="B9" s="19">
        <v>233</v>
      </c>
      <c r="C9" s="19" t="s">
        <v>493</v>
      </c>
      <c r="D9" s="19" t="s">
        <v>494</v>
      </c>
      <c r="E9" s="17" t="s">
        <v>125</v>
      </c>
      <c r="F9" s="19" t="s">
        <v>495</v>
      </c>
      <c r="G9" s="19" t="s">
        <v>496</v>
      </c>
      <c r="H9" s="17" t="s">
        <v>99</v>
      </c>
      <c r="I9" s="19" t="s">
        <v>484</v>
      </c>
      <c r="J9" s="17" t="s">
        <v>61</v>
      </c>
      <c r="K9" s="17" t="s">
        <v>497</v>
      </c>
      <c r="L9" s="17" t="s">
        <v>498</v>
      </c>
      <c r="M9" s="19" t="s">
        <v>499</v>
      </c>
      <c r="N9" s="19" t="s">
        <v>103</v>
      </c>
      <c r="O9" s="17" t="s">
        <v>380</v>
      </c>
      <c r="P9" s="146">
        <v>22337</v>
      </c>
      <c r="Q9" s="156">
        <v>3.8807</v>
      </c>
      <c r="R9" s="157">
        <v>5912</v>
      </c>
      <c r="S9" s="19"/>
      <c r="T9" s="145">
        <v>5124.7110000000002</v>
      </c>
      <c r="U9" s="155">
        <v>5.2599999999999999E-4</v>
      </c>
      <c r="V9" s="155">
        <v>2.10992070299999E-2</v>
      </c>
      <c r="W9" s="155">
        <v>5.3117522094155798E-3</v>
      </c>
    </row>
    <row r="10" spans="1:23">
      <c r="A10" s="19">
        <v>233</v>
      </c>
      <c r="B10" s="19">
        <v>233</v>
      </c>
      <c r="C10" s="19" t="s">
        <v>480</v>
      </c>
      <c r="D10" s="19" t="s">
        <v>481</v>
      </c>
      <c r="E10" s="17" t="s">
        <v>125</v>
      </c>
      <c r="F10" s="19" t="s">
        <v>500</v>
      </c>
      <c r="G10" s="19" t="s">
        <v>501</v>
      </c>
      <c r="H10" s="17" t="s">
        <v>99</v>
      </c>
      <c r="I10" s="19" t="s">
        <v>484</v>
      </c>
      <c r="J10" s="17" t="s">
        <v>61</v>
      </c>
      <c r="K10" s="17" t="s">
        <v>62</v>
      </c>
      <c r="L10" s="17" t="s">
        <v>409</v>
      </c>
      <c r="M10" s="19" t="s">
        <v>502</v>
      </c>
      <c r="N10" s="19" t="s">
        <v>103</v>
      </c>
      <c r="O10" s="17" t="s">
        <v>66</v>
      </c>
      <c r="P10" s="146">
        <v>15220</v>
      </c>
      <c r="Q10" s="156">
        <v>3.306</v>
      </c>
      <c r="R10" s="157">
        <v>5387</v>
      </c>
      <c r="S10" s="19"/>
      <c r="T10" s="145">
        <v>2710.5940000000001</v>
      </c>
      <c r="U10" s="155">
        <v>1.2999999999999999E-5</v>
      </c>
      <c r="V10" s="155">
        <v>1.11599248611509E-2</v>
      </c>
      <c r="W10" s="155">
        <v>2.8095252799711602E-3</v>
      </c>
    </row>
    <row r="11" spans="1:23">
      <c r="A11" s="19">
        <v>233</v>
      </c>
      <c r="B11" s="19">
        <v>233</v>
      </c>
      <c r="C11" s="19" t="s">
        <v>503</v>
      </c>
      <c r="D11" s="19" t="s">
        <v>504</v>
      </c>
      <c r="E11" s="17" t="s">
        <v>125</v>
      </c>
      <c r="F11" s="19" t="s">
        <v>505</v>
      </c>
      <c r="G11" s="19" t="s">
        <v>506</v>
      </c>
      <c r="H11" s="17" t="s">
        <v>99</v>
      </c>
      <c r="I11" s="19" t="s">
        <v>484</v>
      </c>
      <c r="J11" s="17" t="s">
        <v>61</v>
      </c>
      <c r="K11" s="17" t="s">
        <v>391</v>
      </c>
      <c r="L11" s="17" t="s">
        <v>368</v>
      </c>
      <c r="M11" s="19" t="s">
        <v>507</v>
      </c>
      <c r="N11" s="19" t="s">
        <v>103</v>
      </c>
      <c r="O11" s="17" t="s">
        <v>66</v>
      </c>
      <c r="P11" s="146">
        <v>16274</v>
      </c>
      <c r="Q11" s="156">
        <v>3.306</v>
      </c>
      <c r="R11" s="157">
        <v>2326</v>
      </c>
      <c r="S11" s="19"/>
      <c r="T11" s="145">
        <v>1251.431</v>
      </c>
      <c r="U11" s="155">
        <v>4.26E-4</v>
      </c>
      <c r="V11" s="155">
        <v>5.1523299214368797E-3</v>
      </c>
      <c r="W11" s="155">
        <v>1.29710561183258E-3</v>
      </c>
    </row>
    <row r="12" spans="1:23">
      <c r="A12" s="19">
        <v>233</v>
      </c>
      <c r="B12" s="19">
        <v>233</v>
      </c>
      <c r="C12" s="19" t="s">
        <v>480</v>
      </c>
      <c r="D12" s="19" t="s">
        <v>481</v>
      </c>
      <c r="E12" s="17" t="s">
        <v>125</v>
      </c>
      <c r="F12" s="19" t="s">
        <v>508</v>
      </c>
      <c r="G12" s="19" t="s">
        <v>509</v>
      </c>
      <c r="H12" s="17" t="s">
        <v>99</v>
      </c>
      <c r="I12" s="19" t="s">
        <v>484</v>
      </c>
      <c r="J12" s="17" t="s">
        <v>61</v>
      </c>
      <c r="K12" s="17" t="s">
        <v>62</v>
      </c>
      <c r="L12" s="17" t="s">
        <v>409</v>
      </c>
      <c r="M12" s="19" t="s">
        <v>507</v>
      </c>
      <c r="N12" s="19" t="s">
        <v>103</v>
      </c>
      <c r="O12" s="17" t="s">
        <v>66</v>
      </c>
      <c r="P12" s="146">
        <v>4153</v>
      </c>
      <c r="Q12" s="156">
        <v>3.306</v>
      </c>
      <c r="R12" s="157">
        <v>15423</v>
      </c>
      <c r="S12" s="19"/>
      <c r="T12" s="145">
        <v>2117.5500000000002</v>
      </c>
      <c r="U12" s="155">
        <v>3.0000000000000001E-5</v>
      </c>
      <c r="V12" s="155">
        <v>8.7182723589391397E-3</v>
      </c>
      <c r="W12" s="155">
        <v>2.1948361565928402E-3</v>
      </c>
    </row>
    <row r="13" spans="1:23">
      <c r="A13" s="19">
        <v>233</v>
      </c>
      <c r="B13" s="19">
        <v>233</v>
      </c>
      <c r="C13" s="19" t="s">
        <v>510</v>
      </c>
      <c r="D13" s="19" t="s">
        <v>511</v>
      </c>
      <c r="E13" s="17" t="s">
        <v>125</v>
      </c>
      <c r="F13" s="19" t="s">
        <v>512</v>
      </c>
      <c r="G13" s="19" t="s">
        <v>513</v>
      </c>
      <c r="H13" s="17" t="s">
        <v>99</v>
      </c>
      <c r="I13" s="19" t="s">
        <v>514</v>
      </c>
      <c r="J13" s="17" t="s">
        <v>61</v>
      </c>
      <c r="K13" s="17" t="s">
        <v>62</v>
      </c>
      <c r="L13" s="17" t="s">
        <v>515</v>
      </c>
      <c r="M13" s="19" t="s">
        <v>516</v>
      </c>
      <c r="N13" s="19" t="s">
        <v>103</v>
      </c>
      <c r="O13" s="17" t="s">
        <v>66</v>
      </c>
      <c r="P13" s="146">
        <v>210000</v>
      </c>
      <c r="Q13" s="156">
        <v>3.306</v>
      </c>
      <c r="R13" s="157">
        <v>2918</v>
      </c>
      <c r="S13" s="19"/>
      <c r="T13" s="145">
        <v>20258.507000000001</v>
      </c>
      <c r="U13" s="155">
        <v>1.0194E-2</v>
      </c>
      <c r="V13" s="155">
        <v>8.3407331130499807E-2</v>
      </c>
      <c r="W13" s="155">
        <v>2.0997901711848899E-2</v>
      </c>
    </row>
    <row r="14" spans="1:23">
      <c r="A14" s="19">
        <v>233</v>
      </c>
      <c r="B14" s="19">
        <v>233</v>
      </c>
      <c r="C14" s="19" t="s">
        <v>510</v>
      </c>
      <c r="D14" s="19" t="s">
        <v>511</v>
      </c>
      <c r="E14" s="17" t="s">
        <v>125</v>
      </c>
      <c r="F14" s="19" t="s">
        <v>517</v>
      </c>
      <c r="G14" s="19" t="s">
        <v>518</v>
      </c>
      <c r="H14" s="17" t="s">
        <v>99</v>
      </c>
      <c r="I14" s="19" t="s">
        <v>484</v>
      </c>
      <c r="J14" s="17" t="s">
        <v>61</v>
      </c>
      <c r="K14" s="17" t="s">
        <v>62</v>
      </c>
      <c r="L14" s="17" t="s">
        <v>368</v>
      </c>
      <c r="M14" s="19" t="s">
        <v>519</v>
      </c>
      <c r="N14" s="19" t="s">
        <v>103</v>
      </c>
      <c r="O14" s="17" t="s">
        <v>66</v>
      </c>
      <c r="P14" s="146">
        <v>8100</v>
      </c>
      <c r="Q14" s="156">
        <v>3.306</v>
      </c>
      <c r="R14" s="157">
        <v>60037</v>
      </c>
      <c r="S14" s="19"/>
      <c r="T14" s="145">
        <v>16077.067999999999</v>
      </c>
      <c r="U14" s="155">
        <v>1.5E-5</v>
      </c>
      <c r="V14" s="155">
        <v>6.6191716613731993E-2</v>
      </c>
      <c r="W14" s="155">
        <v>1.6663848857830801E-2</v>
      </c>
    </row>
    <row r="15" spans="1:23">
      <c r="A15" s="19">
        <v>233</v>
      </c>
      <c r="B15" s="19">
        <v>233</v>
      </c>
      <c r="C15" s="19" t="s">
        <v>520</v>
      </c>
      <c r="D15" s="19" t="s">
        <v>521</v>
      </c>
      <c r="E15" s="17" t="s">
        <v>125</v>
      </c>
      <c r="F15" s="19" t="s">
        <v>522</v>
      </c>
      <c r="G15" s="19" t="s">
        <v>523</v>
      </c>
      <c r="H15" s="17" t="s">
        <v>99</v>
      </c>
      <c r="I15" s="19" t="s">
        <v>484</v>
      </c>
      <c r="J15" s="17" t="s">
        <v>61</v>
      </c>
      <c r="K15" s="17" t="s">
        <v>62</v>
      </c>
      <c r="L15" s="17" t="s">
        <v>409</v>
      </c>
      <c r="M15" s="19" t="s">
        <v>524</v>
      </c>
      <c r="N15" s="19" t="s">
        <v>103</v>
      </c>
      <c r="O15" s="17" t="s">
        <v>66</v>
      </c>
      <c r="P15" s="146">
        <v>1520</v>
      </c>
      <c r="Q15" s="156">
        <v>3.306</v>
      </c>
      <c r="R15" s="157">
        <v>66930</v>
      </c>
      <c r="S15" s="19"/>
      <c r="T15" s="145">
        <v>3363.3130000000001</v>
      </c>
      <c r="U15" s="155">
        <v>1.9999999999999999E-6</v>
      </c>
      <c r="V15" s="155">
        <v>1.3847266657361201E-2</v>
      </c>
      <c r="W15" s="155">
        <v>3.4860669956469602E-3</v>
      </c>
    </row>
    <row r="16" spans="1:23">
      <c r="A16" s="19">
        <v>233</v>
      </c>
      <c r="B16" s="19">
        <v>233</v>
      </c>
      <c r="C16" s="19" t="s">
        <v>520</v>
      </c>
      <c r="D16" s="19" t="s">
        <v>521</v>
      </c>
      <c r="E16" s="17" t="s">
        <v>125</v>
      </c>
      <c r="F16" s="19" t="s">
        <v>525</v>
      </c>
      <c r="G16" s="19" t="s">
        <v>526</v>
      </c>
      <c r="H16" s="17" t="s">
        <v>99</v>
      </c>
      <c r="I16" s="19" t="s">
        <v>484</v>
      </c>
      <c r="J16" s="17" t="s">
        <v>61</v>
      </c>
      <c r="K16" s="17" t="s">
        <v>415</v>
      </c>
      <c r="L16" s="17" t="s">
        <v>409</v>
      </c>
      <c r="M16" s="19" t="s">
        <v>527</v>
      </c>
      <c r="N16" s="19" t="s">
        <v>103</v>
      </c>
      <c r="O16" s="17" t="s">
        <v>66</v>
      </c>
      <c r="P16" s="146">
        <v>23693</v>
      </c>
      <c r="Q16" s="156">
        <v>3.306</v>
      </c>
      <c r="R16" s="157">
        <v>4114</v>
      </c>
      <c r="S16" s="19"/>
      <c r="T16" s="145">
        <v>3222.4569999999999</v>
      </c>
      <c r="U16" s="155">
        <v>2.9500000000000001E-4</v>
      </c>
      <c r="V16" s="155">
        <v>1.3267343833182999E-2</v>
      </c>
      <c r="W16" s="155">
        <v>3.3400706869591802E-3</v>
      </c>
    </row>
    <row r="17" spans="1:23">
      <c r="A17" s="19">
        <v>233</v>
      </c>
      <c r="B17" s="19">
        <v>233</v>
      </c>
      <c r="C17" s="19" t="s">
        <v>520</v>
      </c>
      <c r="D17" s="19" t="s">
        <v>521</v>
      </c>
      <c r="E17" s="17" t="s">
        <v>125</v>
      </c>
      <c r="F17" s="19" t="s">
        <v>528</v>
      </c>
      <c r="G17" s="19" t="s">
        <v>529</v>
      </c>
      <c r="H17" s="17" t="s">
        <v>99</v>
      </c>
      <c r="I17" s="19" t="s">
        <v>484</v>
      </c>
      <c r="J17" s="17" t="s">
        <v>61</v>
      </c>
      <c r="K17" s="17" t="s">
        <v>62</v>
      </c>
      <c r="L17" s="17" t="s">
        <v>515</v>
      </c>
      <c r="M17" s="19" t="s">
        <v>519</v>
      </c>
      <c r="N17" s="19" t="s">
        <v>103</v>
      </c>
      <c r="O17" s="17" t="s">
        <v>66</v>
      </c>
      <c r="P17" s="146">
        <v>880</v>
      </c>
      <c r="Q17" s="156">
        <v>3.306</v>
      </c>
      <c r="R17" s="157">
        <v>140840</v>
      </c>
      <c r="S17" s="19"/>
      <c r="T17" s="145">
        <v>4097.43</v>
      </c>
      <c r="U17" s="155">
        <v>6.6000000000000005E-5</v>
      </c>
      <c r="V17" s="155">
        <v>1.6869737743479302E-2</v>
      </c>
      <c r="W17" s="155">
        <v>4.2469779363640799E-3</v>
      </c>
    </row>
    <row r="18" spans="1:23">
      <c r="A18" s="19">
        <v>233</v>
      </c>
      <c r="B18" s="19">
        <v>233</v>
      </c>
      <c r="C18" s="19" t="s">
        <v>520</v>
      </c>
      <c r="D18" s="19" t="s">
        <v>521</v>
      </c>
      <c r="E18" s="17" t="s">
        <v>125</v>
      </c>
      <c r="F18" s="19" t="s">
        <v>530</v>
      </c>
      <c r="G18" s="19" t="s">
        <v>531</v>
      </c>
      <c r="H18" s="17" t="s">
        <v>99</v>
      </c>
      <c r="I18" s="19" t="s">
        <v>484</v>
      </c>
      <c r="J18" s="17" t="s">
        <v>61</v>
      </c>
      <c r="K18" s="17" t="s">
        <v>62</v>
      </c>
      <c r="L18" s="17" t="s">
        <v>515</v>
      </c>
      <c r="M18" s="19" t="s">
        <v>532</v>
      </c>
      <c r="N18" s="19" t="s">
        <v>103</v>
      </c>
      <c r="O18" s="17" t="s">
        <v>66</v>
      </c>
      <c r="P18" s="146">
        <v>113050</v>
      </c>
      <c r="Q18" s="156">
        <v>3.306</v>
      </c>
      <c r="R18" s="157">
        <v>711.4</v>
      </c>
      <c r="S18" s="19"/>
      <c r="T18" s="145">
        <v>2658.81</v>
      </c>
      <c r="U18" s="155">
        <v>1.753E-3</v>
      </c>
      <c r="V18" s="155">
        <v>1.0946721523472E-2</v>
      </c>
      <c r="W18" s="155">
        <v>2.7558510685014798E-3</v>
      </c>
    </row>
    <row r="19" spans="1:23">
      <c r="A19" s="19">
        <v>233</v>
      </c>
      <c r="B19" s="19">
        <v>233</v>
      </c>
      <c r="C19" s="19" t="s">
        <v>520</v>
      </c>
      <c r="D19" s="19" t="s">
        <v>521</v>
      </c>
      <c r="E19" s="17" t="s">
        <v>125</v>
      </c>
      <c r="F19" s="19" t="s">
        <v>533</v>
      </c>
      <c r="G19" s="19" t="s">
        <v>534</v>
      </c>
      <c r="H19" s="17" t="s">
        <v>99</v>
      </c>
      <c r="I19" s="19" t="s">
        <v>484</v>
      </c>
      <c r="J19" s="17" t="s">
        <v>61</v>
      </c>
      <c r="K19" s="17" t="s">
        <v>62</v>
      </c>
      <c r="L19" s="17" t="s">
        <v>409</v>
      </c>
      <c r="M19" s="19" t="s">
        <v>507</v>
      </c>
      <c r="N19" s="19" t="s">
        <v>103</v>
      </c>
      <c r="O19" s="17" t="s">
        <v>66</v>
      </c>
      <c r="P19" s="146">
        <v>10650</v>
      </c>
      <c r="Q19" s="156">
        <v>3.306</v>
      </c>
      <c r="R19" s="157">
        <v>10725</v>
      </c>
      <c r="S19" s="19"/>
      <c r="T19" s="145">
        <v>3776.1550000000002</v>
      </c>
      <c r="U19" s="155">
        <v>2.4000000000000001E-4</v>
      </c>
      <c r="V19" s="155">
        <v>1.55469983042684E-2</v>
      </c>
      <c r="W19" s="155">
        <v>3.91397659992904E-3</v>
      </c>
    </row>
    <row r="20" spans="1:23">
      <c r="A20" s="3">
        <v>233</v>
      </c>
      <c r="B20" s="3">
        <v>233</v>
      </c>
      <c r="C20" s="3" t="s">
        <v>535</v>
      </c>
      <c r="D20" s="3" t="s">
        <v>536</v>
      </c>
      <c r="E20" s="17" t="s">
        <v>125</v>
      </c>
      <c r="F20" s="3" t="s">
        <v>537</v>
      </c>
      <c r="G20" s="3" t="s">
        <v>538</v>
      </c>
      <c r="H20" s="17" t="s">
        <v>99</v>
      </c>
      <c r="I20" s="19" t="s">
        <v>484</v>
      </c>
      <c r="J20" s="17" t="s">
        <v>61</v>
      </c>
      <c r="K20" s="17" t="s">
        <v>415</v>
      </c>
      <c r="L20" s="17" t="s">
        <v>409</v>
      </c>
      <c r="M20" s="19" t="s">
        <v>527</v>
      </c>
      <c r="N20" s="19" t="s">
        <v>103</v>
      </c>
      <c r="O20" s="3" t="s">
        <v>66</v>
      </c>
      <c r="P20" s="146">
        <v>36290</v>
      </c>
      <c r="Q20" s="148">
        <v>3.306</v>
      </c>
      <c r="R20" s="158">
        <v>4201</v>
      </c>
      <c r="T20" s="143">
        <v>5040.1390000000001</v>
      </c>
      <c r="U20" s="150">
        <v>2.4600000000000002E-4</v>
      </c>
      <c r="V20" s="150">
        <v>2.0751012513945E-2</v>
      </c>
      <c r="W20" s="150">
        <v>5.2240937970718703E-3</v>
      </c>
    </row>
    <row r="21" spans="1:23" s="35" customFormat="1">
      <c r="A21" s="35">
        <v>233</v>
      </c>
      <c r="B21" s="35">
        <v>233</v>
      </c>
      <c r="C21" s="35" t="s">
        <v>520</v>
      </c>
      <c r="D21" s="35" t="s">
        <v>521</v>
      </c>
      <c r="E21" s="38" t="s">
        <v>125</v>
      </c>
      <c r="F21" s="35" t="s">
        <v>539</v>
      </c>
      <c r="G21" s="35" t="s">
        <v>540</v>
      </c>
      <c r="H21" s="38" t="s">
        <v>99</v>
      </c>
      <c r="I21" s="35" t="s">
        <v>484</v>
      </c>
      <c r="J21" s="35" t="s">
        <v>61</v>
      </c>
      <c r="K21" s="35" t="s">
        <v>497</v>
      </c>
      <c r="L21" s="38" t="s">
        <v>498</v>
      </c>
      <c r="M21" s="34" t="s">
        <v>541</v>
      </c>
      <c r="N21" s="35" t="s">
        <v>103</v>
      </c>
      <c r="O21" s="35" t="s">
        <v>380</v>
      </c>
      <c r="P21" s="144">
        <v>72415</v>
      </c>
      <c r="Q21" s="148">
        <v>3.8807</v>
      </c>
      <c r="R21" s="158">
        <v>5563</v>
      </c>
      <c r="T21" s="143">
        <v>15633.191999999999</v>
      </c>
      <c r="U21" s="150">
        <v>7.4200000000000004E-4</v>
      </c>
      <c r="V21" s="150">
        <v>6.4364212337892898E-2</v>
      </c>
      <c r="W21" s="150">
        <v>1.62037723316798E-2</v>
      </c>
    </row>
    <row r="22" spans="1:23">
      <c r="A22" s="3">
        <v>233</v>
      </c>
      <c r="B22" s="3">
        <v>233</v>
      </c>
      <c r="C22" s="3" t="s">
        <v>480</v>
      </c>
      <c r="D22" s="3" t="s">
        <v>481</v>
      </c>
      <c r="E22" s="5" t="s">
        <v>125</v>
      </c>
      <c r="F22" s="3" t="s">
        <v>542</v>
      </c>
      <c r="G22" s="3" t="s">
        <v>543</v>
      </c>
      <c r="H22" s="3" t="s">
        <v>99</v>
      </c>
      <c r="I22" s="3" t="s">
        <v>484</v>
      </c>
      <c r="J22" s="3" t="s">
        <v>61</v>
      </c>
      <c r="K22" s="3" t="s">
        <v>62</v>
      </c>
      <c r="L22" s="5" t="s">
        <v>515</v>
      </c>
      <c r="M22" s="3" t="s">
        <v>485</v>
      </c>
      <c r="N22" s="3" t="s">
        <v>103</v>
      </c>
      <c r="O22" s="3" t="s">
        <v>66</v>
      </c>
      <c r="P22" s="144">
        <v>28200</v>
      </c>
      <c r="Q22" s="148">
        <v>3.306</v>
      </c>
      <c r="R22" s="158">
        <v>15018</v>
      </c>
      <c r="T22" s="143">
        <v>14001.161</v>
      </c>
      <c r="U22" s="150">
        <v>3.398E-3</v>
      </c>
      <c r="V22" s="150">
        <v>5.7644894790109397E-2</v>
      </c>
      <c r="W22" s="150">
        <v>1.4512175591600601E-2</v>
      </c>
    </row>
    <row r="23" spans="1:23">
      <c r="A23" s="3">
        <v>233</v>
      </c>
      <c r="B23" s="3">
        <v>233</v>
      </c>
      <c r="C23" s="3" t="s">
        <v>480</v>
      </c>
      <c r="D23" s="3" t="s">
        <v>481</v>
      </c>
      <c r="E23" s="5" t="s">
        <v>125</v>
      </c>
      <c r="F23" s="3" t="s">
        <v>544</v>
      </c>
      <c r="G23" s="3" t="s">
        <v>545</v>
      </c>
      <c r="H23" s="3" t="s">
        <v>99</v>
      </c>
      <c r="I23" s="3" t="s">
        <v>484</v>
      </c>
      <c r="J23" s="3" t="s">
        <v>61</v>
      </c>
      <c r="K23" s="3" t="s">
        <v>62</v>
      </c>
      <c r="L23" s="3" t="s">
        <v>515</v>
      </c>
      <c r="M23" s="3" t="s">
        <v>507</v>
      </c>
      <c r="N23" s="3" t="s">
        <v>103</v>
      </c>
      <c r="O23" s="3" t="s">
        <v>66</v>
      </c>
      <c r="P23" s="144">
        <v>15254</v>
      </c>
      <c r="Q23" s="148">
        <v>3.306</v>
      </c>
      <c r="R23" s="158">
        <v>3509.8</v>
      </c>
      <c r="T23" s="143">
        <v>1769.982</v>
      </c>
      <c r="U23" s="150">
        <v>1.2819999999999999E-3</v>
      </c>
      <c r="V23" s="150">
        <v>7.2872849912384297E-3</v>
      </c>
      <c r="W23" s="150">
        <v>1.8345832664618299E-3</v>
      </c>
    </row>
    <row r="24" spans="1:23">
      <c r="A24" s="3">
        <v>233</v>
      </c>
      <c r="B24" s="3">
        <v>233</v>
      </c>
      <c r="C24" s="3" t="s">
        <v>480</v>
      </c>
      <c r="D24" s="3" t="s">
        <v>481</v>
      </c>
      <c r="E24" s="5" t="s">
        <v>125</v>
      </c>
      <c r="F24" s="3" t="s">
        <v>546</v>
      </c>
      <c r="G24" s="3" t="s">
        <v>547</v>
      </c>
      <c r="H24" s="3" t="s">
        <v>99</v>
      </c>
      <c r="I24" s="3" t="s">
        <v>484</v>
      </c>
      <c r="J24" s="3" t="s">
        <v>61</v>
      </c>
      <c r="K24" s="3" t="s">
        <v>62</v>
      </c>
      <c r="L24" s="3" t="s">
        <v>515</v>
      </c>
      <c r="M24" s="3" t="s">
        <v>502</v>
      </c>
      <c r="N24" s="3" t="s">
        <v>103</v>
      </c>
      <c r="O24" s="3" t="s">
        <v>66</v>
      </c>
      <c r="P24" s="144">
        <v>30800</v>
      </c>
      <c r="Q24" s="148">
        <v>3.306</v>
      </c>
      <c r="R24" s="158">
        <v>6304</v>
      </c>
      <c r="T24" s="143">
        <v>6419.0349999999999</v>
      </c>
      <c r="U24" s="150">
        <v>9.2999999999999997E-5</v>
      </c>
      <c r="V24" s="150">
        <v>2.6428137856583801E-2</v>
      </c>
      <c r="W24" s="150">
        <v>6.6533173237671803E-3</v>
      </c>
    </row>
    <row r="25" spans="1:23">
      <c r="A25" s="3">
        <v>233</v>
      </c>
      <c r="B25" s="3">
        <v>233</v>
      </c>
      <c r="C25" s="3" t="s">
        <v>480</v>
      </c>
      <c r="D25" s="3" t="s">
        <v>481</v>
      </c>
      <c r="E25" s="5" t="s">
        <v>125</v>
      </c>
      <c r="F25" s="3" t="s">
        <v>548</v>
      </c>
      <c r="G25" s="3" t="s">
        <v>549</v>
      </c>
      <c r="H25" s="3" t="s">
        <v>99</v>
      </c>
      <c r="I25" s="3" t="s">
        <v>484</v>
      </c>
      <c r="J25" s="3" t="s">
        <v>61</v>
      </c>
      <c r="K25" s="3" t="s">
        <v>62</v>
      </c>
      <c r="L25" s="3" t="s">
        <v>515</v>
      </c>
      <c r="M25" s="3" t="s">
        <v>524</v>
      </c>
      <c r="N25" s="3" t="s">
        <v>103</v>
      </c>
      <c r="O25" s="3" t="s">
        <v>66</v>
      </c>
      <c r="P25" s="144">
        <v>726060</v>
      </c>
      <c r="Q25" s="148">
        <v>3.306</v>
      </c>
      <c r="R25" s="158">
        <v>1629.6</v>
      </c>
      <c r="T25" s="143">
        <v>39116.175000000003</v>
      </c>
      <c r="U25" s="150">
        <v>5.3782000000000003E-2</v>
      </c>
      <c r="V25" s="150">
        <v>0.161047196807107</v>
      </c>
      <c r="W25" s="150">
        <v>4.0543836659075599E-2</v>
      </c>
    </row>
    <row r="26" spans="1:23">
      <c r="A26" s="3">
        <v>233</v>
      </c>
      <c r="B26" s="3">
        <v>233</v>
      </c>
      <c r="C26" s="3" t="s">
        <v>480</v>
      </c>
      <c r="D26" s="3" t="s">
        <v>481</v>
      </c>
      <c r="E26" s="5" t="s">
        <v>125</v>
      </c>
      <c r="F26" s="3" t="s">
        <v>550</v>
      </c>
      <c r="G26" s="9" t="s">
        <v>551</v>
      </c>
      <c r="H26" s="3" t="s">
        <v>99</v>
      </c>
      <c r="I26" s="3" t="s">
        <v>484</v>
      </c>
      <c r="J26" s="3" t="s">
        <v>61</v>
      </c>
      <c r="K26" s="3" t="s">
        <v>415</v>
      </c>
      <c r="L26" s="3" t="s">
        <v>409</v>
      </c>
      <c r="M26" s="3" t="s">
        <v>527</v>
      </c>
      <c r="N26" s="3" t="s">
        <v>103</v>
      </c>
      <c r="O26" s="3" t="s">
        <v>66</v>
      </c>
      <c r="P26" s="144">
        <v>6248</v>
      </c>
      <c r="Q26" s="148">
        <v>3.306</v>
      </c>
      <c r="R26" s="158">
        <v>10497</v>
      </c>
      <c r="T26" s="143">
        <v>2168.2489999999998</v>
      </c>
      <c r="U26" s="150">
        <v>3.5199999999999999E-4</v>
      </c>
      <c r="V26" s="150">
        <v>8.9270066981144893E-3</v>
      </c>
      <c r="W26" s="150">
        <v>2.2473852920043801E-3</v>
      </c>
    </row>
    <row r="27" spans="1:23">
      <c r="A27" s="3">
        <v>233</v>
      </c>
      <c r="B27" s="3">
        <v>233</v>
      </c>
      <c r="C27" s="3" t="s">
        <v>510</v>
      </c>
      <c r="D27" s="3" t="s">
        <v>511</v>
      </c>
      <c r="E27" s="5" t="s">
        <v>125</v>
      </c>
      <c r="F27" s="3" t="s">
        <v>552</v>
      </c>
      <c r="G27" s="3" t="s">
        <v>553</v>
      </c>
      <c r="H27" s="3" t="s">
        <v>99</v>
      </c>
      <c r="I27" s="3" t="s">
        <v>484</v>
      </c>
      <c r="J27" s="3" t="s">
        <v>61</v>
      </c>
      <c r="K27" s="3" t="s">
        <v>62</v>
      </c>
      <c r="L27" s="3" t="s">
        <v>368</v>
      </c>
      <c r="M27" s="3" t="s">
        <v>524</v>
      </c>
      <c r="N27" s="3" t="s">
        <v>103</v>
      </c>
      <c r="O27" s="3" t="s">
        <v>66</v>
      </c>
      <c r="P27" s="144">
        <v>2025</v>
      </c>
      <c r="Q27" s="148">
        <v>3.306</v>
      </c>
      <c r="R27" s="158">
        <v>132112.79999999999</v>
      </c>
      <c r="T27" s="143">
        <v>8844.49</v>
      </c>
      <c r="U27" s="150">
        <v>1.9900000000000001E-4</v>
      </c>
      <c r="V27" s="150">
        <v>3.6414098883382998E-2</v>
      </c>
      <c r="W27" s="150">
        <v>9.1672957150791805E-3</v>
      </c>
    </row>
    <row r="28" spans="1:23">
      <c r="A28" s="3">
        <v>233</v>
      </c>
      <c r="B28" s="3">
        <v>233</v>
      </c>
      <c r="C28" s="3" t="s">
        <v>554</v>
      </c>
      <c r="D28" s="3" t="s">
        <v>555</v>
      </c>
      <c r="E28" s="5" t="s">
        <v>125</v>
      </c>
      <c r="F28" s="3" t="s">
        <v>556</v>
      </c>
      <c r="G28" s="3" t="s">
        <v>557</v>
      </c>
      <c r="H28" s="3" t="s">
        <v>99</v>
      </c>
      <c r="I28" s="3" t="s">
        <v>484</v>
      </c>
      <c r="J28" s="3" t="s">
        <v>61</v>
      </c>
      <c r="K28" s="3" t="s">
        <v>902</v>
      </c>
      <c r="L28" s="3" t="s">
        <v>515</v>
      </c>
      <c r="M28" s="3" t="s">
        <v>499</v>
      </c>
      <c r="N28" s="3" t="s">
        <v>103</v>
      </c>
      <c r="O28" s="3" t="s">
        <v>66</v>
      </c>
      <c r="P28" s="144">
        <v>6885</v>
      </c>
      <c r="Q28" s="148">
        <v>3.306</v>
      </c>
      <c r="R28" s="158">
        <v>7792</v>
      </c>
      <c r="T28" s="143">
        <v>1773.6</v>
      </c>
      <c r="U28" s="150">
        <v>7.5699999999999997E-4</v>
      </c>
      <c r="V28" s="150">
        <v>7.3021799469671998E-3</v>
      </c>
      <c r="W28" s="150">
        <v>1.83833309051394E-3</v>
      </c>
    </row>
    <row r="29" spans="1:23">
      <c r="A29" s="3">
        <v>233</v>
      </c>
      <c r="B29" s="3">
        <v>233</v>
      </c>
      <c r="C29" s="3" t="s">
        <v>554</v>
      </c>
      <c r="D29" s="3" t="s">
        <v>555</v>
      </c>
      <c r="E29" s="5" t="s">
        <v>125</v>
      </c>
      <c r="F29" s="3" t="s">
        <v>558</v>
      </c>
      <c r="G29" s="3" t="s">
        <v>557</v>
      </c>
      <c r="H29" s="3" t="s">
        <v>99</v>
      </c>
      <c r="I29" s="3" t="s">
        <v>484</v>
      </c>
      <c r="J29" s="3" t="s">
        <v>61</v>
      </c>
      <c r="K29" s="3" t="s">
        <v>902</v>
      </c>
      <c r="L29" s="3" t="s">
        <v>515</v>
      </c>
      <c r="M29" s="3" t="s">
        <v>499</v>
      </c>
      <c r="N29" s="3" t="s">
        <v>103</v>
      </c>
      <c r="O29" s="3" t="s">
        <v>380</v>
      </c>
      <c r="P29" s="144">
        <v>26845</v>
      </c>
      <c r="Q29" s="148">
        <v>3.8807</v>
      </c>
      <c r="R29" s="158">
        <v>6640</v>
      </c>
      <c r="T29" s="143">
        <v>6917.3789999999999</v>
      </c>
      <c r="U29" s="150">
        <v>2.9499999999999999E-3</v>
      </c>
      <c r="V29" s="150">
        <v>2.84798928892285E-2</v>
      </c>
      <c r="W29" s="150">
        <v>7.1698492632061199E-3</v>
      </c>
    </row>
    <row r="30" spans="1:23">
      <c r="A30" s="3">
        <v>233</v>
      </c>
      <c r="B30" s="3">
        <v>233</v>
      </c>
      <c r="C30" s="3" t="s">
        <v>554</v>
      </c>
      <c r="D30" s="3" t="s">
        <v>555</v>
      </c>
      <c r="E30" s="5" t="s">
        <v>125</v>
      </c>
      <c r="F30" s="3" t="s">
        <v>559</v>
      </c>
      <c r="G30" s="3" t="s">
        <v>560</v>
      </c>
      <c r="H30" s="3" t="s">
        <v>99</v>
      </c>
      <c r="I30" s="3" t="s">
        <v>484</v>
      </c>
      <c r="J30" s="3" t="s">
        <v>61</v>
      </c>
      <c r="K30" s="3" t="s">
        <v>62</v>
      </c>
      <c r="L30" s="3" t="s">
        <v>409</v>
      </c>
      <c r="M30" s="3" t="s">
        <v>524</v>
      </c>
      <c r="N30" s="3" t="s">
        <v>103</v>
      </c>
      <c r="O30" s="3" t="s">
        <v>66</v>
      </c>
      <c r="P30" s="144">
        <v>3219</v>
      </c>
      <c r="Q30" s="148">
        <v>3.306</v>
      </c>
      <c r="R30" s="158">
        <v>61238</v>
      </c>
      <c r="T30" s="143">
        <v>6516.9570000000003</v>
      </c>
      <c r="U30" s="150">
        <v>3.9999999999999998E-6</v>
      </c>
      <c r="V30" s="150">
        <v>2.6831293979558999E-2</v>
      </c>
      <c r="W30" s="150">
        <v>6.7548123905679302E-3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561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8</v>
      </c>
      <c r="N1" s="18" t="s">
        <v>457</v>
      </c>
      <c r="O1" s="18" t="s">
        <v>87</v>
      </c>
      <c r="P1" s="18" t="s">
        <v>11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23</v>
      </c>
      <c r="V1" s="18" t="s">
        <v>24</v>
      </c>
      <c r="W1" s="18" t="s">
        <v>25</v>
      </c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M2" s="17"/>
      <c r="N2" s="19"/>
      <c r="O2" s="19"/>
      <c r="P2" s="17"/>
      <c r="Q2" s="17"/>
      <c r="R2" s="17"/>
      <c r="S2" s="17"/>
      <c r="T2" s="17"/>
      <c r="U2" s="17"/>
      <c r="V2" s="17"/>
      <c r="W2" s="17"/>
    </row>
    <row r="3" spans="1:2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M3" s="17"/>
      <c r="N3" s="19"/>
      <c r="O3" s="19"/>
      <c r="P3" s="17"/>
      <c r="Q3" s="17"/>
      <c r="R3" s="17"/>
      <c r="S3" s="17"/>
      <c r="T3" s="17"/>
      <c r="U3" s="17"/>
      <c r="V3" s="17"/>
      <c r="W3" s="17"/>
    </row>
    <row r="4" spans="1:2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M4" s="17"/>
      <c r="N4" s="19"/>
      <c r="O4" s="19"/>
      <c r="P4" s="17"/>
      <c r="Q4" s="17"/>
      <c r="R4" s="17"/>
      <c r="S4" s="17"/>
      <c r="T4" s="17"/>
      <c r="U4" s="17"/>
      <c r="V4" s="17"/>
      <c r="W4" s="17"/>
    </row>
    <row r="5" spans="1:2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M5" s="17"/>
      <c r="N5" s="19"/>
      <c r="O5" s="19"/>
      <c r="P5" s="17"/>
      <c r="Q5" s="17"/>
      <c r="R5" s="17"/>
      <c r="S5" s="17"/>
      <c r="T5" s="17"/>
      <c r="U5" s="17"/>
      <c r="V5" s="17"/>
      <c r="W5" s="17"/>
    </row>
    <row r="6" spans="1:2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M6" s="17"/>
      <c r="N6" s="19"/>
      <c r="O6" s="19"/>
      <c r="P6" s="17"/>
      <c r="Q6" s="17"/>
      <c r="R6" s="17"/>
      <c r="S6" s="17"/>
      <c r="T6" s="17"/>
      <c r="U6" s="17"/>
      <c r="V6" s="17"/>
      <c r="W6" s="17"/>
    </row>
    <row r="7" spans="1:2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M7" s="17"/>
      <c r="N7" s="19"/>
      <c r="O7" s="19"/>
      <c r="P7" s="17"/>
      <c r="Q7" s="17"/>
      <c r="R7" s="17"/>
      <c r="S7" s="17"/>
      <c r="T7" s="17"/>
      <c r="U7" s="17"/>
      <c r="V7" s="17"/>
      <c r="W7" s="17"/>
    </row>
    <row r="8" spans="1:2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M8" s="17"/>
      <c r="N8" s="19"/>
      <c r="O8" s="19"/>
      <c r="P8" s="17"/>
      <c r="Q8" s="17"/>
      <c r="R8" s="17"/>
      <c r="S8" s="17"/>
      <c r="T8" s="17"/>
      <c r="U8" s="17"/>
      <c r="V8" s="17"/>
      <c r="W8" s="17"/>
    </row>
    <row r="9" spans="1:2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>
      <c r="E20" s="17"/>
      <c r="H20" s="17"/>
      <c r="I20" s="17"/>
      <c r="J20" s="17"/>
      <c r="K20" s="17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topLeftCell="M1" workbookViewId="0">
      <selection activeCell="M1" sqref="A1:XFD1"/>
    </sheetView>
  </sheetViews>
  <sheetFormatPr defaultColWidth="0" defaultRowHeight="14.25"/>
  <cols>
    <col min="1" max="4" width="11.625" style="3" customWidth="1"/>
    <col min="5" max="5" width="11.625" style="5" customWidth="1"/>
    <col min="6" max="13" width="11.625" style="3" customWidth="1"/>
    <col min="14" max="14" width="14.625" style="3" customWidth="1"/>
    <col min="15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6</v>
      </c>
      <c r="J1" s="18" t="s">
        <v>7</v>
      </c>
      <c r="K1" s="18" t="s">
        <v>93</v>
      </c>
      <c r="L1" s="18" t="s">
        <v>8</v>
      </c>
      <c r="M1" s="18" t="s">
        <v>562</v>
      </c>
      <c r="N1" s="18" t="s">
        <v>86</v>
      </c>
      <c r="O1" s="160" t="s">
        <v>563</v>
      </c>
      <c r="P1" s="18" t="s">
        <v>87</v>
      </c>
      <c r="Q1" s="18" t="s">
        <v>11</v>
      </c>
      <c r="R1" s="153" t="s">
        <v>564</v>
      </c>
      <c r="S1" s="18" t="s">
        <v>565</v>
      </c>
      <c r="T1" s="18" t="s">
        <v>17</v>
      </c>
      <c r="U1" s="147" t="s">
        <v>18</v>
      </c>
      <c r="V1" s="153" t="s">
        <v>19</v>
      </c>
      <c r="W1" s="18" t="s">
        <v>20</v>
      </c>
      <c r="X1" s="149" t="s">
        <v>24</v>
      </c>
      <c r="Y1" s="149" t="s">
        <v>25</v>
      </c>
    </row>
    <row r="2" spans="1:25">
      <c r="A2" s="26">
        <v>233</v>
      </c>
      <c r="B2" s="19">
        <v>233</v>
      </c>
      <c r="C2" s="19" t="s">
        <v>149</v>
      </c>
      <c r="D2" s="19" t="s">
        <v>150</v>
      </c>
      <c r="E2" s="17" t="s">
        <v>96</v>
      </c>
      <c r="F2" s="19" t="s">
        <v>566</v>
      </c>
      <c r="G2" s="19" t="s">
        <v>567</v>
      </c>
      <c r="H2" s="17" t="s">
        <v>99</v>
      </c>
      <c r="I2" s="17" t="s">
        <v>30</v>
      </c>
      <c r="J2" s="17" t="s">
        <v>30</v>
      </c>
      <c r="K2" s="19" t="s">
        <v>101</v>
      </c>
      <c r="L2" s="17" t="s">
        <v>31</v>
      </c>
      <c r="M2" s="20" t="s">
        <v>568</v>
      </c>
      <c r="N2" s="19" t="s">
        <v>114</v>
      </c>
      <c r="O2" s="161" t="s">
        <v>569</v>
      </c>
      <c r="P2" s="19" t="s">
        <v>103</v>
      </c>
      <c r="Q2" s="17" t="s">
        <v>34</v>
      </c>
      <c r="R2" s="159">
        <v>58000</v>
      </c>
      <c r="S2" s="146">
        <v>1</v>
      </c>
      <c r="T2" s="145">
        <v>2210</v>
      </c>
      <c r="U2" s="156">
        <v>1</v>
      </c>
      <c r="V2" s="157">
        <v>12600</v>
      </c>
      <c r="W2" s="145">
        <v>278.45999999999998</v>
      </c>
      <c r="X2" s="155">
        <v>1</v>
      </c>
      <c r="Y2" s="155">
        <v>2.8862323212693199E-4</v>
      </c>
    </row>
    <row r="3" spans="1:25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>
      <c r="A11" s="26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>
      <c r="E20" s="17"/>
      <c r="H20" s="17"/>
      <c r="I20" s="17"/>
      <c r="J20" s="17"/>
      <c r="K20" s="19"/>
      <c r="L20" s="17"/>
      <c r="N20" s="19"/>
      <c r="P20" s="19"/>
    </row>
    <row r="21" spans="1:25">
      <c r="H21" s="38"/>
      <c r="L21" s="38"/>
    </row>
    <row r="22" spans="1:25">
      <c r="L22" s="5"/>
    </row>
    <row r="23" spans="1:25">
      <c r="H23" s="35"/>
    </row>
    <row r="24" spans="1:25">
      <c r="H24" s="35"/>
    </row>
    <row r="25" spans="1:25">
      <c r="H25" s="35"/>
    </row>
    <row r="26" spans="1:25">
      <c r="H26" s="35"/>
    </row>
    <row r="27" spans="1:25">
      <c r="H27" s="35"/>
    </row>
    <row r="28" spans="1:25">
      <c r="H28" s="3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86</v>
      </c>
      <c r="N1" s="18" t="s">
        <v>570</v>
      </c>
      <c r="O1" s="18" t="s">
        <v>563</v>
      </c>
      <c r="P1" s="18" t="s">
        <v>87</v>
      </c>
      <c r="Q1" s="18" t="s">
        <v>11</v>
      </c>
      <c r="R1" s="18" t="s">
        <v>564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24</v>
      </c>
      <c r="X1" s="18" t="s">
        <v>25</v>
      </c>
    </row>
    <row r="2" spans="1:24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>
      <c r="E20" s="17"/>
      <c r="H20" s="17"/>
      <c r="I20" s="19"/>
      <c r="J20" s="17"/>
      <c r="K20" s="17"/>
      <c r="L20" s="17"/>
      <c r="M20" s="19"/>
      <c r="P20" s="19"/>
    </row>
    <row r="21" spans="1:24" s="35" customFormat="1">
      <c r="E21" s="34"/>
      <c r="H21" s="38"/>
      <c r="L21" s="38"/>
    </row>
    <row r="22" spans="1:24">
      <c r="L22" s="5"/>
    </row>
    <row r="23" spans="1:24">
      <c r="H23" s="35"/>
    </row>
    <row r="24" spans="1:24">
      <c r="H24" s="35"/>
    </row>
    <row r="25" spans="1:24">
      <c r="H25" s="35"/>
    </row>
    <row r="26" spans="1:24">
      <c r="H26" s="35"/>
    </row>
    <row r="27" spans="1:24">
      <c r="H27" s="35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6</v>
      </c>
      <c r="J1" s="18" t="s">
        <v>7</v>
      </c>
      <c r="K1" s="18" t="s">
        <v>8</v>
      </c>
      <c r="L1" s="18" t="s">
        <v>570</v>
      </c>
      <c r="M1" s="18" t="s">
        <v>87</v>
      </c>
      <c r="N1" s="18" t="s">
        <v>11</v>
      </c>
      <c r="O1" s="18" t="s">
        <v>17</v>
      </c>
      <c r="P1" s="18" t="s">
        <v>18</v>
      </c>
      <c r="Q1" s="18" t="s">
        <v>19</v>
      </c>
      <c r="R1" s="18" t="s">
        <v>20</v>
      </c>
      <c r="S1" s="18" t="s">
        <v>24</v>
      </c>
      <c r="T1" s="18" t="s">
        <v>25</v>
      </c>
    </row>
    <row r="2" spans="1:20">
      <c r="A2" s="19"/>
      <c r="B2" s="19"/>
      <c r="E2" s="17"/>
      <c r="F2" s="19"/>
      <c r="G2" s="19"/>
      <c r="H2" s="17"/>
      <c r="I2" s="17"/>
      <c r="J2" s="17"/>
      <c r="K2" s="17"/>
      <c r="L2" s="20"/>
      <c r="M2" s="19"/>
      <c r="N2" s="17"/>
      <c r="O2" s="19"/>
      <c r="P2" s="19"/>
      <c r="Q2" s="19"/>
      <c r="R2" s="19"/>
      <c r="S2" s="19"/>
      <c r="T2" s="19"/>
    </row>
    <row r="3" spans="1:20">
      <c r="A3" s="19"/>
      <c r="B3" s="19"/>
      <c r="E3" s="17"/>
      <c r="F3" s="19"/>
      <c r="G3" s="19"/>
      <c r="H3" s="17"/>
      <c r="I3" s="17"/>
      <c r="J3" s="17"/>
      <c r="K3" s="17"/>
      <c r="L3" s="20"/>
      <c r="M3" s="19"/>
      <c r="N3" s="17"/>
      <c r="O3" s="19"/>
      <c r="P3" s="19"/>
      <c r="Q3" s="19"/>
      <c r="R3" s="19"/>
      <c r="S3" s="19"/>
      <c r="T3" s="19"/>
    </row>
    <row r="4" spans="1:20">
      <c r="A4" s="19"/>
      <c r="B4" s="19"/>
      <c r="E4" s="17"/>
      <c r="F4" s="19"/>
      <c r="G4" s="19"/>
      <c r="H4" s="17"/>
      <c r="I4" s="17"/>
      <c r="J4" s="17"/>
      <c r="K4" s="17"/>
      <c r="L4" s="20"/>
      <c r="M4" s="19"/>
      <c r="N4" s="17"/>
      <c r="O4" s="19"/>
      <c r="P4" s="19"/>
      <c r="Q4" s="19"/>
      <c r="R4" s="19"/>
      <c r="S4" s="19"/>
      <c r="T4" s="19"/>
    </row>
    <row r="5" spans="1:20">
      <c r="A5" s="19"/>
      <c r="B5" s="19"/>
      <c r="E5" s="17"/>
      <c r="F5" s="19"/>
      <c r="G5" s="19"/>
      <c r="H5" s="17"/>
      <c r="I5" s="17"/>
      <c r="J5" s="17"/>
      <c r="K5" s="17"/>
      <c r="L5" s="20"/>
      <c r="M5" s="19"/>
      <c r="N5" s="17"/>
      <c r="O5" s="19"/>
      <c r="P5" s="19"/>
      <c r="Q5" s="19"/>
      <c r="R5" s="19"/>
      <c r="S5" s="19"/>
      <c r="T5" s="19"/>
    </row>
    <row r="6" spans="1:20">
      <c r="A6" s="19"/>
      <c r="B6" s="19"/>
      <c r="E6" s="17"/>
      <c r="F6" s="19"/>
      <c r="G6" s="19"/>
      <c r="H6" s="17"/>
      <c r="I6" s="17"/>
      <c r="J6" s="17"/>
      <c r="K6" s="17"/>
      <c r="L6" s="20"/>
      <c r="M6" s="19"/>
      <c r="N6" s="17"/>
      <c r="O6" s="19"/>
      <c r="P6" s="19"/>
      <c r="Q6" s="19"/>
      <c r="R6" s="19"/>
      <c r="S6" s="19"/>
      <c r="T6" s="19"/>
    </row>
    <row r="7" spans="1:20">
      <c r="A7" s="19"/>
      <c r="B7" s="19"/>
      <c r="E7" s="17"/>
      <c r="F7" s="19"/>
      <c r="G7" s="19"/>
      <c r="H7" s="17"/>
      <c r="I7" s="17"/>
      <c r="J7" s="17"/>
      <c r="K7" s="17"/>
      <c r="L7" s="20"/>
      <c r="M7" s="19"/>
      <c r="N7" s="17"/>
      <c r="O7" s="19"/>
      <c r="P7" s="19"/>
      <c r="Q7" s="19"/>
      <c r="R7" s="19"/>
      <c r="S7" s="19"/>
      <c r="T7" s="19"/>
    </row>
    <row r="8" spans="1:20">
      <c r="A8" s="19"/>
      <c r="B8" s="19"/>
      <c r="E8" s="17"/>
      <c r="F8" s="19"/>
      <c r="G8" s="19"/>
      <c r="H8" s="17"/>
      <c r="I8" s="17"/>
      <c r="J8" s="17"/>
      <c r="K8" s="17"/>
      <c r="L8" s="20"/>
      <c r="M8" s="19"/>
      <c r="N8" s="17"/>
      <c r="O8" s="19"/>
      <c r="P8" s="19"/>
      <c r="Q8" s="19"/>
      <c r="R8" s="19"/>
      <c r="S8" s="19"/>
      <c r="T8" s="19"/>
    </row>
    <row r="9" spans="1:20">
      <c r="A9" s="19"/>
      <c r="B9" s="19"/>
      <c r="E9" s="17"/>
      <c r="F9" s="19"/>
      <c r="G9" s="19"/>
      <c r="H9" s="17"/>
      <c r="I9" s="17"/>
      <c r="J9" s="17"/>
      <c r="K9" s="17"/>
      <c r="L9" s="20"/>
      <c r="M9" s="19"/>
      <c r="N9" s="17"/>
      <c r="O9" s="19"/>
      <c r="P9" s="19"/>
      <c r="Q9" s="19"/>
      <c r="R9" s="19"/>
      <c r="S9" s="19"/>
      <c r="T9" s="19"/>
    </row>
    <row r="10" spans="1:20">
      <c r="A10" s="19"/>
      <c r="B10" s="19"/>
      <c r="E10" s="17"/>
      <c r="F10" s="19"/>
      <c r="G10" s="19"/>
      <c r="H10" s="17"/>
      <c r="I10" s="17"/>
      <c r="J10" s="17"/>
      <c r="K10" s="17"/>
      <c r="L10" s="20"/>
      <c r="M10" s="19"/>
      <c r="N10" s="17"/>
      <c r="O10" s="19"/>
      <c r="P10" s="19"/>
      <c r="Q10" s="19"/>
      <c r="R10" s="19"/>
      <c r="S10" s="19"/>
      <c r="T10" s="19"/>
    </row>
    <row r="11" spans="1:20">
      <c r="A11" s="19"/>
      <c r="B11" s="19"/>
      <c r="E11" s="17"/>
      <c r="F11" s="19"/>
      <c r="G11" s="19"/>
      <c r="H11" s="17"/>
      <c r="I11" s="17"/>
      <c r="J11" s="17"/>
      <c r="K11" s="17"/>
      <c r="L11" s="20"/>
      <c r="M11" s="19"/>
      <c r="N11" s="17"/>
      <c r="O11" s="19"/>
      <c r="P11" s="19"/>
      <c r="Q11" s="19"/>
      <c r="R11" s="19"/>
      <c r="S11" s="19"/>
      <c r="T11" s="19"/>
    </row>
    <row r="12" spans="1:20">
      <c r="A12" s="19"/>
      <c r="B12" s="19"/>
      <c r="E12" s="17"/>
      <c r="F12" s="19"/>
      <c r="G12" s="19"/>
      <c r="H12" s="17"/>
      <c r="I12" s="17"/>
      <c r="J12" s="17"/>
      <c r="K12" s="17"/>
      <c r="L12" s="20"/>
      <c r="M12" s="19"/>
      <c r="N12" s="17"/>
      <c r="O12" s="19"/>
      <c r="P12" s="19"/>
      <c r="Q12" s="19"/>
      <c r="R12" s="19"/>
      <c r="S12" s="19"/>
      <c r="T12" s="19"/>
    </row>
    <row r="13" spans="1:20">
      <c r="A13" s="19"/>
      <c r="B13" s="19"/>
      <c r="E13" s="17"/>
      <c r="F13" s="19"/>
      <c r="G13" s="19"/>
      <c r="H13" s="17"/>
      <c r="I13" s="17"/>
      <c r="J13" s="17"/>
      <c r="K13" s="17"/>
      <c r="L13" s="20"/>
      <c r="M13" s="19"/>
      <c r="N13" s="17"/>
      <c r="O13" s="19"/>
      <c r="P13" s="19"/>
      <c r="Q13" s="19"/>
      <c r="R13" s="19"/>
      <c r="S13" s="19"/>
      <c r="T13" s="19"/>
    </row>
    <row r="14" spans="1:20">
      <c r="A14" s="19"/>
      <c r="B14" s="19"/>
      <c r="E14" s="17"/>
      <c r="F14" s="19"/>
      <c r="G14" s="19"/>
      <c r="H14" s="17"/>
      <c r="I14" s="17"/>
      <c r="J14" s="17"/>
      <c r="K14" s="17"/>
      <c r="L14" s="20"/>
      <c r="M14" s="19"/>
      <c r="N14" s="17"/>
      <c r="O14" s="19"/>
      <c r="P14" s="19"/>
      <c r="Q14" s="19"/>
      <c r="R14" s="19"/>
      <c r="S14" s="19"/>
      <c r="T14" s="19"/>
    </row>
    <row r="15" spans="1:20">
      <c r="A15" s="19"/>
      <c r="B15" s="19"/>
      <c r="E15" s="17"/>
      <c r="F15" s="19"/>
      <c r="G15" s="19"/>
      <c r="H15" s="17"/>
      <c r="I15" s="17"/>
      <c r="J15" s="17"/>
      <c r="K15" s="17"/>
      <c r="L15" s="20"/>
      <c r="M15" s="19"/>
      <c r="N15" s="17"/>
      <c r="O15" s="19"/>
      <c r="P15" s="19"/>
      <c r="Q15" s="19"/>
      <c r="R15" s="19"/>
      <c r="S15" s="19"/>
      <c r="T15" s="19"/>
    </row>
    <row r="16" spans="1:20">
      <c r="A16" s="19"/>
      <c r="B16" s="19"/>
      <c r="E16" s="17"/>
      <c r="F16" s="19"/>
      <c r="G16" s="19"/>
      <c r="H16" s="17"/>
      <c r="I16" s="17"/>
      <c r="J16" s="17"/>
      <c r="K16" s="17"/>
      <c r="L16" s="20"/>
      <c r="M16" s="19"/>
      <c r="N16" s="17"/>
      <c r="O16" s="19"/>
      <c r="P16" s="19"/>
      <c r="Q16" s="19"/>
      <c r="R16" s="19"/>
      <c r="S16" s="19"/>
      <c r="T16" s="19"/>
    </row>
    <row r="17" spans="1:20">
      <c r="A17" s="19"/>
      <c r="B17" s="19"/>
      <c r="E17" s="17"/>
      <c r="F17" s="19"/>
      <c r="G17" s="19"/>
      <c r="H17" s="17"/>
      <c r="I17" s="17"/>
      <c r="J17" s="17"/>
      <c r="K17" s="17"/>
      <c r="L17" s="20"/>
      <c r="M17" s="19"/>
      <c r="N17" s="17"/>
      <c r="O17" s="19"/>
      <c r="P17" s="19"/>
      <c r="Q17" s="19"/>
      <c r="R17" s="19"/>
      <c r="S17" s="19"/>
      <c r="T17" s="19"/>
    </row>
    <row r="18" spans="1:20">
      <c r="A18" s="19"/>
      <c r="B18" s="19"/>
      <c r="E18" s="17"/>
      <c r="F18" s="19"/>
      <c r="G18" s="19"/>
      <c r="H18" s="17"/>
      <c r="I18" s="17"/>
      <c r="J18" s="17"/>
      <c r="K18" s="17"/>
      <c r="L18" s="20"/>
      <c r="M18" s="19"/>
      <c r="N18" s="17"/>
      <c r="O18" s="19"/>
      <c r="P18" s="19"/>
      <c r="Q18" s="19"/>
      <c r="R18" s="19"/>
      <c r="S18" s="19"/>
      <c r="T18" s="19"/>
    </row>
    <row r="19" spans="1:20">
      <c r="A19" s="19"/>
      <c r="B19" s="19"/>
      <c r="E19" s="17"/>
      <c r="F19" s="19"/>
      <c r="G19" s="19"/>
      <c r="H19" s="17"/>
      <c r="I19" s="17"/>
      <c r="J19" s="17"/>
      <c r="K19" s="17"/>
      <c r="L19" s="20"/>
      <c r="M19" s="19"/>
      <c r="N19" s="17"/>
      <c r="O19" s="19"/>
      <c r="P19" s="19"/>
      <c r="Q19" s="19"/>
      <c r="R19" s="19"/>
      <c r="S19" s="19"/>
      <c r="T19" s="19"/>
    </row>
    <row r="20" spans="1:20">
      <c r="E20" s="17"/>
      <c r="H20" s="17"/>
      <c r="J20" s="17"/>
      <c r="K20" s="17"/>
      <c r="L20" s="20"/>
      <c r="M20" s="19"/>
    </row>
    <row r="21" spans="1:20" s="35" customFormat="1">
      <c r="E21" s="34"/>
      <c r="H21" s="38"/>
      <c r="K21" s="38"/>
    </row>
    <row r="22" spans="1:20">
      <c r="K22" s="5"/>
    </row>
    <row r="23" spans="1:20">
      <c r="H23" s="35"/>
    </row>
    <row r="24" spans="1:20">
      <c r="H24" s="35"/>
    </row>
    <row r="25" spans="1:20">
      <c r="H25" s="35"/>
    </row>
    <row r="26" spans="1:20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8</v>
      </c>
      <c r="N1" s="18" t="s">
        <v>570</v>
      </c>
      <c r="O1" s="18" t="s">
        <v>87</v>
      </c>
      <c r="P1" s="18" t="s">
        <v>12</v>
      </c>
      <c r="Q1" s="18" t="s">
        <v>14</v>
      </c>
      <c r="R1" s="18" t="s">
        <v>15</v>
      </c>
      <c r="S1" s="18" t="s">
        <v>9</v>
      </c>
      <c r="T1" s="18" t="s">
        <v>10</v>
      </c>
      <c r="U1" s="18" t="s">
        <v>88</v>
      </c>
      <c r="V1" s="18" t="s">
        <v>11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20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20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20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20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20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20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20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20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20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20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20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20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20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20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20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20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20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20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>
      <c r="E20" s="17"/>
      <c r="H20" s="17"/>
      <c r="I20" s="19"/>
      <c r="J20" s="17"/>
      <c r="K20" s="17"/>
      <c r="L20" s="19"/>
      <c r="M20" s="17"/>
      <c r="N20" s="20"/>
      <c r="O20" s="19"/>
      <c r="T20" s="19"/>
      <c r="U20" s="19"/>
    </row>
    <row r="21" spans="1:28" s="35" customFormat="1">
      <c r="E21" s="34"/>
      <c r="H21" s="38"/>
      <c r="M21" s="38"/>
      <c r="N21" s="20"/>
    </row>
    <row r="22" spans="1:28">
      <c r="M22" s="5"/>
    </row>
    <row r="23" spans="1:28">
      <c r="H23" s="35"/>
    </row>
    <row r="24" spans="1:28">
      <c r="H24" s="35"/>
    </row>
    <row r="25" spans="1:28">
      <c r="H25" s="35"/>
    </row>
    <row r="26" spans="1:28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85</v>
      </c>
      <c r="G1" s="18" t="s">
        <v>5</v>
      </c>
      <c r="H1" s="18" t="s">
        <v>6</v>
      </c>
      <c r="I1" s="18" t="s">
        <v>7</v>
      </c>
      <c r="J1" s="18" t="s">
        <v>571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24</v>
      </c>
      <c r="Y1" s="18" t="s">
        <v>25</v>
      </c>
    </row>
    <row r="2" spans="1:25">
      <c r="A2" s="19"/>
      <c r="B2" s="19"/>
      <c r="C2" s="19"/>
      <c r="D2" s="19"/>
      <c r="E2" s="19"/>
      <c r="F2" s="19"/>
      <c r="G2" s="19"/>
      <c r="H2" s="27"/>
      <c r="I2" s="17"/>
      <c r="J2" s="19"/>
      <c r="K2" s="33"/>
      <c r="L2" s="20"/>
      <c r="M2" s="27"/>
      <c r="N2" s="19"/>
      <c r="O2" s="19"/>
      <c r="P2" s="19"/>
      <c r="Q2" s="19"/>
      <c r="R2" s="19"/>
      <c r="S2" s="20"/>
      <c r="T2" s="19"/>
      <c r="U2" s="19"/>
      <c r="V2" s="19"/>
      <c r="W2" s="17"/>
      <c r="X2" s="19"/>
      <c r="Y2" s="19"/>
    </row>
    <row r="3" spans="1:25">
      <c r="A3" s="19"/>
      <c r="B3" s="19"/>
      <c r="C3" s="19"/>
      <c r="D3" s="19"/>
      <c r="E3" s="19"/>
      <c r="F3" s="19"/>
      <c r="G3" s="19"/>
      <c r="H3" s="27"/>
      <c r="I3" s="17"/>
      <c r="J3" s="19"/>
      <c r="K3" s="19"/>
      <c r="L3" s="20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>
      <c r="A4" s="19"/>
      <c r="B4" s="19"/>
      <c r="C4" s="19"/>
      <c r="D4" s="19"/>
      <c r="E4" s="19"/>
      <c r="F4" s="19"/>
      <c r="G4" s="19"/>
      <c r="H4" s="27"/>
      <c r="I4" s="17"/>
      <c r="J4" s="19"/>
      <c r="K4" s="19"/>
      <c r="L4" s="20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>
      <c r="A5" s="19"/>
      <c r="B5" s="19"/>
      <c r="C5" s="19"/>
      <c r="D5" s="19"/>
      <c r="E5" s="19"/>
      <c r="F5" s="19"/>
      <c r="G5" s="19"/>
      <c r="H5" s="27"/>
      <c r="I5" s="17"/>
      <c r="J5" s="19"/>
      <c r="K5" s="17"/>
      <c r="L5" s="20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>
      <c r="A6" s="19"/>
      <c r="B6" s="19"/>
      <c r="C6" s="19"/>
      <c r="D6" s="19"/>
      <c r="E6" s="19"/>
      <c r="F6" s="19"/>
      <c r="G6" s="19"/>
      <c r="H6" s="27"/>
      <c r="I6" s="17"/>
      <c r="J6" s="19"/>
      <c r="K6" s="19"/>
      <c r="L6" s="20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>
      <c r="A7" s="19"/>
      <c r="B7" s="19"/>
      <c r="C7" s="19"/>
      <c r="D7" s="19"/>
      <c r="E7" s="19"/>
      <c r="F7" s="19"/>
      <c r="G7" s="19"/>
      <c r="H7" s="27"/>
      <c r="I7" s="17"/>
      <c r="J7" s="19"/>
      <c r="K7" s="19"/>
      <c r="L7" s="20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>
      <c r="A8" s="19"/>
      <c r="B8" s="19"/>
      <c r="C8" s="19"/>
      <c r="D8" s="19"/>
      <c r="E8" s="19"/>
      <c r="F8" s="19"/>
      <c r="G8" s="19"/>
      <c r="H8" s="27"/>
      <c r="I8" s="17"/>
      <c r="J8" s="19"/>
      <c r="K8" s="19"/>
      <c r="L8" s="20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>
      <c r="A9" s="19"/>
      <c r="B9" s="19"/>
      <c r="C9" s="19"/>
      <c r="D9" s="19"/>
      <c r="E9" s="19"/>
      <c r="F9" s="19"/>
      <c r="G9" s="19"/>
      <c r="H9" s="27"/>
      <c r="I9" s="17"/>
      <c r="J9" s="19"/>
      <c r="K9" s="19"/>
      <c r="L9" s="20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>
      <c r="A10" s="19"/>
      <c r="B10" s="19"/>
      <c r="C10" s="19"/>
      <c r="D10" s="19"/>
      <c r="E10" s="19"/>
      <c r="F10" s="19"/>
      <c r="G10" s="19"/>
      <c r="H10" s="27"/>
      <c r="I10" s="17"/>
      <c r="J10" s="19"/>
      <c r="K10" s="19"/>
      <c r="L10" s="20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>
      <c r="A11" s="19"/>
      <c r="B11" s="19"/>
      <c r="C11" s="19"/>
      <c r="D11" s="19"/>
      <c r="E11" s="19"/>
      <c r="F11" s="19"/>
      <c r="G11" s="19"/>
      <c r="H11" s="27"/>
      <c r="I11" s="17"/>
      <c r="J11" s="19"/>
      <c r="K11" s="19"/>
      <c r="L11" s="20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>
      <c r="A12" s="19"/>
      <c r="B12" s="19"/>
      <c r="C12" s="19"/>
      <c r="D12" s="19"/>
      <c r="E12" s="19"/>
      <c r="F12" s="19"/>
      <c r="G12" s="19"/>
      <c r="H12" s="27"/>
      <c r="I12" s="17"/>
      <c r="J12" s="19"/>
      <c r="K12" s="19"/>
      <c r="L12" s="20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>
      <c r="A13" s="19"/>
      <c r="B13" s="19"/>
      <c r="C13" s="19"/>
      <c r="D13" s="19"/>
      <c r="E13" s="19"/>
      <c r="F13" s="19"/>
      <c r="G13" s="19"/>
      <c r="H13" s="27"/>
      <c r="I13" s="17"/>
      <c r="J13" s="19"/>
      <c r="K13" s="19"/>
      <c r="L13" s="20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>
      <c r="A14" s="19"/>
      <c r="B14" s="19"/>
      <c r="C14" s="19"/>
      <c r="D14" s="19"/>
      <c r="E14" s="19"/>
      <c r="F14" s="19"/>
      <c r="G14" s="19"/>
      <c r="H14" s="27"/>
      <c r="I14" s="17"/>
      <c r="J14" s="19"/>
      <c r="K14" s="19"/>
      <c r="L14" s="20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>
      <c r="A15" s="19"/>
      <c r="B15" s="19"/>
      <c r="C15" s="19"/>
      <c r="D15" s="19"/>
      <c r="E15" s="19"/>
      <c r="F15" s="19"/>
      <c r="G15" s="19"/>
      <c r="H15" s="27"/>
      <c r="I15" s="17"/>
      <c r="J15" s="19"/>
      <c r="K15" s="19"/>
      <c r="L15" s="20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>
      <c r="A16" s="19"/>
      <c r="B16" s="19"/>
      <c r="C16" s="19"/>
      <c r="D16" s="19"/>
      <c r="E16" s="19"/>
      <c r="F16" s="19"/>
      <c r="G16" s="19"/>
      <c r="H16" s="27"/>
      <c r="I16" s="17"/>
      <c r="J16" s="19"/>
      <c r="K16" s="19"/>
      <c r="L16" s="20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>
      <c r="A17" s="19"/>
      <c r="B17" s="19"/>
      <c r="C17" s="19"/>
      <c r="D17" s="19"/>
      <c r="E17" s="19"/>
      <c r="F17" s="19"/>
      <c r="G17" s="19"/>
      <c r="H17" s="27"/>
      <c r="I17" s="17"/>
      <c r="J17" s="19"/>
      <c r="K17" s="19"/>
      <c r="L17" s="20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>
      <c r="A18" s="19"/>
      <c r="B18" s="19"/>
      <c r="C18" s="19"/>
      <c r="D18" s="19"/>
      <c r="E18" s="19"/>
      <c r="F18" s="19"/>
      <c r="G18" s="19"/>
      <c r="H18" s="27"/>
      <c r="I18" s="17"/>
      <c r="J18" s="19"/>
      <c r="K18" s="19"/>
      <c r="L18" s="20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>
      <c r="A19" s="19"/>
      <c r="B19" s="19"/>
      <c r="C19" s="19"/>
      <c r="D19" s="19"/>
      <c r="E19" s="19"/>
      <c r="F19" s="19"/>
      <c r="G19" s="19"/>
      <c r="H19" s="27"/>
      <c r="I19" s="17"/>
      <c r="J19" s="19"/>
      <c r="K19" s="19"/>
      <c r="L19" s="20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>
      <c r="F20" s="19"/>
      <c r="G20" s="19"/>
      <c r="H20" s="27"/>
      <c r="I20" s="17"/>
      <c r="L20" s="20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B2" sqref="B2:B25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18" t="s">
        <v>0</v>
      </c>
      <c r="B1" s="18" t="s">
        <v>1</v>
      </c>
      <c r="C1" s="18" t="s">
        <v>5</v>
      </c>
      <c r="D1" s="18" t="s">
        <v>3</v>
      </c>
      <c r="E1" s="18" t="s">
        <v>4</v>
      </c>
      <c r="F1" s="18" t="s">
        <v>571</v>
      </c>
      <c r="G1" s="18" t="s">
        <v>12</v>
      </c>
      <c r="H1" s="18" t="s">
        <v>572</v>
      </c>
      <c r="I1" s="18" t="s">
        <v>13</v>
      </c>
      <c r="J1" s="18" t="s">
        <v>14</v>
      </c>
      <c r="K1" s="18" t="s">
        <v>15</v>
      </c>
      <c r="L1" s="18" t="s">
        <v>17</v>
      </c>
      <c r="M1" s="18" t="s">
        <v>19</v>
      </c>
      <c r="N1" s="18" t="s">
        <v>20</v>
      </c>
      <c r="O1" s="18" t="s">
        <v>21</v>
      </c>
      <c r="P1" s="18" t="s">
        <v>22</v>
      </c>
      <c r="Q1" s="18" t="s">
        <v>24</v>
      </c>
      <c r="R1" s="18" t="s">
        <v>25</v>
      </c>
    </row>
    <row r="2" spans="1:18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7"/>
      <c r="Q2" s="19"/>
      <c r="R2" s="19"/>
    </row>
    <row r="3" spans="1:18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>
      <c r="C20" s="19"/>
      <c r="H20" s="19"/>
      <c r="P20" s="17"/>
    </row>
    <row r="21" spans="1:18" s="35" customFormat="1">
      <c r="C21" s="34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18" t="s">
        <v>573</v>
      </c>
      <c r="B1" s="18" t="s">
        <v>1</v>
      </c>
      <c r="C1" s="18" t="s">
        <v>5</v>
      </c>
      <c r="D1" s="18" t="s">
        <v>574</v>
      </c>
      <c r="E1" s="18" t="s">
        <v>575</v>
      </c>
      <c r="F1" s="18" t="s">
        <v>576</v>
      </c>
      <c r="G1" s="18" t="s">
        <v>25</v>
      </c>
    </row>
    <row r="2" spans="1:7">
      <c r="A2" s="19"/>
      <c r="B2" s="19"/>
      <c r="C2" s="20"/>
      <c r="D2" s="130"/>
      <c r="E2" s="34"/>
      <c r="F2" s="34"/>
      <c r="G2" s="26"/>
    </row>
    <row r="3" spans="1:7">
      <c r="A3" s="19"/>
      <c r="B3" s="19"/>
      <c r="C3" s="20"/>
      <c r="G3" s="19"/>
    </row>
    <row r="4" spans="1:7">
      <c r="A4" s="19"/>
      <c r="B4" s="19"/>
      <c r="C4" s="20"/>
      <c r="G4" s="19"/>
    </row>
    <row r="5" spans="1:7">
      <c r="A5" s="19"/>
      <c r="B5" s="19"/>
      <c r="C5" s="20"/>
      <c r="G5" s="19"/>
    </row>
    <row r="6" spans="1:7">
      <c r="A6" s="19"/>
      <c r="B6" s="19"/>
      <c r="C6" s="20"/>
      <c r="G6" s="19"/>
    </row>
    <row r="7" spans="1:7">
      <c r="A7" s="19"/>
      <c r="B7" s="19"/>
      <c r="C7" s="20"/>
      <c r="G7" s="19"/>
    </row>
    <row r="8" spans="1:7">
      <c r="A8" s="19"/>
      <c r="B8" s="19"/>
      <c r="C8" s="20"/>
      <c r="G8" s="19"/>
    </row>
    <row r="9" spans="1:7">
      <c r="A9" s="19"/>
      <c r="B9" s="19"/>
      <c r="C9" s="20"/>
      <c r="G9" s="19"/>
    </row>
    <row r="10" spans="1:7">
      <c r="A10" s="19"/>
      <c r="B10" s="19"/>
      <c r="C10" s="20"/>
      <c r="G10" s="19"/>
    </row>
    <row r="11" spans="1:7">
      <c r="A11" s="19"/>
      <c r="B11" s="19"/>
      <c r="C11" s="20"/>
      <c r="G11" s="19"/>
    </row>
    <row r="12" spans="1:7">
      <c r="A12" s="19"/>
      <c r="B12" s="19"/>
      <c r="C12" s="20"/>
      <c r="G12" s="19"/>
    </row>
    <row r="13" spans="1:7">
      <c r="A13" s="19"/>
      <c r="B13" s="19"/>
      <c r="C13" s="20"/>
      <c r="G13" s="19"/>
    </row>
    <row r="14" spans="1:7">
      <c r="A14" s="19"/>
      <c r="B14" s="19"/>
      <c r="C14" s="20"/>
      <c r="G14" s="19"/>
    </row>
    <row r="15" spans="1:7">
      <c r="A15" s="19"/>
      <c r="B15" s="19"/>
      <c r="C15" s="20"/>
      <c r="G15" s="19"/>
    </row>
    <row r="16" spans="1:7">
      <c r="A16" s="19"/>
      <c r="B16" s="19"/>
      <c r="C16" s="20"/>
      <c r="G16" s="19"/>
    </row>
    <row r="17" spans="1:7">
      <c r="A17" s="19"/>
      <c r="B17" s="19"/>
      <c r="C17" s="20"/>
      <c r="G17" s="19"/>
    </row>
    <row r="18" spans="1:7">
      <c r="A18" s="19"/>
      <c r="B18" s="19"/>
      <c r="C18" s="20"/>
      <c r="G18" s="19"/>
    </row>
    <row r="19" spans="1:7">
      <c r="A19" s="19"/>
      <c r="B19" s="19"/>
      <c r="C19" s="20"/>
      <c r="G19" s="19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86</v>
      </c>
      <c r="M1" s="18" t="s">
        <v>87</v>
      </c>
      <c r="N1" s="18" t="s">
        <v>571</v>
      </c>
      <c r="O1" s="18" t="s">
        <v>9</v>
      </c>
      <c r="P1" s="18" t="s">
        <v>10</v>
      </c>
      <c r="Q1" s="18" t="s">
        <v>88</v>
      </c>
      <c r="R1" s="18" t="s">
        <v>11</v>
      </c>
      <c r="S1" s="18" t="s">
        <v>12</v>
      </c>
      <c r="T1" s="18" t="s">
        <v>572</v>
      </c>
      <c r="U1" s="18" t="s">
        <v>89</v>
      </c>
      <c r="V1" s="18" t="s">
        <v>13</v>
      </c>
      <c r="W1" s="18" t="s">
        <v>14</v>
      </c>
      <c r="X1" s="18" t="s">
        <v>15</v>
      </c>
      <c r="Y1" s="18" t="s">
        <v>90</v>
      </c>
      <c r="Z1" s="18" t="s">
        <v>91</v>
      </c>
      <c r="AA1" s="18" t="s">
        <v>577</v>
      </c>
      <c r="AB1" s="18" t="s">
        <v>578</v>
      </c>
      <c r="AC1" s="18" t="s">
        <v>579</v>
      </c>
      <c r="AD1" s="18" t="s">
        <v>580</v>
      </c>
      <c r="AE1" s="18" t="s">
        <v>581</v>
      </c>
      <c r="AF1" s="18" t="s">
        <v>17</v>
      </c>
      <c r="AG1" s="18" t="s">
        <v>18</v>
      </c>
      <c r="AH1" s="18" t="s">
        <v>19</v>
      </c>
      <c r="AI1" s="18" t="s">
        <v>20</v>
      </c>
      <c r="AJ1" s="18" t="s">
        <v>21</v>
      </c>
      <c r="AK1" s="18" t="s">
        <v>92</v>
      </c>
      <c r="AL1" s="18" t="s">
        <v>22</v>
      </c>
      <c r="AM1" s="18" t="s">
        <v>24</v>
      </c>
      <c r="AN1" s="18" t="s">
        <v>25</v>
      </c>
    </row>
    <row r="2" spans="1:40">
      <c r="A2" s="26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20"/>
      <c r="AA2" s="19"/>
      <c r="AB2" s="19"/>
      <c r="AC2" s="20"/>
      <c r="AD2" s="20"/>
      <c r="AE2" s="19"/>
      <c r="AF2" s="19"/>
      <c r="AG2" s="19"/>
      <c r="AH2" s="19"/>
      <c r="AI2" s="19"/>
      <c r="AK2" s="33"/>
      <c r="AL2" s="19"/>
    </row>
    <row r="3" spans="1:40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C3" s="34"/>
      <c r="AF3" s="19"/>
      <c r="AG3" s="20"/>
      <c r="AH3" s="19"/>
      <c r="AI3" s="19"/>
      <c r="AK3" s="19"/>
      <c r="AL3" s="19"/>
    </row>
    <row r="4" spans="1:40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20"/>
      <c r="AE4" s="19"/>
      <c r="AF4" s="19"/>
      <c r="AG4" s="19"/>
      <c r="AH4" s="19"/>
      <c r="AI4" s="19"/>
      <c r="AK4" s="19"/>
      <c r="AL4" s="19"/>
    </row>
    <row r="5" spans="1:40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20"/>
      <c r="AE5" s="19"/>
      <c r="AF5" s="19"/>
      <c r="AG5" s="19"/>
      <c r="AH5" s="19"/>
      <c r="AI5" s="19"/>
      <c r="AK5" s="19"/>
      <c r="AL5" s="19"/>
    </row>
    <row r="6" spans="1:40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20"/>
      <c r="AE6" s="19"/>
      <c r="AF6" s="19"/>
      <c r="AG6" s="19"/>
      <c r="AH6" s="19"/>
      <c r="AI6" s="19"/>
      <c r="AK6" s="19"/>
      <c r="AL6" s="19"/>
    </row>
    <row r="7" spans="1:40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20"/>
      <c r="AE7" s="19"/>
      <c r="AF7" s="19"/>
      <c r="AG7" s="19"/>
      <c r="AH7" s="19"/>
      <c r="AI7" s="19"/>
      <c r="AK7" s="19"/>
      <c r="AL7" s="19"/>
    </row>
    <row r="8" spans="1:40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20"/>
      <c r="AE8" s="19"/>
      <c r="AF8" s="19"/>
      <c r="AG8" s="19"/>
      <c r="AH8" s="19"/>
      <c r="AI8" s="19"/>
      <c r="AK8" s="19"/>
      <c r="AL8" s="19"/>
    </row>
    <row r="9" spans="1:40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20"/>
      <c r="AE9" s="19"/>
      <c r="AF9" s="19"/>
      <c r="AG9" s="19"/>
      <c r="AH9" s="19"/>
      <c r="AL9" s="19"/>
    </row>
    <row r="10" spans="1:40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20"/>
      <c r="AE10" s="19"/>
      <c r="AF10" s="19"/>
      <c r="AG10" s="19"/>
      <c r="AH10" s="19"/>
      <c r="AL10" s="19"/>
    </row>
    <row r="11" spans="1:40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20"/>
      <c r="AE11" s="19"/>
      <c r="AF11" s="19"/>
      <c r="AG11" s="19"/>
      <c r="AH11" s="19"/>
      <c r="AI11" s="19"/>
      <c r="AK11" s="19"/>
      <c r="AL11" s="19"/>
    </row>
    <row r="12" spans="1:40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20"/>
      <c r="AE12" s="19"/>
      <c r="AF12" s="19"/>
      <c r="AG12" s="19"/>
      <c r="AH12" s="19"/>
      <c r="AI12" s="19"/>
      <c r="AK12" s="19"/>
      <c r="AL12" s="19"/>
    </row>
    <row r="13" spans="1:40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20"/>
      <c r="AE13" s="19"/>
      <c r="AF13" s="19"/>
      <c r="AG13" s="19"/>
      <c r="AH13" s="19"/>
      <c r="AI13" s="19"/>
      <c r="AK13" s="19"/>
      <c r="AL13" s="19"/>
    </row>
    <row r="14" spans="1:40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20"/>
      <c r="AE14" s="19"/>
      <c r="AF14" s="19"/>
      <c r="AG14" s="19"/>
      <c r="AH14" s="19"/>
      <c r="AI14" s="19"/>
      <c r="AK14" s="19"/>
      <c r="AL14" s="19"/>
    </row>
    <row r="15" spans="1:40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20"/>
      <c r="AE15" s="19"/>
      <c r="AF15" s="19"/>
      <c r="AG15" s="19"/>
      <c r="AH15" s="19"/>
      <c r="AI15" s="19"/>
      <c r="AK15" s="19"/>
      <c r="AL15" s="19"/>
    </row>
    <row r="16" spans="1:40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20"/>
      <c r="AE16" s="19"/>
      <c r="AF16" s="19"/>
      <c r="AG16" s="19"/>
      <c r="AH16" s="19"/>
      <c r="AI16" s="19"/>
      <c r="AK16" s="19"/>
      <c r="AL16" s="19"/>
    </row>
    <row r="17" spans="1:38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20"/>
      <c r="AE17" s="19"/>
      <c r="AF17" s="19"/>
      <c r="AG17" s="19"/>
      <c r="AH17" s="19"/>
      <c r="AI17" s="19"/>
      <c r="AK17" s="19"/>
      <c r="AL17" s="19"/>
    </row>
    <row r="18" spans="1:38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20"/>
      <c r="AE18" s="19"/>
      <c r="AF18" s="19"/>
      <c r="AG18" s="19"/>
      <c r="AH18" s="19"/>
      <c r="AI18" s="19"/>
      <c r="AK18" s="19"/>
      <c r="AL18" s="19"/>
    </row>
    <row r="19" spans="1:38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20"/>
      <c r="AE19" s="19"/>
      <c r="AF19" s="19"/>
      <c r="AG19" s="19"/>
      <c r="AH19" s="19"/>
      <c r="AI19" s="19"/>
      <c r="AK19" s="19"/>
      <c r="AL19" s="19"/>
    </row>
    <row r="20" spans="1:38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>
      <c r="Y21" s="38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9"/>
  <sheetViews>
    <sheetView rightToLeft="1" workbookViewId="0">
      <selection activeCell="C16" sqref="C16"/>
    </sheetView>
  </sheetViews>
  <sheetFormatPr defaultColWidth="0" defaultRowHeight="14.25"/>
  <cols>
    <col min="1" max="2" width="11.625" style="3" customWidth="1"/>
    <col min="3" max="3" width="26.375" style="3" customWidth="1"/>
    <col min="4" max="4" width="11.625" style="3" customWidth="1"/>
    <col min="5" max="5" width="19.875" style="5" customWidth="1"/>
    <col min="6" max="6" width="30" style="3" customWidth="1"/>
    <col min="7" max="7" width="17.5" style="3" customWidth="1"/>
    <col min="8" max="8" width="11.625" style="3" customWidth="1"/>
    <col min="9" max="9" width="31.25" style="3" customWidth="1"/>
    <col min="10" max="11" width="11.625" style="3" customWidth="1"/>
    <col min="12" max="12" width="11.625" style="5" customWidth="1"/>
    <col min="13" max="16" width="11.625" style="3" customWidth="1"/>
    <col min="17" max="17" width="21.25" style="3" customWidth="1"/>
    <col min="18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86</v>
      </c>
      <c r="N1" s="18" t="s">
        <v>87</v>
      </c>
      <c r="O1" s="160" t="s">
        <v>571</v>
      </c>
      <c r="P1" s="18" t="s">
        <v>9</v>
      </c>
      <c r="Q1" s="18" t="s">
        <v>10</v>
      </c>
      <c r="R1" s="18" t="s">
        <v>88</v>
      </c>
      <c r="S1" s="18" t="s">
        <v>11</v>
      </c>
      <c r="T1" s="18" t="s">
        <v>12</v>
      </c>
      <c r="U1" s="18" t="s">
        <v>13</v>
      </c>
      <c r="V1" s="149" t="s">
        <v>15</v>
      </c>
      <c r="W1" s="149" t="s">
        <v>14</v>
      </c>
      <c r="X1" s="18" t="s">
        <v>90</v>
      </c>
      <c r="Y1" s="18" t="s">
        <v>91</v>
      </c>
      <c r="Z1" s="18" t="s">
        <v>577</v>
      </c>
      <c r="AA1" s="18" t="s">
        <v>578</v>
      </c>
      <c r="AB1" s="160" t="s">
        <v>580</v>
      </c>
      <c r="AC1" s="160" t="s">
        <v>581</v>
      </c>
      <c r="AD1" s="18" t="s">
        <v>17</v>
      </c>
      <c r="AE1" s="147" t="s">
        <v>18</v>
      </c>
      <c r="AF1" s="153" t="s">
        <v>19</v>
      </c>
      <c r="AG1" s="18" t="s">
        <v>20</v>
      </c>
      <c r="AH1" s="18" t="s">
        <v>21</v>
      </c>
      <c r="AI1" s="18" t="s">
        <v>92</v>
      </c>
      <c r="AJ1" s="18" t="s">
        <v>22</v>
      </c>
      <c r="AK1" s="149" t="s">
        <v>24</v>
      </c>
      <c r="AL1" s="149" t="s">
        <v>25</v>
      </c>
    </row>
    <row r="2" spans="1:38">
      <c r="A2" s="182">
        <v>233</v>
      </c>
      <c r="B2" s="182">
        <v>233</v>
      </c>
      <c r="C2" s="182" t="s">
        <v>206</v>
      </c>
      <c r="D2" s="182" t="s">
        <v>1780</v>
      </c>
      <c r="E2" s="183" t="s">
        <v>96</v>
      </c>
      <c r="F2" s="182" t="s">
        <v>607</v>
      </c>
      <c r="G2" s="182" t="s">
        <v>608</v>
      </c>
      <c r="H2" s="182" t="s">
        <v>33</v>
      </c>
      <c r="I2" s="182" t="s">
        <v>113</v>
      </c>
      <c r="J2" s="183" t="s">
        <v>30</v>
      </c>
      <c r="K2" s="183" t="s">
        <v>30</v>
      </c>
      <c r="L2" s="182" t="s">
        <v>919</v>
      </c>
      <c r="M2" s="182" t="s">
        <v>209</v>
      </c>
      <c r="N2" s="182" t="s">
        <v>103</v>
      </c>
      <c r="O2" s="210">
        <v>37644</v>
      </c>
      <c r="P2" s="182" t="s">
        <v>122</v>
      </c>
      <c r="Q2" s="182" t="s">
        <v>116</v>
      </c>
      <c r="R2" s="182" t="s">
        <v>106</v>
      </c>
      <c r="S2" s="183" t="s">
        <v>34</v>
      </c>
      <c r="T2" s="184">
        <v>1.05</v>
      </c>
      <c r="U2" s="206" t="s">
        <v>609</v>
      </c>
      <c r="V2" s="185">
        <v>2.6960000000000001E-2</v>
      </c>
      <c r="W2" s="188">
        <v>6.6000000000000003E-2</v>
      </c>
      <c r="X2" s="183" t="s">
        <v>108</v>
      </c>
      <c r="Y2" s="183" t="s">
        <v>103</v>
      </c>
      <c r="Z2" s="182" t="s">
        <v>610</v>
      </c>
      <c r="AA2" s="182" t="s">
        <v>590</v>
      </c>
      <c r="AB2" s="205" t="s">
        <v>591</v>
      </c>
      <c r="AC2" s="182"/>
      <c r="AD2" s="184">
        <v>200000</v>
      </c>
      <c r="AE2" s="186">
        <v>1</v>
      </c>
      <c r="AF2" s="187">
        <v>156.24</v>
      </c>
      <c r="AG2" s="184">
        <v>312.48</v>
      </c>
      <c r="AH2" s="182"/>
      <c r="AI2" s="182"/>
      <c r="AJ2" s="182" t="s">
        <v>36</v>
      </c>
      <c r="AK2" s="188">
        <v>4.2259795897215097E-2</v>
      </c>
      <c r="AL2" s="188">
        <v>3.2388489397049402E-4</v>
      </c>
    </row>
    <row r="3" spans="1:38">
      <c r="A3" s="182">
        <v>233</v>
      </c>
      <c r="B3" s="182">
        <v>233</v>
      </c>
      <c r="C3" s="182" t="s">
        <v>619</v>
      </c>
      <c r="D3" s="182" t="s">
        <v>620</v>
      </c>
      <c r="E3" s="183" t="s">
        <v>96</v>
      </c>
      <c r="F3" s="182" t="s">
        <v>621</v>
      </c>
      <c r="G3" s="182" t="s">
        <v>622</v>
      </c>
      <c r="H3" s="182" t="s">
        <v>33</v>
      </c>
      <c r="I3" s="182" t="s">
        <v>113</v>
      </c>
      <c r="J3" s="183" t="s">
        <v>30</v>
      </c>
      <c r="K3" s="183" t="s">
        <v>30</v>
      </c>
      <c r="L3" s="182" t="s">
        <v>919</v>
      </c>
      <c r="M3" s="182" t="s">
        <v>274</v>
      </c>
      <c r="N3" s="182" t="s">
        <v>103</v>
      </c>
      <c r="O3" s="210">
        <v>37256</v>
      </c>
      <c r="P3" s="182" t="s">
        <v>122</v>
      </c>
      <c r="Q3" s="182" t="s">
        <v>116</v>
      </c>
      <c r="R3" s="182" t="s">
        <v>106</v>
      </c>
      <c r="S3" s="183" t="s">
        <v>34</v>
      </c>
      <c r="T3" s="184">
        <v>1.23</v>
      </c>
      <c r="U3" s="206" t="s">
        <v>623</v>
      </c>
      <c r="V3" s="185">
        <v>2.5999999999999999E-2</v>
      </c>
      <c r="W3" s="188">
        <v>5.1694999999999998E-2</v>
      </c>
      <c r="X3" s="183" t="s">
        <v>108</v>
      </c>
      <c r="Y3" s="183" t="s">
        <v>103</v>
      </c>
      <c r="Z3" s="182" t="s">
        <v>610</v>
      </c>
      <c r="AA3" s="182" t="s">
        <v>590</v>
      </c>
      <c r="AB3" s="205" t="s">
        <v>591</v>
      </c>
      <c r="AC3" s="182"/>
      <c r="AD3" s="184">
        <v>4426425.0999999996</v>
      </c>
      <c r="AE3" s="186">
        <v>1</v>
      </c>
      <c r="AF3" s="187">
        <v>157.9</v>
      </c>
      <c r="AG3" s="184">
        <v>6989.3249999999998</v>
      </c>
      <c r="AH3" s="182"/>
      <c r="AI3" s="182"/>
      <c r="AJ3" s="182" t="s">
        <v>36</v>
      </c>
      <c r="AK3" s="188">
        <v>0.94523636009219503</v>
      </c>
      <c r="AL3" s="188">
        <v>7.2444216013284497E-3</v>
      </c>
    </row>
    <row r="4" spans="1:38">
      <c r="A4" s="181">
        <v>233</v>
      </c>
      <c r="B4" s="182">
        <v>233</v>
      </c>
      <c r="C4" s="182" t="s">
        <v>582</v>
      </c>
      <c r="D4" s="182" t="s">
        <v>583</v>
      </c>
      <c r="E4" s="183" t="s">
        <v>96</v>
      </c>
      <c r="F4" s="182" t="s">
        <v>584</v>
      </c>
      <c r="G4" s="182" t="s">
        <v>585</v>
      </c>
      <c r="H4" s="182" t="s">
        <v>99</v>
      </c>
      <c r="I4" s="182" t="s">
        <v>71</v>
      </c>
      <c r="J4" s="183" t="s">
        <v>30</v>
      </c>
      <c r="K4" s="183" t="s">
        <v>30</v>
      </c>
      <c r="L4" s="182" t="s">
        <v>71</v>
      </c>
      <c r="M4" s="182" t="s">
        <v>586</v>
      </c>
      <c r="N4" s="182" t="s">
        <v>103</v>
      </c>
      <c r="O4" s="210">
        <v>39105</v>
      </c>
      <c r="P4" s="182" t="s">
        <v>600</v>
      </c>
      <c r="Q4" s="182" t="s">
        <v>600</v>
      </c>
      <c r="R4" s="182" t="s">
        <v>600</v>
      </c>
      <c r="S4" s="183" t="s">
        <v>34</v>
      </c>
      <c r="T4" s="184">
        <v>2.4700000000000002</v>
      </c>
      <c r="U4" s="206" t="s">
        <v>587</v>
      </c>
      <c r="V4" s="185">
        <v>1E-4</v>
      </c>
      <c r="W4" s="188">
        <v>5.3499999999999999E-2</v>
      </c>
      <c r="X4" s="183" t="s">
        <v>108</v>
      </c>
      <c r="Y4" s="183" t="s">
        <v>593</v>
      </c>
      <c r="Z4" s="182" t="s">
        <v>589</v>
      </c>
      <c r="AA4" s="182" t="s">
        <v>594</v>
      </c>
      <c r="AB4" s="205" t="s">
        <v>591</v>
      </c>
      <c r="AC4" s="205">
        <v>45930</v>
      </c>
      <c r="AD4" s="184">
        <v>626824.15</v>
      </c>
      <c r="AE4" s="186">
        <v>1</v>
      </c>
      <c r="AF4" s="187">
        <v>14.75</v>
      </c>
      <c r="AG4" s="184">
        <v>92.456999999999994</v>
      </c>
      <c r="AH4" s="182"/>
      <c r="AI4" s="182"/>
      <c r="AJ4" s="182" t="s">
        <v>36</v>
      </c>
      <c r="AK4" s="188">
        <v>1.2503825668076901E-2</v>
      </c>
      <c r="AL4" s="188">
        <v>9.5831041412992906E-5</v>
      </c>
    </row>
    <row r="5" spans="1:38">
      <c r="A5" s="182">
        <v>233</v>
      </c>
      <c r="B5" s="182">
        <v>233</v>
      </c>
      <c r="C5" s="182" t="s">
        <v>595</v>
      </c>
      <c r="D5" s="182" t="s">
        <v>596</v>
      </c>
      <c r="E5" s="183" t="s">
        <v>96</v>
      </c>
      <c r="F5" s="182" t="s">
        <v>597</v>
      </c>
      <c r="G5" s="182" t="s">
        <v>598</v>
      </c>
      <c r="H5" s="182" t="s">
        <v>99</v>
      </c>
      <c r="I5" s="182" t="s">
        <v>71</v>
      </c>
      <c r="J5" s="183" t="s">
        <v>30</v>
      </c>
      <c r="K5" s="183" t="s">
        <v>30</v>
      </c>
      <c r="L5" s="182" t="s">
        <v>71</v>
      </c>
      <c r="M5" s="182" t="s">
        <v>599</v>
      </c>
      <c r="N5" s="182" t="s">
        <v>103</v>
      </c>
      <c r="O5" s="210">
        <v>37621</v>
      </c>
      <c r="P5" s="182" t="s">
        <v>600</v>
      </c>
      <c r="Q5" s="182" t="s">
        <v>600</v>
      </c>
      <c r="R5" s="182" t="s">
        <v>600</v>
      </c>
      <c r="S5" s="183" t="s">
        <v>34</v>
      </c>
      <c r="T5" s="184">
        <v>0</v>
      </c>
      <c r="U5" s="206" t="s">
        <v>601</v>
      </c>
      <c r="V5" s="185">
        <v>0</v>
      </c>
      <c r="W5" s="188">
        <v>0</v>
      </c>
      <c r="X5" s="183" t="s">
        <v>108</v>
      </c>
      <c r="Y5" s="183" t="s">
        <v>593</v>
      </c>
      <c r="Z5" s="182" t="s">
        <v>589</v>
      </c>
      <c r="AA5" s="182" t="s">
        <v>594</v>
      </c>
      <c r="AB5" s="205" t="s">
        <v>602</v>
      </c>
      <c r="AC5" s="182"/>
      <c r="AD5" s="184">
        <v>44213.79</v>
      </c>
      <c r="AE5" s="186">
        <v>1</v>
      </c>
      <c r="AF5" s="187">
        <v>0</v>
      </c>
      <c r="AG5" s="184">
        <v>0</v>
      </c>
      <c r="AH5" s="182"/>
      <c r="AI5" s="182"/>
      <c r="AJ5" s="182" t="s">
        <v>36</v>
      </c>
      <c r="AK5" s="188">
        <v>5.9794730582511808E-9</v>
      </c>
      <c r="AL5" s="188">
        <v>4.5827504756092199E-11</v>
      </c>
    </row>
    <row r="6" spans="1:38">
      <c r="A6" s="182">
        <v>233</v>
      </c>
      <c r="B6" s="182">
        <v>233</v>
      </c>
      <c r="C6" s="182" t="s">
        <v>595</v>
      </c>
      <c r="D6" s="182" t="s">
        <v>596</v>
      </c>
      <c r="E6" s="183" t="s">
        <v>96</v>
      </c>
      <c r="F6" s="182" t="s">
        <v>603</v>
      </c>
      <c r="G6" s="182" t="s">
        <v>604</v>
      </c>
      <c r="H6" s="182" t="s">
        <v>99</v>
      </c>
      <c r="I6" s="182" t="s">
        <v>71</v>
      </c>
      <c r="J6" s="183" t="s">
        <v>30</v>
      </c>
      <c r="K6" s="183" t="s">
        <v>30</v>
      </c>
      <c r="L6" s="182" t="s">
        <v>71</v>
      </c>
      <c r="M6" s="182" t="s">
        <v>599</v>
      </c>
      <c r="N6" s="182" t="s">
        <v>103</v>
      </c>
      <c r="O6" s="210">
        <v>37763</v>
      </c>
      <c r="P6" s="182" t="s">
        <v>600</v>
      </c>
      <c r="Q6" s="182" t="s">
        <v>600</v>
      </c>
      <c r="R6" s="182" t="s">
        <v>600</v>
      </c>
      <c r="S6" s="183" t="s">
        <v>34</v>
      </c>
      <c r="T6" s="184">
        <v>0.01</v>
      </c>
      <c r="U6" s="206" t="s">
        <v>605</v>
      </c>
      <c r="V6" s="185">
        <v>1E-4</v>
      </c>
      <c r="W6" s="188">
        <v>0</v>
      </c>
      <c r="X6" s="183" t="s">
        <v>108</v>
      </c>
      <c r="Y6" s="183" t="s">
        <v>593</v>
      </c>
      <c r="Z6" s="182" t="s">
        <v>589</v>
      </c>
      <c r="AA6" s="182" t="s">
        <v>594</v>
      </c>
      <c r="AB6" s="205" t="s">
        <v>606</v>
      </c>
      <c r="AC6" s="182"/>
      <c r="AD6" s="184">
        <v>8842.75</v>
      </c>
      <c r="AE6" s="186">
        <v>1</v>
      </c>
      <c r="AF6" s="187">
        <v>0</v>
      </c>
      <c r="AG6" s="184">
        <v>0</v>
      </c>
      <c r="AH6" s="182"/>
      <c r="AI6" s="182"/>
      <c r="AJ6" s="182" t="s">
        <v>36</v>
      </c>
      <c r="AK6" s="188">
        <v>1.1958935297302198E-11</v>
      </c>
      <c r="AL6" s="188">
        <v>9.1654926592344599E-14</v>
      </c>
    </row>
    <row r="7" spans="1:38">
      <c r="A7" s="182">
        <v>233</v>
      </c>
      <c r="B7" s="182">
        <v>233</v>
      </c>
      <c r="C7" s="182" t="s">
        <v>611</v>
      </c>
      <c r="D7" s="182" t="s">
        <v>612</v>
      </c>
      <c r="E7" s="183" t="s">
        <v>96</v>
      </c>
      <c r="F7" s="182" t="s">
        <v>613</v>
      </c>
      <c r="G7" s="182" t="s">
        <v>614</v>
      </c>
      <c r="H7" s="182" t="s">
        <v>33</v>
      </c>
      <c r="I7" s="182" t="s">
        <v>71</v>
      </c>
      <c r="J7" s="183" t="s">
        <v>30</v>
      </c>
      <c r="K7" s="183" t="s">
        <v>30</v>
      </c>
      <c r="L7" s="182" t="s">
        <v>71</v>
      </c>
      <c r="M7" s="182" t="s">
        <v>71</v>
      </c>
      <c r="N7" s="182" t="s">
        <v>103</v>
      </c>
      <c r="O7" s="210">
        <v>39492</v>
      </c>
      <c r="P7" s="182" t="s">
        <v>616</v>
      </c>
      <c r="Q7" s="182" t="s">
        <v>33</v>
      </c>
      <c r="R7" s="182" t="s">
        <v>106</v>
      </c>
      <c r="S7" s="183" t="s">
        <v>34</v>
      </c>
      <c r="T7" s="184">
        <v>0.01</v>
      </c>
      <c r="U7" s="206" t="s">
        <v>617</v>
      </c>
      <c r="V7" s="185">
        <v>1E-4</v>
      </c>
      <c r="W7" s="188">
        <v>0</v>
      </c>
      <c r="X7" s="183" t="s">
        <v>108</v>
      </c>
      <c r="Y7" s="183" t="s">
        <v>593</v>
      </c>
      <c r="Z7" s="182" t="s">
        <v>589</v>
      </c>
      <c r="AA7" s="182" t="s">
        <v>594</v>
      </c>
      <c r="AB7" s="205" t="s">
        <v>618</v>
      </c>
      <c r="AC7" s="182"/>
      <c r="AD7" s="184">
        <v>4000000</v>
      </c>
      <c r="AE7" s="186">
        <v>1</v>
      </c>
      <c r="AF7" s="187">
        <v>0</v>
      </c>
      <c r="AG7" s="184">
        <v>0</v>
      </c>
      <c r="AH7" s="182"/>
      <c r="AI7" s="182"/>
      <c r="AJ7" s="182" t="s">
        <v>36</v>
      </c>
      <c r="AK7" s="188">
        <v>5.4096000892492403E-9</v>
      </c>
      <c r="AL7" s="188">
        <v>4.1459919863094497E-11</v>
      </c>
    </row>
    <row r="8" spans="1:38">
      <c r="A8" s="19">
        <v>233</v>
      </c>
      <c r="B8" s="19">
        <v>233</v>
      </c>
      <c r="C8" s="19" t="s">
        <v>1791</v>
      </c>
      <c r="D8" s="16" t="s">
        <v>1810</v>
      </c>
      <c r="E8" s="17" t="s">
        <v>592</v>
      </c>
      <c r="F8" s="19" t="s">
        <v>1792</v>
      </c>
      <c r="G8" s="16" t="s">
        <v>1793</v>
      </c>
      <c r="H8" s="19" t="s">
        <v>99</v>
      </c>
      <c r="I8" s="19" t="s">
        <v>71</v>
      </c>
      <c r="J8" s="17" t="s">
        <v>30</v>
      </c>
      <c r="K8" s="17" t="s">
        <v>30</v>
      </c>
      <c r="L8" s="19" t="s">
        <v>71</v>
      </c>
      <c r="M8" s="19" t="s">
        <v>586</v>
      </c>
      <c r="N8" s="19" t="s">
        <v>103</v>
      </c>
      <c r="O8" s="206">
        <v>39567</v>
      </c>
      <c r="P8" s="182" t="s">
        <v>600</v>
      </c>
      <c r="Q8" s="182" t="s">
        <v>600</v>
      </c>
      <c r="R8" s="182" t="s">
        <v>600</v>
      </c>
      <c r="S8" s="17" t="s">
        <v>34</v>
      </c>
      <c r="T8" s="19">
        <v>0.01</v>
      </c>
      <c r="U8" s="206">
        <v>42400</v>
      </c>
      <c r="V8" s="19">
        <v>0</v>
      </c>
      <c r="W8" s="188">
        <v>0</v>
      </c>
      <c r="X8" s="183" t="s">
        <v>108</v>
      </c>
      <c r="Y8" s="17" t="s">
        <v>593</v>
      </c>
      <c r="Z8" s="19" t="s">
        <v>589</v>
      </c>
      <c r="AA8" s="19" t="s">
        <v>594</v>
      </c>
      <c r="AB8" s="3" t="s">
        <v>1794</v>
      </c>
      <c r="AC8" s="19"/>
      <c r="AD8" s="19">
        <v>135000</v>
      </c>
      <c r="AE8" s="19">
        <v>1</v>
      </c>
      <c r="AF8" s="19">
        <v>0</v>
      </c>
      <c r="AG8" s="19">
        <v>0</v>
      </c>
      <c r="AH8" s="19"/>
      <c r="AI8" s="19"/>
      <c r="AJ8" s="20" t="s">
        <v>36</v>
      </c>
      <c r="AK8" s="188">
        <v>1.0807241243201199E-8</v>
      </c>
      <c r="AL8" s="188">
        <v>8.2828184799596606E-11</v>
      </c>
    </row>
    <row r="9" spans="1:38">
      <c r="A9" s="19">
        <v>233</v>
      </c>
      <c r="B9" s="19">
        <v>233</v>
      </c>
      <c r="C9" s="19" t="s">
        <v>1791</v>
      </c>
      <c r="D9" s="16" t="s">
        <v>1810</v>
      </c>
      <c r="E9" s="17" t="s">
        <v>592</v>
      </c>
      <c r="F9" s="19" t="s">
        <v>1795</v>
      </c>
      <c r="G9" s="19" t="s">
        <v>1806</v>
      </c>
      <c r="H9" s="19" t="s">
        <v>99</v>
      </c>
      <c r="I9" s="19" t="s">
        <v>71</v>
      </c>
      <c r="J9" s="17" t="s">
        <v>30</v>
      </c>
      <c r="K9" s="17" t="s">
        <v>30</v>
      </c>
      <c r="L9" s="19" t="s">
        <v>71</v>
      </c>
      <c r="M9" s="19" t="s">
        <v>586</v>
      </c>
      <c r="N9" s="19" t="s">
        <v>103</v>
      </c>
      <c r="O9" s="206">
        <v>40942</v>
      </c>
      <c r="P9" s="182" t="s">
        <v>600</v>
      </c>
      <c r="Q9" s="182" t="s">
        <v>600</v>
      </c>
      <c r="R9" s="182" t="s">
        <v>600</v>
      </c>
      <c r="S9" s="17" t="s">
        <v>34</v>
      </c>
      <c r="T9" s="19">
        <v>0.01</v>
      </c>
      <c r="U9" s="206">
        <v>40939</v>
      </c>
      <c r="V9" s="19">
        <v>0</v>
      </c>
      <c r="W9" s="188">
        <v>0</v>
      </c>
      <c r="X9" s="183" t="s">
        <v>108</v>
      </c>
      <c r="Y9" s="17" t="s">
        <v>593</v>
      </c>
      <c r="Z9" s="19" t="s">
        <v>589</v>
      </c>
      <c r="AA9" s="19" t="s">
        <v>594</v>
      </c>
      <c r="AB9" s="3" t="s">
        <v>1794</v>
      </c>
      <c r="AC9" s="19"/>
      <c r="AD9" s="19">
        <v>135000</v>
      </c>
      <c r="AE9" s="19">
        <v>1</v>
      </c>
      <c r="AF9" s="19">
        <v>0</v>
      </c>
      <c r="AG9" s="19">
        <v>0</v>
      </c>
      <c r="AH9" s="19"/>
      <c r="AI9" s="19"/>
      <c r="AJ9" s="20" t="s">
        <v>36</v>
      </c>
      <c r="AK9" s="188">
        <v>1.62048823971531E-8</v>
      </c>
      <c r="AL9" s="188">
        <v>1.24196449736098E-10</v>
      </c>
    </row>
    <row r="10" spans="1:38">
      <c r="A10" s="19">
        <v>233</v>
      </c>
      <c r="B10" s="19">
        <v>233</v>
      </c>
      <c r="C10" s="19" t="s">
        <v>1791</v>
      </c>
      <c r="D10" s="16" t="s">
        <v>1810</v>
      </c>
      <c r="E10" s="17" t="s">
        <v>592</v>
      </c>
      <c r="F10" s="19" t="s">
        <v>1796</v>
      </c>
      <c r="G10" s="19" t="s">
        <v>1807</v>
      </c>
      <c r="H10" s="19" t="s">
        <v>99</v>
      </c>
      <c r="I10" s="19" t="s">
        <v>71</v>
      </c>
      <c r="J10" s="17" t="s">
        <v>30</v>
      </c>
      <c r="K10" s="17" t="s">
        <v>30</v>
      </c>
      <c r="L10" s="19" t="s">
        <v>71</v>
      </c>
      <c r="M10" s="19" t="s">
        <v>586</v>
      </c>
      <c r="N10" s="19" t="s">
        <v>103</v>
      </c>
      <c r="O10" s="206">
        <v>41308</v>
      </c>
      <c r="P10" s="182" t="s">
        <v>600</v>
      </c>
      <c r="Q10" s="182" t="s">
        <v>600</v>
      </c>
      <c r="R10" s="182" t="s">
        <v>600</v>
      </c>
      <c r="S10" s="17" t="s">
        <v>34</v>
      </c>
      <c r="T10" s="19">
        <v>0.01</v>
      </c>
      <c r="U10" s="206">
        <v>41305</v>
      </c>
      <c r="V10" s="19">
        <v>0</v>
      </c>
      <c r="W10" s="188">
        <v>0</v>
      </c>
      <c r="X10" s="183" t="s">
        <v>108</v>
      </c>
      <c r="Y10" s="17" t="s">
        <v>593</v>
      </c>
      <c r="Z10" s="19" t="s">
        <v>589</v>
      </c>
      <c r="AA10" s="19" t="s">
        <v>594</v>
      </c>
      <c r="AB10" s="3" t="s">
        <v>1797</v>
      </c>
      <c r="AC10" s="19"/>
      <c r="AD10" s="19">
        <v>135000</v>
      </c>
      <c r="AE10" s="19">
        <v>1</v>
      </c>
      <c r="AF10" s="19">
        <v>0</v>
      </c>
      <c r="AG10" s="19">
        <v>0</v>
      </c>
      <c r="AH10" s="19"/>
      <c r="AI10" s="19"/>
      <c r="AJ10" s="20" t="s">
        <v>36</v>
      </c>
      <c r="AK10" s="188">
        <v>2.1602523551105101E-8</v>
      </c>
      <c r="AL10" s="188">
        <v>1.6556471467260099E-10</v>
      </c>
    </row>
    <row r="11" spans="1:38">
      <c r="A11" s="19">
        <v>233</v>
      </c>
      <c r="B11" s="19">
        <v>233</v>
      </c>
      <c r="C11" s="19" t="s">
        <v>1791</v>
      </c>
      <c r="D11" s="16" t="s">
        <v>1810</v>
      </c>
      <c r="E11" s="17" t="s">
        <v>592</v>
      </c>
      <c r="F11" s="19" t="s">
        <v>1798</v>
      </c>
      <c r="G11" s="19" t="s">
        <v>1808</v>
      </c>
      <c r="H11" s="19" t="s">
        <v>99</v>
      </c>
      <c r="I11" s="19" t="s">
        <v>71</v>
      </c>
      <c r="J11" s="17" t="s">
        <v>30</v>
      </c>
      <c r="K11" s="17" t="s">
        <v>30</v>
      </c>
      <c r="L11" s="19" t="s">
        <v>71</v>
      </c>
      <c r="M11" s="19" t="s">
        <v>586</v>
      </c>
      <c r="N11" s="19" t="s">
        <v>103</v>
      </c>
      <c r="O11" s="206">
        <v>41673</v>
      </c>
      <c r="P11" s="182" t="s">
        <v>600</v>
      </c>
      <c r="Q11" s="182" t="s">
        <v>600</v>
      </c>
      <c r="R11" s="182" t="s">
        <v>600</v>
      </c>
      <c r="S11" s="17" t="s">
        <v>34</v>
      </c>
      <c r="T11" s="19">
        <v>0.01</v>
      </c>
      <c r="U11" s="206">
        <v>41670</v>
      </c>
      <c r="V11" s="19">
        <v>0</v>
      </c>
      <c r="W11" s="188">
        <v>0</v>
      </c>
      <c r="X11" s="183" t="s">
        <v>108</v>
      </c>
      <c r="Y11" s="17" t="s">
        <v>593</v>
      </c>
      <c r="Z11" s="19" t="s">
        <v>589</v>
      </c>
      <c r="AA11" s="19" t="s">
        <v>594</v>
      </c>
      <c r="AB11" s="3" t="s">
        <v>1794</v>
      </c>
      <c r="AC11" s="19"/>
      <c r="AD11" s="19">
        <v>135000</v>
      </c>
      <c r="AE11" s="19">
        <v>1</v>
      </c>
      <c r="AF11" s="19">
        <v>0</v>
      </c>
      <c r="AG11" s="19">
        <v>0</v>
      </c>
      <c r="AH11" s="19"/>
      <c r="AI11" s="19"/>
      <c r="AJ11" s="20" t="s">
        <v>36</v>
      </c>
      <c r="AK11" s="188">
        <v>2.7000164705057E-8</v>
      </c>
      <c r="AL11" s="188">
        <v>2.06932979609103E-10</v>
      </c>
    </row>
    <row r="12" spans="1:38">
      <c r="A12" s="19">
        <v>233</v>
      </c>
      <c r="B12" s="19">
        <v>233</v>
      </c>
      <c r="C12" s="19" t="s">
        <v>1791</v>
      </c>
      <c r="D12" s="16" t="s">
        <v>1810</v>
      </c>
      <c r="E12" s="17" t="s">
        <v>592</v>
      </c>
      <c r="F12" s="19" t="s">
        <v>1799</v>
      </c>
      <c r="G12" s="16" t="s">
        <v>1809</v>
      </c>
      <c r="H12" s="19" t="s">
        <v>99</v>
      </c>
      <c r="I12" s="19" t="s">
        <v>71</v>
      </c>
      <c r="J12" s="17" t="s">
        <v>30</v>
      </c>
      <c r="K12" s="17" t="s">
        <v>30</v>
      </c>
      <c r="L12" s="19" t="s">
        <v>71</v>
      </c>
      <c r="M12" s="19" t="s">
        <v>586</v>
      </c>
      <c r="N12" s="19" t="s">
        <v>103</v>
      </c>
      <c r="O12" s="206">
        <v>42038</v>
      </c>
      <c r="P12" s="182" t="s">
        <v>600</v>
      </c>
      <c r="Q12" s="182" t="s">
        <v>600</v>
      </c>
      <c r="R12" s="182" t="s">
        <v>600</v>
      </c>
      <c r="S12" s="17" t="s">
        <v>34</v>
      </c>
      <c r="T12" s="19">
        <v>0.01</v>
      </c>
      <c r="U12" s="206">
        <v>42035</v>
      </c>
      <c r="V12" s="19">
        <v>0</v>
      </c>
      <c r="W12" s="188">
        <v>0</v>
      </c>
      <c r="X12" s="183" t="s">
        <v>108</v>
      </c>
      <c r="Y12" s="17" t="s">
        <v>593</v>
      </c>
      <c r="Z12" s="19" t="s">
        <v>589</v>
      </c>
      <c r="AA12" s="19" t="s">
        <v>594</v>
      </c>
      <c r="AB12" s="3" t="s">
        <v>1797</v>
      </c>
      <c r="AC12" s="19"/>
      <c r="AD12" s="19">
        <v>135000</v>
      </c>
      <c r="AE12" s="19">
        <v>1</v>
      </c>
      <c r="AF12" s="19">
        <v>0</v>
      </c>
      <c r="AG12" s="19">
        <v>0</v>
      </c>
      <c r="AH12" s="19"/>
      <c r="AI12" s="19"/>
      <c r="AJ12" s="20" t="s">
        <v>36</v>
      </c>
      <c r="AK12" s="188">
        <v>3.2397805859008899E-8</v>
      </c>
      <c r="AL12" s="188">
        <v>2.48301244545605E-10</v>
      </c>
    </row>
    <row r="13" spans="1:38">
      <c r="A13" s="19">
        <v>233</v>
      </c>
      <c r="B13" s="19">
        <v>233</v>
      </c>
      <c r="C13" s="19" t="s">
        <v>1800</v>
      </c>
      <c r="D13" s="19" t="s">
        <v>1801</v>
      </c>
      <c r="E13" s="17" t="s">
        <v>96</v>
      </c>
      <c r="F13" s="19" t="s">
        <v>1802</v>
      </c>
      <c r="G13" s="16" t="s">
        <v>1803</v>
      </c>
      <c r="H13" s="19" t="s">
        <v>99</v>
      </c>
      <c r="I13" s="19" t="s">
        <v>71</v>
      </c>
      <c r="J13" s="17" t="s">
        <v>30</v>
      </c>
      <c r="K13" s="17" t="s">
        <v>30</v>
      </c>
      <c r="L13" s="19" t="s">
        <v>71</v>
      </c>
      <c r="M13" s="19" t="s">
        <v>274</v>
      </c>
      <c r="N13" s="19" t="s">
        <v>103</v>
      </c>
      <c r="O13" s="206">
        <v>37843</v>
      </c>
      <c r="P13" s="19" t="s">
        <v>600</v>
      </c>
      <c r="Q13" s="19" t="s">
        <v>600</v>
      </c>
      <c r="R13" s="19" t="s">
        <v>600</v>
      </c>
      <c r="S13" s="17" t="s">
        <v>34</v>
      </c>
      <c r="T13" s="19">
        <v>0.01</v>
      </c>
      <c r="U13" s="19" t="s">
        <v>1804</v>
      </c>
      <c r="V13" s="19">
        <v>1E-4</v>
      </c>
      <c r="W13" s="188">
        <v>0</v>
      </c>
      <c r="X13" s="183" t="s">
        <v>108</v>
      </c>
      <c r="Y13" s="17" t="s">
        <v>593</v>
      </c>
      <c r="Z13" s="20" t="s">
        <v>589</v>
      </c>
      <c r="AA13" s="20" t="s">
        <v>594</v>
      </c>
      <c r="AB13" s="3" t="s">
        <v>1805</v>
      </c>
      <c r="AC13" s="19"/>
      <c r="AD13" s="19">
        <v>44577.13</v>
      </c>
      <c r="AE13" s="19">
        <v>1</v>
      </c>
      <c r="AF13" s="19">
        <v>0</v>
      </c>
      <c r="AG13" s="19">
        <v>0</v>
      </c>
      <c r="AH13" s="19"/>
      <c r="AI13" s="19"/>
      <c r="AJ13" s="20" t="s">
        <v>36</v>
      </c>
      <c r="AK13" s="188">
        <v>3.7795447012960903E-8</v>
      </c>
      <c r="AL13" s="188">
        <v>2.8966950948210701E-10</v>
      </c>
    </row>
    <row r="14" spans="1:38">
      <c r="E14" s="17"/>
      <c r="H14" s="19"/>
      <c r="I14" s="19"/>
      <c r="J14" s="17"/>
      <c r="K14" s="17"/>
      <c r="L14" s="19"/>
      <c r="M14" s="19"/>
      <c r="N14" s="19"/>
      <c r="Q14" s="19"/>
      <c r="R14" s="19"/>
      <c r="X14" s="17"/>
      <c r="Y14" s="17"/>
      <c r="AA14" s="19"/>
      <c r="AJ14" s="20"/>
    </row>
    <row r="15" spans="1:38">
      <c r="L15" s="35"/>
      <c r="X15" s="38"/>
    </row>
    <row r="16" spans="1:38">
      <c r="L16" s="3"/>
    </row>
    <row r="17" spans="12:12">
      <c r="L17" s="3"/>
    </row>
    <row r="18" spans="12:12">
      <c r="L18" s="3"/>
    </row>
    <row r="19" spans="12:12">
      <c r="L19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honeticPr fontId="26" type="noConversion"/>
  <dataValidations count="15">
    <dataValidation type="list" allowBlank="1" showInputMessage="1" showErrorMessage="1" sqref="E4" xr:uid="{F50DAF52-C2DA-4B7C-AC4F-0F6A455FF8E8}">
      <formula1>Issuer_Number_Type_3</formula1>
    </dataValidation>
    <dataValidation type="list" allowBlank="1" showInputMessage="1" showErrorMessage="1" sqref="E2:E3 E5:E14" xr:uid="{00000000-0002-0000-1100-000003000000}">
      <formula1>Issuer_Number_Type_2</formula1>
    </dataValidation>
    <dataValidation type="list" allowBlank="1" showInputMessage="1" showErrorMessage="1" sqref="J2:J14" xr:uid="{00000000-0002-0000-1100-000000000000}">
      <formula1>israel_abroad</formula1>
    </dataValidation>
    <dataValidation type="list" allowBlank="1" showInputMessage="1" showErrorMessage="1" sqref="N2:N14" xr:uid="{00000000-0002-0000-1100-000001000000}">
      <formula1>Holding_interest</formula1>
    </dataValidation>
    <dataValidation type="list" allowBlank="1" showInputMessage="1" showErrorMessage="1" sqref="K2:K14" xr:uid="{00000000-0002-0000-1100-000002000000}">
      <formula1>Country_list</formula1>
    </dataValidation>
    <dataValidation type="list" allowBlank="1" showInputMessage="1" showErrorMessage="1" sqref="Q2:Q3 Q5:Q7 Q13:Q14" xr:uid="{00000000-0002-0000-1100-000004000000}">
      <formula1>Rating_Agency</formula1>
    </dataValidation>
    <dataValidation type="list" allowBlank="1" showInputMessage="1" showErrorMessage="1" sqref="R2:R3 R5:R7 R13:R14" xr:uid="{00000000-0002-0000-1100-000005000000}">
      <formula1>What_is_rated</formula1>
    </dataValidation>
    <dataValidation type="list" allowBlank="1" showInputMessage="1" showErrorMessage="1" sqref="X2:X14" xr:uid="{00000000-0002-0000-1100-000006000000}">
      <formula1>Subordination_Risk</formula1>
    </dataValidation>
    <dataValidation type="list" allowBlank="1" showInputMessage="1" showErrorMessage="1" sqref="Z2:Z13" xr:uid="{00000000-0002-0000-1100-000007000000}">
      <formula1>Valuation</formula1>
    </dataValidation>
    <dataValidation type="list" allowBlank="1" showInputMessage="1" showErrorMessage="1" sqref="AA2:AA14" xr:uid="{00000000-0002-0000-1100-000008000000}">
      <formula1>Dependence_Independence</formula1>
    </dataValidation>
    <dataValidation type="list" allowBlank="1" showInputMessage="1" showErrorMessage="1" sqref="Y2:Y14" xr:uid="{00000000-0002-0000-1100-00000A000000}">
      <formula1>Yes_No_Bad_Debt</formula1>
    </dataValidation>
    <dataValidation type="list" allowBlank="1" showInputMessage="1" showErrorMessage="1" sqref="H2:H14" xr:uid="{00000000-0002-0000-1100-00000B000000}">
      <formula1>Type_of_Security_ID_Fund</formula1>
    </dataValidation>
    <dataValidation type="list" allowBlank="1" showInputMessage="1" showErrorMessage="1" sqref="AJ2:AJ14" xr:uid="{00000000-0002-0000-1100-00000D000000}">
      <formula1>In_the_books</formula1>
    </dataValidation>
    <dataValidation type="list" allowBlank="1" showInputMessage="1" showErrorMessage="1" sqref="M2:M14" xr:uid="{00000000-0002-0000-1100-00000E000000}">
      <formula1>Industry_Sector</formula1>
    </dataValidation>
    <dataValidation type="list" allowBlank="1" showInputMessage="1" showErrorMessage="1" sqref="L2:L14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I8:I14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N1" workbookViewId="0">
      <selection activeCell="T2" sqref="T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93</v>
      </c>
      <c r="M1" s="18" t="s">
        <v>86</v>
      </c>
      <c r="N1" s="18" t="s">
        <v>87</v>
      </c>
      <c r="O1" s="160" t="s">
        <v>571</v>
      </c>
      <c r="P1" s="18" t="s">
        <v>11</v>
      </c>
      <c r="Q1" s="18" t="s">
        <v>577</v>
      </c>
      <c r="R1" s="18" t="s">
        <v>578</v>
      </c>
      <c r="S1" s="160" t="s">
        <v>580</v>
      </c>
      <c r="T1" s="160" t="s">
        <v>581</v>
      </c>
      <c r="U1" s="18" t="s">
        <v>17</v>
      </c>
      <c r="V1" s="147" t="s">
        <v>18</v>
      </c>
      <c r="W1" s="153" t="s">
        <v>19</v>
      </c>
      <c r="X1" s="18" t="s">
        <v>20</v>
      </c>
      <c r="Y1" s="149" t="s">
        <v>24</v>
      </c>
      <c r="Z1" s="149" t="s">
        <v>25</v>
      </c>
    </row>
    <row r="2" spans="1:26">
      <c r="A2" s="19">
        <v>233</v>
      </c>
      <c r="B2" s="19">
        <v>233</v>
      </c>
      <c r="C2" s="19" t="s">
        <v>624</v>
      </c>
      <c r="D2" s="19" t="s">
        <v>625</v>
      </c>
      <c r="E2" s="17" t="s">
        <v>96</v>
      </c>
      <c r="F2" s="19" t="s">
        <v>626</v>
      </c>
      <c r="G2" s="19" t="s">
        <v>627</v>
      </c>
      <c r="H2" s="17" t="s">
        <v>99</v>
      </c>
      <c r="I2" s="19" t="s">
        <v>628</v>
      </c>
      <c r="J2" s="17" t="s">
        <v>30</v>
      </c>
      <c r="K2" s="17" t="s">
        <v>30</v>
      </c>
      <c r="L2" s="19" t="s">
        <v>71</v>
      </c>
      <c r="M2" s="19" t="s">
        <v>586</v>
      </c>
      <c r="N2" s="19" t="s">
        <v>103</v>
      </c>
      <c r="O2" s="206">
        <v>42736</v>
      </c>
      <c r="P2" s="17" t="s">
        <v>34</v>
      </c>
      <c r="Q2" s="19" t="s">
        <v>71</v>
      </c>
      <c r="R2" s="19" t="s">
        <v>590</v>
      </c>
      <c r="S2" s="161" t="s">
        <v>629</v>
      </c>
      <c r="T2" s="19"/>
      <c r="U2" s="145">
        <v>81826</v>
      </c>
      <c r="V2" s="156">
        <v>1</v>
      </c>
      <c r="W2" s="157">
        <v>0</v>
      </c>
      <c r="X2" s="145">
        <v>0</v>
      </c>
      <c r="Y2" s="155">
        <v>1</v>
      </c>
      <c r="Z2" s="155">
        <v>8.4812485067939195E-13</v>
      </c>
    </row>
    <row r="3" spans="1:26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5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E20" s="17"/>
      <c r="H20" s="5"/>
      <c r="I20" s="19"/>
      <c r="J20" s="17"/>
      <c r="K20" s="17"/>
      <c r="L20" s="19"/>
      <c r="M20" s="19"/>
      <c r="N20" s="19"/>
      <c r="R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C8" sqref="C8"/>
    </sheetView>
  </sheetViews>
  <sheetFormatPr defaultColWidth="0" defaultRowHeight="14.25"/>
  <cols>
    <col min="1" max="2" width="11.625" style="3" customWidth="1"/>
    <col min="3" max="3" width="18.5" style="3" customWidth="1"/>
    <col min="4" max="5" width="11.625" style="3" customWidth="1"/>
    <col min="6" max="6" width="25.625" style="3" customWidth="1"/>
    <col min="7" max="9" width="11.625" style="3" customWidth="1"/>
    <col min="10" max="10" width="16.75" style="3" customWidth="1"/>
    <col min="11" max="12" width="11.625" style="3" customWidth="1"/>
    <col min="13" max="13" width="16.5" style="3" customWidth="1"/>
    <col min="14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18" t="s">
        <v>0</v>
      </c>
      <c r="B1" s="18" t="s">
        <v>1</v>
      </c>
      <c r="C1" s="18" t="s">
        <v>630</v>
      </c>
      <c r="D1" s="18" t="s">
        <v>631</v>
      </c>
      <c r="E1" s="18" t="s">
        <v>632</v>
      </c>
      <c r="F1" s="18" t="s">
        <v>633</v>
      </c>
      <c r="G1" s="18" t="s">
        <v>634</v>
      </c>
      <c r="H1" s="18" t="s">
        <v>635</v>
      </c>
      <c r="I1" s="18" t="s">
        <v>5</v>
      </c>
      <c r="J1" s="18" t="s">
        <v>636</v>
      </c>
      <c r="K1" s="18" t="s">
        <v>6</v>
      </c>
      <c r="L1" s="18" t="s">
        <v>637</v>
      </c>
      <c r="M1" s="18" t="s">
        <v>638</v>
      </c>
      <c r="N1" s="18" t="s">
        <v>7</v>
      </c>
      <c r="O1" s="18" t="s">
        <v>87</v>
      </c>
      <c r="P1" s="162" t="s">
        <v>571</v>
      </c>
      <c r="Q1" s="18" t="s">
        <v>11</v>
      </c>
      <c r="R1" s="18" t="s">
        <v>577</v>
      </c>
      <c r="S1" s="18" t="s">
        <v>578</v>
      </c>
      <c r="T1" s="160" t="s">
        <v>580</v>
      </c>
      <c r="U1" s="147" t="s">
        <v>18</v>
      </c>
      <c r="V1" s="110" t="s">
        <v>639</v>
      </c>
      <c r="W1" s="18" t="s">
        <v>20</v>
      </c>
      <c r="X1" s="149" t="s">
        <v>640</v>
      </c>
      <c r="Y1" s="149" t="s">
        <v>24</v>
      </c>
      <c r="Z1" s="149" t="s">
        <v>25</v>
      </c>
    </row>
    <row r="2" spans="1:26">
      <c r="A2" s="19">
        <v>233</v>
      </c>
      <c r="B2" s="19">
        <v>233</v>
      </c>
      <c r="C2" s="20" t="s">
        <v>641</v>
      </c>
      <c r="D2" s="20" t="s">
        <v>642</v>
      </c>
      <c r="E2" s="20" t="s">
        <v>332</v>
      </c>
      <c r="F2" s="20" t="s">
        <v>643</v>
      </c>
      <c r="G2" s="20">
        <v>29994282</v>
      </c>
      <c r="H2" s="20" t="s">
        <v>33</v>
      </c>
      <c r="I2" s="3" t="s">
        <v>644</v>
      </c>
      <c r="J2" s="20" t="s">
        <v>645</v>
      </c>
      <c r="K2" s="17" t="s">
        <v>30</v>
      </c>
      <c r="L2" s="20" t="s">
        <v>30</v>
      </c>
      <c r="M2" s="20" t="s">
        <v>646</v>
      </c>
      <c r="N2" s="17" t="s">
        <v>30</v>
      </c>
      <c r="O2" s="19" t="s">
        <v>103</v>
      </c>
      <c r="P2" s="163" t="s">
        <v>647</v>
      </c>
      <c r="Q2" s="17" t="s">
        <v>66</v>
      </c>
      <c r="R2" s="19" t="s">
        <v>71</v>
      </c>
      <c r="S2" s="19" t="s">
        <v>590</v>
      </c>
      <c r="T2" s="161" t="s">
        <v>648</v>
      </c>
      <c r="U2" s="156">
        <v>3.306</v>
      </c>
      <c r="V2" s="145">
        <v>5120.24</v>
      </c>
      <c r="W2" s="145">
        <v>16927.512999999999</v>
      </c>
      <c r="X2" s="155">
        <v>1.1055000000000001E-2</v>
      </c>
      <c r="Y2" s="155">
        <v>0.21290691506212001</v>
      </c>
      <c r="Z2" s="155">
        <v>1.7545333727847098E-2</v>
      </c>
    </row>
    <row r="3" spans="1:26">
      <c r="A3" s="19">
        <v>233</v>
      </c>
      <c r="B3" s="19">
        <v>233</v>
      </c>
      <c r="C3" s="19" t="s">
        <v>649</v>
      </c>
      <c r="D3" s="3" t="s">
        <v>650</v>
      </c>
      <c r="E3" s="20" t="s">
        <v>332</v>
      </c>
      <c r="F3" s="19" t="s">
        <v>651</v>
      </c>
      <c r="G3" s="19">
        <v>8917762</v>
      </c>
      <c r="H3" s="20" t="s">
        <v>33</v>
      </c>
      <c r="I3" s="3" t="s">
        <v>644</v>
      </c>
      <c r="J3" s="19" t="s">
        <v>652</v>
      </c>
      <c r="K3" s="17" t="s">
        <v>30</v>
      </c>
      <c r="L3" s="20" t="s">
        <v>30</v>
      </c>
      <c r="M3" s="20" t="s">
        <v>653</v>
      </c>
      <c r="N3" s="17" t="s">
        <v>30</v>
      </c>
      <c r="O3" s="19" t="s">
        <v>103</v>
      </c>
      <c r="P3" s="163" t="s">
        <v>654</v>
      </c>
      <c r="Q3" s="17" t="s">
        <v>66</v>
      </c>
      <c r="R3" s="19" t="s">
        <v>71</v>
      </c>
      <c r="S3" s="19" t="s">
        <v>594</v>
      </c>
      <c r="T3" s="164" t="s">
        <v>655</v>
      </c>
      <c r="U3" s="156">
        <v>3.306</v>
      </c>
      <c r="V3" s="145">
        <v>2310.1869999999999</v>
      </c>
      <c r="W3" s="145">
        <v>7637.4780000000001</v>
      </c>
      <c r="X3" s="165">
        <v>1.3852E-2</v>
      </c>
      <c r="Y3" s="155">
        <v>9.6060884767795895E-2</v>
      </c>
      <c r="Z3" s="155">
        <v>7.9162308135998592E-3</v>
      </c>
    </row>
    <row r="4" spans="1:26">
      <c r="A4" s="19">
        <v>233</v>
      </c>
      <c r="B4" s="19">
        <v>233</v>
      </c>
      <c r="C4" s="19" t="s">
        <v>656</v>
      </c>
      <c r="D4" s="3" t="s">
        <v>657</v>
      </c>
      <c r="E4" s="20" t="s">
        <v>332</v>
      </c>
      <c r="F4" s="19" t="s">
        <v>658</v>
      </c>
      <c r="G4" s="19">
        <v>8917764</v>
      </c>
      <c r="H4" s="20" t="s">
        <v>33</v>
      </c>
      <c r="I4" s="3" t="s">
        <v>644</v>
      </c>
      <c r="J4" s="19" t="s">
        <v>652</v>
      </c>
      <c r="K4" s="17" t="s">
        <v>30</v>
      </c>
      <c r="L4" s="20" t="s">
        <v>30</v>
      </c>
      <c r="M4" s="20" t="s">
        <v>659</v>
      </c>
      <c r="N4" s="17" t="s">
        <v>30</v>
      </c>
      <c r="O4" s="19" t="s">
        <v>103</v>
      </c>
      <c r="P4" s="163" t="s">
        <v>660</v>
      </c>
      <c r="Q4" s="17" t="s">
        <v>66</v>
      </c>
      <c r="R4" s="19" t="s">
        <v>71</v>
      </c>
      <c r="S4" s="19" t="s">
        <v>594</v>
      </c>
      <c r="T4" s="161" t="s">
        <v>661</v>
      </c>
      <c r="U4" s="156">
        <v>3.306</v>
      </c>
      <c r="V4" s="145">
        <v>860.44799999999998</v>
      </c>
      <c r="W4" s="145">
        <v>2844.6410000000001</v>
      </c>
      <c r="X4" s="165">
        <v>8.1399999999999997E-3</v>
      </c>
      <c r="Y4" s="155">
        <v>3.5778660307804501E-2</v>
      </c>
      <c r="Z4" s="155">
        <v>2.94846475631169E-3</v>
      </c>
    </row>
    <row r="5" spans="1:26">
      <c r="A5" s="19">
        <v>233</v>
      </c>
      <c r="B5" s="19">
        <v>233</v>
      </c>
      <c r="C5" s="19" t="s">
        <v>662</v>
      </c>
      <c r="D5" s="3" t="s">
        <v>663</v>
      </c>
      <c r="E5" s="20" t="s">
        <v>33</v>
      </c>
      <c r="F5" s="19" t="s">
        <v>664</v>
      </c>
      <c r="G5" s="19">
        <v>892162703</v>
      </c>
      <c r="H5" s="20" t="s">
        <v>33</v>
      </c>
      <c r="I5" s="3" t="s">
        <v>644</v>
      </c>
      <c r="J5" s="19" t="s">
        <v>665</v>
      </c>
      <c r="K5" s="17" t="s">
        <v>30</v>
      </c>
      <c r="L5" s="20" t="s">
        <v>30</v>
      </c>
      <c r="M5" s="20" t="s">
        <v>670</v>
      </c>
      <c r="N5" s="17" t="s">
        <v>30</v>
      </c>
      <c r="O5" s="19" t="s">
        <v>103</v>
      </c>
      <c r="P5" s="163" t="s">
        <v>615</v>
      </c>
      <c r="Q5" s="17" t="s">
        <v>66</v>
      </c>
      <c r="R5" s="19" t="s">
        <v>71</v>
      </c>
      <c r="S5" s="20" t="s">
        <v>590</v>
      </c>
      <c r="T5" s="161" t="s">
        <v>666</v>
      </c>
      <c r="U5" s="156">
        <v>3.306</v>
      </c>
      <c r="V5" s="145">
        <v>0</v>
      </c>
      <c r="W5" s="145">
        <v>0</v>
      </c>
      <c r="X5" s="165">
        <v>0</v>
      </c>
      <c r="Y5" s="155">
        <v>4.1581432812615099E-10</v>
      </c>
      <c r="Z5" s="155">
        <v>3.4266623766847594E-11</v>
      </c>
    </row>
    <row r="6" spans="1:26">
      <c r="A6" s="19">
        <v>233</v>
      </c>
      <c r="B6" s="19">
        <v>233</v>
      </c>
      <c r="C6" s="19" t="s">
        <v>667</v>
      </c>
      <c r="D6" s="3" t="s">
        <v>668</v>
      </c>
      <c r="E6" s="20" t="s">
        <v>332</v>
      </c>
      <c r="F6" s="19" t="s">
        <v>669</v>
      </c>
      <c r="G6" s="19">
        <v>800070395</v>
      </c>
      <c r="H6" s="20" t="s">
        <v>33</v>
      </c>
      <c r="I6" s="3" t="s">
        <v>644</v>
      </c>
      <c r="J6" s="19" t="s">
        <v>645</v>
      </c>
      <c r="K6" s="17" t="s">
        <v>61</v>
      </c>
      <c r="L6" s="20" t="s">
        <v>30</v>
      </c>
      <c r="M6" s="20" t="s">
        <v>670</v>
      </c>
      <c r="N6" s="17" t="s">
        <v>30</v>
      </c>
      <c r="O6" s="19" t="s">
        <v>103</v>
      </c>
      <c r="P6" s="163" t="s">
        <v>671</v>
      </c>
      <c r="Q6" s="17" t="s">
        <v>66</v>
      </c>
      <c r="R6" s="19" t="s">
        <v>71</v>
      </c>
      <c r="S6" s="19" t="s">
        <v>594</v>
      </c>
      <c r="T6" s="161" t="s">
        <v>672</v>
      </c>
      <c r="U6" s="156">
        <v>3.306</v>
      </c>
      <c r="V6" s="145">
        <v>1726.2539999999999</v>
      </c>
      <c r="W6" s="145">
        <v>5706.9960000000001</v>
      </c>
      <c r="X6" s="155">
        <v>1.0351000000000001E-2</v>
      </c>
      <c r="Y6" s="155">
        <v>7.1780114647819707E-2</v>
      </c>
      <c r="Z6" s="155">
        <v>5.9152896285762403E-3</v>
      </c>
    </row>
    <row r="7" spans="1:26">
      <c r="A7" s="19">
        <v>233</v>
      </c>
      <c r="B7" s="19">
        <v>233</v>
      </c>
      <c r="C7" s="19" t="s">
        <v>673</v>
      </c>
      <c r="D7" s="3" t="s">
        <v>674</v>
      </c>
      <c r="E7" s="20" t="s">
        <v>332</v>
      </c>
      <c r="F7" s="19" t="s">
        <v>675</v>
      </c>
      <c r="G7" s="19">
        <v>800070385</v>
      </c>
      <c r="H7" s="20" t="s">
        <v>33</v>
      </c>
      <c r="I7" s="3" t="s">
        <v>644</v>
      </c>
      <c r="J7" s="19" t="s">
        <v>652</v>
      </c>
      <c r="K7" s="17" t="s">
        <v>61</v>
      </c>
      <c r="L7" s="20" t="s">
        <v>30</v>
      </c>
      <c r="M7" s="20" t="s">
        <v>676</v>
      </c>
      <c r="N7" s="17" t="s">
        <v>30</v>
      </c>
      <c r="O7" s="19" t="s">
        <v>593</v>
      </c>
      <c r="P7" s="163" t="s">
        <v>615</v>
      </c>
      <c r="Q7" s="17" t="s">
        <v>66</v>
      </c>
      <c r="R7" s="19" t="s">
        <v>71</v>
      </c>
      <c r="S7" s="19" t="s">
        <v>594</v>
      </c>
      <c r="T7" s="161" t="s">
        <v>677</v>
      </c>
      <c r="U7" s="156">
        <v>3.306</v>
      </c>
      <c r="V7" s="145">
        <v>6.0289999999999999</v>
      </c>
      <c r="W7" s="145">
        <v>19.931999999999999</v>
      </c>
      <c r="X7" s="155">
        <v>0</v>
      </c>
      <c r="Y7" s="155">
        <v>2.5069445842725702E-4</v>
      </c>
      <c r="Z7" s="155">
        <v>2.0659347469032401E-5</v>
      </c>
    </row>
    <row r="8" spans="1:26">
      <c r="A8" s="19">
        <v>233</v>
      </c>
      <c r="B8" s="19">
        <v>233</v>
      </c>
      <c r="C8" s="19" t="s">
        <v>678</v>
      </c>
      <c r="D8" s="3" t="s">
        <v>679</v>
      </c>
      <c r="E8" s="20" t="s">
        <v>96</v>
      </c>
      <c r="F8" s="19" t="s">
        <v>680</v>
      </c>
      <c r="G8" s="19">
        <v>800069247</v>
      </c>
      <c r="H8" s="20" t="s">
        <v>33</v>
      </c>
      <c r="I8" s="3" t="s">
        <v>644</v>
      </c>
      <c r="J8" s="19" t="s">
        <v>665</v>
      </c>
      <c r="K8" s="17" t="s">
        <v>30</v>
      </c>
      <c r="L8" s="20" t="s">
        <v>30</v>
      </c>
      <c r="M8" s="20"/>
      <c r="N8" s="17" t="s">
        <v>30</v>
      </c>
      <c r="O8" s="19" t="s">
        <v>593</v>
      </c>
      <c r="P8" s="163" t="s">
        <v>615</v>
      </c>
      <c r="Q8" s="17" t="s">
        <v>66</v>
      </c>
      <c r="R8" s="19" t="s">
        <v>71</v>
      </c>
      <c r="S8" s="20" t="s">
        <v>590</v>
      </c>
      <c r="T8" s="161" t="s">
        <v>618</v>
      </c>
      <c r="U8" s="156">
        <v>3.306</v>
      </c>
      <c r="V8" s="145">
        <v>0</v>
      </c>
      <c r="W8" s="145">
        <v>0</v>
      </c>
      <c r="X8" s="155">
        <v>0</v>
      </c>
      <c r="Y8" s="155">
        <v>2.0018446077023901E-10</v>
      </c>
      <c r="Z8" s="155">
        <v>1.6496895698846499E-11</v>
      </c>
    </row>
    <row r="9" spans="1:26">
      <c r="A9" s="19">
        <v>233</v>
      </c>
      <c r="B9" s="19">
        <v>233</v>
      </c>
      <c r="C9" s="19" t="s">
        <v>681</v>
      </c>
      <c r="D9" s="3" t="s">
        <v>682</v>
      </c>
      <c r="E9" s="20" t="s">
        <v>332</v>
      </c>
      <c r="F9" s="19" t="s">
        <v>683</v>
      </c>
      <c r="G9" s="19">
        <v>8917763</v>
      </c>
      <c r="H9" s="20" t="s">
        <v>33</v>
      </c>
      <c r="I9" s="3" t="s">
        <v>644</v>
      </c>
      <c r="J9" s="19" t="s">
        <v>665</v>
      </c>
      <c r="K9" s="17" t="s">
        <v>61</v>
      </c>
      <c r="L9" s="20" t="s">
        <v>30</v>
      </c>
      <c r="M9" s="20" t="s">
        <v>684</v>
      </c>
      <c r="N9" s="17" t="s">
        <v>30</v>
      </c>
      <c r="O9" s="19" t="s">
        <v>103</v>
      </c>
      <c r="P9" s="163" t="s">
        <v>685</v>
      </c>
      <c r="Q9" s="17" t="s">
        <v>66</v>
      </c>
      <c r="R9" s="19" t="s">
        <v>71</v>
      </c>
      <c r="S9" s="19" t="s">
        <v>590</v>
      </c>
      <c r="T9" s="161" t="s">
        <v>686</v>
      </c>
      <c r="U9" s="156">
        <v>3.306</v>
      </c>
      <c r="V9" s="145">
        <v>1251.163</v>
      </c>
      <c r="W9" s="145">
        <v>4136.3450000000003</v>
      </c>
      <c r="X9" s="155">
        <v>6.0780000000000001E-3</v>
      </c>
      <c r="Y9" s="155">
        <v>5.2025150554781498E-2</v>
      </c>
      <c r="Z9" s="155">
        <v>4.2873132066133298E-3</v>
      </c>
    </row>
    <row r="10" spans="1:26">
      <c r="A10" s="19">
        <v>233</v>
      </c>
      <c r="B10" s="19">
        <v>233</v>
      </c>
      <c r="C10" s="19" t="s">
        <v>687</v>
      </c>
      <c r="D10" s="3" t="s">
        <v>688</v>
      </c>
      <c r="E10" s="20" t="s">
        <v>33</v>
      </c>
      <c r="F10" s="19" t="s">
        <v>689</v>
      </c>
      <c r="G10" s="19">
        <v>865637</v>
      </c>
      <c r="H10" s="20" t="s">
        <v>33</v>
      </c>
      <c r="I10" s="3" t="s">
        <v>690</v>
      </c>
      <c r="J10" s="19" t="s">
        <v>691</v>
      </c>
      <c r="K10" s="17" t="s">
        <v>61</v>
      </c>
      <c r="L10" s="20" t="s">
        <v>692</v>
      </c>
      <c r="M10" s="20" t="s">
        <v>693</v>
      </c>
      <c r="N10" s="17" t="s">
        <v>62</v>
      </c>
      <c r="O10" s="19" t="s">
        <v>103</v>
      </c>
      <c r="P10" s="163" t="s">
        <v>694</v>
      </c>
      <c r="Q10" s="17" t="s">
        <v>66</v>
      </c>
      <c r="R10" s="19" t="s">
        <v>71</v>
      </c>
      <c r="S10" s="19" t="s">
        <v>590</v>
      </c>
      <c r="T10" s="161" t="s">
        <v>695</v>
      </c>
      <c r="U10" s="156">
        <v>3.306</v>
      </c>
      <c r="V10" s="145">
        <v>2765.0819999999999</v>
      </c>
      <c r="W10" s="145">
        <v>9141.3610000000008</v>
      </c>
      <c r="X10" s="155">
        <v>4.8465000000000001E-2</v>
      </c>
      <c r="Y10" s="155">
        <v>0.114976070905394</v>
      </c>
      <c r="Z10" s="155">
        <v>9.4750024167282905E-3</v>
      </c>
    </row>
    <row r="11" spans="1:26">
      <c r="A11" s="19">
        <v>233</v>
      </c>
      <c r="B11" s="19">
        <v>233</v>
      </c>
      <c r="C11" s="19" t="s">
        <v>696</v>
      </c>
      <c r="D11" s="3" t="s">
        <v>697</v>
      </c>
      <c r="E11" s="20" t="s">
        <v>332</v>
      </c>
      <c r="F11" s="19" t="s">
        <v>698</v>
      </c>
      <c r="G11" s="19">
        <v>29994457</v>
      </c>
      <c r="H11" s="20" t="s">
        <v>33</v>
      </c>
      <c r="I11" s="3" t="s">
        <v>690</v>
      </c>
      <c r="J11" s="19" t="s">
        <v>699</v>
      </c>
      <c r="K11" s="17" t="s">
        <v>61</v>
      </c>
      <c r="L11" s="20" t="s">
        <v>692</v>
      </c>
      <c r="M11" s="20" t="s">
        <v>700</v>
      </c>
      <c r="N11" s="17" t="s">
        <v>62</v>
      </c>
      <c r="O11" s="19" t="s">
        <v>103</v>
      </c>
      <c r="P11" s="163" t="s">
        <v>701</v>
      </c>
      <c r="Q11" s="17" t="s">
        <v>34</v>
      </c>
      <c r="R11" s="19" t="s">
        <v>71</v>
      </c>
      <c r="S11" s="19" t="s">
        <v>590</v>
      </c>
      <c r="T11" s="161" t="s">
        <v>591</v>
      </c>
      <c r="U11" s="156">
        <v>1</v>
      </c>
      <c r="V11" s="145">
        <v>4707.4279999999999</v>
      </c>
      <c r="W11" s="145">
        <v>4707.4279999999999</v>
      </c>
      <c r="X11" s="155">
        <v>2.3E-5</v>
      </c>
      <c r="Y11" s="155">
        <v>5.9207985814335999E-2</v>
      </c>
      <c r="Z11" s="155">
        <v>4.8792396910314704E-3</v>
      </c>
    </row>
    <row r="12" spans="1:26">
      <c r="A12" s="19">
        <v>233</v>
      </c>
      <c r="B12" s="19">
        <v>233</v>
      </c>
      <c r="C12" s="19" t="s">
        <v>702</v>
      </c>
      <c r="D12" s="3" t="s">
        <v>703</v>
      </c>
      <c r="E12" s="20" t="s">
        <v>33</v>
      </c>
      <c r="F12" s="19" t="s">
        <v>702</v>
      </c>
      <c r="G12" s="19">
        <v>29994435</v>
      </c>
      <c r="H12" s="20" t="s">
        <v>33</v>
      </c>
      <c r="I12" s="3" t="s">
        <v>644</v>
      </c>
      <c r="J12" s="19" t="s">
        <v>699</v>
      </c>
      <c r="K12" s="17" t="s">
        <v>61</v>
      </c>
      <c r="L12" s="20" t="s">
        <v>692</v>
      </c>
      <c r="M12" s="20" t="s">
        <v>704</v>
      </c>
      <c r="N12" s="17" t="s">
        <v>391</v>
      </c>
      <c r="O12" s="19" t="s">
        <v>103</v>
      </c>
      <c r="P12" s="163" t="s">
        <v>605</v>
      </c>
      <c r="Q12" s="17" t="s">
        <v>66</v>
      </c>
      <c r="R12" s="19" t="s">
        <v>71</v>
      </c>
      <c r="S12" s="19" t="s">
        <v>590</v>
      </c>
      <c r="T12" s="161" t="s">
        <v>705</v>
      </c>
      <c r="U12" s="156">
        <v>3.306</v>
      </c>
      <c r="V12" s="145">
        <v>4701.1719999999996</v>
      </c>
      <c r="W12" s="145">
        <v>15542.074000000001</v>
      </c>
      <c r="X12" s="155">
        <v>8.8999999999999995E-5</v>
      </c>
      <c r="Y12" s="155">
        <v>0.195481465042986</v>
      </c>
      <c r="Z12" s="155">
        <v>1.61093290031794E-2</v>
      </c>
    </row>
    <row r="13" spans="1:26">
      <c r="A13" s="19">
        <v>233</v>
      </c>
      <c r="B13" s="19">
        <v>233</v>
      </c>
      <c r="C13" s="19" t="s">
        <v>706</v>
      </c>
      <c r="D13" s="3" t="s">
        <v>707</v>
      </c>
      <c r="E13" s="20" t="s">
        <v>96</v>
      </c>
      <c r="F13" s="19" t="s">
        <v>708</v>
      </c>
      <c r="G13" s="19">
        <v>827727</v>
      </c>
      <c r="H13" s="20" t="s">
        <v>33</v>
      </c>
      <c r="I13" s="3" t="s">
        <v>690</v>
      </c>
      <c r="J13" s="19" t="s">
        <v>699</v>
      </c>
      <c r="K13" s="17" t="s">
        <v>61</v>
      </c>
      <c r="L13" s="20" t="s">
        <v>692</v>
      </c>
      <c r="M13" s="20" t="s">
        <v>709</v>
      </c>
      <c r="N13" s="17" t="s">
        <v>62</v>
      </c>
      <c r="O13" s="19" t="s">
        <v>103</v>
      </c>
      <c r="P13" s="163" t="s">
        <v>710</v>
      </c>
      <c r="Q13" s="17" t="s">
        <v>66</v>
      </c>
      <c r="R13" s="19" t="s">
        <v>71</v>
      </c>
      <c r="S13" s="19" t="s">
        <v>590</v>
      </c>
      <c r="T13" s="161" t="s">
        <v>591</v>
      </c>
      <c r="U13" s="156">
        <v>3.306</v>
      </c>
      <c r="V13" s="145">
        <v>1194.683</v>
      </c>
      <c r="W13" s="145">
        <v>3949.623</v>
      </c>
      <c r="X13" s="155">
        <v>1.147E-3</v>
      </c>
      <c r="Y13" s="155">
        <v>4.9676648060296001E-2</v>
      </c>
      <c r="Z13" s="155">
        <v>4.09377670257631E-3</v>
      </c>
    </row>
    <row r="14" spans="1:26">
      <c r="A14" s="19">
        <v>233</v>
      </c>
      <c r="B14" s="19">
        <v>233</v>
      </c>
      <c r="C14" s="19" t="s">
        <v>706</v>
      </c>
      <c r="D14" s="3" t="s">
        <v>707</v>
      </c>
      <c r="E14" s="20" t="s">
        <v>96</v>
      </c>
      <c r="F14" s="19" t="s">
        <v>711</v>
      </c>
      <c r="G14" s="19">
        <v>826410</v>
      </c>
      <c r="H14" s="20" t="s">
        <v>33</v>
      </c>
      <c r="I14" s="3" t="s">
        <v>690</v>
      </c>
      <c r="J14" s="19" t="s">
        <v>699</v>
      </c>
      <c r="K14" s="17" t="s">
        <v>61</v>
      </c>
      <c r="L14" s="20" t="s">
        <v>692</v>
      </c>
      <c r="M14" s="20" t="s">
        <v>709</v>
      </c>
      <c r="N14" s="17" t="s">
        <v>62</v>
      </c>
      <c r="O14" s="19" t="s">
        <v>103</v>
      </c>
      <c r="P14" s="163" t="s">
        <v>712</v>
      </c>
      <c r="Q14" s="17" t="s">
        <v>66</v>
      </c>
      <c r="R14" s="19" t="s">
        <v>71</v>
      </c>
      <c r="S14" s="19" t="s">
        <v>590</v>
      </c>
      <c r="T14" s="161" t="s">
        <v>591</v>
      </c>
      <c r="U14" s="156">
        <v>3.306</v>
      </c>
      <c r="V14" s="145">
        <v>1204.2170000000001</v>
      </c>
      <c r="W14" s="145">
        <v>3981.1410000000001</v>
      </c>
      <c r="X14" s="155">
        <v>1.155E-3</v>
      </c>
      <c r="Y14" s="155">
        <v>5.0073067814103901E-2</v>
      </c>
      <c r="Z14" s="155">
        <v>4.1264450490921603E-3</v>
      </c>
    </row>
    <row r="15" spans="1:26">
      <c r="A15" s="19">
        <v>233</v>
      </c>
      <c r="B15" s="19">
        <v>233</v>
      </c>
      <c r="C15" s="19" t="s">
        <v>706</v>
      </c>
      <c r="D15" s="3" t="s">
        <v>707</v>
      </c>
      <c r="E15" s="20" t="s">
        <v>96</v>
      </c>
      <c r="F15" s="19" t="s">
        <v>711</v>
      </c>
      <c r="G15" s="19">
        <v>830958</v>
      </c>
      <c r="H15" s="20" t="s">
        <v>33</v>
      </c>
      <c r="I15" s="3" t="s">
        <v>690</v>
      </c>
      <c r="J15" s="19" t="s">
        <v>699</v>
      </c>
      <c r="K15" s="17" t="s">
        <v>61</v>
      </c>
      <c r="L15" s="20" t="s">
        <v>692</v>
      </c>
      <c r="M15" s="20" t="s">
        <v>709</v>
      </c>
      <c r="N15" s="17" t="s">
        <v>62</v>
      </c>
      <c r="O15" s="19" t="s">
        <v>103</v>
      </c>
      <c r="P15" s="163" t="s">
        <v>713</v>
      </c>
      <c r="Q15" s="17" t="s">
        <v>66</v>
      </c>
      <c r="R15" s="19" t="s">
        <v>71</v>
      </c>
      <c r="S15" s="19" t="s">
        <v>590</v>
      </c>
      <c r="T15" s="161" t="s">
        <v>591</v>
      </c>
      <c r="U15" s="156">
        <v>3.306</v>
      </c>
      <c r="V15" s="145">
        <v>1474.635</v>
      </c>
      <c r="W15" s="145">
        <v>4875.143</v>
      </c>
      <c r="X15" s="155">
        <v>1.4139999999999999E-3</v>
      </c>
      <c r="Y15" s="155">
        <v>6.1317436580430998E-2</v>
      </c>
      <c r="Z15" s="155">
        <v>5.0530763072014996E-3</v>
      </c>
    </row>
    <row r="16" spans="1:26">
      <c r="A16" s="19">
        <v>233</v>
      </c>
      <c r="B16" s="19">
        <v>233</v>
      </c>
      <c r="C16" s="19" t="s">
        <v>714</v>
      </c>
      <c r="D16" s="3" t="s">
        <v>707</v>
      </c>
      <c r="E16" s="20" t="s">
        <v>96</v>
      </c>
      <c r="F16" s="19" t="s">
        <v>715</v>
      </c>
      <c r="G16" s="19">
        <v>856063</v>
      </c>
      <c r="H16" s="20" t="s">
        <v>33</v>
      </c>
      <c r="I16" s="3" t="s">
        <v>690</v>
      </c>
      <c r="J16" s="20" t="s">
        <v>699</v>
      </c>
      <c r="K16" s="17" t="s">
        <v>61</v>
      </c>
      <c r="L16" s="20" t="s">
        <v>692</v>
      </c>
      <c r="M16" s="20" t="s">
        <v>709</v>
      </c>
      <c r="N16" s="27" t="s">
        <v>62</v>
      </c>
      <c r="O16" s="19" t="s">
        <v>103</v>
      </c>
      <c r="P16" s="163" t="s">
        <v>716</v>
      </c>
      <c r="Q16" s="17" t="s">
        <v>66</v>
      </c>
      <c r="R16" s="19" t="s">
        <v>71</v>
      </c>
      <c r="S16" s="20" t="s">
        <v>590</v>
      </c>
      <c r="T16" s="161" t="s">
        <v>716</v>
      </c>
      <c r="U16" s="156">
        <v>3.306</v>
      </c>
      <c r="V16" s="145">
        <v>11.180999999999999</v>
      </c>
      <c r="W16" s="145">
        <v>36.963000000000001</v>
      </c>
      <c r="X16" s="155">
        <v>0</v>
      </c>
      <c r="Y16" s="155">
        <v>4.6490536770472501E-4</v>
      </c>
      <c r="Z16" s="155">
        <v>3.8312141368761602E-5</v>
      </c>
    </row>
    <row r="17" spans="1:26">
      <c r="A17" s="19"/>
      <c r="B17" s="19"/>
      <c r="C17" s="19"/>
      <c r="E17" s="20"/>
      <c r="F17" s="19"/>
      <c r="G17" s="19"/>
      <c r="H17" s="20"/>
      <c r="J17" s="19"/>
      <c r="K17" s="17"/>
      <c r="L17" s="20"/>
      <c r="M17" s="20"/>
      <c r="N17" s="17"/>
      <c r="O17" s="19"/>
      <c r="Q17" s="17"/>
      <c r="R17" s="19"/>
      <c r="S17" s="19"/>
      <c r="T17" s="20"/>
      <c r="U17" s="19"/>
      <c r="V17" s="19"/>
      <c r="W17" s="19"/>
      <c r="X17" s="19"/>
      <c r="Y17" s="19"/>
      <c r="Z17" s="19"/>
    </row>
    <row r="18" spans="1:26">
      <c r="A18" s="19"/>
      <c r="B18" s="19"/>
      <c r="C18" s="19"/>
      <c r="E18" s="20"/>
      <c r="F18" s="19"/>
      <c r="G18" s="19"/>
      <c r="H18" s="20"/>
      <c r="J18" s="19"/>
      <c r="K18" s="17"/>
      <c r="L18" s="20"/>
      <c r="M18" s="20"/>
      <c r="N18" s="17"/>
      <c r="O18" s="19"/>
      <c r="Q18" s="17"/>
      <c r="R18" s="19"/>
      <c r="S18" s="19"/>
      <c r="T18" s="20"/>
      <c r="U18" s="19"/>
      <c r="V18" s="19"/>
      <c r="W18" s="19"/>
      <c r="X18" s="19"/>
      <c r="Y18" s="19"/>
      <c r="Z18" s="19"/>
    </row>
    <row r="19" spans="1:26">
      <c r="A19" s="19"/>
      <c r="B19" s="19"/>
      <c r="C19" s="19"/>
      <c r="E19" s="20"/>
      <c r="F19" s="19"/>
      <c r="G19" s="19"/>
      <c r="H19" s="20"/>
      <c r="J19" s="19"/>
      <c r="K19" s="17"/>
      <c r="L19" s="20"/>
      <c r="M19" s="20"/>
      <c r="N19" s="17"/>
      <c r="O19" s="19"/>
      <c r="Q19" s="17"/>
      <c r="R19" s="19"/>
      <c r="S19" s="19"/>
      <c r="T19" s="20"/>
      <c r="U19" s="19"/>
      <c r="V19" s="19"/>
      <c r="W19" s="19"/>
      <c r="X19" s="19"/>
      <c r="Y19" s="19"/>
      <c r="Z19" s="19"/>
    </row>
    <row r="20" spans="1:26">
      <c r="E20" s="20"/>
      <c r="H20" s="20"/>
      <c r="J20" s="19"/>
      <c r="K20" s="17"/>
      <c r="L20" s="20"/>
      <c r="M20" s="20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  <dataValidation type="list" allowBlank="1" showInputMessage="1" showErrorMessage="1" sqref="L2:M20" xr:uid="{00000000-0002-0000-1300-000005000000}">
      <formula1>Country_list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topLeftCell="P1" workbookViewId="0">
      <selection activeCell="S9" sqref="S9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6</v>
      </c>
      <c r="J1" s="18" t="s">
        <v>7</v>
      </c>
      <c r="K1" s="18" t="s">
        <v>93</v>
      </c>
      <c r="L1" s="18" t="s">
        <v>562</v>
      </c>
      <c r="M1" s="18" t="s">
        <v>86</v>
      </c>
      <c r="N1" s="160" t="s">
        <v>563</v>
      </c>
      <c r="O1" s="18" t="s">
        <v>87</v>
      </c>
      <c r="P1" s="160" t="s">
        <v>571</v>
      </c>
      <c r="Q1" s="18" t="s">
        <v>11</v>
      </c>
      <c r="R1" s="18" t="s">
        <v>577</v>
      </c>
      <c r="S1" s="18" t="s">
        <v>578</v>
      </c>
      <c r="T1" s="160" t="s">
        <v>580</v>
      </c>
      <c r="U1" s="153" t="s">
        <v>564</v>
      </c>
      <c r="V1" s="18" t="s">
        <v>565</v>
      </c>
      <c r="W1" s="18" t="s">
        <v>17</v>
      </c>
      <c r="X1" s="153" t="s">
        <v>19</v>
      </c>
      <c r="Y1" s="147" t="s">
        <v>18</v>
      </c>
      <c r="Z1" s="18" t="s">
        <v>20</v>
      </c>
      <c r="AA1" s="149" t="s">
        <v>24</v>
      </c>
      <c r="AB1" s="149" t="s">
        <v>25</v>
      </c>
    </row>
    <row r="2" spans="1:28">
      <c r="A2" s="19">
        <v>233</v>
      </c>
      <c r="B2" s="19">
        <v>233</v>
      </c>
      <c r="C2" s="19" t="s">
        <v>293</v>
      </c>
      <c r="D2" s="19" t="s">
        <v>294</v>
      </c>
      <c r="E2" s="17" t="s">
        <v>96</v>
      </c>
      <c r="F2" s="19" t="s">
        <v>717</v>
      </c>
      <c r="G2" s="19" t="s">
        <v>718</v>
      </c>
      <c r="H2" s="19" t="s">
        <v>33</v>
      </c>
      <c r="I2" s="17" t="s">
        <v>30</v>
      </c>
      <c r="J2" s="17" t="s">
        <v>30</v>
      </c>
      <c r="K2" s="19" t="s">
        <v>71</v>
      </c>
      <c r="L2" s="20" t="s">
        <v>296</v>
      </c>
      <c r="M2" s="19" t="s">
        <v>140</v>
      </c>
      <c r="N2" s="161" t="s">
        <v>248</v>
      </c>
      <c r="O2" s="19" t="s">
        <v>103</v>
      </c>
      <c r="P2" s="161" t="s">
        <v>719</v>
      </c>
      <c r="Q2" s="17" t="s">
        <v>34</v>
      </c>
      <c r="R2" s="19" t="s">
        <v>71</v>
      </c>
      <c r="S2" s="19" t="s">
        <v>590</v>
      </c>
      <c r="T2" s="161" t="s">
        <v>591</v>
      </c>
      <c r="U2" s="157">
        <v>27083</v>
      </c>
      <c r="V2" s="145">
        <v>0</v>
      </c>
      <c r="W2" s="145">
        <v>1611</v>
      </c>
      <c r="X2" s="157">
        <v>122.66</v>
      </c>
      <c r="Y2" s="156">
        <v>1</v>
      </c>
      <c r="Z2" s="145">
        <v>1.976</v>
      </c>
      <c r="AA2" s="155">
        <v>1</v>
      </c>
      <c r="AB2" s="155">
        <v>2.0481745610314898E-6</v>
      </c>
    </row>
    <row r="3" spans="1:28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>
      <c r="E20" s="17"/>
      <c r="H20" s="19"/>
      <c r="I20" s="17"/>
      <c r="J20" s="17"/>
      <c r="K20" s="19"/>
      <c r="M20" s="19"/>
      <c r="O20" s="19"/>
      <c r="S20" s="19"/>
    </row>
    <row r="23" spans="1:28">
      <c r="H23" s="35"/>
    </row>
    <row r="24" spans="1:28">
      <c r="H24" s="35"/>
      <c r="K24" s="3"/>
    </row>
    <row r="25" spans="1:28">
      <c r="H25" s="35"/>
    </row>
    <row r="26" spans="1:28">
      <c r="H26" s="3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86</v>
      </c>
      <c r="M1" s="18" t="s">
        <v>570</v>
      </c>
      <c r="N1" s="18" t="s">
        <v>563</v>
      </c>
      <c r="O1" s="18" t="s">
        <v>87</v>
      </c>
      <c r="P1" s="18" t="s">
        <v>571</v>
      </c>
      <c r="Q1" s="18" t="s">
        <v>11</v>
      </c>
      <c r="R1" s="18" t="s">
        <v>577</v>
      </c>
      <c r="S1" s="18" t="s">
        <v>578</v>
      </c>
      <c r="T1" s="18" t="s">
        <v>580</v>
      </c>
      <c r="U1" s="18" t="s">
        <v>564</v>
      </c>
      <c r="V1" s="18" t="s">
        <v>565</v>
      </c>
      <c r="W1" s="18" t="s">
        <v>17</v>
      </c>
      <c r="X1" s="18" t="s">
        <v>19</v>
      </c>
      <c r="Y1" s="18" t="s">
        <v>18</v>
      </c>
      <c r="Z1" s="18" t="s">
        <v>720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s="35" customFormat="1">
      <c r="H21" s="34"/>
    </row>
    <row r="23" spans="1:28">
      <c r="H23" s="35"/>
    </row>
    <row r="24" spans="1:28">
      <c r="H24" s="35"/>
    </row>
    <row r="25" spans="1:28">
      <c r="H25" s="35"/>
    </row>
    <row r="26" spans="1:28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AC1" workbookViewId="0">
      <selection activeCell="A15" sqref="A15"/>
    </sheetView>
  </sheetViews>
  <sheetFormatPr defaultColWidth="0" defaultRowHeight="14.25"/>
  <cols>
    <col min="1" max="6" width="11.625" style="9" customWidth="1"/>
    <col min="7" max="7" width="14" style="9" customWidth="1"/>
    <col min="8" max="9" width="11.625" style="9" customWidth="1"/>
    <col min="10" max="10" width="12.75" style="9" customWidth="1"/>
    <col min="11" max="13" width="11.625" style="9" customWidth="1"/>
    <col min="14" max="14" width="14.5" style="9" customWidth="1"/>
    <col min="15" max="21" width="11.625" style="9" customWidth="1"/>
    <col min="22" max="22" width="16.625" style="9" customWidth="1"/>
    <col min="23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18" t="s">
        <v>0</v>
      </c>
      <c r="B1" s="18" t="s">
        <v>1</v>
      </c>
      <c r="C1" s="18" t="s">
        <v>5</v>
      </c>
      <c r="D1" s="18" t="s">
        <v>721</v>
      </c>
      <c r="E1" s="18" t="s">
        <v>722</v>
      </c>
      <c r="F1" s="18" t="s">
        <v>18</v>
      </c>
      <c r="G1" s="18" t="s">
        <v>723</v>
      </c>
      <c r="H1" s="18" t="s">
        <v>724</v>
      </c>
      <c r="I1" s="18" t="s">
        <v>725</v>
      </c>
      <c r="J1" s="18" t="s">
        <v>726</v>
      </c>
      <c r="K1" s="18" t="s">
        <v>727</v>
      </c>
      <c r="L1" s="18" t="s">
        <v>728</v>
      </c>
      <c r="M1" s="18" t="s">
        <v>18</v>
      </c>
      <c r="N1" s="18" t="s">
        <v>729</v>
      </c>
      <c r="O1" s="18" t="s">
        <v>730</v>
      </c>
      <c r="P1" s="18" t="s">
        <v>731</v>
      </c>
      <c r="Q1" s="18" t="s">
        <v>732</v>
      </c>
      <c r="R1" s="18" t="s">
        <v>733</v>
      </c>
      <c r="S1" s="18" t="s">
        <v>6</v>
      </c>
      <c r="T1" s="18" t="s">
        <v>7</v>
      </c>
      <c r="U1" s="18" t="s">
        <v>734</v>
      </c>
      <c r="V1" s="18" t="s">
        <v>735</v>
      </c>
      <c r="W1" s="18" t="s">
        <v>736</v>
      </c>
      <c r="X1" s="18" t="s">
        <v>737</v>
      </c>
      <c r="Y1" s="18" t="s">
        <v>87</v>
      </c>
      <c r="Z1" s="18" t="s">
        <v>738</v>
      </c>
      <c r="AA1" s="18" t="s">
        <v>739</v>
      </c>
      <c r="AB1" s="18" t="s">
        <v>740</v>
      </c>
      <c r="AC1" s="18" t="s">
        <v>741</v>
      </c>
      <c r="AD1" s="18" t="s">
        <v>742</v>
      </c>
      <c r="AE1" s="18" t="s">
        <v>743</v>
      </c>
      <c r="AF1" s="18" t="s">
        <v>89</v>
      </c>
      <c r="AG1" s="18" t="s">
        <v>744</v>
      </c>
      <c r="AH1" s="18" t="s">
        <v>745</v>
      </c>
      <c r="AI1" s="18" t="s">
        <v>746</v>
      </c>
      <c r="AJ1" s="18" t="s">
        <v>747</v>
      </c>
      <c r="AK1" s="18" t="s">
        <v>748</v>
      </c>
      <c r="AL1" s="18" t="s">
        <v>749</v>
      </c>
      <c r="AM1" s="18" t="s">
        <v>750</v>
      </c>
      <c r="AN1" s="18" t="s">
        <v>24</v>
      </c>
      <c r="AO1" s="18" t="s">
        <v>25</v>
      </c>
    </row>
    <row r="2" spans="1:41">
      <c r="A2" s="11">
        <v>233</v>
      </c>
      <c r="B2" s="11">
        <v>233</v>
      </c>
      <c r="C2" s="11" t="s">
        <v>1548</v>
      </c>
      <c r="D2" s="2">
        <v>39031499</v>
      </c>
      <c r="E2" s="11" t="s">
        <v>34</v>
      </c>
      <c r="F2" s="11">
        <v>111.2664</v>
      </c>
      <c r="G2" s="172">
        <v>20000000</v>
      </c>
      <c r="H2" s="173">
        <v>20388.113000000001</v>
      </c>
      <c r="J2" s="12"/>
      <c r="K2" s="9">
        <v>39031499</v>
      </c>
      <c r="L2" s="11" t="s">
        <v>34</v>
      </c>
      <c r="M2" s="9">
        <v>1</v>
      </c>
      <c r="N2" s="174">
        <v>-20000000</v>
      </c>
      <c r="O2" s="175">
        <v>-20268</v>
      </c>
      <c r="R2" s="13">
        <v>120.113</v>
      </c>
      <c r="S2" s="9" t="s">
        <v>30</v>
      </c>
      <c r="T2" s="17" t="s">
        <v>30</v>
      </c>
      <c r="U2" s="25" t="s">
        <v>1278</v>
      </c>
      <c r="V2" s="10" t="s">
        <v>71</v>
      </c>
      <c r="W2" s="9" t="s">
        <v>30</v>
      </c>
      <c r="X2" s="10" t="s">
        <v>1772</v>
      </c>
      <c r="Y2" s="10" t="s">
        <v>593</v>
      </c>
      <c r="Z2" s="1">
        <v>45680</v>
      </c>
      <c r="AA2" s="24">
        <v>46045</v>
      </c>
      <c r="AB2" s="10" t="s">
        <v>1422</v>
      </c>
      <c r="AC2" s="10" t="s">
        <v>1424</v>
      </c>
      <c r="AD2" s="10" t="s">
        <v>103</v>
      </c>
      <c r="AE2" s="25" t="s">
        <v>1438</v>
      </c>
      <c r="AF2" s="10" t="s">
        <v>1433</v>
      </c>
      <c r="AG2" s="11" t="s">
        <v>1421</v>
      </c>
      <c r="AH2" s="32">
        <v>2.63</v>
      </c>
      <c r="AI2" s="11">
        <v>108.4</v>
      </c>
      <c r="AJ2" s="32">
        <v>108.4</v>
      </c>
      <c r="AK2" s="25" t="s">
        <v>103</v>
      </c>
      <c r="AL2" s="32" t="s">
        <v>1773</v>
      </c>
      <c r="AM2" s="9" t="s">
        <v>1774</v>
      </c>
      <c r="AN2" s="176">
        <v>2.7562874495838972E-2</v>
      </c>
      <c r="AO2" s="176">
        <v>8.1375686579046667E-5</v>
      </c>
    </row>
    <row r="3" spans="1:41">
      <c r="A3" s="11">
        <v>233</v>
      </c>
      <c r="B3" s="11">
        <v>233</v>
      </c>
      <c r="C3" s="11" t="s">
        <v>1549</v>
      </c>
      <c r="D3" s="2">
        <v>6101467</v>
      </c>
      <c r="E3" s="11" t="s">
        <v>66</v>
      </c>
      <c r="F3" s="11">
        <v>3.306</v>
      </c>
      <c r="G3" s="172">
        <v>-43552500</v>
      </c>
      <c r="H3" s="173">
        <v>-43435.695977011499</v>
      </c>
      <c r="J3" s="12"/>
      <c r="K3" s="9">
        <v>6101467</v>
      </c>
      <c r="L3" s="11" t="s">
        <v>34</v>
      </c>
      <c r="M3" s="9">
        <v>1</v>
      </c>
      <c r="N3" s="174">
        <v>146523675.75</v>
      </c>
      <c r="O3" s="174">
        <v>146148.38430000001</v>
      </c>
      <c r="R3" s="13">
        <v>2549.973399999988</v>
      </c>
      <c r="S3" s="9" t="s">
        <v>30</v>
      </c>
      <c r="T3" s="17" t="s">
        <v>30</v>
      </c>
      <c r="U3" s="25" t="s">
        <v>1280</v>
      </c>
      <c r="V3" s="10" t="s">
        <v>1441</v>
      </c>
      <c r="W3" s="9" t="s">
        <v>1453</v>
      </c>
      <c r="X3" s="10" t="s">
        <v>66</v>
      </c>
      <c r="Y3" s="10" t="s">
        <v>593</v>
      </c>
      <c r="Z3" s="1">
        <v>45840</v>
      </c>
      <c r="AA3" s="24">
        <v>45953</v>
      </c>
      <c r="AB3" s="10" t="s">
        <v>1422</v>
      </c>
      <c r="AC3" s="10" t="s">
        <v>1775</v>
      </c>
      <c r="AD3" s="10" t="s">
        <v>103</v>
      </c>
      <c r="AE3" s="10" t="s">
        <v>1438</v>
      </c>
      <c r="AF3" s="10" t="s">
        <v>1427</v>
      </c>
      <c r="AG3" s="11" t="s">
        <v>1421</v>
      </c>
      <c r="AH3">
        <v>4.34</v>
      </c>
      <c r="AI3" s="11">
        <v>3.371</v>
      </c>
      <c r="AJ3" s="10">
        <v>3.3643000000000001</v>
      </c>
      <c r="AK3" s="10" t="s">
        <v>103</v>
      </c>
      <c r="AL3" s="9" t="s">
        <v>1773</v>
      </c>
      <c r="AM3" s="9" t="s">
        <v>1774</v>
      </c>
      <c r="AN3" s="176">
        <v>0.58515395329337749</v>
      </c>
      <c r="AO3" s="176">
        <v>-1.8395095142253806E-3</v>
      </c>
    </row>
    <row r="4" spans="1:41">
      <c r="A4" s="11">
        <v>233</v>
      </c>
      <c r="B4" s="11">
        <v>233</v>
      </c>
      <c r="C4" s="11" t="s">
        <v>1549</v>
      </c>
      <c r="D4" s="2">
        <v>6875647</v>
      </c>
      <c r="E4" s="11" t="s">
        <v>66</v>
      </c>
      <c r="F4" s="11">
        <v>3.306</v>
      </c>
      <c r="G4" s="172">
        <v>-18552500</v>
      </c>
      <c r="H4" s="173">
        <v>-18390.567253478501</v>
      </c>
      <c r="J4" s="12"/>
      <c r="K4" s="9">
        <v>6875647</v>
      </c>
      <c r="L4" s="11" t="s">
        <v>34</v>
      </c>
      <c r="M4" s="9">
        <v>1</v>
      </c>
      <c r="N4" s="174">
        <v>62566451</v>
      </c>
      <c r="O4" s="174">
        <v>62027.180930000002</v>
      </c>
      <c r="R4" s="13">
        <v>1227.9655900000798</v>
      </c>
      <c r="S4" s="9" t="s">
        <v>30</v>
      </c>
      <c r="T4" s="17" t="s">
        <v>30</v>
      </c>
      <c r="U4" s="25" t="s">
        <v>1280</v>
      </c>
      <c r="V4" s="10" t="s">
        <v>1441</v>
      </c>
      <c r="W4" s="9" t="s">
        <v>1453</v>
      </c>
      <c r="X4" s="10" t="s">
        <v>66</v>
      </c>
      <c r="Y4" s="10" t="s">
        <v>593</v>
      </c>
      <c r="Z4" s="1">
        <v>45903</v>
      </c>
      <c r="AA4" s="24">
        <v>46008</v>
      </c>
      <c r="AB4" s="10" t="s">
        <v>1422</v>
      </c>
      <c r="AC4" s="10" t="s">
        <v>1775</v>
      </c>
      <c r="AD4" s="10" t="s">
        <v>103</v>
      </c>
      <c r="AE4" s="10" t="s">
        <v>1438</v>
      </c>
      <c r="AF4" s="10" t="s">
        <v>1427</v>
      </c>
      <c r="AG4" s="11" t="s">
        <v>1421</v>
      </c>
      <c r="AH4">
        <v>4.3792999999999997</v>
      </c>
      <c r="AI4" s="11">
        <v>3.371</v>
      </c>
      <c r="AJ4" s="10">
        <v>3.3734000000000002</v>
      </c>
      <c r="AK4" s="10" t="s">
        <v>103</v>
      </c>
      <c r="AL4" s="9" t="s">
        <v>1773</v>
      </c>
      <c r="AM4" s="9" t="s">
        <v>1774</v>
      </c>
      <c r="AN4" s="176">
        <v>0.28178682942213629</v>
      </c>
      <c r="AO4" s="176">
        <v>9.7566313682384484E-3</v>
      </c>
    </row>
    <row r="5" spans="1:41">
      <c r="A5" s="11">
        <v>233</v>
      </c>
      <c r="B5" s="11">
        <v>233</v>
      </c>
      <c r="C5" s="11" t="s">
        <v>1549</v>
      </c>
      <c r="D5" s="2">
        <v>6101550</v>
      </c>
      <c r="E5" s="11" t="s">
        <v>380</v>
      </c>
      <c r="F5" s="11">
        <v>3.8807</v>
      </c>
      <c r="G5" s="172">
        <v>-4396000</v>
      </c>
      <c r="H5" s="173">
        <v>-4390.5619862395997</v>
      </c>
      <c r="J5" s="12"/>
      <c r="K5" s="9">
        <v>6101550</v>
      </c>
      <c r="L5" s="11" t="s">
        <v>34</v>
      </c>
      <c r="M5" s="9">
        <v>1</v>
      </c>
      <c r="N5" s="174">
        <v>17543117.199999999</v>
      </c>
      <c r="O5" s="174">
        <v>17498.183969999998</v>
      </c>
      <c r="R5" s="13">
        <v>459.73006999998324</v>
      </c>
      <c r="S5" s="9" t="s">
        <v>30</v>
      </c>
      <c r="T5" s="17" t="s">
        <v>30</v>
      </c>
      <c r="U5" s="25" t="s">
        <v>1280</v>
      </c>
      <c r="V5" s="10" t="s">
        <v>1441</v>
      </c>
      <c r="W5" s="9" t="s">
        <v>1453</v>
      </c>
      <c r="X5" s="10" t="s">
        <v>380</v>
      </c>
      <c r="Y5" s="10" t="s">
        <v>593</v>
      </c>
      <c r="Z5" s="1">
        <v>45840</v>
      </c>
      <c r="AA5" s="24">
        <v>45953</v>
      </c>
      <c r="AB5" s="10" t="s">
        <v>1422</v>
      </c>
      <c r="AC5" s="10" t="s">
        <v>1775</v>
      </c>
      <c r="AD5" s="10" t="s">
        <v>103</v>
      </c>
      <c r="AE5" s="10" t="s">
        <v>1438</v>
      </c>
      <c r="AF5" s="10" t="s">
        <v>1430</v>
      </c>
      <c r="AG5" s="11" t="s">
        <v>1421</v>
      </c>
      <c r="AH5">
        <v>1.86</v>
      </c>
      <c r="AI5" s="11">
        <v>3.9643000000000002</v>
      </c>
      <c r="AJ5" s="10">
        <v>3.9906999999999999</v>
      </c>
      <c r="AK5" s="10" t="s">
        <v>103</v>
      </c>
      <c r="AL5" s="9" t="s">
        <v>1773</v>
      </c>
      <c r="AM5" s="9" t="s">
        <v>1774</v>
      </c>
      <c r="AN5" s="176">
        <v>0.10549634278864738</v>
      </c>
      <c r="AO5" s="176">
        <v>2.7752275471945278E-4</v>
      </c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17"/>
      <c r="U6" s="25"/>
      <c r="V6" s="10"/>
      <c r="X6" s="10"/>
      <c r="Y6" s="10"/>
      <c r="Z6" s="1"/>
      <c r="AA6" s="24"/>
      <c r="AB6" s="10"/>
      <c r="AC6" s="10"/>
      <c r="AD6" s="10"/>
      <c r="AE6" s="10"/>
      <c r="AF6" s="10"/>
      <c r="AG6" s="11"/>
      <c r="AI6" s="11"/>
      <c r="AJ6" s="10"/>
      <c r="AK6" s="10"/>
      <c r="AN6" s="19"/>
      <c r="AO6" s="19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17"/>
      <c r="U7" s="25"/>
      <c r="V7" s="10"/>
      <c r="X7" s="10"/>
      <c r="Y7" s="10"/>
      <c r="Z7" s="1"/>
      <c r="AA7" s="24"/>
      <c r="AB7" s="10"/>
      <c r="AC7" s="10"/>
      <c r="AD7" s="10"/>
      <c r="AE7" s="10"/>
      <c r="AF7" s="10"/>
      <c r="AG7" s="11"/>
      <c r="AI7" s="11"/>
      <c r="AJ7" s="10"/>
      <c r="AK7" s="10"/>
      <c r="AN7" s="19"/>
      <c r="AO7" s="19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17"/>
      <c r="U8" s="25"/>
      <c r="V8" s="10"/>
      <c r="X8" s="10"/>
      <c r="Y8" s="10"/>
      <c r="Z8" s="1"/>
      <c r="AA8" s="24"/>
      <c r="AB8" s="10"/>
      <c r="AC8" s="10"/>
      <c r="AD8" s="10"/>
      <c r="AE8" s="10"/>
      <c r="AF8" s="10"/>
      <c r="AG8" s="11"/>
      <c r="AI8" s="11"/>
      <c r="AJ8" s="10"/>
      <c r="AK8" s="10"/>
      <c r="AN8" s="19"/>
      <c r="AO8" s="19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17"/>
      <c r="U9" s="25"/>
      <c r="V9" s="10"/>
      <c r="X9" s="10"/>
      <c r="Y9" s="10"/>
      <c r="Z9" s="1"/>
      <c r="AA9" s="24"/>
      <c r="AB9" s="10"/>
      <c r="AC9" s="10"/>
      <c r="AD9" s="10"/>
      <c r="AE9" s="10"/>
      <c r="AF9" s="10"/>
      <c r="AG9" s="11"/>
      <c r="AI9" s="11"/>
      <c r="AJ9" s="10"/>
      <c r="AK9" s="10"/>
      <c r="AN9" s="19"/>
      <c r="AO9" s="19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17"/>
      <c r="U10" s="25"/>
      <c r="V10" s="10"/>
      <c r="X10" s="10"/>
      <c r="Y10" s="10"/>
      <c r="Z10" s="1"/>
      <c r="AA10" s="24"/>
      <c r="AB10" s="10"/>
      <c r="AC10" s="10"/>
      <c r="AD10" s="10"/>
      <c r="AE10" s="10"/>
      <c r="AF10" s="10"/>
      <c r="AG10" s="11"/>
      <c r="AI10" s="11"/>
      <c r="AJ10" s="10"/>
      <c r="AK10" s="10"/>
      <c r="AN10" s="19"/>
      <c r="AO10" s="19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17"/>
      <c r="U11" s="25"/>
      <c r="V11" s="10"/>
      <c r="X11" s="10"/>
      <c r="Y11" s="10"/>
      <c r="Z11" s="1"/>
      <c r="AA11" s="24"/>
      <c r="AB11" s="10"/>
      <c r="AC11" s="10"/>
      <c r="AD11" s="10"/>
      <c r="AE11" s="10"/>
      <c r="AF11" s="10"/>
      <c r="AG11" s="11"/>
      <c r="AI11" s="11"/>
      <c r="AJ11" s="10"/>
      <c r="AK11" s="10"/>
      <c r="AN11" s="19"/>
      <c r="AO11" s="19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17"/>
      <c r="U12" s="25"/>
      <c r="V12" s="10"/>
      <c r="X12" s="10"/>
      <c r="Y12" s="10"/>
      <c r="Z12" s="1"/>
      <c r="AA12" s="24"/>
      <c r="AB12" s="10"/>
      <c r="AC12" s="10"/>
      <c r="AD12" s="10"/>
      <c r="AE12" s="10"/>
      <c r="AF12" s="10"/>
      <c r="AG12" s="11"/>
      <c r="AI12" s="11"/>
      <c r="AJ12" s="10"/>
      <c r="AK12" s="10"/>
      <c r="AN12" s="19"/>
      <c r="AO12" s="19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17"/>
      <c r="U13" s="25"/>
      <c r="V13" s="10"/>
      <c r="X13" s="10"/>
      <c r="Y13" s="10"/>
      <c r="Z13" s="1"/>
      <c r="AA13" s="24"/>
      <c r="AB13" s="10"/>
      <c r="AC13" s="10"/>
      <c r="AD13" s="10"/>
      <c r="AE13" s="10"/>
      <c r="AF13" s="10"/>
      <c r="AG13" s="11"/>
      <c r="AI13" s="11"/>
      <c r="AJ13" s="10"/>
      <c r="AK13" s="10"/>
      <c r="AN13" s="19"/>
      <c r="AO13" s="19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17"/>
      <c r="U14" s="25"/>
      <c r="V14" s="10"/>
      <c r="X14" s="10"/>
      <c r="Y14" s="10"/>
      <c r="Z14" s="1"/>
      <c r="AA14" s="24"/>
      <c r="AB14" s="10"/>
      <c r="AC14" s="10"/>
      <c r="AD14" s="10"/>
      <c r="AE14" s="10"/>
      <c r="AF14" s="10"/>
      <c r="AG14" s="11"/>
      <c r="AI14" s="11"/>
      <c r="AJ14" s="10"/>
      <c r="AK14" s="10"/>
      <c r="AN14" s="19"/>
      <c r="AO14" s="19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17"/>
      <c r="U15" s="25"/>
      <c r="V15" s="10"/>
      <c r="X15" s="10"/>
      <c r="Y15" s="10"/>
      <c r="Z15" s="1"/>
      <c r="AA15" s="24"/>
      <c r="AB15" s="10"/>
      <c r="AC15" s="10"/>
      <c r="AD15" s="10"/>
      <c r="AE15" s="10"/>
      <c r="AF15" s="10"/>
      <c r="AG15" s="11"/>
      <c r="AI15" s="11"/>
      <c r="AJ15" s="10"/>
      <c r="AK15" s="10"/>
      <c r="AN15" s="19"/>
      <c r="AO15" s="19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17"/>
      <c r="U16" s="25"/>
      <c r="V16" s="10"/>
      <c r="X16" s="10"/>
      <c r="Y16" s="10"/>
      <c r="Z16" s="1"/>
      <c r="AA16" s="24"/>
      <c r="AB16" s="10"/>
      <c r="AC16" s="10"/>
      <c r="AD16" s="10"/>
      <c r="AE16" s="10"/>
      <c r="AF16" s="10"/>
      <c r="AG16" s="11"/>
      <c r="AI16" s="11"/>
      <c r="AJ16" s="10"/>
      <c r="AK16" s="10"/>
      <c r="AN16" s="19"/>
      <c r="AO16" s="19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17"/>
      <c r="U17" s="25"/>
      <c r="V17" s="10"/>
      <c r="X17" s="10"/>
      <c r="Y17" s="10"/>
      <c r="Z17" s="1"/>
      <c r="AA17" s="24"/>
      <c r="AB17" s="10"/>
      <c r="AC17" s="10"/>
      <c r="AD17" s="10"/>
      <c r="AE17" s="10"/>
      <c r="AF17" s="10"/>
      <c r="AG17" s="11"/>
      <c r="AI17" s="11"/>
      <c r="AJ17" s="10"/>
      <c r="AK17" s="10"/>
      <c r="AN17" s="19"/>
      <c r="AO17" s="19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17"/>
      <c r="U18" s="25"/>
      <c r="V18" s="10"/>
      <c r="X18" s="10"/>
      <c r="Y18" s="10"/>
      <c r="Z18" s="1"/>
      <c r="AA18" s="24"/>
      <c r="AB18" s="10"/>
      <c r="AC18" s="10"/>
      <c r="AD18" s="10"/>
      <c r="AE18" s="10"/>
      <c r="AF18" s="10"/>
      <c r="AG18" s="11"/>
      <c r="AI18" s="11"/>
      <c r="AJ18" s="10"/>
      <c r="AK18" s="10"/>
      <c r="AN18" s="19"/>
      <c r="AO18" s="19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17"/>
      <c r="U19" s="25"/>
      <c r="V19" s="10"/>
      <c r="X19" s="10"/>
      <c r="Y19" s="10"/>
      <c r="Z19" s="1"/>
      <c r="AA19" s="24"/>
      <c r="AB19" s="10"/>
      <c r="AC19" s="10"/>
      <c r="AD19" s="10"/>
      <c r="AE19" s="10"/>
      <c r="AF19" s="10"/>
      <c r="AG19" s="11"/>
      <c r="AI19" s="11"/>
      <c r="AJ19" s="10"/>
      <c r="AK19" s="10"/>
      <c r="AN19" s="19"/>
      <c r="AO19" s="19"/>
    </row>
    <row r="20" spans="1:41">
      <c r="C20" s="11"/>
      <c r="E20" s="11"/>
      <c r="T20" s="17"/>
      <c r="U20" s="25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17"/>
      <c r="AE22" s="10"/>
      <c r="AF22" s="10"/>
    </row>
    <row r="23" spans="1:41">
      <c r="C23" s="11"/>
      <c r="E23" s="11"/>
      <c r="T23" s="17"/>
      <c r="AE23" s="10"/>
      <c r="AF23" s="10"/>
    </row>
    <row r="24" spans="1:41">
      <c r="C24" s="11"/>
      <c r="E24" s="11"/>
      <c r="T24" s="17"/>
      <c r="AE24" s="10"/>
      <c r="AF24" s="10"/>
    </row>
    <row r="25" spans="1:41">
      <c r="C25" s="11"/>
      <c r="E25" s="11"/>
      <c r="T25" s="17"/>
      <c r="AE25" s="10"/>
      <c r="AF25" s="10"/>
    </row>
    <row r="26" spans="1:41">
      <c r="C26" s="11"/>
      <c r="E26" s="11"/>
      <c r="T26" s="17"/>
      <c r="AE26" s="10"/>
      <c r="AF26" s="10"/>
    </row>
    <row r="27" spans="1:41">
      <c r="C27" s="11"/>
      <c r="E27" s="11"/>
      <c r="T27" s="17"/>
    </row>
    <row r="28" spans="1:41">
      <c r="C28" s="11"/>
      <c r="E28" s="11"/>
      <c r="T28" s="17"/>
    </row>
    <row r="29" spans="1:41">
      <c r="C29" s="11"/>
      <c r="E29" s="11"/>
      <c r="T29" s="17"/>
    </row>
    <row r="30" spans="1:41">
      <c r="C30" s="11"/>
      <c r="E30" s="11"/>
      <c r="T30" s="17"/>
    </row>
    <row r="31" spans="1:41">
      <c r="C31" s="11"/>
      <c r="E31" s="11"/>
      <c r="T31" s="17"/>
    </row>
    <row r="32" spans="1:41">
      <c r="C32" s="11"/>
      <c r="E32" s="11"/>
      <c r="T32" s="17"/>
    </row>
    <row r="33" spans="3:20">
      <c r="C33" s="11"/>
      <c r="T33" s="17"/>
    </row>
    <row r="34" spans="3:20">
      <c r="C34" s="11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18" t="s">
        <v>0</v>
      </c>
      <c r="B1" s="18" t="s">
        <v>1</v>
      </c>
      <c r="C1" s="18" t="s">
        <v>751</v>
      </c>
      <c r="D1" s="18" t="s">
        <v>752</v>
      </c>
      <c r="E1" s="18" t="s">
        <v>753</v>
      </c>
      <c r="F1" s="18" t="s">
        <v>754</v>
      </c>
      <c r="G1" s="18" t="s">
        <v>5</v>
      </c>
      <c r="H1" s="18" t="s">
        <v>755</v>
      </c>
      <c r="I1" s="18" t="s">
        <v>6</v>
      </c>
      <c r="J1" s="18" t="s">
        <v>7</v>
      </c>
      <c r="K1" s="18" t="s">
        <v>86</v>
      </c>
      <c r="L1" s="18" t="s">
        <v>87</v>
      </c>
      <c r="M1" s="18" t="s">
        <v>756</v>
      </c>
      <c r="N1" s="18" t="s">
        <v>757</v>
      </c>
      <c r="O1" s="18" t="s">
        <v>758</v>
      </c>
      <c r="P1" s="18" t="s">
        <v>9</v>
      </c>
      <c r="Q1" s="18" t="s">
        <v>10</v>
      </c>
      <c r="R1" s="18" t="s">
        <v>759</v>
      </c>
      <c r="S1" s="18" t="s">
        <v>11</v>
      </c>
      <c r="T1" s="18" t="s">
        <v>12</v>
      </c>
      <c r="U1" s="18" t="s">
        <v>760</v>
      </c>
      <c r="V1" s="18" t="s">
        <v>14</v>
      </c>
      <c r="W1" s="18" t="s">
        <v>572</v>
      </c>
      <c r="X1" s="18" t="s">
        <v>89</v>
      </c>
      <c r="Y1" s="18" t="s">
        <v>761</v>
      </c>
      <c r="Z1" s="18" t="s">
        <v>15</v>
      </c>
      <c r="AA1" s="18" t="s">
        <v>13</v>
      </c>
      <c r="AB1" s="18" t="s">
        <v>90</v>
      </c>
      <c r="AC1" s="18" t="s">
        <v>762</v>
      </c>
      <c r="AD1" s="18" t="s">
        <v>763</v>
      </c>
      <c r="AE1" s="18" t="s">
        <v>764</v>
      </c>
      <c r="AF1" s="18" t="s">
        <v>765</v>
      </c>
      <c r="AG1" s="18" t="s">
        <v>766</v>
      </c>
      <c r="AH1" s="18" t="s">
        <v>767</v>
      </c>
      <c r="AI1" s="18" t="s">
        <v>768</v>
      </c>
      <c r="AJ1" s="18" t="s">
        <v>769</v>
      </c>
      <c r="AK1" s="18" t="s">
        <v>577</v>
      </c>
      <c r="AL1" s="18" t="s">
        <v>579</v>
      </c>
      <c r="AM1" s="18" t="s">
        <v>578</v>
      </c>
      <c r="AN1" s="18" t="s">
        <v>580</v>
      </c>
      <c r="AO1" s="18" t="s">
        <v>581</v>
      </c>
      <c r="AP1" s="18" t="s">
        <v>770</v>
      </c>
      <c r="AQ1" s="18" t="s">
        <v>771</v>
      </c>
      <c r="AR1" s="18" t="s">
        <v>772</v>
      </c>
      <c r="AS1" s="18" t="s">
        <v>18</v>
      </c>
      <c r="AT1" s="18" t="s">
        <v>20</v>
      </c>
      <c r="AU1" s="18" t="s">
        <v>773</v>
      </c>
      <c r="AV1" s="18" t="s">
        <v>21</v>
      </c>
      <c r="AW1" s="18" t="s">
        <v>92</v>
      </c>
      <c r="AX1" s="18" t="s">
        <v>91</v>
      </c>
      <c r="AY1" s="18" t="s">
        <v>22</v>
      </c>
      <c r="AZ1" s="18" t="s">
        <v>24</v>
      </c>
      <c r="BA1" s="18" t="s">
        <v>25</v>
      </c>
    </row>
    <row r="2" spans="1:53">
      <c r="C2" s="20"/>
      <c r="D2" s="20"/>
      <c r="E2" s="20"/>
      <c r="F2" s="20"/>
      <c r="G2" s="19"/>
      <c r="H2" s="35"/>
      <c r="I2" s="17"/>
      <c r="J2" s="27"/>
      <c r="K2" s="19"/>
      <c r="L2" s="19"/>
      <c r="M2" s="20"/>
      <c r="N2" s="20"/>
      <c r="O2" s="20"/>
      <c r="P2" s="19"/>
      <c r="Q2" s="19"/>
      <c r="R2" s="19"/>
      <c r="S2" s="17"/>
      <c r="T2" s="19"/>
      <c r="U2" s="19"/>
      <c r="V2" s="19"/>
      <c r="W2" s="20"/>
      <c r="X2" s="20"/>
      <c r="Y2" s="20"/>
      <c r="Z2" s="19"/>
      <c r="AA2" s="19"/>
      <c r="AB2" s="17"/>
      <c r="AC2" s="20"/>
      <c r="AD2" s="20"/>
      <c r="AE2" s="20"/>
      <c r="AF2" s="19"/>
      <c r="AG2" s="20"/>
      <c r="AH2" s="20"/>
      <c r="AI2" s="35"/>
      <c r="AK2" s="19"/>
      <c r="AL2" s="20"/>
      <c r="AM2" s="19"/>
      <c r="AP2" s="35"/>
      <c r="AR2" s="20"/>
      <c r="AS2" s="19"/>
      <c r="AT2" s="19"/>
      <c r="AU2" s="33"/>
      <c r="AV2" s="26"/>
      <c r="AW2" s="33"/>
      <c r="AX2" s="27"/>
      <c r="AY2" s="19"/>
      <c r="AZ2" s="19"/>
      <c r="BA2" s="19"/>
    </row>
    <row r="3" spans="1:53">
      <c r="C3" s="19"/>
      <c r="D3" s="20"/>
      <c r="E3" s="19"/>
      <c r="F3" s="19"/>
      <c r="G3" s="19"/>
      <c r="I3" s="17"/>
      <c r="J3" s="17"/>
      <c r="K3" s="19"/>
      <c r="L3" s="19"/>
      <c r="M3" s="20"/>
      <c r="N3" s="20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I3" s="35"/>
      <c r="AK3" s="19"/>
      <c r="AL3" s="20"/>
      <c r="AM3" s="19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>
      <c r="C4" s="19"/>
      <c r="D4" s="20"/>
      <c r="E4" s="19"/>
      <c r="F4" s="19"/>
      <c r="G4" s="19"/>
      <c r="I4" s="17"/>
      <c r="J4" s="17"/>
      <c r="K4" s="19"/>
      <c r="L4" s="19"/>
      <c r="M4" s="20"/>
      <c r="N4" s="20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R4" s="19"/>
      <c r="AS4" s="19"/>
      <c r="AT4" s="19"/>
      <c r="AU4" s="26"/>
      <c r="AV4" s="26"/>
      <c r="AW4" s="26"/>
      <c r="AX4" s="17"/>
      <c r="AY4" s="19"/>
      <c r="AZ4" s="19"/>
      <c r="BA4" s="19"/>
    </row>
    <row r="5" spans="1:53">
      <c r="C5" s="19"/>
      <c r="D5" s="20"/>
      <c r="E5" s="19"/>
      <c r="F5" s="19"/>
      <c r="G5" s="19"/>
      <c r="I5" s="17"/>
      <c r="J5" s="17"/>
      <c r="K5" s="19"/>
      <c r="L5" s="19"/>
      <c r="M5" s="20"/>
      <c r="N5" s="20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R5" s="19"/>
      <c r="AS5" s="19"/>
      <c r="AT5" s="19"/>
      <c r="AU5" s="26"/>
      <c r="AV5" s="26"/>
      <c r="AW5" s="26"/>
      <c r="AX5" s="17"/>
      <c r="AY5" s="19"/>
      <c r="AZ5" s="19"/>
      <c r="BA5" s="19"/>
    </row>
    <row r="6" spans="1:53">
      <c r="C6" s="19"/>
      <c r="D6" s="20"/>
      <c r="E6" s="19"/>
      <c r="F6" s="19"/>
      <c r="G6" s="19"/>
      <c r="I6" s="17"/>
      <c r="J6" s="17"/>
      <c r="K6" s="19"/>
      <c r="L6" s="19"/>
      <c r="M6" s="20"/>
      <c r="N6" s="20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R6" s="19"/>
      <c r="AS6" s="19"/>
      <c r="AT6" s="19"/>
      <c r="AU6" s="26"/>
      <c r="AV6" s="26"/>
      <c r="AW6" s="26"/>
      <c r="AX6" s="17"/>
      <c r="AY6" s="19"/>
      <c r="AZ6" s="19"/>
      <c r="BA6" s="19"/>
    </row>
    <row r="7" spans="1:53">
      <c r="C7" s="19"/>
      <c r="D7" s="20"/>
      <c r="E7" s="19"/>
      <c r="F7" s="19"/>
      <c r="G7" s="19"/>
      <c r="I7" s="17"/>
      <c r="J7" s="17"/>
      <c r="K7" s="19"/>
      <c r="L7" s="19"/>
      <c r="M7" s="20"/>
      <c r="N7" s="20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R7" s="19"/>
      <c r="AS7" s="19"/>
      <c r="AT7" s="19"/>
      <c r="AU7" s="26"/>
      <c r="AV7" s="26"/>
      <c r="AW7" s="26"/>
      <c r="AX7" s="17"/>
      <c r="AY7" s="19"/>
      <c r="AZ7" s="19"/>
      <c r="BA7" s="19"/>
    </row>
    <row r="8" spans="1:53">
      <c r="C8" s="19"/>
      <c r="D8" s="20"/>
      <c r="E8" s="19"/>
      <c r="F8" s="19"/>
      <c r="G8" s="19"/>
      <c r="I8" s="17"/>
      <c r="J8" s="17"/>
      <c r="K8" s="19"/>
      <c r="L8" s="19"/>
      <c r="M8" s="20"/>
      <c r="N8" s="20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>
      <c r="C9" s="19"/>
      <c r="D9" s="20"/>
      <c r="E9" s="19"/>
      <c r="F9" s="19"/>
      <c r="G9" s="19"/>
      <c r="I9" s="17"/>
      <c r="J9" s="17"/>
      <c r="K9" s="19"/>
      <c r="L9" s="19"/>
      <c r="M9" s="20"/>
      <c r="N9" s="20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R9" s="19"/>
      <c r="AS9" s="19"/>
      <c r="AT9" s="19"/>
      <c r="AU9" s="26"/>
      <c r="AV9" s="26"/>
      <c r="AW9" s="26"/>
      <c r="AX9" s="17"/>
      <c r="AY9" s="19"/>
      <c r="AZ9" s="19"/>
      <c r="BA9" s="19"/>
    </row>
    <row r="10" spans="1:53">
      <c r="C10" s="19"/>
      <c r="D10" s="20"/>
      <c r="E10" s="19"/>
      <c r="F10" s="19"/>
      <c r="G10" s="19"/>
      <c r="I10" s="17"/>
      <c r="J10" s="17"/>
      <c r="K10" s="19"/>
      <c r="L10" s="19"/>
      <c r="M10" s="20"/>
      <c r="N10" s="20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>
      <c r="C11" s="19"/>
      <c r="D11" s="20"/>
      <c r="E11" s="19"/>
      <c r="F11" s="19"/>
      <c r="G11" s="19"/>
      <c r="I11" s="17"/>
      <c r="J11" s="17"/>
      <c r="K11" s="19"/>
      <c r="L11" s="19"/>
      <c r="M11" s="20"/>
      <c r="N11" s="20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>
      <c r="C12" s="19"/>
      <c r="D12" s="20"/>
      <c r="E12" s="19"/>
      <c r="F12" s="19"/>
      <c r="G12" s="19"/>
      <c r="I12" s="17"/>
      <c r="J12" s="17"/>
      <c r="K12" s="19"/>
      <c r="L12" s="19"/>
      <c r="M12" s="20"/>
      <c r="N12" s="20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>
      <c r="C13" s="19"/>
      <c r="D13" s="20"/>
      <c r="E13" s="19"/>
      <c r="F13" s="19"/>
      <c r="G13" s="19"/>
      <c r="I13" s="17"/>
      <c r="J13" s="17"/>
      <c r="K13" s="19"/>
      <c r="L13" s="19"/>
      <c r="M13" s="20"/>
      <c r="N13" s="20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>
      <c r="C14" s="19"/>
      <c r="D14" s="20"/>
      <c r="E14" s="19"/>
      <c r="F14" s="19"/>
      <c r="G14" s="19"/>
      <c r="I14" s="17"/>
      <c r="J14" s="17"/>
      <c r="K14" s="19"/>
      <c r="L14" s="19"/>
      <c r="M14" s="20"/>
      <c r="N14" s="20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>
      <c r="C15" s="19"/>
      <c r="D15" s="20"/>
      <c r="E15" s="19"/>
      <c r="F15" s="19"/>
      <c r="G15" s="19"/>
      <c r="I15" s="17"/>
      <c r="J15" s="17"/>
      <c r="K15" s="19"/>
      <c r="L15" s="19"/>
      <c r="M15" s="20"/>
      <c r="N15" s="20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>
      <c r="C16" s="19"/>
      <c r="D16" s="20"/>
      <c r="E16" s="19"/>
      <c r="F16" s="19"/>
      <c r="G16" s="19"/>
      <c r="I16" s="17"/>
      <c r="J16" s="17"/>
      <c r="K16" s="19"/>
      <c r="L16" s="19"/>
      <c r="M16" s="20"/>
      <c r="N16" s="20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3:53">
      <c r="C17" s="19"/>
      <c r="D17" s="20"/>
      <c r="E17" s="19"/>
      <c r="F17" s="19"/>
      <c r="G17" s="19"/>
      <c r="I17" s="17"/>
      <c r="J17" s="17"/>
      <c r="K17" s="19"/>
      <c r="L17" s="19"/>
      <c r="M17" s="20"/>
      <c r="N17" s="20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3:53">
      <c r="C18" s="19"/>
      <c r="D18" s="20"/>
      <c r="E18" s="19"/>
      <c r="F18" s="19"/>
      <c r="G18" s="19"/>
      <c r="I18" s="17"/>
      <c r="J18" s="17"/>
      <c r="K18" s="19"/>
      <c r="L18" s="19"/>
      <c r="M18" s="20"/>
      <c r="N18" s="20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3:53">
      <c r="C19" s="19"/>
      <c r="D19" s="20"/>
      <c r="E19" s="19"/>
      <c r="F19" s="19"/>
      <c r="G19" s="19"/>
      <c r="I19" s="17"/>
      <c r="J19" s="17"/>
      <c r="K19" s="19"/>
      <c r="L19" s="19"/>
      <c r="M19" s="20"/>
      <c r="N19" s="20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3:53">
      <c r="D20" s="20"/>
      <c r="G20" s="19"/>
      <c r="I20" s="17"/>
      <c r="J20" s="17"/>
      <c r="K20" s="19"/>
      <c r="L20" s="19"/>
      <c r="M20" s="20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X20" s="17"/>
      <c r="AY20" s="19"/>
    </row>
    <row r="21" spans="3:53" s="35" customFormat="1">
      <c r="D21" s="38"/>
      <c r="S21" s="27"/>
      <c r="AB21" s="38"/>
      <c r="AQ21" s="34"/>
      <c r="AX21" s="38"/>
    </row>
    <row r="22" spans="3:53">
      <c r="D22" s="5"/>
      <c r="S22" s="17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87</v>
      </c>
      <c r="M1" s="18" t="s">
        <v>570</v>
      </c>
      <c r="N1" s="18" t="s">
        <v>571</v>
      </c>
      <c r="O1" s="18" t="s">
        <v>9</v>
      </c>
      <c r="P1" s="18" t="s">
        <v>10</v>
      </c>
      <c r="Q1" s="18" t="s">
        <v>88</v>
      </c>
      <c r="R1" s="18" t="s">
        <v>11</v>
      </c>
      <c r="S1" s="18" t="s">
        <v>12</v>
      </c>
      <c r="T1" s="18" t="s">
        <v>14</v>
      </c>
      <c r="U1" s="18" t="s">
        <v>15</v>
      </c>
      <c r="V1" s="18" t="s">
        <v>577</v>
      </c>
      <c r="W1" s="18" t="s">
        <v>578</v>
      </c>
      <c r="X1" s="18" t="s">
        <v>580</v>
      </c>
      <c r="Y1" s="18" t="s">
        <v>17</v>
      </c>
      <c r="Z1" s="18" t="s">
        <v>18</v>
      </c>
      <c r="AA1" s="18" t="s">
        <v>19</v>
      </c>
      <c r="AB1" s="18" t="s">
        <v>20</v>
      </c>
      <c r="AC1" s="18" t="s">
        <v>24</v>
      </c>
      <c r="AD1" s="18" t="s">
        <v>25</v>
      </c>
    </row>
    <row r="2" spans="1:30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20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20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20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20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20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20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20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20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20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20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20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20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20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20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20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20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20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20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>
      <c r="E20" s="17"/>
      <c r="H20" s="19"/>
      <c r="I20" s="19"/>
      <c r="J20" s="17"/>
      <c r="K20" s="17"/>
      <c r="L20" s="19"/>
      <c r="M20" s="20"/>
      <c r="P20" s="19"/>
      <c r="Q20" s="19"/>
      <c r="V20" s="19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35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18" t="s">
        <v>0</v>
      </c>
      <c r="B1" s="18" t="s">
        <v>1</v>
      </c>
      <c r="C1" s="18" t="s">
        <v>774</v>
      </c>
      <c r="D1" s="18" t="s">
        <v>775</v>
      </c>
      <c r="E1" s="18" t="s">
        <v>776</v>
      </c>
      <c r="F1" s="18" t="s">
        <v>5</v>
      </c>
      <c r="G1" s="18" t="s">
        <v>777</v>
      </c>
      <c r="H1" s="18" t="s">
        <v>6</v>
      </c>
      <c r="I1" s="18" t="s">
        <v>7</v>
      </c>
      <c r="J1" s="18" t="s">
        <v>87</v>
      </c>
      <c r="K1" s="18" t="s">
        <v>778</v>
      </c>
      <c r="L1" s="18" t="s">
        <v>10</v>
      </c>
      <c r="M1" s="18" t="s">
        <v>11</v>
      </c>
      <c r="N1" s="18" t="s">
        <v>12</v>
      </c>
      <c r="O1" s="18" t="s">
        <v>14</v>
      </c>
      <c r="P1" s="18" t="s">
        <v>15</v>
      </c>
      <c r="Q1" s="18" t="s">
        <v>779</v>
      </c>
      <c r="R1" s="18" t="s">
        <v>18</v>
      </c>
      <c r="S1" s="18" t="s">
        <v>780</v>
      </c>
      <c r="T1" s="18" t="s">
        <v>20</v>
      </c>
      <c r="U1" s="18" t="s">
        <v>24</v>
      </c>
      <c r="V1" s="18" t="s">
        <v>25</v>
      </c>
    </row>
    <row r="2" spans="1:22">
      <c r="A2" s="19"/>
      <c r="B2" s="19"/>
      <c r="C2" s="20"/>
      <c r="D2" s="35"/>
      <c r="E2" s="27"/>
      <c r="F2" s="19"/>
      <c r="G2" s="19"/>
      <c r="H2" s="27"/>
      <c r="I2" s="27"/>
      <c r="J2" s="19"/>
      <c r="K2" s="20"/>
      <c r="M2" s="17"/>
      <c r="N2" s="19"/>
      <c r="O2" s="20"/>
      <c r="P2" s="19"/>
      <c r="R2" s="19"/>
      <c r="S2" s="20"/>
      <c r="T2" s="19"/>
      <c r="U2" s="19"/>
      <c r="V2" s="19"/>
    </row>
    <row r="3" spans="1:22">
      <c r="A3" s="19"/>
      <c r="B3" s="19"/>
      <c r="C3" s="20"/>
      <c r="E3" s="17"/>
      <c r="F3" s="19"/>
      <c r="G3" s="19"/>
      <c r="H3" s="27"/>
      <c r="I3" s="27"/>
      <c r="J3" s="19"/>
      <c r="K3" s="19"/>
      <c r="M3" s="17"/>
      <c r="N3" s="19"/>
      <c r="O3" s="19"/>
      <c r="P3" s="19"/>
      <c r="R3" s="19"/>
      <c r="T3" s="19"/>
      <c r="U3" s="19"/>
      <c r="V3" s="19"/>
    </row>
    <row r="4" spans="1:22">
      <c r="A4" s="19"/>
      <c r="B4" s="19"/>
      <c r="C4" s="20"/>
      <c r="E4" s="17"/>
      <c r="F4" s="19"/>
      <c r="G4" s="19"/>
      <c r="H4" s="27"/>
      <c r="I4" s="27"/>
      <c r="J4" s="19"/>
      <c r="K4" s="19"/>
      <c r="M4" s="17"/>
      <c r="N4" s="19"/>
      <c r="O4" s="19"/>
      <c r="P4" s="19"/>
      <c r="R4" s="19"/>
      <c r="T4" s="19"/>
      <c r="U4" s="19"/>
      <c r="V4" s="19"/>
    </row>
    <row r="5" spans="1:22">
      <c r="A5" s="19"/>
      <c r="B5" s="19"/>
      <c r="C5" s="20"/>
      <c r="E5" s="17"/>
      <c r="F5" s="19"/>
      <c r="G5" s="19"/>
      <c r="H5" s="27"/>
      <c r="I5" s="27"/>
      <c r="J5" s="19"/>
      <c r="K5" s="19"/>
      <c r="M5" s="17"/>
      <c r="N5" s="19"/>
      <c r="O5" s="19"/>
      <c r="P5" s="19"/>
      <c r="R5" s="19"/>
      <c r="T5" s="19"/>
      <c r="U5" s="19"/>
      <c r="V5" s="19"/>
    </row>
    <row r="6" spans="1:22">
      <c r="A6" s="19"/>
      <c r="B6" s="19"/>
      <c r="C6" s="20"/>
      <c r="E6" s="17"/>
      <c r="F6" s="19"/>
      <c r="G6" s="19"/>
      <c r="H6" s="27"/>
      <c r="I6" s="27"/>
      <c r="J6" s="19"/>
      <c r="K6" s="19"/>
      <c r="M6" s="17"/>
      <c r="N6" s="19"/>
      <c r="O6" s="19"/>
      <c r="P6" s="19"/>
      <c r="R6" s="19"/>
      <c r="T6" s="19"/>
      <c r="U6" s="19"/>
      <c r="V6" s="19"/>
    </row>
    <row r="7" spans="1:22">
      <c r="A7" s="19"/>
      <c r="B7" s="19"/>
      <c r="C7" s="20"/>
      <c r="E7" s="17"/>
      <c r="F7" s="19"/>
      <c r="G7" s="19"/>
      <c r="H7" s="27"/>
      <c r="I7" s="2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>
      <c r="A8" s="19"/>
      <c r="B8" s="19"/>
      <c r="C8" s="20"/>
      <c r="E8" s="17"/>
      <c r="F8" s="19"/>
      <c r="G8" s="19"/>
      <c r="H8" s="27"/>
      <c r="I8" s="2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>
      <c r="A9" s="19"/>
      <c r="B9" s="19"/>
      <c r="C9" s="20"/>
      <c r="E9" s="17"/>
      <c r="F9" s="19"/>
      <c r="G9" s="19"/>
      <c r="H9" s="27"/>
      <c r="I9" s="2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>
      <c r="A10" s="19"/>
      <c r="B10" s="19"/>
      <c r="C10" s="20"/>
      <c r="E10" s="17"/>
      <c r="F10" s="19"/>
      <c r="G10" s="19"/>
      <c r="H10" s="27"/>
      <c r="I10" s="2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>
      <c r="A11" s="19"/>
      <c r="B11" s="19"/>
      <c r="C11" s="20"/>
      <c r="E11" s="17"/>
      <c r="F11" s="19"/>
      <c r="G11" s="19"/>
      <c r="H11" s="27"/>
      <c r="I11" s="2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>
      <c r="A12" s="19"/>
      <c r="B12" s="19"/>
      <c r="C12" s="20"/>
      <c r="E12" s="17"/>
      <c r="F12" s="19"/>
      <c r="G12" s="19"/>
      <c r="H12" s="27"/>
      <c r="I12" s="2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>
      <c r="A13" s="19"/>
      <c r="B13" s="19"/>
      <c r="C13" s="20"/>
      <c r="E13" s="17"/>
      <c r="F13" s="19"/>
      <c r="G13" s="19"/>
      <c r="H13" s="27"/>
      <c r="I13" s="2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>
      <c r="A14" s="19"/>
      <c r="B14" s="19"/>
      <c r="C14" s="20"/>
      <c r="E14" s="17"/>
      <c r="F14" s="19"/>
      <c r="G14" s="19"/>
      <c r="H14" s="27"/>
      <c r="I14" s="2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>
      <c r="A15" s="19"/>
      <c r="B15" s="19"/>
      <c r="C15" s="20"/>
      <c r="E15" s="17"/>
      <c r="F15" s="19"/>
      <c r="G15" s="19"/>
      <c r="H15" s="27"/>
      <c r="I15" s="2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>
      <c r="A16" s="19"/>
      <c r="B16" s="19"/>
      <c r="C16" s="20"/>
      <c r="E16" s="17"/>
      <c r="F16" s="19"/>
      <c r="G16" s="19"/>
      <c r="H16" s="27"/>
      <c r="I16" s="2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>
      <c r="A17" s="19"/>
      <c r="B17" s="19"/>
      <c r="C17" s="20"/>
      <c r="E17" s="17"/>
      <c r="F17" s="19"/>
      <c r="G17" s="19"/>
      <c r="H17" s="27"/>
      <c r="I17" s="2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>
      <c r="A18" s="19"/>
      <c r="B18" s="19"/>
      <c r="C18" s="20"/>
      <c r="E18" s="17"/>
      <c r="F18" s="19"/>
      <c r="G18" s="19"/>
      <c r="H18" s="27"/>
      <c r="I18" s="2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>
      <c r="A19" s="19"/>
      <c r="B19" s="19"/>
      <c r="C19" s="20"/>
      <c r="E19" s="17"/>
      <c r="F19" s="19"/>
      <c r="G19" s="19"/>
      <c r="H19" s="27"/>
      <c r="I19" s="2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>
      <c r="E20" s="17"/>
      <c r="F20" s="19"/>
      <c r="H20" s="27"/>
      <c r="I20" s="27"/>
      <c r="J20" s="19"/>
    </row>
    <row r="21" spans="1:22" s="35" customFormat="1">
      <c r="E21" s="38"/>
      <c r="L21" s="3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18" t="s">
        <v>0</v>
      </c>
      <c r="B1" s="18" t="s">
        <v>1</v>
      </c>
      <c r="C1" s="18" t="s">
        <v>781</v>
      </c>
      <c r="D1" s="18" t="s">
        <v>5</v>
      </c>
      <c r="E1" s="18" t="s">
        <v>782</v>
      </c>
      <c r="F1" s="18" t="s">
        <v>87</v>
      </c>
      <c r="G1" s="18" t="s">
        <v>571</v>
      </c>
      <c r="H1" s="18" t="s">
        <v>783</v>
      </c>
      <c r="I1" s="18" t="s">
        <v>784</v>
      </c>
      <c r="J1" s="18" t="s">
        <v>785</v>
      </c>
      <c r="K1" s="18" t="s">
        <v>786</v>
      </c>
      <c r="L1" s="18" t="s">
        <v>787</v>
      </c>
      <c r="M1" s="18" t="s">
        <v>577</v>
      </c>
      <c r="N1" s="18" t="s">
        <v>579</v>
      </c>
      <c r="O1" s="18" t="s">
        <v>578</v>
      </c>
      <c r="P1" s="18" t="s">
        <v>580</v>
      </c>
      <c r="Q1" s="18" t="s">
        <v>11</v>
      </c>
      <c r="R1" s="18" t="s">
        <v>773</v>
      </c>
      <c r="S1" s="18" t="s">
        <v>20</v>
      </c>
      <c r="T1" s="18" t="s">
        <v>21</v>
      </c>
      <c r="U1" s="18" t="s">
        <v>92</v>
      </c>
      <c r="V1" s="18" t="s">
        <v>22</v>
      </c>
      <c r="W1" s="18" t="s">
        <v>24</v>
      </c>
      <c r="X1" s="18" t="s">
        <v>25</v>
      </c>
    </row>
    <row r="2" spans="1:2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20"/>
      <c r="N2" s="20"/>
      <c r="O2" s="20"/>
      <c r="P2" s="19"/>
      <c r="Q2" s="17"/>
      <c r="R2" s="19"/>
      <c r="S2" s="19"/>
      <c r="T2" s="20"/>
      <c r="U2" s="20"/>
      <c r="V2" s="19"/>
      <c r="W2" s="19"/>
      <c r="X2" s="19"/>
    </row>
    <row r="3" spans="1:2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19"/>
      <c r="N3" s="20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>
      <c r="D20" s="19"/>
      <c r="E20" s="19"/>
      <c r="F20" s="19"/>
      <c r="H20" s="19"/>
      <c r="I20" s="19"/>
      <c r="L20" s="20"/>
      <c r="M20" s="19"/>
      <c r="O20" s="19"/>
      <c r="V20" s="19"/>
    </row>
    <row r="21" spans="1:24" s="35" customFormat="1">
      <c r="D21" s="19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83</v>
      </c>
      <c r="E1" s="18" t="s">
        <v>84</v>
      </c>
      <c r="F1" s="18" t="s">
        <v>3</v>
      </c>
      <c r="G1" s="18" t="s">
        <v>4</v>
      </c>
      <c r="H1" s="18" t="s">
        <v>85</v>
      </c>
      <c r="I1" s="18" t="s">
        <v>5</v>
      </c>
      <c r="J1" s="18" t="s">
        <v>6</v>
      </c>
      <c r="K1" s="18" t="s">
        <v>7</v>
      </c>
      <c r="L1" s="18" t="s">
        <v>86</v>
      </c>
      <c r="M1" s="18" t="s">
        <v>87</v>
      </c>
      <c r="N1" s="18" t="s">
        <v>11</v>
      </c>
      <c r="O1" s="18" t="s">
        <v>577</v>
      </c>
      <c r="P1" s="18" t="s">
        <v>578</v>
      </c>
      <c r="Q1" s="18" t="s">
        <v>580</v>
      </c>
      <c r="R1" s="18" t="s">
        <v>581</v>
      </c>
      <c r="S1" s="18" t="s">
        <v>788</v>
      </c>
      <c r="T1" s="18" t="s">
        <v>789</v>
      </c>
      <c r="U1" s="18" t="s">
        <v>20</v>
      </c>
      <c r="V1" s="18" t="s">
        <v>24</v>
      </c>
      <c r="W1" s="18" t="s">
        <v>25</v>
      </c>
    </row>
    <row r="2" spans="1:23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20"/>
      <c r="M2" s="19"/>
      <c r="N2" s="17"/>
      <c r="O2" s="19"/>
      <c r="P2" s="19"/>
      <c r="Q2" s="19"/>
      <c r="R2" s="19"/>
      <c r="S2" s="19"/>
      <c r="T2" s="20"/>
      <c r="U2" s="19"/>
      <c r="V2" s="19"/>
      <c r="W2" s="19"/>
    </row>
    <row r="3" spans="1:23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20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20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20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20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20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20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20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20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20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20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20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20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20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>
      <c r="A16" s="28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20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20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20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>
      <c r="A19" s="26"/>
      <c r="B19" s="19"/>
      <c r="C19" s="19"/>
      <c r="D19" s="19"/>
      <c r="E19" s="17"/>
      <c r="F19" s="19"/>
      <c r="G19" s="19"/>
      <c r="H19" s="19"/>
      <c r="J19" s="17"/>
      <c r="K19" s="17"/>
      <c r="L19" s="20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>
      <c r="A20" s="9"/>
      <c r="E20" s="17"/>
      <c r="H20" s="19"/>
      <c r="I20" s="19"/>
      <c r="J20" s="17"/>
      <c r="K20" s="17"/>
      <c r="L20" s="20"/>
      <c r="M20" s="19"/>
      <c r="O20" s="19"/>
      <c r="P20" s="19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topLeftCell="F1" workbookViewId="0">
      <selection activeCell="R7" sqref="R7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18" t="s">
        <v>0</v>
      </c>
      <c r="B1" s="18" t="s">
        <v>1</v>
      </c>
      <c r="C1" s="18" t="s">
        <v>790</v>
      </c>
      <c r="D1" s="18" t="s">
        <v>791</v>
      </c>
      <c r="E1" s="18" t="s">
        <v>5</v>
      </c>
      <c r="F1" s="18" t="s">
        <v>6</v>
      </c>
      <c r="G1" s="18" t="s">
        <v>7</v>
      </c>
      <c r="H1" s="18" t="s">
        <v>87</v>
      </c>
      <c r="I1" s="160" t="s">
        <v>792</v>
      </c>
      <c r="J1" s="18" t="s">
        <v>11</v>
      </c>
      <c r="K1" s="160" t="s">
        <v>580</v>
      </c>
      <c r="L1" s="18" t="s">
        <v>779</v>
      </c>
      <c r="M1" s="147" t="s">
        <v>18</v>
      </c>
      <c r="N1" s="18" t="s">
        <v>20</v>
      </c>
      <c r="O1" s="18" t="s">
        <v>21</v>
      </c>
      <c r="P1" s="18" t="s">
        <v>22</v>
      </c>
      <c r="Q1" s="149" t="s">
        <v>24</v>
      </c>
      <c r="R1" s="149" t="s">
        <v>25</v>
      </c>
    </row>
    <row r="2" spans="1:18">
      <c r="A2" s="19">
        <v>233</v>
      </c>
      <c r="B2" s="19">
        <v>233</v>
      </c>
      <c r="C2" s="33" t="s">
        <v>793</v>
      </c>
      <c r="D2" s="33" t="s">
        <v>794</v>
      </c>
      <c r="E2" s="33" t="s">
        <v>795</v>
      </c>
      <c r="F2" s="17" t="s">
        <v>30</v>
      </c>
      <c r="G2" s="17" t="s">
        <v>30</v>
      </c>
      <c r="H2" s="19" t="s">
        <v>103</v>
      </c>
      <c r="I2" s="16" t="s">
        <v>1773</v>
      </c>
      <c r="J2" s="17" t="s">
        <v>34</v>
      </c>
      <c r="K2" s="161" t="s">
        <v>591</v>
      </c>
      <c r="L2" s="143">
        <v>-11.189</v>
      </c>
      <c r="M2" s="156">
        <v>1</v>
      </c>
      <c r="N2" s="145">
        <v>-11.189</v>
      </c>
      <c r="O2" s="19"/>
      <c r="P2" s="17" t="s">
        <v>36</v>
      </c>
      <c r="Q2" s="155">
        <v>1.0662950570327701</v>
      </c>
      <c r="R2" s="155">
        <v>-1.1597096229245E-5</v>
      </c>
    </row>
    <row r="3" spans="1:18">
      <c r="A3" s="19">
        <v>233</v>
      </c>
      <c r="B3" s="19">
        <v>233</v>
      </c>
      <c r="C3" s="26" t="s">
        <v>796</v>
      </c>
      <c r="D3" s="19" t="s">
        <v>797</v>
      </c>
      <c r="E3" s="33" t="s">
        <v>795</v>
      </c>
      <c r="F3" s="17" t="s">
        <v>30</v>
      </c>
      <c r="G3" s="17" t="s">
        <v>30</v>
      </c>
      <c r="H3" s="19" t="s">
        <v>103</v>
      </c>
      <c r="I3" s="16" t="s">
        <v>1773</v>
      </c>
      <c r="J3" s="17" t="s">
        <v>34</v>
      </c>
      <c r="K3" s="161" t="s">
        <v>591</v>
      </c>
      <c r="L3" s="143">
        <v>0.69599999999999995</v>
      </c>
      <c r="M3" s="156">
        <v>1</v>
      </c>
      <c r="N3" s="145">
        <v>0.69599999999999995</v>
      </c>
      <c r="O3" s="19"/>
      <c r="P3" s="17" t="s">
        <v>36</v>
      </c>
      <c r="Q3" s="155">
        <v>-6.6295057032771096E-2</v>
      </c>
      <c r="R3" s="155">
        <v>7.2102946633907598E-7</v>
      </c>
    </row>
    <row r="4" spans="1:18">
      <c r="A4" s="19"/>
      <c r="B4" s="19"/>
      <c r="C4" s="26"/>
      <c r="D4" s="19"/>
      <c r="E4" s="33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>
      <c r="A5" s="19"/>
      <c r="B5" s="19"/>
      <c r="C5" s="26"/>
      <c r="D5" s="19"/>
      <c r="E5" s="33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>
      <c r="A6" s="19"/>
      <c r="B6" s="19"/>
      <c r="C6" s="26"/>
      <c r="D6" s="19"/>
      <c r="E6" s="33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>
      <c r="A7" s="19"/>
      <c r="B7" s="19"/>
      <c r="C7" s="26"/>
      <c r="D7" s="19"/>
      <c r="E7" s="33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>
      <c r="A8" s="19"/>
      <c r="B8" s="19"/>
      <c r="C8" s="26"/>
      <c r="D8" s="19"/>
      <c r="E8" s="33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>
      <c r="A9" s="19"/>
      <c r="B9" s="19"/>
      <c r="C9" s="26"/>
      <c r="D9" s="19"/>
      <c r="E9" s="33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>
      <c r="A10" s="19"/>
      <c r="B10" s="19"/>
      <c r="C10" s="26"/>
      <c r="D10" s="19"/>
      <c r="E10" s="33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>
      <c r="A11" s="19"/>
      <c r="B11" s="19"/>
      <c r="C11" s="26"/>
      <c r="D11" s="19"/>
      <c r="E11" s="33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>
      <c r="A12" s="19"/>
      <c r="B12" s="19"/>
      <c r="C12" s="26"/>
      <c r="D12" s="19"/>
      <c r="E12" s="33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>
      <c r="A13" s="19"/>
      <c r="B13" s="19"/>
      <c r="C13" s="26"/>
      <c r="D13" s="19"/>
      <c r="E13" s="33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>
      <c r="A14" s="19"/>
      <c r="B14" s="19"/>
      <c r="C14" s="26"/>
      <c r="D14" s="19"/>
      <c r="E14" s="33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>
      <c r="A15" s="19"/>
      <c r="B15" s="19"/>
      <c r="C15" s="26"/>
      <c r="D15" s="19"/>
      <c r="E15" s="33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>
      <c r="A16" s="19"/>
      <c r="B16" s="19"/>
      <c r="C16" s="26"/>
      <c r="D16" s="19"/>
      <c r="E16" s="33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>
      <c r="A17" s="19"/>
      <c r="B17" s="19"/>
      <c r="C17" s="26"/>
      <c r="D17" s="19"/>
      <c r="E17" s="33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>
      <c r="A18" s="19"/>
      <c r="B18" s="19"/>
      <c r="C18" s="26"/>
      <c r="D18" s="19"/>
      <c r="E18" s="33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>
      <c r="A19" s="19"/>
      <c r="B19" s="19"/>
      <c r="C19" s="26"/>
      <c r="D19" s="19"/>
      <c r="E19" s="33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>
      <c r="E20" s="33"/>
      <c r="F20" s="17"/>
      <c r="G20" s="17"/>
      <c r="H20" s="19"/>
      <c r="P20" s="17"/>
    </row>
    <row r="21" spans="1:18" s="35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18" t="s">
        <v>0</v>
      </c>
      <c r="B1" s="18" t="s">
        <v>1</v>
      </c>
      <c r="C1" s="18" t="s">
        <v>751</v>
      </c>
      <c r="D1" s="18" t="s">
        <v>752</v>
      </c>
      <c r="E1" s="18" t="s">
        <v>753</v>
      </c>
      <c r="F1" s="18" t="s">
        <v>754</v>
      </c>
      <c r="G1" s="18" t="s">
        <v>798</v>
      </c>
      <c r="H1" s="18" t="s">
        <v>6</v>
      </c>
      <c r="I1" s="18" t="s">
        <v>7</v>
      </c>
      <c r="J1" s="18" t="s">
        <v>87</v>
      </c>
      <c r="K1" s="18" t="s">
        <v>9</v>
      </c>
      <c r="L1" s="18" t="s">
        <v>10</v>
      </c>
      <c r="M1" s="18" t="s">
        <v>759</v>
      </c>
      <c r="N1" s="18" t="s">
        <v>11</v>
      </c>
      <c r="O1" s="18" t="s">
        <v>18</v>
      </c>
      <c r="P1" s="18" t="s">
        <v>14</v>
      </c>
      <c r="Q1" s="18" t="s">
        <v>760</v>
      </c>
      <c r="R1" s="18" t="s">
        <v>799</v>
      </c>
      <c r="S1" s="18" t="s">
        <v>800</v>
      </c>
      <c r="T1" s="18" t="s">
        <v>801</v>
      </c>
    </row>
    <row r="2" spans="1:20" ht="14.1" customHeight="1">
      <c r="A2" s="6"/>
      <c r="B2" s="6"/>
      <c r="C2" s="37"/>
      <c r="D2" s="20"/>
      <c r="E2" s="37"/>
      <c r="F2" s="37"/>
      <c r="G2" s="27"/>
      <c r="H2" s="17"/>
      <c r="I2" s="27"/>
      <c r="J2" s="19"/>
      <c r="K2" s="19"/>
      <c r="L2" s="19"/>
      <c r="M2" s="19"/>
      <c r="N2" s="6"/>
      <c r="O2" s="6"/>
      <c r="Q2" s="20"/>
      <c r="R2" s="27"/>
      <c r="S2" s="27"/>
      <c r="T2" s="27"/>
    </row>
    <row r="3" spans="1:20" ht="14.1" customHeight="1">
      <c r="A3" s="6"/>
      <c r="B3" s="6"/>
      <c r="C3" s="6"/>
      <c r="D3" s="20"/>
      <c r="E3" s="6"/>
      <c r="F3" s="6"/>
      <c r="H3" s="17"/>
      <c r="I3" s="17"/>
      <c r="J3" s="19"/>
      <c r="K3" s="19"/>
      <c r="L3" s="19"/>
      <c r="M3" s="19"/>
      <c r="N3" s="6"/>
      <c r="O3" s="6"/>
      <c r="P3" s="6"/>
      <c r="Q3" s="19"/>
      <c r="R3" s="6"/>
      <c r="S3" s="6"/>
      <c r="T3" s="6"/>
    </row>
    <row r="4" spans="1:20" ht="14.1" customHeight="1">
      <c r="A4" s="6"/>
      <c r="B4" s="6"/>
      <c r="C4" s="6"/>
      <c r="D4" s="20"/>
      <c r="E4" s="6"/>
      <c r="F4" s="6"/>
      <c r="H4" s="17"/>
      <c r="I4" s="17"/>
      <c r="J4" s="19"/>
      <c r="K4" s="19"/>
      <c r="L4" s="19"/>
      <c r="M4" s="19"/>
      <c r="N4" s="6"/>
      <c r="O4" s="6"/>
      <c r="P4" s="6"/>
      <c r="Q4" s="19"/>
      <c r="R4" s="6"/>
      <c r="S4" s="6"/>
      <c r="T4" s="6"/>
    </row>
    <row r="5" spans="1:20" ht="14.1" customHeight="1">
      <c r="A5" s="6"/>
      <c r="B5" s="6"/>
      <c r="C5" s="6"/>
      <c r="D5" s="20"/>
      <c r="E5" s="6"/>
      <c r="F5" s="6"/>
      <c r="H5" s="17"/>
      <c r="I5" s="17"/>
      <c r="J5" s="19"/>
      <c r="K5" s="19"/>
      <c r="L5" s="19"/>
      <c r="M5" s="19"/>
      <c r="N5" s="6"/>
      <c r="O5" s="36"/>
      <c r="P5" s="6"/>
      <c r="Q5" s="19"/>
      <c r="R5" s="6"/>
      <c r="S5" s="6"/>
      <c r="T5" s="6"/>
    </row>
    <row r="6" spans="1:20" ht="14.1" customHeight="1">
      <c r="A6" s="6"/>
      <c r="B6" s="6"/>
      <c r="C6" s="6"/>
      <c r="D6" s="20"/>
      <c r="E6" s="6"/>
      <c r="F6" s="6"/>
      <c r="H6" s="17"/>
      <c r="I6" s="17"/>
      <c r="J6" s="19"/>
      <c r="K6" s="19"/>
      <c r="L6" s="19"/>
      <c r="M6" s="19"/>
      <c r="N6" s="6"/>
      <c r="O6" s="36"/>
      <c r="P6" s="6"/>
      <c r="Q6" s="19"/>
      <c r="R6" s="6"/>
      <c r="S6" s="6"/>
      <c r="T6" s="6"/>
    </row>
    <row r="7" spans="1:20" ht="14.1" customHeight="1">
      <c r="A7" s="6"/>
      <c r="B7" s="6"/>
      <c r="C7" s="6"/>
      <c r="D7" s="20"/>
      <c r="E7" s="6"/>
      <c r="F7" s="6"/>
      <c r="H7" s="17"/>
      <c r="I7" s="17"/>
      <c r="J7" s="19"/>
      <c r="K7" s="19"/>
      <c r="L7" s="19"/>
      <c r="M7" s="19"/>
      <c r="N7" s="6"/>
      <c r="O7" s="6"/>
      <c r="P7" s="6"/>
      <c r="Q7" s="19"/>
      <c r="R7" s="6"/>
      <c r="S7" s="6"/>
      <c r="T7" s="6"/>
    </row>
    <row r="8" spans="1:20" ht="14.1" customHeight="1">
      <c r="A8" s="6"/>
      <c r="B8" s="6"/>
      <c r="C8" s="6"/>
      <c r="D8" s="20"/>
      <c r="E8" s="6"/>
      <c r="F8" s="6"/>
      <c r="H8" s="17"/>
      <c r="I8" s="17"/>
      <c r="J8" s="19"/>
      <c r="K8" s="19"/>
      <c r="L8" s="19"/>
      <c r="M8" s="19"/>
      <c r="N8" s="36"/>
      <c r="O8" s="6"/>
      <c r="P8" s="6"/>
      <c r="Q8" s="19"/>
      <c r="R8" s="6"/>
      <c r="S8" s="6"/>
      <c r="T8" s="6"/>
    </row>
    <row r="9" spans="1:20" ht="14.1" customHeight="1">
      <c r="A9" s="6"/>
      <c r="B9" s="6"/>
      <c r="C9" s="6"/>
      <c r="D9" s="20"/>
      <c r="E9" s="6"/>
      <c r="F9" s="6"/>
      <c r="H9" s="17"/>
      <c r="I9" s="17"/>
      <c r="J9" s="19"/>
      <c r="K9" s="19"/>
      <c r="L9" s="19"/>
      <c r="M9" s="19"/>
      <c r="N9" s="6"/>
      <c r="O9" s="6"/>
      <c r="P9" s="6"/>
      <c r="Q9" s="19"/>
      <c r="R9" s="6"/>
      <c r="S9" s="6"/>
      <c r="T9" s="6"/>
    </row>
    <row r="10" spans="1:20" ht="13.7" customHeight="1">
      <c r="A10" s="6"/>
      <c r="B10" s="6"/>
      <c r="C10" s="6"/>
      <c r="D10" s="20"/>
      <c r="E10" s="6"/>
      <c r="F10" s="6"/>
      <c r="H10" s="17"/>
      <c r="I10" s="17"/>
      <c r="J10" s="19"/>
      <c r="K10" s="19"/>
      <c r="L10" s="19"/>
      <c r="M10" s="19"/>
      <c r="N10" s="6"/>
      <c r="O10" s="6"/>
      <c r="P10" s="6"/>
      <c r="Q10" s="19"/>
      <c r="R10" s="6"/>
      <c r="S10" s="6"/>
      <c r="T10" s="6"/>
    </row>
    <row r="11" spans="1:20" ht="13.7" customHeight="1">
      <c r="A11" s="6"/>
      <c r="B11" s="6"/>
      <c r="C11" s="6"/>
      <c r="D11" s="20"/>
      <c r="E11" s="6"/>
      <c r="F11" s="6"/>
      <c r="H11" s="17"/>
      <c r="I11" s="17"/>
      <c r="J11" s="19"/>
      <c r="K11" s="19"/>
      <c r="L11" s="19"/>
      <c r="M11" s="19"/>
      <c r="N11" s="6"/>
      <c r="O11" s="6"/>
      <c r="P11" s="6"/>
      <c r="Q11" s="19"/>
      <c r="R11" s="6"/>
      <c r="S11" s="6"/>
      <c r="T11" s="6"/>
    </row>
    <row r="12" spans="1:20" ht="14.1" customHeight="1">
      <c r="A12" s="6"/>
      <c r="B12" s="6"/>
      <c r="C12" s="6"/>
      <c r="D12" s="20"/>
      <c r="E12" s="6"/>
      <c r="F12" s="6"/>
      <c r="H12" s="17"/>
      <c r="I12" s="17"/>
      <c r="J12" s="19"/>
      <c r="K12" s="19"/>
      <c r="L12" s="19"/>
      <c r="M12" s="19"/>
      <c r="N12" s="6"/>
      <c r="O12" s="6"/>
      <c r="P12" s="6"/>
      <c r="Q12" s="19"/>
      <c r="R12" s="6"/>
      <c r="S12" s="6"/>
      <c r="T12" s="6"/>
    </row>
    <row r="13" spans="1:20" ht="14.1" customHeight="1">
      <c r="A13" s="6"/>
      <c r="B13" s="6"/>
      <c r="C13" s="6"/>
      <c r="D13" s="20"/>
      <c r="E13" s="6"/>
      <c r="F13" s="6"/>
      <c r="H13" s="17"/>
      <c r="I13" s="17"/>
      <c r="J13" s="19"/>
      <c r="K13" s="19"/>
      <c r="L13" s="19"/>
      <c r="M13" s="19"/>
      <c r="N13" s="6"/>
      <c r="O13" s="6"/>
      <c r="P13" s="6"/>
      <c r="Q13" s="19"/>
      <c r="R13" s="6"/>
      <c r="S13" s="6"/>
      <c r="T13" s="6"/>
    </row>
    <row r="14" spans="1:20" ht="14.1" customHeight="1">
      <c r="A14" s="6"/>
      <c r="B14" s="6"/>
      <c r="C14" s="6"/>
      <c r="D14" s="20"/>
      <c r="E14" s="6"/>
      <c r="F14" s="6"/>
      <c r="H14" s="17"/>
      <c r="I14" s="17"/>
      <c r="J14" s="19"/>
      <c r="K14" s="19"/>
      <c r="L14" s="19"/>
      <c r="M14" s="19"/>
      <c r="N14" s="6"/>
      <c r="O14" s="6"/>
      <c r="P14" s="6"/>
      <c r="Q14" s="19"/>
      <c r="R14" s="6"/>
      <c r="S14" s="6"/>
      <c r="T14" s="6"/>
    </row>
    <row r="15" spans="1:20" ht="14.1" customHeight="1">
      <c r="A15" s="6"/>
      <c r="B15" s="6"/>
      <c r="C15" s="6"/>
      <c r="D15" s="20"/>
      <c r="E15" s="6"/>
      <c r="F15" s="6"/>
      <c r="H15" s="17"/>
      <c r="I15" s="17"/>
      <c r="J15" s="19"/>
      <c r="K15" s="19"/>
      <c r="L15" s="19"/>
      <c r="M15" s="19"/>
      <c r="N15" s="6"/>
      <c r="O15" s="6"/>
      <c r="P15" s="6"/>
      <c r="Q15" s="19"/>
      <c r="R15" s="6"/>
      <c r="S15" s="6"/>
      <c r="T15" s="6"/>
    </row>
    <row r="16" spans="1:20" ht="14.1" customHeight="1">
      <c r="A16" s="6"/>
      <c r="B16" s="6"/>
      <c r="C16" s="6"/>
      <c r="D16" s="20"/>
      <c r="E16" s="6"/>
      <c r="F16" s="6"/>
      <c r="H16" s="17"/>
      <c r="I16" s="17"/>
      <c r="J16" s="19"/>
      <c r="K16" s="19"/>
      <c r="L16" s="19"/>
      <c r="M16" s="19"/>
      <c r="N16" s="6"/>
      <c r="O16" s="6"/>
      <c r="P16" s="6"/>
      <c r="Q16" s="19"/>
      <c r="R16" s="6"/>
      <c r="S16" s="6"/>
      <c r="T16" s="6"/>
    </row>
    <row r="17" spans="1:20" ht="14.1" customHeight="1">
      <c r="A17" s="6"/>
      <c r="B17" s="6"/>
      <c r="C17" s="6"/>
      <c r="D17" s="20"/>
      <c r="E17" s="6"/>
      <c r="F17" s="6"/>
      <c r="H17" s="17"/>
      <c r="I17" s="17"/>
      <c r="J17" s="19"/>
      <c r="K17" s="19"/>
      <c r="L17" s="19"/>
      <c r="M17" s="19"/>
      <c r="N17" s="6"/>
      <c r="O17" s="6"/>
      <c r="P17" s="6"/>
      <c r="Q17" s="19"/>
      <c r="R17" s="6"/>
      <c r="S17" s="6"/>
      <c r="T17" s="6"/>
    </row>
    <row r="18" spans="1:20" ht="14.1" customHeight="1">
      <c r="D18" s="20"/>
      <c r="H18" s="17"/>
      <c r="I18" s="17"/>
      <c r="J18" s="19"/>
      <c r="K18" s="19"/>
      <c r="L18" s="19"/>
      <c r="M18" s="19"/>
      <c r="Q18" s="19"/>
    </row>
    <row r="19" spans="1:20" ht="14.1" customHeight="1">
      <c r="D19" s="20"/>
      <c r="H19" s="17"/>
      <c r="I19" s="17"/>
      <c r="J19" s="19"/>
      <c r="K19" s="19"/>
      <c r="L19" s="19"/>
      <c r="M19" s="19"/>
      <c r="Q19" s="19"/>
    </row>
    <row r="20" spans="1:20" ht="14.1" customHeight="1">
      <c r="D20" s="20"/>
      <c r="H20" s="17"/>
      <c r="I20" s="17"/>
      <c r="J20" s="19"/>
      <c r="L20" s="19"/>
      <c r="M20" s="19"/>
      <c r="Q20" s="19"/>
    </row>
    <row r="21" spans="1:20" s="35" customFormat="1" ht="14.1" customHeight="1">
      <c r="D21" s="38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topLeftCell="G1" workbookViewId="0">
      <selection activeCell="O2" sqref="O2:O8"/>
    </sheetView>
  </sheetViews>
  <sheetFormatPr defaultColWidth="0" defaultRowHeight="14.1" customHeight="1"/>
  <cols>
    <col min="1" max="2" width="11.625" style="3" customWidth="1"/>
    <col min="3" max="3" width="20.75" style="3" customWidth="1"/>
    <col min="4" max="4" width="18.875" style="3" customWidth="1"/>
    <col min="5" max="6" width="11.625" style="3" customWidth="1"/>
    <col min="7" max="7" width="24.125" style="3" customWidth="1"/>
    <col min="8" max="8" width="11.625" style="3" customWidth="1"/>
    <col min="9" max="9" width="12.625" style="3" customWidth="1"/>
    <col min="10" max="11" width="11.625" style="3" customWidth="1"/>
    <col min="12" max="14" width="13.25" style="3" customWidth="1"/>
    <col min="15" max="17" width="11.625" style="3" customWidth="1"/>
    <col min="18" max="18" width="11.625" style="3" hidden="1" customWidth="1"/>
    <col min="19" max="16384" width="11.625" style="3" hidden="1"/>
  </cols>
  <sheetData>
    <row r="1" spans="1:17" ht="63.75">
      <c r="A1" s="18" t="s">
        <v>0</v>
      </c>
      <c r="B1" s="18" t="s">
        <v>1</v>
      </c>
      <c r="C1" s="18" t="s">
        <v>5</v>
      </c>
      <c r="D1" s="18" t="s">
        <v>630</v>
      </c>
      <c r="E1" s="18" t="s">
        <v>631</v>
      </c>
      <c r="F1" s="18" t="s">
        <v>632</v>
      </c>
      <c r="G1" s="18" t="s">
        <v>633</v>
      </c>
      <c r="H1" s="18" t="s">
        <v>634</v>
      </c>
      <c r="I1" s="18" t="s">
        <v>635</v>
      </c>
      <c r="J1" s="18" t="s">
        <v>11</v>
      </c>
      <c r="K1" s="18" t="s">
        <v>802</v>
      </c>
      <c r="L1" s="18" t="s">
        <v>803</v>
      </c>
      <c r="M1" s="18" t="s">
        <v>804</v>
      </c>
      <c r="N1" s="18" t="s">
        <v>805</v>
      </c>
      <c r="O1" s="18" t="s">
        <v>806</v>
      </c>
      <c r="P1" s="18" t="s">
        <v>807</v>
      </c>
      <c r="Q1" s="18" t="s">
        <v>808</v>
      </c>
    </row>
    <row r="2" spans="1:17" ht="14.1" customHeight="1">
      <c r="A2" s="6">
        <v>233</v>
      </c>
      <c r="B2" s="6">
        <v>233</v>
      </c>
      <c r="C2" s="6" t="s">
        <v>1604</v>
      </c>
      <c r="D2" s="6" t="s">
        <v>641</v>
      </c>
      <c r="E2" s="37" t="s">
        <v>642</v>
      </c>
      <c r="F2" s="20" t="s">
        <v>332</v>
      </c>
      <c r="G2" s="209" t="s">
        <v>1786</v>
      </c>
      <c r="H2" s="37">
        <v>29994282</v>
      </c>
      <c r="I2" s="20" t="s">
        <v>33</v>
      </c>
      <c r="J2" s="3" t="s">
        <v>66</v>
      </c>
      <c r="K2" s="207">
        <v>44347</v>
      </c>
      <c r="L2" s="208">
        <v>6000000</v>
      </c>
      <c r="M2" s="208">
        <v>19836</v>
      </c>
      <c r="N2" s="208">
        <v>2520000</v>
      </c>
      <c r="O2" s="208">
        <v>8331.1200000000008</v>
      </c>
      <c r="P2" s="176">
        <v>0.42000000000000004</v>
      </c>
      <c r="Q2" s="207">
        <v>48733</v>
      </c>
    </row>
    <row r="3" spans="1:17" ht="14.1" customHeight="1">
      <c r="A3" s="6">
        <v>233</v>
      </c>
      <c r="B3" s="6">
        <v>233</v>
      </c>
      <c r="C3" s="6" t="s">
        <v>1604</v>
      </c>
      <c r="D3" s="6" t="s">
        <v>649</v>
      </c>
      <c r="E3" s="6">
        <v>540281839</v>
      </c>
      <c r="F3" s="20" t="s">
        <v>332</v>
      </c>
      <c r="G3" s="209" t="s">
        <v>1787</v>
      </c>
      <c r="H3" s="3">
        <v>8917762</v>
      </c>
      <c r="I3" s="20" t="s">
        <v>33</v>
      </c>
      <c r="J3" s="3" t="s">
        <v>66</v>
      </c>
      <c r="K3" s="207">
        <v>43300</v>
      </c>
      <c r="L3" s="208">
        <v>3000000</v>
      </c>
      <c r="M3" s="208">
        <v>9918</v>
      </c>
      <c r="N3" s="208">
        <v>107600</v>
      </c>
      <c r="O3" s="208">
        <v>355.72559999999999</v>
      </c>
      <c r="P3" s="176">
        <v>3.5866666666666665E-2</v>
      </c>
      <c r="Q3" s="207">
        <v>46935</v>
      </c>
    </row>
    <row r="4" spans="1:17" ht="13.7" customHeight="1">
      <c r="A4" s="6">
        <v>233</v>
      </c>
      <c r="B4" s="6">
        <v>233</v>
      </c>
      <c r="C4" s="6" t="s">
        <v>1604</v>
      </c>
      <c r="D4" s="6" t="s">
        <v>656</v>
      </c>
      <c r="E4" s="6">
        <v>540310885</v>
      </c>
      <c r="F4" s="20" t="s">
        <v>332</v>
      </c>
      <c r="G4" s="209" t="s">
        <v>1788</v>
      </c>
      <c r="H4" s="3">
        <v>8917764</v>
      </c>
      <c r="I4" s="20" t="s">
        <v>33</v>
      </c>
      <c r="J4" s="3" t="s">
        <v>66</v>
      </c>
      <c r="K4" s="207">
        <v>44258</v>
      </c>
      <c r="L4" s="208">
        <v>1500000</v>
      </c>
      <c r="M4" s="208">
        <v>4959</v>
      </c>
      <c r="N4" s="208">
        <v>165000</v>
      </c>
      <c r="O4" s="208">
        <v>545.49</v>
      </c>
      <c r="P4" s="176">
        <v>0.11</v>
      </c>
      <c r="Q4" s="207">
        <v>47908</v>
      </c>
    </row>
    <row r="5" spans="1:17" ht="13.7" customHeight="1">
      <c r="A5" s="6">
        <v>233</v>
      </c>
      <c r="B5" s="6">
        <v>233</v>
      </c>
      <c r="C5" s="6" t="s">
        <v>1604</v>
      </c>
      <c r="D5" s="6" t="s">
        <v>667</v>
      </c>
      <c r="E5" s="6">
        <v>540283272</v>
      </c>
      <c r="F5" s="20" t="s">
        <v>332</v>
      </c>
      <c r="G5" s="209" t="s">
        <v>1789</v>
      </c>
      <c r="H5" s="3">
        <v>800070395</v>
      </c>
      <c r="I5" s="20" t="s">
        <v>33</v>
      </c>
      <c r="J5" s="3" t="s">
        <v>66</v>
      </c>
      <c r="K5" s="207">
        <v>44200</v>
      </c>
      <c r="L5" s="208">
        <v>2000000</v>
      </c>
      <c r="M5" s="208">
        <v>6612</v>
      </c>
      <c r="N5" s="208">
        <v>309999.99999999994</v>
      </c>
      <c r="O5" s="208">
        <v>1024.8599999999999</v>
      </c>
      <c r="P5" s="176">
        <v>0.15499999999999997</v>
      </c>
      <c r="Q5" s="207">
        <v>47849</v>
      </c>
    </row>
    <row r="6" spans="1:17" ht="14.1" customHeight="1">
      <c r="A6" s="6">
        <v>233</v>
      </c>
      <c r="B6" s="6">
        <v>233</v>
      </c>
      <c r="C6" s="6" t="s">
        <v>1604</v>
      </c>
      <c r="D6" s="6" t="s">
        <v>681</v>
      </c>
      <c r="E6" s="6">
        <v>540278827</v>
      </c>
      <c r="F6" s="20" t="s">
        <v>332</v>
      </c>
      <c r="G6" s="209" t="s">
        <v>1790</v>
      </c>
      <c r="H6" s="3">
        <v>8917763</v>
      </c>
      <c r="I6" s="20" t="s">
        <v>33</v>
      </c>
      <c r="J6" s="3" t="s">
        <v>66</v>
      </c>
      <c r="K6" s="207">
        <v>43539</v>
      </c>
      <c r="L6" s="208">
        <v>3000000</v>
      </c>
      <c r="M6" s="208">
        <v>9918</v>
      </c>
      <c r="N6" s="208">
        <v>389999.99999999994</v>
      </c>
      <c r="O6" s="208">
        <v>1289.3399999999999</v>
      </c>
      <c r="P6" s="176">
        <v>0.13</v>
      </c>
      <c r="Q6" s="207">
        <v>47178</v>
      </c>
    </row>
    <row r="7" spans="1:17" ht="14.1" customHeight="1">
      <c r="A7" s="6">
        <v>233</v>
      </c>
      <c r="B7" s="6">
        <v>233</v>
      </c>
      <c r="C7" s="6" t="s">
        <v>1604</v>
      </c>
      <c r="D7" s="6" t="s">
        <v>687</v>
      </c>
      <c r="E7" s="6" t="s">
        <v>688</v>
      </c>
      <c r="F7" s="20" t="s">
        <v>33</v>
      </c>
      <c r="G7" s="209" t="s">
        <v>689</v>
      </c>
      <c r="H7" s="3">
        <v>865637</v>
      </c>
      <c r="I7" s="20" t="s">
        <v>33</v>
      </c>
      <c r="J7" s="3" t="s">
        <v>66</v>
      </c>
      <c r="K7" s="207">
        <v>44922</v>
      </c>
      <c r="L7" s="208">
        <v>4000000</v>
      </c>
      <c r="M7" s="208">
        <v>13224</v>
      </c>
      <c r="N7" s="208">
        <v>400000</v>
      </c>
      <c r="O7" s="208">
        <v>1322.4</v>
      </c>
      <c r="P7" s="176">
        <v>0.1</v>
      </c>
      <c r="Q7" s="207">
        <v>47453</v>
      </c>
    </row>
    <row r="8" spans="1:17" ht="14.1" customHeight="1">
      <c r="A8" s="6">
        <v>233</v>
      </c>
      <c r="B8" s="6">
        <v>233</v>
      </c>
      <c r="C8" s="6" t="s">
        <v>1604</v>
      </c>
      <c r="D8" s="6" t="s">
        <v>702</v>
      </c>
      <c r="E8" s="6" t="s">
        <v>703</v>
      </c>
      <c r="F8" s="20" t="s">
        <v>33</v>
      </c>
      <c r="G8" s="209" t="s">
        <v>702</v>
      </c>
      <c r="H8" s="3">
        <v>29994435</v>
      </c>
      <c r="I8" s="20" t="s">
        <v>33</v>
      </c>
      <c r="J8" s="3" t="s">
        <v>66</v>
      </c>
      <c r="K8" s="207">
        <v>44560</v>
      </c>
      <c r="L8" s="208">
        <v>5000000</v>
      </c>
      <c r="M8" s="208">
        <v>16530</v>
      </c>
      <c r="N8" s="208">
        <v>1283360.9999999998</v>
      </c>
      <c r="O8" s="208">
        <v>4242.7914659999997</v>
      </c>
      <c r="P8" s="176">
        <v>0.25667219999999996</v>
      </c>
      <c r="Q8" s="207">
        <v>48733</v>
      </c>
    </row>
    <row r="9" spans="1:17" ht="14.1" customHeight="1">
      <c r="A9" s="6"/>
      <c r="B9" s="6"/>
      <c r="C9" s="6"/>
      <c r="D9" s="6"/>
      <c r="E9" s="6"/>
      <c r="F9" s="20"/>
      <c r="G9" s="6"/>
      <c r="I9" s="20"/>
      <c r="K9" s="19"/>
      <c r="L9" s="208"/>
      <c r="M9" s="208"/>
      <c r="N9" s="208"/>
      <c r="P9" s="19"/>
    </row>
    <row r="10" spans="1:17" ht="14.1" customHeight="1">
      <c r="A10" s="6"/>
      <c r="B10" s="6"/>
      <c r="C10" s="6"/>
      <c r="D10" s="6"/>
      <c r="E10" s="6"/>
      <c r="F10" s="20"/>
      <c r="G10" s="6"/>
      <c r="I10" s="20"/>
      <c r="K10" s="19"/>
      <c r="P10" s="19"/>
    </row>
    <row r="11" spans="1:17" ht="14.1" customHeight="1">
      <c r="C11" s="6"/>
      <c r="F11" s="20"/>
      <c r="I11" s="20"/>
      <c r="K11" s="19"/>
    </row>
    <row r="12" spans="1:17" ht="14.1" customHeight="1">
      <c r="C12" s="6"/>
      <c r="F12" s="20"/>
      <c r="I12" s="20"/>
      <c r="K12" s="19"/>
    </row>
    <row r="13" spans="1:17" ht="14.1" customHeight="1">
      <c r="C13" s="6"/>
      <c r="F13" s="20"/>
      <c r="I13" s="20"/>
      <c r="K13" s="19"/>
    </row>
    <row r="14" spans="1:17" ht="14.1" customHeight="1">
      <c r="C14" s="6"/>
      <c r="F14" s="20"/>
      <c r="I14" s="20"/>
      <c r="K14" s="19"/>
    </row>
    <row r="15" spans="1:17" ht="14.1" customHeight="1">
      <c r="C15" s="6"/>
      <c r="F15" s="20"/>
      <c r="I15" s="20"/>
      <c r="K15" s="19"/>
    </row>
    <row r="16" spans="1:17" ht="14.1" customHeight="1">
      <c r="C16" s="6"/>
      <c r="F16" s="20"/>
      <c r="I16" s="20"/>
      <c r="K16" s="19"/>
    </row>
    <row r="17" spans="3:11" ht="14.1" customHeight="1">
      <c r="C17" s="6"/>
      <c r="F17" s="20"/>
      <c r="I17" s="20"/>
      <c r="K17" s="19"/>
    </row>
    <row r="18" spans="3:11" ht="14.1" customHeight="1">
      <c r="C18" s="6"/>
      <c r="F18" s="20"/>
      <c r="I18" s="20"/>
      <c r="K18" s="19"/>
    </row>
    <row r="19" spans="3:11" ht="14.1" customHeight="1">
      <c r="C19" s="6"/>
      <c r="F19" s="20"/>
      <c r="I19" s="20"/>
      <c r="K19" s="19"/>
    </row>
    <row r="20" spans="3:11" ht="14.1" customHeight="1">
      <c r="F20" s="20"/>
      <c r="I20" s="20"/>
    </row>
    <row r="24" spans="3:11" ht="14.1" customHeight="1">
      <c r="K24" s="9"/>
    </row>
    <row r="25" spans="3:11" ht="14.1" customHeight="1">
      <c r="K25" s="9"/>
    </row>
    <row r="26" spans="3:11" ht="14.1" customHeight="1">
      <c r="K26" s="9"/>
    </row>
    <row r="28" spans="3:11" ht="14.1" customHeight="1">
      <c r="K28" s="9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74" activePane="bottomLeft" state="frozen"/>
      <selection activeCell="A2" sqref="A2"/>
      <selection pane="bottomLeft" activeCell="C96" sqref="C96"/>
    </sheetView>
  </sheetViews>
  <sheetFormatPr defaultColWidth="0" defaultRowHeight="14.25"/>
  <cols>
    <col min="1" max="1" width="29.5" style="9" customWidth="1"/>
    <col min="2" max="2" width="30.375" style="15" customWidth="1"/>
    <col min="3" max="3" width="34.625" style="57" customWidth="1"/>
    <col min="4" max="4" width="68.875" style="9" customWidth="1"/>
    <col min="5" max="5" width="29.75" style="15" bestFit="1" customWidth="1"/>
    <col min="6" max="6" width="9" style="15" hidden="1" customWidth="1"/>
    <col min="7" max="16384" width="9" style="15" hidden="1"/>
  </cols>
  <sheetData>
    <row r="1" spans="1:5" s="54" customFormat="1" ht="45">
      <c r="A1" s="53" t="s">
        <v>809</v>
      </c>
      <c r="B1" s="53" t="s">
        <v>810</v>
      </c>
      <c r="C1" s="53" t="s">
        <v>811</v>
      </c>
      <c r="D1" s="53" t="s">
        <v>812</v>
      </c>
      <c r="E1" s="15"/>
    </row>
    <row r="2" spans="1:5">
      <c r="A2" s="89"/>
      <c r="B2" s="89" t="s">
        <v>813</v>
      </c>
      <c r="C2" s="21" t="s">
        <v>30</v>
      </c>
      <c r="D2" s="21"/>
    </row>
    <row r="3" spans="1:5">
      <c r="A3" s="90"/>
      <c r="B3" s="90"/>
      <c r="C3" s="21" t="s">
        <v>61</v>
      </c>
      <c r="D3" s="21"/>
    </row>
    <row r="4" spans="1:5" ht="42.75">
      <c r="A4" s="82"/>
      <c r="B4" s="107" t="s">
        <v>814</v>
      </c>
      <c r="C4" s="22" t="s">
        <v>30</v>
      </c>
      <c r="D4" s="22"/>
    </row>
    <row r="5" spans="1:5">
      <c r="A5" s="83"/>
      <c r="B5" s="108"/>
      <c r="C5" s="22" t="s">
        <v>815</v>
      </c>
      <c r="D5" s="22"/>
    </row>
    <row r="6" spans="1:5">
      <c r="A6" s="83"/>
      <c r="B6" s="108"/>
      <c r="C6" s="22" t="s">
        <v>816</v>
      </c>
      <c r="D6" s="22"/>
    </row>
    <row r="7" spans="1:5">
      <c r="A7" s="83"/>
      <c r="B7" s="108"/>
      <c r="C7" s="22" t="s">
        <v>817</v>
      </c>
      <c r="D7" s="22"/>
    </row>
    <row r="8" spans="1:5">
      <c r="A8" s="83"/>
      <c r="B8" s="108"/>
      <c r="C8" s="22" t="s">
        <v>818</v>
      </c>
      <c r="D8" s="22"/>
    </row>
    <row r="9" spans="1:5">
      <c r="A9" s="83"/>
      <c r="B9" s="108"/>
      <c r="C9" s="22" t="s">
        <v>819</v>
      </c>
      <c r="D9" s="22"/>
    </row>
    <row r="10" spans="1:5">
      <c r="A10" s="83"/>
      <c r="B10" s="108"/>
      <c r="C10" s="22" t="s">
        <v>820</v>
      </c>
      <c r="D10" s="22"/>
    </row>
    <row r="11" spans="1:5">
      <c r="A11" s="83"/>
      <c r="B11" s="108"/>
      <c r="C11" s="22" t="s">
        <v>821</v>
      </c>
      <c r="D11" s="22"/>
      <c r="E11" s="15" t="s">
        <v>822</v>
      </c>
    </row>
    <row r="12" spans="1:5">
      <c r="A12" s="83"/>
      <c r="B12" s="108"/>
      <c r="C12" s="22" t="s">
        <v>823</v>
      </c>
      <c r="D12" s="22"/>
      <c r="E12" s="15" t="s">
        <v>822</v>
      </c>
    </row>
    <row r="13" spans="1:5">
      <c r="A13" s="83"/>
      <c r="B13" s="108"/>
      <c r="C13" s="22" t="s">
        <v>824</v>
      </c>
      <c r="D13" s="22"/>
    </row>
    <row r="14" spans="1:5">
      <c r="A14" s="83"/>
      <c r="B14" s="108"/>
      <c r="C14" s="22" t="s">
        <v>692</v>
      </c>
      <c r="D14" s="22"/>
    </row>
    <row r="15" spans="1:5">
      <c r="A15" s="83"/>
      <c r="B15" s="108"/>
      <c r="C15" s="22" t="s">
        <v>825</v>
      </c>
      <c r="D15" s="22"/>
    </row>
    <row r="16" spans="1:5">
      <c r="A16" s="83"/>
      <c r="B16" s="108"/>
      <c r="C16" s="22" t="s">
        <v>826</v>
      </c>
      <c r="D16" s="22"/>
    </row>
    <row r="17" spans="1:4">
      <c r="A17" s="83"/>
      <c r="B17" s="108"/>
      <c r="C17" s="22" t="s">
        <v>827</v>
      </c>
      <c r="D17" s="22"/>
    </row>
    <row r="18" spans="1:4">
      <c r="A18" s="83"/>
      <c r="B18" s="108"/>
      <c r="C18" s="22" t="s">
        <v>828</v>
      </c>
      <c r="D18" s="22"/>
    </row>
    <row r="19" spans="1:4">
      <c r="A19" s="83"/>
      <c r="B19" s="108"/>
      <c r="C19" s="22" t="s">
        <v>829</v>
      </c>
      <c r="D19" s="22"/>
    </row>
    <row r="20" spans="1:4">
      <c r="A20" s="83"/>
      <c r="B20" s="108"/>
      <c r="C20" s="22" t="s">
        <v>830</v>
      </c>
      <c r="D20" s="22"/>
    </row>
    <row r="21" spans="1:4">
      <c r="A21" s="83"/>
      <c r="B21" s="108"/>
      <c r="C21" s="22" t="s">
        <v>62</v>
      </c>
      <c r="D21" s="22"/>
    </row>
    <row r="22" spans="1:4">
      <c r="A22" s="83"/>
      <c r="B22" s="108"/>
      <c r="C22" s="22" t="s">
        <v>831</v>
      </c>
      <c r="D22" s="22"/>
    </row>
    <row r="23" spans="1:4">
      <c r="A23" s="83"/>
      <c r="B23" s="108"/>
      <c r="C23" s="22" t="s">
        <v>832</v>
      </c>
      <c r="D23" s="22"/>
    </row>
    <row r="24" spans="1:4">
      <c r="A24" s="83"/>
      <c r="B24" s="108"/>
      <c r="C24" s="22" t="s">
        <v>833</v>
      </c>
      <c r="D24" s="22"/>
    </row>
    <row r="25" spans="1:4">
      <c r="A25" s="83"/>
      <c r="B25" s="108"/>
      <c r="C25" s="22" t="s">
        <v>834</v>
      </c>
      <c r="D25" s="22"/>
    </row>
    <row r="26" spans="1:4">
      <c r="A26" s="83"/>
      <c r="B26" s="108"/>
      <c r="C26" s="22" t="s">
        <v>835</v>
      </c>
      <c r="D26" s="22"/>
    </row>
    <row r="27" spans="1:4">
      <c r="A27" s="83"/>
      <c r="B27" s="108"/>
      <c r="C27" s="22" t="s">
        <v>836</v>
      </c>
      <c r="D27" s="22"/>
    </row>
    <row r="28" spans="1:4">
      <c r="A28" s="83"/>
      <c r="B28" s="108"/>
      <c r="C28" s="22" t="s">
        <v>837</v>
      </c>
      <c r="D28" s="22"/>
    </row>
    <row r="29" spans="1:4">
      <c r="A29" s="83"/>
      <c r="B29" s="108"/>
      <c r="C29" s="22" t="s">
        <v>838</v>
      </c>
      <c r="D29" s="22"/>
    </row>
    <row r="30" spans="1:4">
      <c r="A30" s="83"/>
      <c r="B30" s="108"/>
      <c r="C30" s="22" t="s">
        <v>839</v>
      </c>
      <c r="D30" s="22"/>
    </row>
    <row r="31" spans="1:4">
      <c r="A31" s="83"/>
      <c r="B31" s="108"/>
      <c r="C31" s="22" t="s">
        <v>840</v>
      </c>
      <c r="D31" s="22"/>
    </row>
    <row r="32" spans="1:4">
      <c r="A32" s="83"/>
      <c r="B32" s="108"/>
      <c r="C32" s="22" t="s">
        <v>841</v>
      </c>
      <c r="D32" s="22"/>
    </row>
    <row r="33" spans="1:5">
      <c r="A33" s="83"/>
      <c r="B33" s="108"/>
      <c r="C33" s="22" t="s">
        <v>842</v>
      </c>
      <c r="D33" s="22"/>
    </row>
    <row r="34" spans="1:5">
      <c r="A34" s="83"/>
      <c r="B34" s="108"/>
      <c r="C34" s="22" t="s">
        <v>843</v>
      </c>
      <c r="D34" s="22"/>
    </row>
    <row r="35" spans="1:5">
      <c r="A35" s="83"/>
      <c r="B35" s="108"/>
      <c r="C35" s="22" t="s">
        <v>490</v>
      </c>
      <c r="D35" s="22"/>
    </row>
    <row r="36" spans="1:5">
      <c r="A36" s="83"/>
      <c r="B36" s="108"/>
      <c r="C36" s="22" t="s">
        <v>844</v>
      </c>
      <c r="D36" s="22"/>
      <c r="E36" s="15" t="s">
        <v>822</v>
      </c>
    </row>
    <row r="37" spans="1:5">
      <c r="A37" s="83"/>
      <c r="B37" s="108"/>
      <c r="C37" s="9" t="s">
        <v>845</v>
      </c>
      <c r="D37" s="22"/>
      <c r="E37" s="15" t="s">
        <v>822</v>
      </c>
    </row>
    <row r="38" spans="1:5">
      <c r="A38" s="83"/>
      <c r="B38" s="108"/>
      <c r="C38" s="22" t="s">
        <v>846</v>
      </c>
      <c r="D38" s="22"/>
    </row>
    <row r="39" spans="1:5">
      <c r="A39" s="83"/>
      <c r="B39" s="108"/>
      <c r="C39" s="22" t="s">
        <v>847</v>
      </c>
      <c r="D39" s="22"/>
    </row>
    <row r="40" spans="1:5">
      <c r="A40" s="83"/>
      <c r="B40" s="108"/>
      <c r="C40" s="22" t="s">
        <v>848</v>
      </c>
      <c r="D40" s="22"/>
      <c r="E40" s="15" t="s">
        <v>822</v>
      </c>
    </row>
    <row r="41" spans="1:5">
      <c r="A41" s="83"/>
      <c r="B41" s="108"/>
      <c r="C41" s="22" t="s">
        <v>849</v>
      </c>
      <c r="D41" s="22"/>
    </row>
    <row r="42" spans="1:5">
      <c r="A42" s="83"/>
      <c r="B42" s="108"/>
      <c r="C42" s="22" t="s">
        <v>379</v>
      </c>
      <c r="D42" s="22"/>
    </row>
    <row r="43" spans="1:5">
      <c r="A43" s="83"/>
      <c r="B43" s="108"/>
      <c r="C43" s="22" t="s">
        <v>850</v>
      </c>
      <c r="D43" s="22"/>
    </row>
    <row r="44" spans="1:5">
      <c r="A44" s="83"/>
      <c r="B44" s="108"/>
      <c r="C44" s="22" t="s">
        <v>851</v>
      </c>
      <c r="D44" s="22"/>
    </row>
    <row r="45" spans="1:5">
      <c r="A45" s="83"/>
      <c r="B45" s="108"/>
      <c r="C45" s="22" t="s">
        <v>852</v>
      </c>
      <c r="D45" s="22"/>
    </row>
    <row r="46" spans="1:5">
      <c r="A46" s="83"/>
      <c r="B46" s="108"/>
      <c r="C46" s="22" t="s">
        <v>853</v>
      </c>
      <c r="D46" s="22"/>
      <c r="E46" s="15" t="s">
        <v>822</v>
      </c>
    </row>
    <row r="47" spans="1:5">
      <c r="A47" s="83"/>
      <c r="B47" s="108"/>
      <c r="C47" s="22" t="s">
        <v>854</v>
      </c>
      <c r="D47" s="22"/>
    </row>
    <row r="48" spans="1:5">
      <c r="A48" s="83"/>
      <c r="B48" s="108"/>
      <c r="C48" s="22" t="s">
        <v>855</v>
      </c>
      <c r="D48" s="22"/>
    </row>
    <row r="49" spans="1:5">
      <c r="A49" s="83"/>
      <c r="B49" s="108"/>
      <c r="C49" s="22" t="s">
        <v>856</v>
      </c>
      <c r="D49" s="22"/>
    </row>
    <row r="50" spans="1:5">
      <c r="A50" s="83"/>
      <c r="B50" s="108"/>
      <c r="C50" s="22" t="s">
        <v>857</v>
      </c>
      <c r="D50" s="22"/>
    </row>
    <row r="51" spans="1:5">
      <c r="A51" s="83"/>
      <c r="B51" s="108"/>
      <c r="C51" s="22" t="s">
        <v>858</v>
      </c>
      <c r="D51" s="22"/>
    </row>
    <row r="52" spans="1:5">
      <c r="A52" s="83"/>
      <c r="B52" s="108"/>
      <c r="C52" s="22" t="s">
        <v>859</v>
      </c>
      <c r="D52" s="22"/>
    </row>
    <row r="53" spans="1:5">
      <c r="A53" s="83"/>
      <c r="B53" s="108"/>
      <c r="C53" s="22" t="s">
        <v>860</v>
      </c>
      <c r="D53" s="22"/>
    </row>
    <row r="54" spans="1:5">
      <c r="A54" s="83"/>
      <c r="B54" s="108"/>
      <c r="C54" s="22" t="s">
        <v>861</v>
      </c>
      <c r="D54" s="22"/>
    </row>
    <row r="55" spans="1:5">
      <c r="A55" s="83"/>
      <c r="B55" s="108"/>
      <c r="C55" s="22" t="s">
        <v>862</v>
      </c>
      <c r="D55" s="22"/>
    </row>
    <row r="56" spans="1:5">
      <c r="A56" s="83"/>
      <c r="B56" s="108"/>
      <c r="C56" s="22" t="s">
        <v>863</v>
      </c>
      <c r="D56" s="22"/>
    </row>
    <row r="57" spans="1:5">
      <c r="A57" s="83"/>
      <c r="B57" s="108"/>
      <c r="C57" s="22" t="s">
        <v>864</v>
      </c>
      <c r="D57" s="22"/>
    </row>
    <row r="58" spans="1:5">
      <c r="A58" s="83"/>
      <c r="B58" s="108"/>
      <c r="C58" s="22" t="s">
        <v>865</v>
      </c>
      <c r="D58" s="22"/>
    </row>
    <row r="59" spans="1:5">
      <c r="A59" s="83"/>
      <c r="B59" s="108"/>
      <c r="C59" s="22" t="s">
        <v>866</v>
      </c>
      <c r="D59" s="22"/>
    </row>
    <row r="60" spans="1:5">
      <c r="A60" s="83"/>
      <c r="B60" s="108"/>
      <c r="C60" s="22" t="s">
        <v>867</v>
      </c>
      <c r="D60" s="22"/>
    </row>
    <row r="61" spans="1:5">
      <c r="A61" s="83"/>
      <c r="B61" s="108"/>
      <c r="C61" s="22" t="s">
        <v>868</v>
      </c>
      <c r="D61" s="22"/>
    </row>
    <row r="62" spans="1:5">
      <c r="A62" s="83"/>
      <c r="B62" s="108"/>
      <c r="C62" s="22" t="s">
        <v>869</v>
      </c>
      <c r="D62" s="22"/>
    </row>
    <row r="63" spans="1:5">
      <c r="A63" s="83"/>
      <c r="B63" s="108"/>
      <c r="C63" s="22" t="s">
        <v>870</v>
      </c>
      <c r="D63" s="22"/>
      <c r="E63" s="15" t="s">
        <v>822</v>
      </c>
    </row>
    <row r="64" spans="1:5">
      <c r="A64" s="83"/>
      <c r="B64" s="108"/>
      <c r="C64" s="22" t="s">
        <v>871</v>
      </c>
      <c r="D64" s="22"/>
    </row>
    <row r="65" spans="1:4">
      <c r="A65" s="83"/>
      <c r="B65" s="108"/>
      <c r="C65" s="22" t="s">
        <v>415</v>
      </c>
      <c r="D65" s="22"/>
    </row>
    <row r="66" spans="1:4">
      <c r="A66" s="83"/>
      <c r="B66" s="108"/>
      <c r="C66" s="22" t="s">
        <v>872</v>
      </c>
      <c r="D66" s="22"/>
    </row>
    <row r="67" spans="1:4">
      <c r="A67" s="83"/>
      <c r="B67" s="108"/>
      <c r="C67" s="22" t="s">
        <v>873</v>
      </c>
      <c r="D67" s="22"/>
    </row>
    <row r="68" spans="1:4">
      <c r="A68" s="83"/>
      <c r="B68" s="108"/>
      <c r="C68" s="22" t="s">
        <v>874</v>
      </c>
      <c r="D68" s="22"/>
    </row>
    <row r="69" spans="1:4">
      <c r="A69" s="83"/>
      <c r="B69" s="108"/>
      <c r="C69" s="22" t="s">
        <v>875</v>
      </c>
      <c r="D69" s="22"/>
    </row>
    <row r="70" spans="1:4">
      <c r="A70" s="83"/>
      <c r="B70" s="108"/>
      <c r="C70" s="22" t="s">
        <v>876</v>
      </c>
      <c r="D70" s="22"/>
    </row>
    <row r="71" spans="1:4">
      <c r="A71" s="83"/>
      <c r="B71" s="108"/>
      <c r="C71" s="22" t="s">
        <v>877</v>
      </c>
      <c r="D71" s="22"/>
    </row>
    <row r="72" spans="1:4">
      <c r="A72" s="83"/>
      <c r="B72" s="108"/>
      <c r="C72" s="22" t="s">
        <v>878</v>
      </c>
      <c r="D72" s="22"/>
    </row>
    <row r="73" spans="1:4">
      <c r="A73" s="83"/>
      <c r="B73" s="108"/>
      <c r="C73" s="22" t="s">
        <v>879</v>
      </c>
      <c r="D73" s="22"/>
    </row>
    <row r="74" spans="1:4">
      <c r="A74" s="83"/>
      <c r="B74" s="108"/>
      <c r="C74" s="22" t="s">
        <v>880</v>
      </c>
      <c r="D74" s="22"/>
    </row>
    <row r="75" spans="1:4">
      <c r="A75" s="83"/>
      <c r="B75" s="108"/>
      <c r="C75" s="22" t="s">
        <v>881</v>
      </c>
      <c r="D75" s="22"/>
    </row>
    <row r="76" spans="1:4">
      <c r="A76" s="83"/>
      <c r="B76" s="108"/>
      <c r="C76" s="22" t="s">
        <v>882</v>
      </c>
      <c r="D76" s="22"/>
    </row>
    <row r="77" spans="1:4">
      <c r="A77" s="83"/>
      <c r="B77" s="108"/>
      <c r="C77" s="22" t="s">
        <v>883</v>
      </c>
      <c r="D77" s="22"/>
    </row>
    <row r="78" spans="1:4">
      <c r="A78" s="83"/>
      <c r="B78" s="108"/>
      <c r="C78" s="22" t="s">
        <v>884</v>
      </c>
      <c r="D78" s="22"/>
    </row>
    <row r="79" spans="1:4">
      <c r="A79" s="83"/>
      <c r="B79" s="108"/>
      <c r="C79" s="22" t="s">
        <v>885</v>
      </c>
      <c r="D79" s="22"/>
    </row>
    <row r="80" spans="1:4">
      <c r="A80" s="83"/>
      <c r="B80" s="108"/>
      <c r="C80" s="22" t="s">
        <v>886</v>
      </c>
      <c r="D80" s="22"/>
    </row>
    <row r="81" spans="1:5">
      <c r="A81" s="83"/>
      <c r="B81" s="108"/>
      <c r="C81" s="22" t="s">
        <v>887</v>
      </c>
      <c r="D81" s="22"/>
    </row>
    <row r="82" spans="1:5">
      <c r="A82" s="83"/>
      <c r="B82" s="108"/>
      <c r="C82" s="22" t="s">
        <v>888</v>
      </c>
      <c r="D82" s="22"/>
    </row>
    <row r="83" spans="1:5">
      <c r="A83" s="83"/>
      <c r="B83" s="108"/>
      <c r="C83" s="22" t="s">
        <v>889</v>
      </c>
      <c r="D83" s="22"/>
    </row>
    <row r="84" spans="1:5">
      <c r="A84" s="83"/>
      <c r="B84" s="108"/>
      <c r="C84" s="22" t="s">
        <v>890</v>
      </c>
      <c r="D84" s="22"/>
    </row>
    <row r="85" spans="1:5">
      <c r="A85" s="83"/>
      <c r="B85" s="108"/>
      <c r="C85" s="22" t="s">
        <v>891</v>
      </c>
      <c r="D85" s="22"/>
    </row>
    <row r="86" spans="1:5">
      <c r="A86" s="83"/>
      <c r="B86" s="108"/>
      <c r="C86" s="22" t="s">
        <v>892</v>
      </c>
      <c r="D86" s="22"/>
    </row>
    <row r="87" spans="1:5">
      <c r="A87" s="83"/>
      <c r="B87" s="108"/>
      <c r="C87" s="22" t="s">
        <v>893</v>
      </c>
      <c r="D87" s="22"/>
    </row>
    <row r="88" spans="1:5">
      <c r="A88" s="83"/>
      <c r="B88" s="108"/>
      <c r="C88" s="22" t="s">
        <v>894</v>
      </c>
      <c r="D88" s="22"/>
    </row>
    <row r="89" spans="1:5">
      <c r="A89" s="83"/>
      <c r="B89" s="108"/>
      <c r="C89" s="22" t="s">
        <v>895</v>
      </c>
      <c r="D89" s="22"/>
    </row>
    <row r="90" spans="1:5">
      <c r="A90" s="83"/>
      <c r="B90" s="108"/>
      <c r="C90" s="22" t="s">
        <v>497</v>
      </c>
      <c r="D90" s="22"/>
    </row>
    <row r="91" spans="1:5">
      <c r="A91" s="83"/>
      <c r="B91" s="108"/>
      <c r="C91" s="22" t="s">
        <v>896</v>
      </c>
      <c r="D91" s="22"/>
    </row>
    <row r="92" spans="1:5">
      <c r="A92" s="83"/>
      <c r="B92" s="108"/>
      <c r="C92" s="22" t="s">
        <v>897</v>
      </c>
      <c r="D92" s="22"/>
    </row>
    <row r="93" spans="1:5">
      <c r="A93" s="83"/>
      <c r="B93" s="108"/>
      <c r="C93" s="22" t="s">
        <v>391</v>
      </c>
      <c r="D93" s="22"/>
    </row>
    <row r="94" spans="1:5">
      <c r="A94" s="83"/>
      <c r="B94" s="108"/>
      <c r="C94" s="22" t="s">
        <v>898</v>
      </c>
      <c r="D94" s="22" t="s">
        <v>899</v>
      </c>
      <c r="E94" s="15" t="s">
        <v>822</v>
      </c>
    </row>
    <row r="95" spans="1:5">
      <c r="A95" s="83"/>
      <c r="B95" s="108"/>
      <c r="C95" s="22" t="s">
        <v>900</v>
      </c>
      <c r="D95" s="22" t="s">
        <v>901</v>
      </c>
      <c r="E95" s="15" t="s">
        <v>822</v>
      </c>
    </row>
    <row r="96" spans="1:5">
      <c r="A96" s="83"/>
      <c r="B96" s="108"/>
      <c r="C96" s="22" t="s">
        <v>902</v>
      </c>
      <c r="D96" s="22" t="s">
        <v>901</v>
      </c>
      <c r="E96" s="15" t="s">
        <v>822</v>
      </c>
    </row>
    <row r="97" spans="1:5">
      <c r="A97" s="83"/>
      <c r="B97" s="108"/>
      <c r="C97" s="22" t="s">
        <v>903</v>
      </c>
      <c r="D97" s="22" t="s">
        <v>901</v>
      </c>
      <c r="E97" s="15" t="s">
        <v>822</v>
      </c>
    </row>
    <row r="98" spans="1:5">
      <c r="A98" s="83"/>
      <c r="B98" s="108"/>
      <c r="C98" s="22" t="s">
        <v>904</v>
      </c>
      <c r="D98" s="22" t="s">
        <v>901</v>
      </c>
      <c r="E98" s="15" t="s">
        <v>822</v>
      </c>
    </row>
    <row r="99" spans="1:5">
      <c r="A99" s="83"/>
      <c r="B99" s="108"/>
      <c r="C99" s="22" t="s">
        <v>905</v>
      </c>
      <c r="D99" s="22" t="s">
        <v>901</v>
      </c>
      <c r="E99" s="15" t="s">
        <v>822</v>
      </c>
    </row>
    <row r="100" spans="1:5">
      <c r="A100" s="83"/>
      <c r="B100" s="108"/>
      <c r="C100" s="22" t="s">
        <v>906</v>
      </c>
      <c r="D100" s="22" t="s">
        <v>901</v>
      </c>
      <c r="E100" s="15" t="s">
        <v>822</v>
      </c>
    </row>
    <row r="101" spans="1:5">
      <c r="A101" s="83"/>
      <c r="B101" s="108"/>
      <c r="C101" s="22" t="s">
        <v>907</v>
      </c>
      <c r="D101" s="22" t="s">
        <v>901</v>
      </c>
      <c r="E101" s="15" t="s">
        <v>822</v>
      </c>
    </row>
    <row r="102" spans="1:5">
      <c r="A102" s="83"/>
      <c r="B102" s="108"/>
      <c r="C102" s="22" t="s">
        <v>908</v>
      </c>
      <c r="D102" s="22" t="s">
        <v>901</v>
      </c>
      <c r="E102" s="15" t="s">
        <v>822</v>
      </c>
    </row>
    <row r="103" spans="1:5">
      <c r="A103" s="83"/>
      <c r="B103" s="108"/>
      <c r="C103" s="22" t="s">
        <v>909</v>
      </c>
      <c r="D103" s="22" t="s">
        <v>901</v>
      </c>
      <c r="E103" s="15" t="s">
        <v>822</v>
      </c>
    </row>
    <row r="104" spans="1:5">
      <c r="A104" s="78"/>
      <c r="B104" s="78" t="s">
        <v>84</v>
      </c>
      <c r="C104" s="21" t="s">
        <v>96</v>
      </c>
      <c r="D104" s="21"/>
    </row>
    <row r="105" spans="1:5">
      <c r="A105" s="79"/>
      <c r="B105" s="79"/>
      <c r="C105" s="21" t="s">
        <v>83</v>
      </c>
      <c r="D105" s="21"/>
    </row>
    <row r="106" spans="1:5">
      <c r="A106" s="79"/>
      <c r="B106" s="79"/>
      <c r="C106" s="21" t="s">
        <v>332</v>
      </c>
      <c r="D106" s="21"/>
    </row>
    <row r="107" spans="1:5">
      <c r="A107" s="79"/>
      <c r="B107" s="79"/>
      <c r="C107" s="21" t="s">
        <v>592</v>
      </c>
      <c r="D107" s="21"/>
    </row>
    <row r="108" spans="1:5">
      <c r="A108" s="79"/>
      <c r="B108" s="79"/>
      <c r="C108" s="21" t="s">
        <v>33</v>
      </c>
      <c r="D108" s="21"/>
    </row>
    <row r="109" spans="1:5">
      <c r="A109" s="79"/>
      <c r="B109" s="79"/>
      <c r="C109" s="21" t="s">
        <v>125</v>
      </c>
      <c r="D109" s="21"/>
    </row>
    <row r="110" spans="1:5">
      <c r="A110" s="80"/>
      <c r="B110" s="80"/>
      <c r="C110" s="21" t="s">
        <v>71</v>
      </c>
      <c r="D110" s="21"/>
    </row>
    <row r="111" spans="1:5">
      <c r="A111" s="83"/>
      <c r="B111" s="69" t="s">
        <v>776</v>
      </c>
      <c r="C111" s="22" t="s">
        <v>96</v>
      </c>
      <c r="D111" s="22"/>
    </row>
    <row r="112" spans="1:5">
      <c r="A112" s="83"/>
      <c r="B112" s="70"/>
      <c r="C112" s="22" t="s">
        <v>910</v>
      </c>
      <c r="D112" s="22"/>
    </row>
    <row r="113" spans="1:4">
      <c r="A113" s="83"/>
      <c r="B113" s="71"/>
      <c r="C113" s="22" t="s">
        <v>911</v>
      </c>
      <c r="D113" s="22"/>
    </row>
    <row r="114" spans="1:4">
      <c r="A114" s="96"/>
      <c r="B114" s="96" t="s">
        <v>912</v>
      </c>
      <c r="C114" s="21" t="s">
        <v>96</v>
      </c>
      <c r="D114" s="21"/>
    </row>
    <row r="115" spans="1:4">
      <c r="A115" s="96"/>
      <c r="B115" s="96"/>
      <c r="C115" s="21" t="s">
        <v>332</v>
      </c>
      <c r="D115" s="21"/>
    </row>
    <row r="116" spans="1:4">
      <c r="A116" s="96"/>
      <c r="B116" s="96"/>
      <c r="C116" s="21" t="s">
        <v>592</v>
      </c>
      <c r="D116" s="21"/>
    </row>
    <row r="117" spans="1:4">
      <c r="A117" s="96"/>
      <c r="B117" s="96"/>
      <c r="C117" s="21" t="s">
        <v>125</v>
      </c>
      <c r="D117" s="21"/>
    </row>
    <row r="118" spans="1:4">
      <c r="A118" s="82"/>
      <c r="B118" s="97" t="s">
        <v>752</v>
      </c>
      <c r="C118" s="22" t="s">
        <v>96</v>
      </c>
      <c r="D118" s="22"/>
    </row>
    <row r="119" spans="1:4">
      <c r="A119" s="118"/>
      <c r="B119" s="117"/>
      <c r="C119" s="22" t="s">
        <v>913</v>
      </c>
      <c r="D119" s="22"/>
    </row>
    <row r="120" spans="1:4">
      <c r="A120" s="118"/>
      <c r="B120" s="117"/>
      <c r="C120" s="22" t="s">
        <v>592</v>
      </c>
      <c r="D120" s="22"/>
    </row>
    <row r="121" spans="1:4">
      <c r="A121" s="118"/>
      <c r="B121" s="117"/>
      <c r="C121" s="22" t="s">
        <v>33</v>
      </c>
      <c r="D121" s="22"/>
    </row>
    <row r="122" spans="1:4">
      <c r="A122" s="118"/>
      <c r="B122" s="117"/>
      <c r="C122" s="22" t="s">
        <v>332</v>
      </c>
      <c r="D122" s="22"/>
    </row>
    <row r="123" spans="1:4">
      <c r="A123" s="118"/>
      <c r="B123" s="117"/>
      <c r="C123" s="22" t="s">
        <v>914</v>
      </c>
      <c r="D123" s="22"/>
    </row>
    <row r="124" spans="1:4">
      <c r="A124" s="118"/>
      <c r="B124" s="117"/>
      <c r="C124" s="22" t="s">
        <v>915</v>
      </c>
      <c r="D124" s="22"/>
    </row>
    <row r="125" spans="1:4">
      <c r="A125" s="118"/>
      <c r="B125" s="117"/>
      <c r="C125" s="22" t="s">
        <v>125</v>
      </c>
      <c r="D125" s="22"/>
    </row>
    <row r="126" spans="1:4">
      <c r="A126" s="83"/>
      <c r="B126" s="98"/>
      <c r="C126" s="22" t="s">
        <v>71</v>
      </c>
      <c r="D126" s="22"/>
    </row>
    <row r="127" spans="1:4">
      <c r="A127" s="78"/>
      <c r="B127" s="78" t="s">
        <v>85</v>
      </c>
      <c r="C127" s="21" t="s">
        <v>99</v>
      </c>
      <c r="D127" s="21"/>
    </row>
    <row r="128" spans="1:4">
      <c r="A128" s="79"/>
      <c r="B128" s="79"/>
      <c r="C128" s="21" t="s">
        <v>916</v>
      </c>
      <c r="D128" s="21"/>
    </row>
    <row r="129" spans="1:5">
      <c r="A129" s="79"/>
      <c r="B129" s="79"/>
      <c r="C129" s="21" t="s">
        <v>917</v>
      </c>
      <c r="D129" s="21"/>
    </row>
    <row r="130" spans="1:5">
      <c r="A130" s="79"/>
      <c r="B130" s="79"/>
      <c r="C130" s="21" t="s">
        <v>737</v>
      </c>
      <c r="D130" s="21"/>
    </row>
    <row r="131" spans="1:5">
      <c r="A131" s="79"/>
      <c r="B131" s="79"/>
      <c r="C131" s="21" t="s">
        <v>33</v>
      </c>
      <c r="D131" s="21"/>
    </row>
    <row r="132" spans="1:5">
      <c r="A132" s="83"/>
      <c r="B132" s="70" t="s">
        <v>918</v>
      </c>
      <c r="C132" s="22" t="s">
        <v>99</v>
      </c>
      <c r="D132" s="22"/>
    </row>
    <row r="133" spans="1:5">
      <c r="A133" s="83"/>
      <c r="B133" s="70"/>
      <c r="C133" s="22" t="s">
        <v>33</v>
      </c>
      <c r="D133" s="22"/>
    </row>
    <row r="134" spans="1:5">
      <c r="A134" s="84"/>
      <c r="B134" s="71"/>
      <c r="C134" s="22" t="s">
        <v>71</v>
      </c>
      <c r="D134" s="22"/>
    </row>
    <row r="135" spans="1:5">
      <c r="A135" s="85"/>
      <c r="B135" s="85" t="s">
        <v>93</v>
      </c>
      <c r="C135" s="21" t="s">
        <v>101</v>
      </c>
      <c r="D135" s="21"/>
    </row>
    <row r="136" spans="1:5">
      <c r="A136" s="86"/>
      <c r="B136" s="86"/>
      <c r="C136" s="21" t="s">
        <v>919</v>
      </c>
      <c r="D136" s="21"/>
      <c r="E136" s="15" t="s">
        <v>822</v>
      </c>
    </row>
    <row r="137" spans="1:5">
      <c r="A137" s="86"/>
      <c r="B137" s="86"/>
      <c r="C137" s="21" t="s">
        <v>920</v>
      </c>
      <c r="D137" s="21" t="s">
        <v>921</v>
      </c>
    </row>
    <row r="138" spans="1:5">
      <c r="A138" s="86"/>
      <c r="B138" s="86"/>
      <c r="C138" s="21" t="s">
        <v>922</v>
      </c>
      <c r="D138" s="21" t="s">
        <v>923</v>
      </c>
    </row>
    <row r="139" spans="1:5">
      <c r="A139" s="86"/>
      <c r="B139" s="86"/>
      <c r="C139" s="21" t="s">
        <v>924</v>
      </c>
      <c r="D139" s="21"/>
    </row>
    <row r="140" spans="1:5">
      <c r="A140" s="86"/>
      <c r="B140" s="86"/>
      <c r="C140" s="21" t="s">
        <v>925</v>
      </c>
      <c r="D140" s="21"/>
    </row>
    <row r="141" spans="1:5">
      <c r="A141" s="86"/>
      <c r="B141" s="86"/>
      <c r="C141" s="21" t="s">
        <v>926</v>
      </c>
      <c r="D141" s="21"/>
    </row>
    <row r="142" spans="1:5">
      <c r="A142" s="86"/>
      <c r="B142" s="86"/>
      <c r="C142" s="21" t="s">
        <v>927</v>
      </c>
      <c r="D142" s="21"/>
    </row>
    <row r="143" spans="1:5">
      <c r="A143" s="86"/>
      <c r="B143" s="86"/>
      <c r="C143" s="21" t="s">
        <v>928</v>
      </c>
      <c r="D143" s="21"/>
    </row>
    <row r="144" spans="1:5">
      <c r="A144" s="86"/>
      <c r="B144" s="86"/>
      <c r="C144" s="21" t="s">
        <v>929</v>
      </c>
      <c r="D144" s="21"/>
    </row>
    <row r="145" spans="1:4">
      <c r="A145" s="86"/>
      <c r="B145" s="86"/>
      <c r="C145" s="21" t="s">
        <v>71</v>
      </c>
      <c r="D145" s="21"/>
    </row>
    <row r="146" spans="1:4">
      <c r="A146" s="82"/>
      <c r="B146" s="75" t="s">
        <v>930</v>
      </c>
      <c r="C146" s="22" t="s">
        <v>593</v>
      </c>
      <c r="D146" s="22"/>
    </row>
    <row r="147" spans="1:4">
      <c r="A147" s="84"/>
      <c r="B147" s="77"/>
      <c r="C147" s="22" t="s">
        <v>103</v>
      </c>
      <c r="D147" s="22"/>
    </row>
    <row r="148" spans="1:4">
      <c r="A148" s="64"/>
      <c r="B148" s="116" t="s">
        <v>8</v>
      </c>
      <c r="C148" s="21" t="s">
        <v>31</v>
      </c>
      <c r="D148" s="21" t="s">
        <v>931</v>
      </c>
    </row>
    <row r="149" spans="1:4">
      <c r="A149" s="65"/>
      <c r="B149" s="65"/>
      <c r="C149" s="21" t="s">
        <v>932</v>
      </c>
      <c r="D149" s="21" t="s">
        <v>933</v>
      </c>
    </row>
    <row r="150" spans="1:4">
      <c r="A150" s="65"/>
      <c r="B150" s="65"/>
      <c r="C150" s="21" t="s">
        <v>409</v>
      </c>
      <c r="D150" s="21" t="s">
        <v>934</v>
      </c>
    </row>
    <row r="151" spans="1:4">
      <c r="A151" s="65"/>
      <c r="B151" s="65"/>
      <c r="C151" s="21" t="s">
        <v>368</v>
      </c>
      <c r="D151" s="21" t="s">
        <v>935</v>
      </c>
    </row>
    <row r="152" spans="1:4">
      <c r="A152" s="65"/>
      <c r="B152" s="65"/>
      <c r="C152" s="21" t="s">
        <v>936</v>
      </c>
      <c r="D152" s="21" t="s">
        <v>937</v>
      </c>
    </row>
    <row r="153" spans="1:4">
      <c r="A153" s="65"/>
      <c r="B153" s="65"/>
      <c r="C153" s="21" t="s">
        <v>938</v>
      </c>
      <c r="D153" s="21" t="s">
        <v>939</v>
      </c>
    </row>
    <row r="154" spans="1:4">
      <c r="A154" s="65"/>
      <c r="B154" s="65"/>
      <c r="C154" s="21" t="s">
        <v>940</v>
      </c>
      <c r="D154" s="21" t="s">
        <v>941</v>
      </c>
    </row>
    <row r="155" spans="1:4">
      <c r="A155" s="65"/>
      <c r="B155" s="65"/>
      <c r="C155" s="21" t="s">
        <v>942</v>
      </c>
      <c r="D155" s="21" t="s">
        <v>943</v>
      </c>
    </row>
    <row r="156" spans="1:4">
      <c r="A156" s="65"/>
      <c r="B156" s="65"/>
      <c r="C156" s="21" t="s">
        <v>944</v>
      </c>
      <c r="D156" s="21" t="s">
        <v>945</v>
      </c>
    </row>
    <row r="157" spans="1:4">
      <c r="A157" s="65"/>
      <c r="B157" s="65"/>
      <c r="C157" s="21" t="s">
        <v>946</v>
      </c>
      <c r="D157" s="21" t="s">
        <v>947</v>
      </c>
    </row>
    <row r="158" spans="1:4">
      <c r="A158" s="65"/>
      <c r="B158" s="65"/>
      <c r="C158" s="21" t="s">
        <v>948</v>
      </c>
      <c r="D158" s="21" t="s">
        <v>949</v>
      </c>
    </row>
    <row r="159" spans="1:4">
      <c r="A159" s="65"/>
      <c r="B159" s="65"/>
      <c r="C159" s="21" t="s">
        <v>950</v>
      </c>
      <c r="D159" s="21" t="s">
        <v>951</v>
      </c>
    </row>
    <row r="160" spans="1:4">
      <c r="A160" s="65"/>
      <c r="B160" s="65"/>
      <c r="C160" s="21" t="s">
        <v>952</v>
      </c>
      <c r="D160" s="21" t="s">
        <v>953</v>
      </c>
    </row>
    <row r="161" spans="1:4">
      <c r="A161" s="65"/>
      <c r="B161" s="65"/>
      <c r="C161" s="21" t="s">
        <v>491</v>
      </c>
      <c r="D161" s="21" t="s">
        <v>954</v>
      </c>
    </row>
    <row r="162" spans="1:4">
      <c r="A162" s="65"/>
      <c r="B162" s="65"/>
      <c r="C162" s="21" t="s">
        <v>498</v>
      </c>
      <c r="D162" s="21" t="s">
        <v>955</v>
      </c>
    </row>
    <row r="163" spans="1:4">
      <c r="A163" s="65"/>
      <c r="B163" s="65"/>
      <c r="C163" s="21" t="s">
        <v>416</v>
      </c>
      <c r="D163" s="21" t="s">
        <v>956</v>
      </c>
    </row>
    <row r="164" spans="1:4">
      <c r="A164" s="65"/>
      <c r="B164" s="65"/>
      <c r="C164" s="21" t="s">
        <v>957</v>
      </c>
      <c r="D164" s="21" t="s">
        <v>958</v>
      </c>
    </row>
    <row r="165" spans="1:4">
      <c r="A165" s="65"/>
      <c r="B165" s="65"/>
      <c r="C165" s="21" t="s">
        <v>959</v>
      </c>
      <c r="D165" s="21" t="s">
        <v>960</v>
      </c>
    </row>
    <row r="166" spans="1:4">
      <c r="A166" s="65"/>
      <c r="B166" s="65"/>
      <c r="C166" s="21" t="s">
        <v>961</v>
      </c>
      <c r="D166" s="21" t="s">
        <v>962</v>
      </c>
    </row>
    <row r="167" spans="1:4">
      <c r="A167" s="65"/>
      <c r="B167" s="65"/>
      <c r="C167" s="21" t="s">
        <v>963</v>
      </c>
      <c r="D167" s="21" t="s">
        <v>964</v>
      </c>
    </row>
    <row r="168" spans="1:4">
      <c r="A168" s="65"/>
      <c r="B168" s="65"/>
      <c r="C168" s="21" t="s">
        <v>515</v>
      </c>
      <c r="D168" s="21" t="s">
        <v>965</v>
      </c>
    </row>
    <row r="169" spans="1:4">
      <c r="A169" s="65"/>
      <c r="B169" s="65"/>
      <c r="C169" s="21" t="s">
        <v>966</v>
      </c>
      <c r="D169" s="21" t="s">
        <v>967</v>
      </c>
    </row>
    <row r="170" spans="1:4">
      <c r="A170" s="65"/>
      <c r="B170" s="65"/>
      <c r="C170" s="21" t="s">
        <v>968</v>
      </c>
      <c r="D170" s="21" t="s">
        <v>969</v>
      </c>
    </row>
    <row r="171" spans="1:4">
      <c r="A171" s="65"/>
      <c r="B171" s="65"/>
      <c r="C171" s="21" t="s">
        <v>970</v>
      </c>
      <c r="D171" s="21" t="s">
        <v>971</v>
      </c>
    </row>
    <row r="172" spans="1:4">
      <c r="A172" s="65"/>
      <c r="B172" s="65"/>
      <c r="C172" s="21" t="s">
        <v>972</v>
      </c>
      <c r="D172" s="21" t="s">
        <v>973</v>
      </c>
    </row>
    <row r="173" spans="1:4">
      <c r="A173" s="65"/>
      <c r="B173" s="65"/>
      <c r="C173" s="21" t="s">
        <v>974</v>
      </c>
      <c r="D173" s="21" t="s">
        <v>975</v>
      </c>
    </row>
    <row r="174" spans="1:4">
      <c r="A174" s="65"/>
      <c r="B174" s="65"/>
      <c r="C174" s="21" t="s">
        <v>976</v>
      </c>
      <c r="D174" s="21" t="s">
        <v>977</v>
      </c>
    </row>
    <row r="175" spans="1:4">
      <c r="A175" s="65"/>
      <c r="B175" s="65"/>
      <c r="C175" s="21" t="s">
        <v>978</v>
      </c>
      <c r="D175" s="21" t="s">
        <v>979</v>
      </c>
    </row>
    <row r="176" spans="1:4">
      <c r="A176" s="65"/>
      <c r="B176" s="65"/>
      <c r="C176" s="21" t="s">
        <v>980</v>
      </c>
      <c r="D176" s="21" t="s">
        <v>981</v>
      </c>
    </row>
    <row r="177" spans="1:5">
      <c r="A177" s="65"/>
      <c r="B177" s="65"/>
      <c r="C177" s="21" t="s">
        <v>982</v>
      </c>
      <c r="D177" s="21" t="s">
        <v>983</v>
      </c>
    </row>
    <row r="178" spans="1:5">
      <c r="A178" s="65"/>
      <c r="B178" s="65"/>
      <c r="C178" s="21" t="s">
        <v>984</v>
      </c>
      <c r="D178" s="21" t="s">
        <v>985</v>
      </c>
    </row>
    <row r="179" spans="1:5">
      <c r="A179" s="65"/>
      <c r="B179" s="65"/>
      <c r="C179" s="21" t="s">
        <v>986</v>
      </c>
      <c r="D179" s="21" t="s">
        <v>987</v>
      </c>
    </row>
    <row r="180" spans="1:5">
      <c r="A180" s="65"/>
      <c r="B180" s="65"/>
      <c r="C180" s="21" t="s">
        <v>63</v>
      </c>
      <c r="D180" s="21" t="s">
        <v>988</v>
      </c>
      <c r="E180" s="15" t="s">
        <v>822</v>
      </c>
    </row>
    <row r="181" spans="1:5">
      <c r="A181" s="65"/>
      <c r="B181" s="65"/>
      <c r="C181" s="21" t="s">
        <v>71</v>
      </c>
      <c r="D181" s="21" t="s">
        <v>71</v>
      </c>
    </row>
    <row r="182" spans="1:5">
      <c r="A182" s="82"/>
      <c r="B182" s="75" t="s">
        <v>989</v>
      </c>
      <c r="C182" s="56" t="s">
        <v>106</v>
      </c>
      <c r="D182" s="56"/>
    </row>
    <row r="183" spans="1:5">
      <c r="A183" s="83"/>
      <c r="B183" s="76"/>
      <c r="C183" s="56" t="s">
        <v>990</v>
      </c>
      <c r="D183" s="56"/>
    </row>
    <row r="184" spans="1:5">
      <c r="A184" s="83"/>
      <c r="B184" s="76"/>
      <c r="C184" s="56" t="s">
        <v>991</v>
      </c>
      <c r="D184" s="56"/>
    </row>
    <row r="185" spans="1:5">
      <c r="A185" s="84"/>
      <c r="B185" s="77"/>
      <c r="C185" s="58" t="s">
        <v>600</v>
      </c>
      <c r="D185" s="58"/>
    </row>
    <row r="186" spans="1:5">
      <c r="A186" s="78"/>
      <c r="B186" s="78" t="s">
        <v>90</v>
      </c>
      <c r="C186" s="55" t="s">
        <v>588</v>
      </c>
      <c r="D186" s="55"/>
    </row>
    <row r="187" spans="1:5">
      <c r="A187" s="79"/>
      <c r="B187" s="79"/>
      <c r="C187" s="55" t="s">
        <v>108</v>
      </c>
      <c r="D187" s="55"/>
    </row>
    <row r="188" spans="1:5">
      <c r="A188" s="82"/>
      <c r="B188" s="75" t="s">
        <v>10</v>
      </c>
      <c r="C188" s="58" t="s">
        <v>116</v>
      </c>
      <c r="D188" s="58" t="s">
        <v>992</v>
      </c>
    </row>
    <row r="189" spans="1:5">
      <c r="A189" s="83"/>
      <c r="B189" s="76"/>
      <c r="C189" s="58" t="s">
        <v>105</v>
      </c>
      <c r="D189" s="58" t="s">
        <v>993</v>
      </c>
    </row>
    <row r="190" spans="1:5">
      <c r="A190" s="83"/>
      <c r="B190" s="76"/>
      <c r="C190" s="58" t="s">
        <v>33</v>
      </c>
      <c r="D190" s="58" t="s">
        <v>33</v>
      </c>
    </row>
    <row r="191" spans="1:5">
      <c r="A191" s="83"/>
      <c r="B191" s="76"/>
      <c r="C191" s="58" t="s">
        <v>994</v>
      </c>
      <c r="D191" s="58" t="s">
        <v>995</v>
      </c>
    </row>
    <row r="192" spans="1:5">
      <c r="A192" s="83"/>
      <c r="B192" s="76"/>
      <c r="C192" s="58" t="s">
        <v>996</v>
      </c>
      <c r="D192" s="58" t="s">
        <v>997</v>
      </c>
    </row>
    <row r="193" spans="1:4">
      <c r="A193" s="83"/>
      <c r="B193" s="76"/>
      <c r="C193" s="58" t="s">
        <v>998</v>
      </c>
      <c r="D193" s="58" t="s">
        <v>999</v>
      </c>
    </row>
    <row r="194" spans="1:4">
      <c r="A194" s="83"/>
      <c r="B194" s="76"/>
      <c r="C194" s="58" t="s">
        <v>65</v>
      </c>
      <c r="D194" s="58" t="s">
        <v>1000</v>
      </c>
    </row>
    <row r="195" spans="1:4">
      <c r="A195" s="83"/>
      <c r="B195" s="76"/>
      <c r="C195" s="58" t="s">
        <v>1001</v>
      </c>
      <c r="D195" s="58" t="s">
        <v>1002</v>
      </c>
    </row>
    <row r="196" spans="1:4">
      <c r="A196" s="83"/>
      <c r="B196" s="76"/>
      <c r="C196" s="58" t="s">
        <v>1003</v>
      </c>
      <c r="D196" s="58" t="s">
        <v>1004</v>
      </c>
    </row>
    <row r="197" spans="1:4">
      <c r="A197" s="83"/>
      <c r="B197" s="76"/>
      <c r="C197" s="58" t="s">
        <v>1005</v>
      </c>
      <c r="D197" s="58" t="s">
        <v>1006</v>
      </c>
    </row>
    <row r="198" spans="1:4">
      <c r="A198" s="83"/>
      <c r="B198" s="76"/>
      <c r="C198" s="58" t="s">
        <v>73</v>
      </c>
      <c r="D198" s="58" t="s">
        <v>1007</v>
      </c>
    </row>
    <row r="199" spans="1:4">
      <c r="A199" s="83"/>
      <c r="B199" s="76"/>
      <c r="C199" s="58" t="s">
        <v>1008</v>
      </c>
      <c r="D199" s="58" t="s">
        <v>1009</v>
      </c>
    </row>
    <row r="200" spans="1:4">
      <c r="A200" s="83"/>
      <c r="B200" s="76"/>
      <c r="C200" s="58" t="s">
        <v>71</v>
      </c>
      <c r="D200" s="58" t="s">
        <v>71</v>
      </c>
    </row>
    <row r="201" spans="1:4">
      <c r="A201" s="84"/>
      <c r="B201" s="77"/>
      <c r="C201" s="58" t="s">
        <v>600</v>
      </c>
      <c r="D201" s="58" t="s">
        <v>1010</v>
      </c>
    </row>
    <row r="202" spans="1:4">
      <c r="A202" s="116"/>
      <c r="B202" s="116" t="s">
        <v>86</v>
      </c>
      <c r="C202" s="21" t="s">
        <v>1011</v>
      </c>
      <c r="D202" s="21"/>
    </row>
    <row r="203" spans="1:4">
      <c r="A203" s="65"/>
      <c r="B203" s="65"/>
      <c r="C203" s="21" t="s">
        <v>1012</v>
      </c>
      <c r="D203" s="21"/>
    </row>
    <row r="204" spans="1:4">
      <c r="A204" s="65"/>
      <c r="B204" s="65"/>
      <c r="C204" s="21" t="s">
        <v>1013</v>
      </c>
      <c r="D204" s="21"/>
    </row>
    <row r="205" spans="1:4">
      <c r="A205" s="65"/>
      <c r="B205" s="65"/>
      <c r="C205" s="21" t="s">
        <v>348</v>
      </c>
      <c r="D205" s="21"/>
    </row>
    <row r="206" spans="1:4">
      <c r="A206" s="65"/>
      <c r="B206" s="65"/>
      <c r="C206" s="21" t="s">
        <v>146</v>
      </c>
      <c r="D206" s="21"/>
    </row>
    <row r="207" spans="1:4">
      <c r="A207" s="65"/>
      <c r="B207" s="65"/>
      <c r="C207" s="21" t="s">
        <v>128</v>
      </c>
      <c r="D207" s="21"/>
    </row>
    <row r="208" spans="1:4">
      <c r="A208" s="65"/>
      <c r="B208" s="65"/>
      <c r="C208" s="21" t="s">
        <v>1014</v>
      </c>
      <c r="D208" s="21"/>
    </row>
    <row r="209" spans="1:5">
      <c r="A209" s="65"/>
      <c r="B209" s="65"/>
      <c r="C209" s="21" t="s">
        <v>225</v>
      </c>
      <c r="D209" s="21"/>
    </row>
    <row r="210" spans="1:5">
      <c r="A210" s="65"/>
      <c r="B210" s="65"/>
      <c r="C210" s="21" t="s">
        <v>1015</v>
      </c>
      <c r="D210" s="21"/>
    </row>
    <row r="211" spans="1:5">
      <c r="A211" s="65"/>
      <c r="B211" s="65"/>
      <c r="C211" s="21" t="s">
        <v>102</v>
      </c>
      <c r="D211" s="21"/>
    </row>
    <row r="212" spans="1:5">
      <c r="A212" s="65"/>
      <c r="B212" s="65"/>
      <c r="C212" s="21" t="s">
        <v>279</v>
      </c>
      <c r="D212" s="21"/>
    </row>
    <row r="213" spans="1:5">
      <c r="A213" s="65"/>
      <c r="B213" s="65"/>
      <c r="C213" s="21" t="s">
        <v>140</v>
      </c>
      <c r="D213" s="21"/>
    </row>
    <row r="214" spans="1:5">
      <c r="A214" s="65"/>
      <c r="B214" s="65"/>
      <c r="C214" s="21" t="s">
        <v>209</v>
      </c>
      <c r="D214" s="21"/>
    </row>
    <row r="215" spans="1:5">
      <c r="A215" s="65"/>
      <c r="B215" s="65"/>
      <c r="C215" s="21" t="s">
        <v>1016</v>
      </c>
      <c r="D215" s="21"/>
    </row>
    <row r="216" spans="1:5">
      <c r="A216" s="65"/>
      <c r="B216" s="65"/>
      <c r="C216" s="21" t="s">
        <v>1017</v>
      </c>
      <c r="D216" s="21"/>
    </row>
    <row r="217" spans="1:5">
      <c r="A217" s="65"/>
      <c r="B217" s="65"/>
      <c r="C217" s="21" t="s">
        <v>586</v>
      </c>
      <c r="D217" s="21"/>
    </row>
    <row r="218" spans="1:5">
      <c r="A218" s="65"/>
      <c r="B218" s="65"/>
      <c r="C218" s="21" t="s">
        <v>1018</v>
      </c>
      <c r="D218" s="21" t="s">
        <v>1019</v>
      </c>
      <c r="E218" s="15" t="s">
        <v>822</v>
      </c>
    </row>
    <row r="219" spans="1:5">
      <c r="A219" s="65"/>
      <c r="B219" s="65"/>
      <c r="C219" s="21" t="s">
        <v>335</v>
      </c>
      <c r="D219" s="21"/>
    </row>
    <row r="220" spans="1:5">
      <c r="A220" s="65"/>
      <c r="B220" s="65"/>
      <c r="C220" s="21" t="s">
        <v>1020</v>
      </c>
      <c r="D220" s="21"/>
    </row>
    <row r="221" spans="1:5">
      <c r="A221" s="65"/>
      <c r="B221" s="65"/>
      <c r="C221" s="21" t="s">
        <v>1021</v>
      </c>
      <c r="D221" s="21"/>
    </row>
    <row r="222" spans="1:5">
      <c r="A222" s="65"/>
      <c r="B222" s="65"/>
      <c r="C222" s="21" t="s">
        <v>1022</v>
      </c>
      <c r="D222" s="21"/>
    </row>
    <row r="223" spans="1:5">
      <c r="A223" s="65"/>
      <c r="B223" s="65"/>
      <c r="C223" s="21" t="s">
        <v>1023</v>
      </c>
      <c r="D223" s="21"/>
    </row>
    <row r="224" spans="1:5">
      <c r="A224" s="65"/>
      <c r="B224" s="65"/>
      <c r="C224" s="21" t="s">
        <v>1024</v>
      </c>
      <c r="D224" s="21"/>
    </row>
    <row r="225" spans="1:4">
      <c r="A225" s="65"/>
      <c r="B225" s="65"/>
      <c r="C225" s="21" t="s">
        <v>1025</v>
      </c>
      <c r="D225" s="21"/>
    </row>
    <row r="226" spans="1:4">
      <c r="A226" s="65"/>
      <c r="B226" s="65"/>
      <c r="C226" s="21" t="s">
        <v>599</v>
      </c>
      <c r="D226" s="21"/>
    </row>
    <row r="227" spans="1:4">
      <c r="A227" s="65"/>
      <c r="B227" s="65"/>
      <c r="C227" s="21" t="s">
        <v>199</v>
      </c>
      <c r="D227" s="21"/>
    </row>
    <row r="228" spans="1:4">
      <c r="A228" s="65"/>
      <c r="B228" s="65"/>
      <c r="C228" s="21" t="s">
        <v>363</v>
      </c>
      <c r="D228" s="21"/>
    </row>
    <row r="229" spans="1:4">
      <c r="A229" s="65"/>
      <c r="B229" s="65"/>
      <c r="C229" s="21" t="s">
        <v>114</v>
      </c>
      <c r="D229" s="21"/>
    </row>
    <row r="230" spans="1:4">
      <c r="A230" s="65"/>
      <c r="B230" s="65"/>
      <c r="C230" s="21" t="s">
        <v>1026</v>
      </c>
      <c r="D230" s="21"/>
    </row>
    <row r="231" spans="1:4">
      <c r="A231" s="65"/>
      <c r="B231" s="65"/>
      <c r="C231" s="21" t="s">
        <v>1027</v>
      </c>
      <c r="D231" s="21"/>
    </row>
    <row r="232" spans="1:4">
      <c r="A232" s="65"/>
      <c r="B232" s="65"/>
      <c r="C232" s="21" t="s">
        <v>306</v>
      </c>
      <c r="D232" s="21"/>
    </row>
    <row r="233" spans="1:4">
      <c r="A233" s="65"/>
      <c r="B233" s="65"/>
      <c r="C233" s="21" t="s">
        <v>1028</v>
      </c>
      <c r="D233" s="21"/>
    </row>
    <row r="234" spans="1:4">
      <c r="A234" s="65"/>
      <c r="B234" s="65"/>
      <c r="C234" s="21" t="s">
        <v>1029</v>
      </c>
      <c r="D234" s="21"/>
    </row>
    <row r="235" spans="1:4">
      <c r="A235" s="65"/>
      <c r="B235" s="65"/>
      <c r="C235" s="21" t="s">
        <v>1030</v>
      </c>
      <c r="D235" s="21"/>
    </row>
    <row r="236" spans="1:4">
      <c r="A236" s="65"/>
      <c r="B236" s="65"/>
      <c r="C236" s="21" t="s">
        <v>1031</v>
      </c>
      <c r="D236" s="21"/>
    </row>
    <row r="237" spans="1:4">
      <c r="A237" s="65"/>
      <c r="B237" s="65"/>
      <c r="C237" s="21" t="s">
        <v>1032</v>
      </c>
      <c r="D237" s="21"/>
    </row>
    <row r="238" spans="1:4">
      <c r="A238" s="65"/>
      <c r="B238" s="65"/>
      <c r="C238" s="21" t="s">
        <v>1033</v>
      </c>
      <c r="D238" s="21"/>
    </row>
    <row r="239" spans="1:4">
      <c r="A239" s="65"/>
      <c r="B239" s="65"/>
      <c r="C239" s="21" t="s">
        <v>1034</v>
      </c>
      <c r="D239" s="21"/>
    </row>
    <row r="240" spans="1:4">
      <c r="A240" s="65"/>
      <c r="B240" s="65"/>
      <c r="C240" s="21" t="s">
        <v>1035</v>
      </c>
      <c r="D240" s="21"/>
    </row>
    <row r="241" spans="1:4">
      <c r="A241" s="65"/>
      <c r="B241" s="65"/>
      <c r="C241" s="21" t="s">
        <v>358</v>
      </c>
      <c r="D241" s="21"/>
    </row>
    <row r="242" spans="1:4">
      <c r="A242" s="65"/>
      <c r="B242" s="65"/>
      <c r="C242" s="21" t="s">
        <v>1036</v>
      </c>
      <c r="D242" s="21"/>
    </row>
    <row r="243" spans="1:4">
      <c r="A243" s="65"/>
      <c r="B243" s="65"/>
      <c r="C243" s="21" t="s">
        <v>274</v>
      </c>
      <c r="D243" s="21"/>
    </row>
    <row r="244" spans="1:4">
      <c r="A244" s="65"/>
      <c r="B244" s="65"/>
      <c r="C244" s="21" t="s">
        <v>1037</v>
      </c>
      <c r="D244" s="21"/>
    </row>
    <row r="245" spans="1:4">
      <c r="A245" s="65"/>
      <c r="B245" s="65"/>
      <c r="C245" s="21" t="s">
        <v>1038</v>
      </c>
      <c r="D245" s="21"/>
    </row>
    <row r="246" spans="1:4">
      <c r="A246" s="65"/>
      <c r="B246" s="65"/>
      <c r="C246" s="21" t="s">
        <v>344</v>
      </c>
      <c r="D246" s="21"/>
    </row>
    <row r="247" spans="1:4">
      <c r="A247" s="65"/>
      <c r="B247" s="65"/>
      <c r="C247" s="21" t="s">
        <v>1039</v>
      </c>
      <c r="D247" s="21"/>
    </row>
    <row r="248" spans="1:4">
      <c r="A248" s="65"/>
      <c r="B248" s="65"/>
      <c r="C248" s="21" t="s">
        <v>1040</v>
      </c>
      <c r="D248" s="21"/>
    </row>
    <row r="249" spans="1:4">
      <c r="A249" s="65"/>
      <c r="B249" s="65"/>
      <c r="C249" s="21" t="s">
        <v>1041</v>
      </c>
      <c r="D249" s="21"/>
    </row>
    <row r="250" spans="1:4">
      <c r="A250" s="65"/>
      <c r="B250" s="65"/>
      <c r="C250" s="21" t="s">
        <v>292</v>
      </c>
      <c r="D250" s="21"/>
    </row>
    <row r="251" spans="1:4">
      <c r="A251" s="65"/>
      <c r="B251" s="65"/>
      <c r="C251" s="21" t="s">
        <v>1042</v>
      </c>
      <c r="D251" s="21"/>
    </row>
    <row r="252" spans="1:4">
      <c r="A252" s="65"/>
      <c r="B252" s="65"/>
      <c r="C252" s="21" t="s">
        <v>71</v>
      </c>
      <c r="D252" s="21"/>
    </row>
    <row r="253" spans="1:4">
      <c r="A253" s="65"/>
      <c r="B253" s="65"/>
      <c r="C253" s="21" t="s">
        <v>1043</v>
      </c>
      <c r="D253" s="21"/>
    </row>
    <row r="254" spans="1:4">
      <c r="A254" s="65"/>
      <c r="B254" s="65"/>
      <c r="C254" s="21" t="s">
        <v>1044</v>
      </c>
      <c r="D254" s="21"/>
    </row>
    <row r="255" spans="1:4">
      <c r="A255" s="65"/>
      <c r="B255" s="65"/>
      <c r="C255" s="21" t="s">
        <v>1045</v>
      </c>
      <c r="D255" s="21"/>
    </row>
    <row r="256" spans="1:4">
      <c r="A256" s="65"/>
      <c r="B256" s="65"/>
      <c r="C256" s="21" t="s">
        <v>1046</v>
      </c>
      <c r="D256" s="21"/>
    </row>
    <row r="257" spans="1:5">
      <c r="A257" s="65"/>
      <c r="B257" s="65"/>
      <c r="C257" s="21" t="s">
        <v>1047</v>
      </c>
      <c r="D257" s="21"/>
    </row>
    <row r="258" spans="1:5">
      <c r="A258" s="65"/>
      <c r="B258" s="65"/>
      <c r="C258" s="21" t="s">
        <v>1048</v>
      </c>
      <c r="D258" s="21"/>
    </row>
    <row r="259" spans="1:5">
      <c r="A259" s="65"/>
      <c r="B259" s="65"/>
      <c r="C259" s="21" t="s">
        <v>1049</v>
      </c>
      <c r="D259" s="21"/>
    </row>
    <row r="260" spans="1:5">
      <c r="A260" s="65"/>
      <c r="B260" s="65"/>
      <c r="C260" s="21" t="s">
        <v>1050</v>
      </c>
      <c r="D260" s="21"/>
    </row>
    <row r="261" spans="1:5">
      <c r="A261" s="65"/>
      <c r="B261" s="65"/>
      <c r="C261" s="21" t="s">
        <v>1051</v>
      </c>
      <c r="D261" s="21"/>
    </row>
    <row r="262" spans="1:5">
      <c r="A262" s="65"/>
      <c r="B262" s="65"/>
      <c r="C262" s="21" t="s">
        <v>1052</v>
      </c>
      <c r="D262" s="21"/>
    </row>
    <row r="263" spans="1:5">
      <c r="A263" s="65"/>
      <c r="B263" s="65"/>
      <c r="C263" s="21" t="s">
        <v>1053</v>
      </c>
      <c r="D263" s="21"/>
    </row>
    <row r="264" spans="1:5">
      <c r="A264" s="65"/>
      <c r="B264" s="65"/>
      <c r="C264" s="21" t="s">
        <v>1054</v>
      </c>
      <c r="D264" s="21"/>
    </row>
    <row r="265" spans="1:5">
      <c r="A265" s="65"/>
      <c r="B265" s="65"/>
      <c r="C265" s="21" t="s">
        <v>1055</v>
      </c>
      <c r="D265" s="21"/>
    </row>
    <row r="266" spans="1:5">
      <c r="A266" s="65"/>
      <c r="B266" s="65"/>
      <c r="C266" s="21" t="s">
        <v>1056</v>
      </c>
      <c r="D266" s="21"/>
    </row>
    <row r="267" spans="1:5">
      <c r="A267" s="65"/>
      <c r="B267" s="65"/>
      <c r="C267" s="21" t="s">
        <v>410</v>
      </c>
      <c r="D267" s="21"/>
    </row>
    <row r="268" spans="1:5">
      <c r="A268" s="65"/>
      <c r="B268" s="65"/>
      <c r="C268" s="21" t="s">
        <v>1057</v>
      </c>
      <c r="D268" s="21"/>
    </row>
    <row r="269" spans="1:5">
      <c r="A269" s="65"/>
      <c r="B269" s="65"/>
      <c r="C269" s="21" t="s">
        <v>1058</v>
      </c>
      <c r="D269" s="21"/>
    </row>
    <row r="270" spans="1:5">
      <c r="A270" s="65"/>
      <c r="B270" s="65"/>
      <c r="C270" s="21" t="s">
        <v>1059</v>
      </c>
      <c r="D270" s="21" t="s">
        <v>1060</v>
      </c>
      <c r="E270" s="15" t="s">
        <v>822</v>
      </c>
    </row>
    <row r="271" spans="1:5">
      <c r="A271" s="65"/>
      <c r="B271" s="65"/>
      <c r="C271" s="21" t="s">
        <v>1061</v>
      </c>
      <c r="D271" s="21" t="s">
        <v>1062</v>
      </c>
      <c r="E271" s="15" t="s">
        <v>822</v>
      </c>
    </row>
    <row r="272" spans="1:5">
      <c r="A272" s="65"/>
      <c r="B272" s="65"/>
      <c r="C272" s="21" t="s">
        <v>1063</v>
      </c>
      <c r="D272" s="21" t="s">
        <v>1064</v>
      </c>
      <c r="E272" s="15" t="s">
        <v>822</v>
      </c>
    </row>
    <row r="273" spans="1:5">
      <c r="A273" s="65"/>
      <c r="B273" s="65"/>
      <c r="C273" s="21" t="s">
        <v>1065</v>
      </c>
      <c r="D273" s="21"/>
    </row>
    <row r="274" spans="1:5">
      <c r="A274" s="65"/>
      <c r="B274" s="65"/>
      <c r="C274" s="21" t="s">
        <v>1066</v>
      </c>
      <c r="D274" s="21" t="s">
        <v>1067</v>
      </c>
      <c r="E274" s="15" t="s">
        <v>822</v>
      </c>
    </row>
    <row r="275" spans="1:5">
      <c r="A275" s="65"/>
      <c r="B275" s="65"/>
      <c r="C275" s="21" t="s">
        <v>448</v>
      </c>
      <c r="D275" s="21"/>
    </row>
    <row r="276" spans="1:5">
      <c r="A276" s="65"/>
      <c r="B276" s="65"/>
      <c r="C276" s="21" t="s">
        <v>1068</v>
      </c>
      <c r="D276" s="21"/>
    </row>
    <row r="277" spans="1:5">
      <c r="A277" s="65"/>
      <c r="B277" s="65"/>
      <c r="C277" s="21" t="s">
        <v>1069</v>
      </c>
      <c r="D277" s="21"/>
    </row>
    <row r="278" spans="1:5">
      <c r="A278" s="65"/>
      <c r="B278" s="65"/>
      <c r="C278" s="21" t="s">
        <v>369</v>
      </c>
      <c r="D278" s="21"/>
    </row>
    <row r="279" spans="1:5">
      <c r="A279" s="65"/>
      <c r="B279" s="65"/>
      <c r="C279" s="21" t="s">
        <v>1070</v>
      </c>
      <c r="D279" s="21"/>
    </row>
    <row r="280" spans="1:5">
      <c r="A280" s="65"/>
      <c r="B280" s="65"/>
      <c r="C280" s="21" t="s">
        <v>1071</v>
      </c>
      <c r="D280" s="21"/>
    </row>
    <row r="281" spans="1:5">
      <c r="A281" s="65"/>
      <c r="B281" s="65"/>
      <c r="C281" s="21" t="s">
        <v>1072</v>
      </c>
      <c r="D281" s="21"/>
    </row>
    <row r="282" spans="1:5">
      <c r="A282" s="65"/>
      <c r="B282" s="65"/>
      <c r="C282" s="21" t="s">
        <v>1073</v>
      </c>
      <c r="D282" s="21" t="s">
        <v>1074</v>
      </c>
      <c r="E282" s="15" t="s">
        <v>822</v>
      </c>
    </row>
    <row r="283" spans="1:5">
      <c r="A283" s="65"/>
      <c r="B283" s="65"/>
      <c r="C283" s="21" t="s">
        <v>1075</v>
      </c>
      <c r="D283" s="21"/>
    </row>
    <row r="284" spans="1:5">
      <c r="A284" s="65"/>
      <c r="B284" s="65"/>
      <c r="C284" s="21" t="s">
        <v>400</v>
      </c>
      <c r="D284" s="21" t="s">
        <v>1076</v>
      </c>
      <c r="E284" s="15" t="s">
        <v>822</v>
      </c>
    </row>
    <row r="285" spans="1:5">
      <c r="A285" s="65"/>
      <c r="B285" s="65"/>
      <c r="C285" s="21" t="s">
        <v>1077</v>
      </c>
      <c r="D285" s="21"/>
    </row>
    <row r="286" spans="1:5">
      <c r="A286" s="65"/>
      <c r="B286" s="65"/>
      <c r="C286" s="21" t="s">
        <v>1078</v>
      </c>
      <c r="D286" s="21"/>
    </row>
    <row r="287" spans="1:5">
      <c r="A287" s="65"/>
      <c r="B287" s="65"/>
      <c r="C287" s="21" t="s">
        <v>1079</v>
      </c>
      <c r="D287" s="21"/>
    </row>
    <row r="288" spans="1:5">
      <c r="A288" s="65"/>
      <c r="B288" s="65"/>
      <c r="C288" s="21" t="s">
        <v>1080</v>
      </c>
      <c r="D288" s="21"/>
    </row>
    <row r="289" spans="1:5">
      <c r="A289" s="65"/>
      <c r="B289" s="65"/>
      <c r="C289" s="21" t="s">
        <v>1081</v>
      </c>
      <c r="D289" s="21" t="s">
        <v>1082</v>
      </c>
      <c r="E289" s="15" t="s">
        <v>822</v>
      </c>
    </row>
    <row r="290" spans="1:5">
      <c r="A290" s="65"/>
      <c r="B290" s="65"/>
      <c r="C290" s="21" t="s">
        <v>1083</v>
      </c>
      <c r="D290" s="21"/>
    </row>
    <row r="291" spans="1:5">
      <c r="A291" s="65"/>
      <c r="B291" s="65"/>
      <c r="C291" s="21" t="s">
        <v>1084</v>
      </c>
      <c r="D291" s="21"/>
    </row>
    <row r="292" spans="1:5">
      <c r="A292" s="65"/>
      <c r="B292" s="65"/>
      <c r="C292" s="21" t="s">
        <v>1085</v>
      </c>
      <c r="D292" s="21"/>
    </row>
    <row r="293" spans="1:5">
      <c r="A293" s="65"/>
      <c r="B293" s="65"/>
      <c r="C293" s="21" t="s">
        <v>1086</v>
      </c>
      <c r="D293" s="21"/>
    </row>
    <row r="294" spans="1:5">
      <c r="A294" s="65"/>
      <c r="B294" s="65"/>
      <c r="C294" s="21" t="s">
        <v>1087</v>
      </c>
      <c r="D294" s="21"/>
    </row>
    <row r="295" spans="1:5">
      <c r="A295" s="65"/>
      <c r="B295" s="65"/>
      <c r="C295" s="21" t="s">
        <v>1088</v>
      </c>
      <c r="D295" s="21"/>
    </row>
    <row r="296" spans="1:5">
      <c r="A296" s="65"/>
      <c r="B296" s="65"/>
      <c r="C296" s="21" t="s">
        <v>1089</v>
      </c>
      <c r="D296" s="21"/>
    </row>
    <row r="297" spans="1:5">
      <c r="A297" s="65"/>
      <c r="B297" s="65"/>
      <c r="C297" s="21" t="s">
        <v>1090</v>
      </c>
      <c r="D297" s="21" t="s">
        <v>1091</v>
      </c>
      <c r="E297" s="15" t="s">
        <v>822</v>
      </c>
    </row>
    <row r="298" spans="1:5">
      <c r="A298" s="65"/>
      <c r="B298" s="65"/>
      <c r="C298" s="21" t="s">
        <v>1092</v>
      </c>
      <c r="D298" s="21"/>
    </row>
    <row r="299" spans="1:5">
      <c r="A299" s="65"/>
      <c r="B299" s="65"/>
      <c r="C299" s="21" t="s">
        <v>1093</v>
      </c>
      <c r="D299" s="21"/>
    </row>
    <row r="300" spans="1:5">
      <c r="A300" s="65"/>
      <c r="B300" s="65"/>
      <c r="C300" s="21" t="s">
        <v>1094</v>
      </c>
      <c r="D300" s="21"/>
      <c r="E300" s="15" t="s">
        <v>822</v>
      </c>
    </row>
    <row r="301" spans="1:5">
      <c r="A301" s="65"/>
      <c r="B301" s="65"/>
      <c r="C301" s="21" t="s">
        <v>1095</v>
      </c>
      <c r="D301" s="21"/>
    </row>
    <row r="302" spans="1:5">
      <c r="A302" s="65"/>
      <c r="B302" s="65"/>
      <c r="C302" s="21" t="s">
        <v>1096</v>
      </c>
      <c r="D302" s="21"/>
    </row>
    <row r="303" spans="1:5">
      <c r="A303" s="65"/>
      <c r="B303" s="65"/>
      <c r="C303" s="21" t="s">
        <v>395</v>
      </c>
      <c r="D303" s="21"/>
    </row>
    <row r="304" spans="1:5">
      <c r="A304" s="65"/>
      <c r="B304" s="65"/>
      <c r="C304" s="21" t="s">
        <v>1097</v>
      </c>
      <c r="D304" s="21"/>
    </row>
    <row r="305" spans="1:5">
      <c r="A305" s="65"/>
      <c r="B305" s="65"/>
      <c r="C305" s="21" t="s">
        <v>1098</v>
      </c>
      <c r="D305" s="21"/>
    </row>
    <row r="306" spans="1:5">
      <c r="A306" s="65"/>
      <c r="B306" s="65"/>
      <c r="C306" s="21" t="s">
        <v>1099</v>
      </c>
      <c r="D306" s="21"/>
    </row>
    <row r="307" spans="1:5">
      <c r="A307" s="65"/>
      <c r="B307" s="65"/>
      <c r="C307" s="21" t="s">
        <v>374</v>
      </c>
      <c r="D307" s="21"/>
    </row>
    <row r="308" spans="1:5">
      <c r="A308" s="65"/>
      <c r="B308" s="65"/>
      <c r="C308" s="21" t="s">
        <v>1100</v>
      </c>
      <c r="D308" s="21"/>
    </row>
    <row r="309" spans="1:5">
      <c r="A309" s="65"/>
      <c r="B309" s="65"/>
      <c r="C309" s="21" t="s">
        <v>1101</v>
      </c>
      <c r="D309" s="21"/>
    </row>
    <row r="310" spans="1:5">
      <c r="A310" s="65"/>
      <c r="B310" s="65"/>
      <c r="C310" s="21" t="s">
        <v>1102</v>
      </c>
      <c r="D310" s="21"/>
      <c r="E310" s="15" t="s">
        <v>822</v>
      </c>
    </row>
    <row r="311" spans="1:5">
      <c r="A311" s="65"/>
      <c r="B311" s="65"/>
      <c r="C311" s="21" t="s">
        <v>1103</v>
      </c>
      <c r="D311" s="21"/>
      <c r="E311" s="15" t="s">
        <v>822</v>
      </c>
    </row>
    <row r="312" spans="1:5">
      <c r="A312" s="65"/>
      <c r="B312" s="65"/>
      <c r="C312" s="21" t="s">
        <v>1104</v>
      </c>
      <c r="D312" s="21"/>
      <c r="E312" s="15" t="s">
        <v>822</v>
      </c>
    </row>
    <row r="313" spans="1:5">
      <c r="A313" s="65"/>
      <c r="B313" s="65"/>
      <c r="C313" s="21" t="s">
        <v>1105</v>
      </c>
      <c r="D313" s="21"/>
    </row>
    <row r="314" spans="1:5">
      <c r="A314" s="65"/>
      <c r="B314" s="65"/>
      <c r="C314" s="21" t="s">
        <v>1106</v>
      </c>
      <c r="D314" s="21"/>
    </row>
    <row r="315" spans="1:5">
      <c r="A315" s="65"/>
      <c r="B315" s="65"/>
      <c r="C315" s="21" t="s">
        <v>1107</v>
      </c>
      <c r="D315" s="21"/>
    </row>
    <row r="316" spans="1:5">
      <c r="A316" s="65"/>
      <c r="B316" s="65"/>
      <c r="C316" s="21" t="s">
        <v>439</v>
      </c>
      <c r="D316" s="21"/>
    </row>
    <row r="317" spans="1:5">
      <c r="A317" s="65"/>
      <c r="B317" s="65"/>
      <c r="C317" s="21" t="s">
        <v>1108</v>
      </c>
      <c r="D317" s="21"/>
    </row>
    <row r="318" spans="1:5">
      <c r="A318" s="65"/>
      <c r="B318" s="65"/>
      <c r="C318" s="21" t="s">
        <v>1109</v>
      </c>
      <c r="D318" s="131" t="s">
        <v>1110</v>
      </c>
      <c r="E318" s="15" t="s">
        <v>822</v>
      </c>
    </row>
    <row r="319" spans="1:5">
      <c r="A319" s="65"/>
      <c r="B319" s="65"/>
      <c r="C319" s="21" t="s">
        <v>1111</v>
      </c>
      <c r="D319" s="21"/>
    </row>
    <row r="320" spans="1:5">
      <c r="A320" s="65"/>
      <c r="B320" s="65"/>
      <c r="C320" s="21" t="s">
        <v>1112</v>
      </c>
      <c r="D320" s="21"/>
    </row>
    <row r="321" spans="1:5">
      <c r="A321" s="65"/>
      <c r="B321" s="65"/>
      <c r="C321" s="21" t="s">
        <v>1113</v>
      </c>
      <c r="D321" s="21"/>
    </row>
    <row r="322" spans="1:5">
      <c r="A322" s="65"/>
      <c r="B322" s="65"/>
      <c r="C322" s="21" t="s">
        <v>1114</v>
      </c>
      <c r="D322" s="21"/>
    </row>
    <row r="323" spans="1:5">
      <c r="A323" s="65"/>
      <c r="B323" s="65"/>
      <c r="C323" s="21" t="s">
        <v>1115</v>
      </c>
      <c r="D323" s="21"/>
    </row>
    <row r="324" spans="1:5">
      <c r="A324" s="65"/>
      <c r="B324" s="65"/>
      <c r="C324" s="21" t="s">
        <v>1116</v>
      </c>
      <c r="D324" s="21"/>
    </row>
    <row r="325" spans="1:5">
      <c r="A325" s="65"/>
      <c r="B325" s="65"/>
      <c r="C325" s="21" t="s">
        <v>1117</v>
      </c>
      <c r="D325" s="21"/>
    </row>
    <row r="326" spans="1:5">
      <c r="A326" s="65"/>
      <c r="B326" s="65"/>
      <c r="C326" s="21" t="s">
        <v>1118</v>
      </c>
      <c r="D326" s="21"/>
    </row>
    <row r="327" spans="1:5">
      <c r="A327" s="65"/>
      <c r="B327" s="65"/>
      <c r="C327" s="21" t="s">
        <v>665</v>
      </c>
      <c r="D327" s="21"/>
    </row>
    <row r="328" spans="1:5">
      <c r="A328" s="82"/>
      <c r="B328" s="72" t="s">
        <v>457</v>
      </c>
      <c r="C328" s="58" t="s">
        <v>1119</v>
      </c>
      <c r="D328" s="58"/>
      <c r="E328" s="15" t="s">
        <v>822</v>
      </c>
    </row>
    <row r="329" spans="1:5">
      <c r="A329" s="83"/>
      <c r="B329" s="73"/>
      <c r="C329" s="58" t="s">
        <v>1120</v>
      </c>
      <c r="D329" s="58"/>
      <c r="E329" s="15" t="s">
        <v>822</v>
      </c>
    </row>
    <row r="330" spans="1:5">
      <c r="A330" s="83"/>
      <c r="B330" s="73"/>
      <c r="C330" s="133" t="s">
        <v>463</v>
      </c>
      <c r="D330" s="58"/>
      <c r="E330" s="15" t="s">
        <v>822</v>
      </c>
    </row>
    <row r="331" spans="1:5">
      <c r="A331" s="83"/>
      <c r="B331" s="73"/>
      <c r="C331" s="132" t="s">
        <v>1121</v>
      </c>
      <c r="D331" s="58"/>
      <c r="E331" s="15" t="s">
        <v>822</v>
      </c>
    </row>
    <row r="332" spans="1:5">
      <c r="A332" s="83"/>
      <c r="B332" s="73"/>
      <c r="C332" s="132" t="s">
        <v>1122</v>
      </c>
      <c r="D332" s="58"/>
      <c r="E332" s="15" t="s">
        <v>822</v>
      </c>
    </row>
    <row r="333" spans="1:5">
      <c r="A333" s="83"/>
      <c r="B333" s="73"/>
      <c r="C333" s="132" t="s">
        <v>1123</v>
      </c>
      <c r="D333" s="58"/>
      <c r="E333" s="15" t="s">
        <v>822</v>
      </c>
    </row>
    <row r="334" spans="1:5">
      <c r="A334" s="83"/>
      <c r="B334" s="73"/>
      <c r="C334" s="132" t="s">
        <v>1124</v>
      </c>
      <c r="D334" s="58"/>
      <c r="E334" s="15" t="s">
        <v>822</v>
      </c>
    </row>
    <row r="335" spans="1:5">
      <c r="A335" s="83"/>
      <c r="B335" s="73"/>
      <c r="C335" s="58" t="s">
        <v>466</v>
      </c>
      <c r="D335" s="58"/>
      <c r="E335" s="15" t="s">
        <v>822</v>
      </c>
    </row>
    <row r="336" spans="1:5">
      <c r="A336" s="83"/>
      <c r="B336" s="73"/>
      <c r="C336" s="58" t="s">
        <v>1125</v>
      </c>
      <c r="D336" s="58"/>
      <c r="E336" s="15" t="s">
        <v>822</v>
      </c>
    </row>
    <row r="337" spans="1:5">
      <c r="A337" s="83"/>
      <c r="B337" s="73"/>
      <c r="C337" s="58" t="s">
        <v>1126</v>
      </c>
      <c r="D337" s="58"/>
      <c r="E337" s="15" t="s">
        <v>822</v>
      </c>
    </row>
    <row r="338" spans="1:5">
      <c r="A338" s="83"/>
      <c r="B338" s="73"/>
      <c r="C338" s="58" t="s">
        <v>1127</v>
      </c>
      <c r="D338" s="58"/>
      <c r="E338" s="15" t="s">
        <v>822</v>
      </c>
    </row>
    <row r="339" spans="1:5">
      <c r="A339" s="83"/>
      <c r="B339" s="73"/>
      <c r="C339" s="58" t="s">
        <v>492</v>
      </c>
      <c r="D339" s="58"/>
      <c r="E339" s="15" t="s">
        <v>822</v>
      </c>
    </row>
    <row r="340" spans="1:5">
      <c r="A340" s="83"/>
      <c r="B340" s="73"/>
      <c r="C340" s="58" t="s">
        <v>1128</v>
      </c>
      <c r="D340" s="58"/>
      <c r="E340" s="15" t="s">
        <v>822</v>
      </c>
    </row>
    <row r="341" spans="1:5">
      <c r="A341" s="83"/>
      <c r="B341" s="73"/>
      <c r="C341" s="58" t="s">
        <v>1129</v>
      </c>
      <c r="D341" s="58"/>
      <c r="E341" s="15" t="s">
        <v>822</v>
      </c>
    </row>
    <row r="342" spans="1:5">
      <c r="A342" s="83"/>
      <c r="B342" s="73"/>
      <c r="C342" s="58" t="s">
        <v>541</v>
      </c>
      <c r="D342" s="58"/>
      <c r="E342" s="15" t="s">
        <v>822</v>
      </c>
    </row>
    <row r="343" spans="1:5">
      <c r="A343" s="83"/>
      <c r="B343" s="73"/>
      <c r="C343" s="58" t="s">
        <v>1130</v>
      </c>
      <c r="D343" s="58"/>
      <c r="E343" s="15" t="s">
        <v>822</v>
      </c>
    </row>
    <row r="344" spans="1:5">
      <c r="A344" s="83"/>
      <c r="B344" s="73"/>
      <c r="C344" s="58" t="s">
        <v>502</v>
      </c>
      <c r="D344" s="58"/>
      <c r="E344" s="15" t="s">
        <v>822</v>
      </c>
    </row>
    <row r="345" spans="1:5">
      <c r="A345" s="83"/>
      <c r="B345" s="73"/>
      <c r="C345" s="58" t="s">
        <v>1131</v>
      </c>
      <c r="D345" s="58"/>
      <c r="E345" s="15" t="s">
        <v>822</v>
      </c>
    </row>
    <row r="346" spans="1:5">
      <c r="A346" s="83"/>
      <c r="B346" s="73"/>
      <c r="C346" s="58" t="s">
        <v>527</v>
      </c>
      <c r="D346" s="58"/>
      <c r="E346" s="15" t="s">
        <v>822</v>
      </c>
    </row>
    <row r="347" spans="1:5">
      <c r="A347" s="83"/>
      <c r="B347" s="73"/>
      <c r="C347" s="58" t="s">
        <v>1132</v>
      </c>
      <c r="D347" s="58"/>
      <c r="E347" s="15" t="s">
        <v>822</v>
      </c>
    </row>
    <row r="348" spans="1:5">
      <c r="A348" s="83"/>
      <c r="B348" s="73"/>
      <c r="C348" s="58" t="s">
        <v>1133</v>
      </c>
      <c r="D348" s="58"/>
      <c r="E348" s="15" t="s">
        <v>822</v>
      </c>
    </row>
    <row r="349" spans="1:5">
      <c r="A349" s="83"/>
      <c r="B349" s="73"/>
      <c r="C349" s="58" t="s">
        <v>1134</v>
      </c>
      <c r="D349" s="58"/>
      <c r="E349" s="15" t="s">
        <v>822</v>
      </c>
    </row>
    <row r="350" spans="1:5">
      <c r="A350" s="83"/>
      <c r="B350" s="73"/>
      <c r="C350" s="58" t="s">
        <v>1135</v>
      </c>
      <c r="D350" s="58"/>
      <c r="E350" s="15" t="s">
        <v>822</v>
      </c>
    </row>
    <row r="351" spans="1:5">
      <c r="A351" s="83"/>
      <c r="B351" s="73"/>
      <c r="C351" s="58" t="s">
        <v>1136</v>
      </c>
      <c r="D351" s="58"/>
      <c r="E351" s="15" t="s">
        <v>822</v>
      </c>
    </row>
    <row r="352" spans="1:5">
      <c r="A352" s="83"/>
      <c r="B352" s="73"/>
      <c r="C352" s="58" t="s">
        <v>1137</v>
      </c>
      <c r="D352" s="58"/>
      <c r="E352" s="15" t="s">
        <v>822</v>
      </c>
    </row>
    <row r="353" spans="1:5">
      <c r="A353" s="83"/>
      <c r="B353" s="73"/>
      <c r="C353" s="58" t="s">
        <v>1138</v>
      </c>
      <c r="D353" s="58"/>
      <c r="E353" s="15" t="s">
        <v>822</v>
      </c>
    </row>
    <row r="354" spans="1:5">
      <c r="A354" s="83"/>
      <c r="B354" s="73"/>
      <c r="C354" s="58" t="s">
        <v>499</v>
      </c>
      <c r="D354" s="58"/>
      <c r="E354" s="15" t="s">
        <v>822</v>
      </c>
    </row>
    <row r="355" spans="1:5">
      <c r="A355" s="83"/>
      <c r="B355" s="73"/>
      <c r="C355" s="58" t="s">
        <v>519</v>
      </c>
      <c r="D355" s="58"/>
      <c r="E355" s="15" t="s">
        <v>822</v>
      </c>
    </row>
    <row r="356" spans="1:5">
      <c r="A356" s="83"/>
      <c r="B356" s="73"/>
      <c r="C356" s="58" t="s">
        <v>1139</v>
      </c>
      <c r="D356" s="58"/>
      <c r="E356" s="15" t="s">
        <v>822</v>
      </c>
    </row>
    <row r="357" spans="1:5">
      <c r="A357" s="83"/>
      <c r="B357" s="73"/>
      <c r="C357" s="58" t="s">
        <v>1140</v>
      </c>
      <c r="D357" s="58"/>
      <c r="E357" s="15" t="s">
        <v>822</v>
      </c>
    </row>
    <row r="358" spans="1:5">
      <c r="A358" s="83"/>
      <c r="B358" s="73"/>
      <c r="C358" s="58" t="s">
        <v>1141</v>
      </c>
      <c r="D358" s="58"/>
      <c r="E358" s="15" t="s">
        <v>822</v>
      </c>
    </row>
    <row r="359" spans="1:5">
      <c r="A359" s="83"/>
      <c r="B359" s="73"/>
      <c r="C359" s="58" t="s">
        <v>532</v>
      </c>
      <c r="D359" s="58"/>
      <c r="E359" s="15" t="s">
        <v>822</v>
      </c>
    </row>
    <row r="360" spans="1:5">
      <c r="A360" s="83"/>
      <c r="B360" s="73"/>
      <c r="C360" s="58" t="s">
        <v>1142</v>
      </c>
      <c r="D360" s="58"/>
      <c r="E360" s="15" t="s">
        <v>822</v>
      </c>
    </row>
    <row r="361" spans="1:5">
      <c r="A361" s="83"/>
      <c r="B361" s="73"/>
      <c r="C361" s="58" t="s">
        <v>1143</v>
      </c>
      <c r="D361" s="58"/>
      <c r="E361" s="15" t="s">
        <v>822</v>
      </c>
    </row>
    <row r="362" spans="1:5">
      <c r="A362" s="83"/>
      <c r="B362" s="73"/>
      <c r="C362" s="58" t="s">
        <v>524</v>
      </c>
      <c r="D362" s="58"/>
      <c r="E362" s="15" t="s">
        <v>822</v>
      </c>
    </row>
    <row r="363" spans="1:5">
      <c r="A363" s="83"/>
      <c r="B363" s="73"/>
      <c r="C363" s="58" t="s">
        <v>1144</v>
      </c>
      <c r="D363" s="58"/>
      <c r="E363" s="15" t="s">
        <v>822</v>
      </c>
    </row>
    <row r="364" spans="1:5">
      <c r="A364" s="83"/>
      <c r="B364" s="73"/>
      <c r="C364" s="58" t="s">
        <v>1145</v>
      </c>
      <c r="D364" s="58"/>
      <c r="E364" s="15" t="s">
        <v>822</v>
      </c>
    </row>
    <row r="365" spans="1:5">
      <c r="A365" s="83"/>
      <c r="B365" s="73"/>
      <c r="C365" s="58" t="s">
        <v>1146</v>
      </c>
      <c r="D365" s="58"/>
      <c r="E365" s="15" t="s">
        <v>822</v>
      </c>
    </row>
    <row r="366" spans="1:5">
      <c r="A366" s="83"/>
      <c r="B366" s="73"/>
      <c r="C366" s="58" t="s">
        <v>1147</v>
      </c>
      <c r="D366" s="58"/>
      <c r="E366" s="15" t="s">
        <v>822</v>
      </c>
    </row>
    <row r="367" spans="1:5">
      <c r="A367" s="83"/>
      <c r="B367" s="73"/>
      <c r="C367" s="58" t="s">
        <v>1148</v>
      </c>
      <c r="D367" s="58"/>
      <c r="E367" s="15" t="s">
        <v>822</v>
      </c>
    </row>
    <row r="368" spans="1:5">
      <c r="A368" s="83"/>
      <c r="B368" s="73"/>
      <c r="C368" s="58" t="s">
        <v>1149</v>
      </c>
      <c r="D368" s="58"/>
      <c r="E368" s="15" t="s">
        <v>822</v>
      </c>
    </row>
    <row r="369" spans="1:5">
      <c r="A369" s="83"/>
      <c r="B369" s="73"/>
      <c r="C369" s="58" t="s">
        <v>485</v>
      </c>
      <c r="D369" s="58"/>
      <c r="E369" s="15" t="s">
        <v>822</v>
      </c>
    </row>
    <row r="370" spans="1:5">
      <c r="A370" s="83"/>
      <c r="B370" s="73"/>
      <c r="C370" s="58" t="s">
        <v>1150</v>
      </c>
      <c r="D370" s="58"/>
      <c r="E370" s="15" t="s">
        <v>822</v>
      </c>
    </row>
    <row r="371" spans="1:5">
      <c r="A371" s="83"/>
      <c r="B371" s="73"/>
      <c r="C371" s="58" t="s">
        <v>1151</v>
      </c>
      <c r="D371" s="58"/>
      <c r="E371" s="15" t="s">
        <v>822</v>
      </c>
    </row>
    <row r="372" spans="1:5">
      <c r="A372" s="83"/>
      <c r="B372" s="73"/>
      <c r="C372" s="58" t="s">
        <v>1152</v>
      </c>
      <c r="D372" s="58"/>
      <c r="E372" s="15" t="s">
        <v>822</v>
      </c>
    </row>
    <row r="373" spans="1:5">
      <c r="A373" s="83"/>
      <c r="B373" s="73"/>
      <c r="C373" s="58" t="s">
        <v>1153</v>
      </c>
      <c r="D373" s="58"/>
      <c r="E373" s="15" t="s">
        <v>822</v>
      </c>
    </row>
    <row r="374" spans="1:5">
      <c r="A374" s="83"/>
      <c r="B374" s="73"/>
      <c r="C374" s="58" t="s">
        <v>1154</v>
      </c>
      <c r="D374" s="58"/>
      <c r="E374" s="15" t="s">
        <v>822</v>
      </c>
    </row>
    <row r="375" spans="1:5">
      <c r="A375" s="83"/>
      <c r="B375" s="73"/>
      <c r="C375" s="58" t="s">
        <v>1155</v>
      </c>
      <c r="D375" s="58"/>
      <c r="E375" s="15" t="s">
        <v>822</v>
      </c>
    </row>
    <row r="376" spans="1:5">
      <c r="A376" s="83"/>
      <c r="B376" s="73"/>
      <c r="C376" s="58" t="s">
        <v>1156</v>
      </c>
      <c r="D376" s="58"/>
      <c r="E376" s="15" t="s">
        <v>822</v>
      </c>
    </row>
    <row r="377" spans="1:5">
      <c r="A377" s="83"/>
      <c r="B377" s="73"/>
      <c r="C377" s="58" t="s">
        <v>1157</v>
      </c>
      <c r="D377" s="58"/>
      <c r="E377" s="15" t="s">
        <v>822</v>
      </c>
    </row>
    <row r="378" spans="1:5">
      <c r="A378" s="83"/>
      <c r="B378" s="73"/>
      <c r="C378" s="58" t="s">
        <v>1158</v>
      </c>
      <c r="D378" s="58"/>
      <c r="E378" s="15" t="s">
        <v>822</v>
      </c>
    </row>
    <row r="379" spans="1:5">
      <c r="A379" s="83"/>
      <c r="B379" s="73"/>
      <c r="C379" s="58" t="s">
        <v>1159</v>
      </c>
      <c r="D379" s="58"/>
      <c r="E379" s="15" t="s">
        <v>822</v>
      </c>
    </row>
    <row r="380" spans="1:5">
      <c r="A380" s="83"/>
      <c r="B380" s="73"/>
      <c r="C380" s="58" t="s">
        <v>1160</v>
      </c>
      <c r="D380" s="58"/>
      <c r="E380" s="15" t="s">
        <v>822</v>
      </c>
    </row>
    <row r="381" spans="1:5">
      <c r="A381" s="83"/>
      <c r="B381" s="73"/>
      <c r="C381" s="58" t="s">
        <v>1161</v>
      </c>
      <c r="D381" s="58"/>
      <c r="E381" s="15" t="s">
        <v>822</v>
      </c>
    </row>
    <row r="382" spans="1:5">
      <c r="A382" s="83"/>
      <c r="B382" s="73"/>
      <c r="C382" s="58" t="s">
        <v>1162</v>
      </c>
      <c r="D382" s="58"/>
      <c r="E382" s="15" t="s">
        <v>822</v>
      </c>
    </row>
    <row r="383" spans="1:5">
      <c r="A383" s="83"/>
      <c r="B383" s="73"/>
      <c r="C383" s="58" t="s">
        <v>1163</v>
      </c>
      <c r="D383" s="58"/>
      <c r="E383" s="15" t="s">
        <v>822</v>
      </c>
    </row>
    <row r="384" spans="1:5">
      <c r="A384" s="83"/>
      <c r="B384" s="73"/>
      <c r="C384" s="58" t="s">
        <v>1164</v>
      </c>
      <c r="D384" s="58"/>
      <c r="E384" s="15" t="s">
        <v>822</v>
      </c>
    </row>
    <row r="385" spans="1:5">
      <c r="A385" s="83"/>
      <c r="B385" s="73"/>
      <c r="C385" s="58" t="s">
        <v>1165</v>
      </c>
      <c r="D385" s="58"/>
      <c r="E385" s="15" t="s">
        <v>822</v>
      </c>
    </row>
    <row r="386" spans="1:5">
      <c r="A386" s="83"/>
      <c r="B386" s="73"/>
      <c r="C386" s="58" t="s">
        <v>1166</v>
      </c>
      <c r="D386" s="58"/>
      <c r="E386" s="15" t="s">
        <v>822</v>
      </c>
    </row>
    <row r="387" spans="1:5">
      <c r="A387" s="83"/>
      <c r="B387" s="73"/>
      <c r="C387" s="58" t="s">
        <v>1167</v>
      </c>
      <c r="D387" s="58"/>
      <c r="E387" s="15" t="s">
        <v>822</v>
      </c>
    </row>
    <row r="388" spans="1:5">
      <c r="A388" s="83"/>
      <c r="B388" s="73"/>
      <c r="C388" s="58" t="s">
        <v>1168</v>
      </c>
      <c r="D388" s="58"/>
      <c r="E388" s="15" t="s">
        <v>822</v>
      </c>
    </row>
    <row r="389" spans="1:5">
      <c r="A389" s="83"/>
      <c r="B389" s="73"/>
      <c r="C389" s="58" t="s">
        <v>1169</v>
      </c>
      <c r="D389" s="58"/>
      <c r="E389" s="15" t="s">
        <v>822</v>
      </c>
    </row>
    <row r="390" spans="1:5">
      <c r="A390" s="83"/>
      <c r="B390" s="73"/>
      <c r="C390" s="58" t="s">
        <v>1170</v>
      </c>
      <c r="D390" s="58"/>
      <c r="E390" s="15" t="s">
        <v>822</v>
      </c>
    </row>
    <row r="391" spans="1:5">
      <c r="A391" s="83"/>
      <c r="B391" s="73"/>
      <c r="C391" s="58" t="s">
        <v>1171</v>
      </c>
      <c r="D391" s="58"/>
      <c r="E391" s="15" t="s">
        <v>822</v>
      </c>
    </row>
    <row r="392" spans="1:5">
      <c r="A392" s="83"/>
      <c r="B392" s="73"/>
      <c r="C392" s="58" t="s">
        <v>475</v>
      </c>
      <c r="D392" s="58"/>
      <c r="E392" s="15" t="s">
        <v>822</v>
      </c>
    </row>
    <row r="393" spans="1:5">
      <c r="A393" s="83"/>
      <c r="B393" s="73"/>
      <c r="C393" s="58" t="s">
        <v>1172</v>
      </c>
      <c r="D393" s="58"/>
      <c r="E393" s="15" t="s">
        <v>822</v>
      </c>
    </row>
    <row r="394" spans="1:5">
      <c r="A394" s="83"/>
      <c r="B394" s="73"/>
      <c r="C394" s="58" t="s">
        <v>1173</v>
      </c>
      <c r="D394" s="58"/>
      <c r="E394" s="15" t="s">
        <v>822</v>
      </c>
    </row>
    <row r="395" spans="1:5">
      <c r="A395" s="83"/>
      <c r="B395" s="73"/>
      <c r="C395" s="58" t="s">
        <v>1174</v>
      </c>
      <c r="D395" s="58"/>
      <c r="E395" s="15" t="s">
        <v>822</v>
      </c>
    </row>
    <row r="396" spans="1:5">
      <c r="A396" s="83"/>
      <c r="B396" s="73"/>
      <c r="C396" s="58" t="s">
        <v>1175</v>
      </c>
      <c r="D396" s="58"/>
      <c r="E396" s="15" t="s">
        <v>822</v>
      </c>
    </row>
    <row r="397" spans="1:5">
      <c r="A397" s="83"/>
      <c r="B397" s="73"/>
      <c r="C397" s="58" t="s">
        <v>1176</v>
      </c>
      <c r="D397" s="58"/>
      <c r="E397" s="15" t="s">
        <v>822</v>
      </c>
    </row>
    <row r="398" spans="1:5">
      <c r="A398" s="83"/>
      <c r="B398" s="73"/>
      <c r="C398" s="58" t="s">
        <v>1177</v>
      </c>
      <c r="D398" s="58"/>
      <c r="E398" s="15" t="s">
        <v>822</v>
      </c>
    </row>
    <row r="399" spans="1:5">
      <c r="A399" s="83"/>
      <c r="B399" s="73"/>
      <c r="C399" s="58" t="s">
        <v>1178</v>
      </c>
      <c r="D399" s="58"/>
      <c r="E399" s="15" t="s">
        <v>822</v>
      </c>
    </row>
    <row r="400" spans="1:5">
      <c r="A400" s="83"/>
      <c r="B400" s="73"/>
      <c r="C400" s="58" t="s">
        <v>1179</v>
      </c>
      <c r="D400" s="58"/>
      <c r="E400" s="15" t="s">
        <v>822</v>
      </c>
    </row>
    <row r="401" spans="1:5">
      <c r="A401" s="83"/>
      <c r="B401" s="73"/>
      <c r="C401" s="58" t="s">
        <v>1180</v>
      </c>
      <c r="D401" s="58"/>
      <c r="E401" s="15" t="s">
        <v>822</v>
      </c>
    </row>
    <row r="402" spans="1:5">
      <c r="A402" s="83"/>
      <c r="B402" s="73"/>
      <c r="C402" s="58" t="s">
        <v>1181</v>
      </c>
      <c r="D402" s="58"/>
      <c r="E402" s="15" t="s">
        <v>822</v>
      </c>
    </row>
    <row r="403" spans="1:5">
      <c r="A403" s="83"/>
      <c r="B403" s="73"/>
      <c r="C403" s="58" t="s">
        <v>1182</v>
      </c>
      <c r="D403" s="58"/>
      <c r="E403" s="15" t="s">
        <v>822</v>
      </c>
    </row>
    <row r="404" spans="1:5">
      <c r="A404" s="83"/>
      <c r="B404" s="73"/>
      <c r="C404" s="58" t="s">
        <v>1183</v>
      </c>
      <c r="D404" s="58"/>
      <c r="E404" s="15" t="s">
        <v>822</v>
      </c>
    </row>
    <row r="405" spans="1:5">
      <c r="A405" s="83"/>
      <c r="B405" s="73"/>
      <c r="C405" s="58" t="s">
        <v>1184</v>
      </c>
      <c r="D405" s="58"/>
      <c r="E405" s="15" t="s">
        <v>822</v>
      </c>
    </row>
    <row r="406" spans="1:5">
      <c r="A406" s="83"/>
      <c r="B406" s="73"/>
      <c r="C406" s="58" t="s">
        <v>1185</v>
      </c>
      <c r="D406" s="58"/>
      <c r="E406" s="15" t="s">
        <v>822</v>
      </c>
    </row>
    <row r="407" spans="1:5">
      <c r="A407" s="83"/>
      <c r="B407" s="73"/>
      <c r="C407" s="58" t="s">
        <v>1186</v>
      </c>
      <c r="D407" s="58"/>
      <c r="E407" s="15" t="s">
        <v>822</v>
      </c>
    </row>
    <row r="408" spans="1:5">
      <c r="A408" s="83"/>
      <c r="B408" s="73"/>
      <c r="C408" s="58" t="s">
        <v>1187</v>
      </c>
      <c r="D408" s="58"/>
      <c r="E408" s="15" t="s">
        <v>822</v>
      </c>
    </row>
    <row r="409" spans="1:5">
      <c r="A409" s="83"/>
      <c r="B409" s="73"/>
      <c r="C409" s="58" t="s">
        <v>1188</v>
      </c>
      <c r="D409" s="58"/>
      <c r="E409" s="15" t="s">
        <v>822</v>
      </c>
    </row>
    <row r="410" spans="1:5">
      <c r="A410" s="83"/>
      <c r="B410" s="73"/>
      <c r="C410" s="58" t="s">
        <v>1189</v>
      </c>
      <c r="D410" s="58"/>
      <c r="E410" s="15" t="s">
        <v>822</v>
      </c>
    </row>
    <row r="411" spans="1:5">
      <c r="A411" s="83"/>
      <c r="B411" s="73"/>
      <c r="C411" s="58" t="s">
        <v>1190</v>
      </c>
      <c r="D411" s="58"/>
      <c r="E411" s="15" t="s">
        <v>822</v>
      </c>
    </row>
    <row r="412" spans="1:5">
      <c r="A412" s="83"/>
      <c r="B412" s="73"/>
      <c r="C412" s="58" t="s">
        <v>1191</v>
      </c>
      <c r="D412" s="58"/>
      <c r="E412" s="15" t="s">
        <v>822</v>
      </c>
    </row>
    <row r="413" spans="1:5">
      <c r="A413" s="83"/>
      <c r="B413" s="73"/>
      <c r="C413" s="58" t="s">
        <v>1192</v>
      </c>
      <c r="D413" s="58"/>
      <c r="E413" s="15" t="s">
        <v>822</v>
      </c>
    </row>
    <row r="414" spans="1:5">
      <c r="A414" s="83"/>
      <c r="B414" s="73"/>
      <c r="C414" s="58" t="s">
        <v>1193</v>
      </c>
      <c r="D414" s="58"/>
      <c r="E414" s="15" t="s">
        <v>822</v>
      </c>
    </row>
    <row r="415" spans="1:5">
      <c r="A415" s="83"/>
      <c r="B415" s="73"/>
      <c r="C415" s="58" t="s">
        <v>1194</v>
      </c>
      <c r="D415" s="58"/>
      <c r="E415" s="15" t="s">
        <v>822</v>
      </c>
    </row>
    <row r="416" spans="1:5">
      <c r="A416" s="83"/>
      <c r="B416" s="73"/>
      <c r="C416" s="58" t="s">
        <v>1195</v>
      </c>
      <c r="D416" s="58"/>
      <c r="E416" s="15" t="s">
        <v>822</v>
      </c>
    </row>
    <row r="417" spans="1:5">
      <c r="A417" s="83"/>
      <c r="B417" s="73"/>
      <c r="C417" s="58" t="s">
        <v>1196</v>
      </c>
      <c r="D417" s="58"/>
      <c r="E417" s="15" t="s">
        <v>822</v>
      </c>
    </row>
    <row r="418" spans="1:5">
      <c r="A418" s="83"/>
      <c r="B418" s="73"/>
      <c r="C418" s="58" t="s">
        <v>1197</v>
      </c>
      <c r="D418" s="58"/>
      <c r="E418" s="15" t="s">
        <v>822</v>
      </c>
    </row>
    <row r="419" spans="1:5">
      <c r="A419" s="83"/>
      <c r="B419" s="73"/>
      <c r="C419" s="58" t="s">
        <v>1198</v>
      </c>
      <c r="D419" s="58"/>
      <c r="E419" s="15" t="s">
        <v>822</v>
      </c>
    </row>
    <row r="420" spans="1:5">
      <c r="A420" s="83"/>
      <c r="B420" s="73"/>
      <c r="C420" s="58" t="s">
        <v>1199</v>
      </c>
      <c r="D420" s="58"/>
      <c r="E420" s="15" t="s">
        <v>822</v>
      </c>
    </row>
    <row r="421" spans="1:5">
      <c r="A421" s="83"/>
      <c r="B421" s="73"/>
      <c r="C421" s="58" t="s">
        <v>1200</v>
      </c>
      <c r="D421" s="58"/>
      <c r="E421" s="15" t="s">
        <v>822</v>
      </c>
    </row>
    <row r="422" spans="1:5">
      <c r="A422" s="83"/>
      <c r="B422" s="73"/>
      <c r="C422" s="58" t="s">
        <v>1201</v>
      </c>
      <c r="D422" s="58"/>
      <c r="E422" s="15" t="s">
        <v>822</v>
      </c>
    </row>
    <row r="423" spans="1:5">
      <c r="A423" s="83"/>
      <c r="B423" s="73"/>
      <c r="C423" s="58" t="s">
        <v>1202</v>
      </c>
      <c r="D423" s="58"/>
      <c r="E423" s="15" t="s">
        <v>822</v>
      </c>
    </row>
    <row r="424" spans="1:5">
      <c r="A424" s="83"/>
      <c r="B424" s="73"/>
      <c r="C424" s="58" t="s">
        <v>1203</v>
      </c>
      <c r="D424" s="58"/>
      <c r="E424" s="15" t="s">
        <v>822</v>
      </c>
    </row>
    <row r="425" spans="1:5">
      <c r="A425" s="83"/>
      <c r="B425" s="73"/>
      <c r="C425" s="58" t="s">
        <v>1204</v>
      </c>
      <c r="D425" s="58"/>
      <c r="E425" s="15" t="s">
        <v>822</v>
      </c>
    </row>
    <row r="426" spans="1:5">
      <c r="A426" s="83"/>
      <c r="B426" s="73"/>
      <c r="C426" s="58" t="s">
        <v>1205</v>
      </c>
      <c r="D426" s="58"/>
      <c r="E426" s="15" t="s">
        <v>822</v>
      </c>
    </row>
    <row r="427" spans="1:5">
      <c r="A427" s="83"/>
      <c r="B427" s="73"/>
      <c r="C427" s="58" t="s">
        <v>1206</v>
      </c>
      <c r="D427" s="58"/>
      <c r="E427" s="15" t="s">
        <v>822</v>
      </c>
    </row>
    <row r="428" spans="1:5">
      <c r="A428" s="83"/>
      <c r="B428" s="73"/>
      <c r="C428" s="58" t="s">
        <v>1207</v>
      </c>
      <c r="D428" s="58"/>
      <c r="E428" s="15" t="s">
        <v>822</v>
      </c>
    </row>
    <row r="429" spans="1:5">
      <c r="A429" s="83"/>
      <c r="B429" s="73"/>
      <c r="C429" s="58" t="s">
        <v>1208</v>
      </c>
      <c r="D429" s="58"/>
      <c r="E429" s="15" t="s">
        <v>822</v>
      </c>
    </row>
    <row r="430" spans="1:5">
      <c r="A430" s="83"/>
      <c r="B430" s="73"/>
      <c r="C430" s="58" t="s">
        <v>1209</v>
      </c>
      <c r="D430" s="58"/>
      <c r="E430" s="15" t="s">
        <v>822</v>
      </c>
    </row>
    <row r="431" spans="1:5">
      <c r="A431" s="83"/>
      <c r="B431" s="73"/>
      <c r="C431" s="58" t="s">
        <v>1210</v>
      </c>
      <c r="D431" s="58"/>
      <c r="E431" s="15" t="s">
        <v>822</v>
      </c>
    </row>
    <row r="432" spans="1:5">
      <c r="A432" s="83"/>
      <c r="B432" s="73"/>
      <c r="C432" s="58" t="s">
        <v>1211</v>
      </c>
      <c r="D432" s="58"/>
      <c r="E432" s="15" t="s">
        <v>822</v>
      </c>
    </row>
    <row r="433" spans="1:5">
      <c r="A433" s="83"/>
      <c r="B433" s="73"/>
      <c r="C433" s="58" t="s">
        <v>1212</v>
      </c>
      <c r="D433" s="58"/>
      <c r="E433" s="15" t="s">
        <v>822</v>
      </c>
    </row>
    <row r="434" spans="1:5">
      <c r="A434" s="83"/>
      <c r="B434" s="73"/>
      <c r="C434" s="58" t="s">
        <v>1213</v>
      </c>
      <c r="D434" s="58"/>
      <c r="E434" s="15" t="s">
        <v>822</v>
      </c>
    </row>
    <row r="435" spans="1:5">
      <c r="A435" s="83"/>
      <c r="B435" s="73"/>
      <c r="C435" s="58" t="s">
        <v>1214</v>
      </c>
      <c r="D435" s="58"/>
      <c r="E435" s="15" t="s">
        <v>822</v>
      </c>
    </row>
    <row r="436" spans="1:5">
      <c r="A436" s="83"/>
      <c r="B436" s="73"/>
      <c r="C436" s="58" t="s">
        <v>516</v>
      </c>
      <c r="D436" s="58"/>
      <c r="E436" s="15" t="s">
        <v>822</v>
      </c>
    </row>
    <row r="437" spans="1:5">
      <c r="A437" s="83"/>
      <c r="B437" s="73"/>
      <c r="C437" s="58" t="s">
        <v>1215</v>
      </c>
      <c r="D437" s="58"/>
      <c r="E437" s="15" t="s">
        <v>822</v>
      </c>
    </row>
    <row r="438" spans="1:5">
      <c r="A438" s="83"/>
      <c r="B438" s="73"/>
      <c r="C438" s="58" t="s">
        <v>1216</v>
      </c>
      <c r="D438" s="58"/>
      <c r="E438" s="15" t="s">
        <v>822</v>
      </c>
    </row>
    <row r="439" spans="1:5">
      <c r="A439" s="83"/>
      <c r="B439" s="73"/>
      <c r="C439" s="58" t="s">
        <v>1217</v>
      </c>
      <c r="D439" s="58"/>
      <c r="E439" s="15" t="s">
        <v>822</v>
      </c>
    </row>
    <row r="440" spans="1:5">
      <c r="A440" s="83"/>
      <c r="B440" s="73"/>
      <c r="C440" s="58" t="s">
        <v>1218</v>
      </c>
      <c r="D440" s="58"/>
      <c r="E440" s="15" t="s">
        <v>822</v>
      </c>
    </row>
    <row r="441" spans="1:5">
      <c r="A441" s="83"/>
      <c r="B441" s="73"/>
      <c r="C441" s="58" t="s">
        <v>1219</v>
      </c>
      <c r="D441" s="58"/>
      <c r="E441" s="15" t="s">
        <v>822</v>
      </c>
    </row>
    <row r="442" spans="1:5">
      <c r="A442" s="83"/>
      <c r="B442" s="73"/>
      <c r="C442" s="58" t="s">
        <v>1220</v>
      </c>
      <c r="D442" s="58"/>
      <c r="E442" s="15" t="s">
        <v>822</v>
      </c>
    </row>
    <row r="443" spans="1:5">
      <c r="A443" s="83"/>
      <c r="B443" s="73"/>
      <c r="C443" s="58" t="s">
        <v>1221</v>
      </c>
      <c r="D443" s="58"/>
      <c r="E443" s="15" t="s">
        <v>822</v>
      </c>
    </row>
    <row r="444" spans="1:5">
      <c r="A444" s="83"/>
      <c r="B444" s="73"/>
      <c r="C444" s="58" t="s">
        <v>1222</v>
      </c>
      <c r="D444" s="58"/>
      <c r="E444" s="15" t="s">
        <v>822</v>
      </c>
    </row>
    <row r="445" spans="1:5">
      <c r="A445" s="83"/>
      <c r="B445" s="73"/>
      <c r="C445" s="58" t="s">
        <v>1223</v>
      </c>
      <c r="D445" s="58"/>
      <c r="E445" s="15" t="s">
        <v>822</v>
      </c>
    </row>
    <row r="446" spans="1:5">
      <c r="A446" s="83"/>
      <c r="B446" s="73"/>
      <c r="C446" s="58" t="s">
        <v>1224</v>
      </c>
      <c r="D446" s="58"/>
      <c r="E446" s="15" t="s">
        <v>822</v>
      </c>
    </row>
    <row r="447" spans="1:5">
      <c r="A447" s="83"/>
      <c r="B447" s="73"/>
      <c r="C447" s="58" t="s">
        <v>1225</v>
      </c>
      <c r="D447" s="58"/>
      <c r="E447" s="15" t="s">
        <v>822</v>
      </c>
    </row>
    <row r="448" spans="1:5">
      <c r="A448" s="83"/>
      <c r="B448" s="73"/>
      <c r="C448" s="58" t="s">
        <v>1226</v>
      </c>
      <c r="D448" s="58"/>
      <c r="E448" s="15" t="s">
        <v>822</v>
      </c>
    </row>
    <row r="449" spans="1:5">
      <c r="A449" s="83"/>
      <c r="B449" s="73"/>
      <c r="C449" s="58" t="s">
        <v>1227</v>
      </c>
      <c r="D449" s="58"/>
      <c r="E449" s="15" t="s">
        <v>822</v>
      </c>
    </row>
    <row r="450" spans="1:5">
      <c r="A450" s="83"/>
      <c r="B450" s="73"/>
      <c r="C450" s="58" t="s">
        <v>1228</v>
      </c>
      <c r="D450" s="58"/>
      <c r="E450" s="15" t="s">
        <v>822</v>
      </c>
    </row>
    <row r="451" spans="1:5">
      <c r="A451" s="83"/>
      <c r="B451" s="73"/>
      <c r="C451" s="58" t="s">
        <v>1229</v>
      </c>
      <c r="D451" s="58"/>
      <c r="E451" s="15" t="s">
        <v>822</v>
      </c>
    </row>
    <row r="452" spans="1:5">
      <c r="A452" s="83"/>
      <c r="B452" s="73"/>
      <c r="C452" s="58" t="s">
        <v>1230</v>
      </c>
      <c r="D452" s="58"/>
      <c r="E452" s="15" t="s">
        <v>822</v>
      </c>
    </row>
    <row r="453" spans="1:5">
      <c r="A453" s="83"/>
      <c r="B453" s="73"/>
      <c r="C453" s="58" t="s">
        <v>1231</v>
      </c>
      <c r="D453" s="58"/>
      <c r="E453" s="15" t="s">
        <v>822</v>
      </c>
    </row>
    <row r="454" spans="1:5">
      <c r="A454" s="83"/>
      <c r="B454" s="73"/>
      <c r="C454" s="58" t="s">
        <v>1232</v>
      </c>
      <c r="D454" s="58"/>
      <c r="E454" s="15" t="s">
        <v>822</v>
      </c>
    </row>
    <row r="455" spans="1:5">
      <c r="A455" s="83"/>
      <c r="B455" s="73"/>
      <c r="C455" s="58" t="s">
        <v>471</v>
      </c>
      <c r="D455" s="58"/>
      <c r="E455" s="15" t="s">
        <v>822</v>
      </c>
    </row>
    <row r="456" spans="1:5">
      <c r="A456" s="83"/>
      <c r="B456" s="73"/>
      <c r="C456" s="58" t="s">
        <v>1233</v>
      </c>
      <c r="D456" s="58"/>
      <c r="E456" s="15" t="s">
        <v>822</v>
      </c>
    </row>
    <row r="457" spans="1:5">
      <c r="A457" s="83"/>
      <c r="B457" s="73"/>
      <c r="C457" s="58" t="s">
        <v>1234</v>
      </c>
      <c r="D457" s="58"/>
      <c r="E457" s="15" t="s">
        <v>822</v>
      </c>
    </row>
    <row r="458" spans="1:5">
      <c r="A458" s="83"/>
      <c r="B458" s="73"/>
      <c r="C458" s="58" t="s">
        <v>1235</v>
      </c>
      <c r="D458" s="58"/>
      <c r="E458" s="15" t="s">
        <v>822</v>
      </c>
    </row>
    <row r="459" spans="1:5">
      <c r="A459" s="83"/>
      <c r="B459" s="73"/>
      <c r="C459" s="58" t="s">
        <v>1236</v>
      </c>
      <c r="D459" s="58"/>
      <c r="E459" s="15" t="s">
        <v>822</v>
      </c>
    </row>
    <row r="460" spans="1:5">
      <c r="A460" s="83"/>
      <c r="B460" s="73"/>
      <c r="C460" s="58" t="s">
        <v>507</v>
      </c>
      <c r="D460" s="58"/>
      <c r="E460" s="15" t="s">
        <v>822</v>
      </c>
    </row>
    <row r="461" spans="1:5">
      <c r="A461" s="83"/>
      <c r="B461" s="73"/>
      <c r="C461" s="58" t="s">
        <v>1237</v>
      </c>
      <c r="D461" s="58"/>
      <c r="E461" s="15" t="s">
        <v>822</v>
      </c>
    </row>
    <row r="462" spans="1:5">
      <c r="A462" s="83"/>
      <c r="B462" s="73"/>
      <c r="C462" s="58" t="s">
        <v>1238</v>
      </c>
      <c r="D462" s="58"/>
      <c r="E462" s="15" t="s">
        <v>822</v>
      </c>
    </row>
    <row r="463" spans="1:5">
      <c r="A463" s="83"/>
      <c r="B463" s="73"/>
      <c r="C463" s="58" t="s">
        <v>1239</v>
      </c>
      <c r="D463" s="58"/>
      <c r="E463" s="15" t="s">
        <v>822</v>
      </c>
    </row>
    <row r="464" spans="1:5">
      <c r="A464" s="83"/>
      <c r="B464" s="73"/>
      <c r="C464" s="58" t="s">
        <v>1240</v>
      </c>
      <c r="D464" s="58"/>
      <c r="E464" s="15" t="s">
        <v>822</v>
      </c>
    </row>
    <row r="465" spans="1:5">
      <c r="A465" s="83"/>
      <c r="B465" s="73"/>
      <c r="C465" s="58" t="s">
        <v>1241</v>
      </c>
      <c r="D465" s="58"/>
      <c r="E465" s="15" t="s">
        <v>822</v>
      </c>
    </row>
    <row r="466" spans="1:5">
      <c r="A466" s="83"/>
      <c r="B466" s="73"/>
      <c r="C466" s="58" t="s">
        <v>1242</v>
      </c>
      <c r="D466" s="58"/>
      <c r="E466" s="15" t="s">
        <v>822</v>
      </c>
    </row>
    <row r="467" spans="1:5">
      <c r="A467" s="83"/>
      <c r="B467" s="73"/>
      <c r="C467" s="58" t="s">
        <v>1243</v>
      </c>
      <c r="D467" s="58"/>
      <c r="E467" s="15" t="s">
        <v>822</v>
      </c>
    </row>
    <row r="468" spans="1:5">
      <c r="A468" s="83"/>
      <c r="B468" s="73"/>
      <c r="C468" s="58" t="s">
        <v>1244</v>
      </c>
      <c r="D468" s="58"/>
      <c r="E468" s="15" t="s">
        <v>822</v>
      </c>
    </row>
    <row r="469" spans="1:5">
      <c r="A469" s="83"/>
      <c r="B469" s="73"/>
      <c r="C469" s="58" t="s">
        <v>1245</v>
      </c>
      <c r="D469" s="58"/>
      <c r="E469" s="15" t="s">
        <v>822</v>
      </c>
    </row>
    <row r="470" spans="1:5">
      <c r="A470" s="83"/>
      <c r="B470" s="73"/>
      <c r="C470" s="58" t="s">
        <v>1246</v>
      </c>
      <c r="D470" s="58"/>
      <c r="E470" s="15" t="s">
        <v>822</v>
      </c>
    </row>
    <row r="471" spans="1:5">
      <c r="A471" s="83"/>
      <c r="B471" s="73"/>
      <c r="C471" s="58" t="s">
        <v>1247</v>
      </c>
      <c r="D471" s="58"/>
      <c r="E471" s="15" t="s">
        <v>822</v>
      </c>
    </row>
    <row r="472" spans="1:5">
      <c r="A472" s="83"/>
      <c r="B472" s="73"/>
      <c r="C472" s="58" t="s">
        <v>1248</v>
      </c>
      <c r="D472" s="58"/>
      <c r="E472" s="15" t="s">
        <v>822</v>
      </c>
    </row>
    <row r="473" spans="1:5">
      <c r="A473" s="83"/>
      <c r="B473" s="73"/>
      <c r="C473" s="58" t="s">
        <v>1249</v>
      </c>
      <c r="D473" s="58"/>
      <c r="E473" s="15" t="s">
        <v>822</v>
      </c>
    </row>
    <row r="474" spans="1:5">
      <c r="A474" s="83"/>
      <c r="B474" s="73"/>
      <c r="C474" s="58" t="s">
        <v>1250</v>
      </c>
      <c r="D474" s="58"/>
      <c r="E474" s="15" t="s">
        <v>822</v>
      </c>
    </row>
    <row r="475" spans="1:5">
      <c r="A475" s="83"/>
      <c r="B475" s="73"/>
      <c r="C475" s="58" t="s">
        <v>1251</v>
      </c>
      <c r="D475" s="58"/>
      <c r="E475" s="15" t="s">
        <v>822</v>
      </c>
    </row>
    <row r="476" spans="1:5">
      <c r="A476" s="83"/>
      <c r="B476" s="73"/>
      <c r="C476" s="58" t="s">
        <v>1252</v>
      </c>
      <c r="D476" s="58"/>
      <c r="E476" s="15" t="s">
        <v>822</v>
      </c>
    </row>
    <row r="477" spans="1:5">
      <c r="A477" s="83"/>
      <c r="B477" s="73"/>
      <c r="C477" s="58" t="s">
        <v>1253</v>
      </c>
      <c r="D477" s="58"/>
      <c r="E477" s="15" t="s">
        <v>822</v>
      </c>
    </row>
    <row r="478" spans="1:5">
      <c r="A478" s="83"/>
      <c r="B478" s="73"/>
      <c r="C478" s="58" t="s">
        <v>1254</v>
      </c>
      <c r="D478" s="58"/>
      <c r="E478" s="15" t="s">
        <v>822</v>
      </c>
    </row>
    <row r="479" spans="1:5">
      <c r="A479" s="83"/>
      <c r="B479" s="73"/>
      <c r="C479" s="58" t="s">
        <v>1255</v>
      </c>
      <c r="D479" s="58"/>
      <c r="E479" s="15" t="s">
        <v>822</v>
      </c>
    </row>
    <row r="480" spans="1:5">
      <c r="A480" s="83"/>
      <c r="B480" s="73"/>
      <c r="C480" s="58" t="s">
        <v>1256</v>
      </c>
      <c r="D480" s="58"/>
      <c r="E480" s="15" t="s">
        <v>822</v>
      </c>
    </row>
    <row r="481" spans="1:5">
      <c r="A481" s="83"/>
      <c r="B481" s="73"/>
      <c r="C481" s="58" t="s">
        <v>1257</v>
      </c>
      <c r="D481" s="58"/>
      <c r="E481" s="15" t="s">
        <v>822</v>
      </c>
    </row>
    <row r="482" spans="1:5">
      <c r="A482" s="83"/>
      <c r="B482" s="73"/>
      <c r="C482" s="58" t="s">
        <v>1258</v>
      </c>
      <c r="D482" s="58"/>
      <c r="E482" s="15" t="s">
        <v>822</v>
      </c>
    </row>
    <row r="483" spans="1:5">
      <c r="A483" s="83"/>
      <c r="B483" s="73"/>
      <c r="C483" s="58" t="s">
        <v>1259</v>
      </c>
      <c r="D483" s="58"/>
      <c r="E483" s="15" t="s">
        <v>822</v>
      </c>
    </row>
    <row r="484" spans="1:5">
      <c r="A484" s="83"/>
      <c r="B484" s="73"/>
      <c r="C484" s="58" t="s">
        <v>1260</v>
      </c>
      <c r="D484" s="58"/>
      <c r="E484" s="15" t="s">
        <v>822</v>
      </c>
    </row>
    <row r="485" spans="1:5">
      <c r="A485" s="83"/>
      <c r="B485" s="73"/>
      <c r="C485" s="58" t="s">
        <v>1261</v>
      </c>
      <c r="D485" s="58"/>
      <c r="E485" s="15" t="s">
        <v>822</v>
      </c>
    </row>
    <row r="486" spans="1:5">
      <c r="A486" s="83"/>
      <c r="B486" s="73"/>
      <c r="C486" s="58" t="s">
        <v>1262</v>
      </c>
      <c r="D486" s="58"/>
      <c r="E486" s="15" t="s">
        <v>822</v>
      </c>
    </row>
    <row r="487" spans="1:5">
      <c r="A487" s="83"/>
      <c r="B487" s="73"/>
      <c r="C487" s="58" t="s">
        <v>1263</v>
      </c>
      <c r="D487" s="58"/>
      <c r="E487" s="15" t="s">
        <v>822</v>
      </c>
    </row>
    <row r="488" spans="1:5">
      <c r="A488" s="83"/>
      <c r="B488" s="73"/>
      <c r="C488" s="58" t="s">
        <v>1264</v>
      </c>
      <c r="D488" s="58"/>
      <c r="E488" s="15" t="s">
        <v>822</v>
      </c>
    </row>
    <row r="489" spans="1:5">
      <c r="A489" s="83"/>
      <c r="B489" s="73"/>
      <c r="C489" s="58" t="s">
        <v>71</v>
      </c>
      <c r="D489" s="58"/>
    </row>
    <row r="490" spans="1:5">
      <c r="A490" s="83"/>
      <c r="B490" s="73"/>
      <c r="C490" s="58" t="s">
        <v>1265</v>
      </c>
      <c r="D490" s="58"/>
    </row>
    <row r="491" spans="1:5">
      <c r="A491" s="83"/>
      <c r="B491" s="73"/>
      <c r="C491" s="58" t="s">
        <v>1266</v>
      </c>
      <c r="D491" s="58"/>
    </row>
    <row r="492" spans="1:5">
      <c r="A492" s="83"/>
      <c r="B492" s="73"/>
      <c r="C492" s="58" t="s">
        <v>1267</v>
      </c>
      <c r="D492" s="58"/>
    </row>
    <row r="493" spans="1:5">
      <c r="A493" s="83"/>
      <c r="B493" s="73"/>
      <c r="C493" s="58" t="s">
        <v>1268</v>
      </c>
      <c r="D493" s="58"/>
    </row>
    <row r="494" spans="1:5">
      <c r="A494" s="83"/>
      <c r="B494" s="73"/>
      <c r="C494" s="58" t="s">
        <v>1269</v>
      </c>
      <c r="D494" s="58"/>
    </row>
    <row r="495" spans="1:5">
      <c r="A495" s="83"/>
      <c r="B495" s="73"/>
      <c r="C495" s="58" t="s">
        <v>1270</v>
      </c>
      <c r="D495" s="58"/>
    </row>
    <row r="496" spans="1:5">
      <c r="A496" s="83"/>
      <c r="B496" s="73"/>
      <c r="C496" s="58" t="s">
        <v>1271</v>
      </c>
      <c r="D496" s="58"/>
    </row>
    <row r="497" spans="1:4">
      <c r="A497" s="83"/>
      <c r="B497" s="73"/>
      <c r="C497" s="58" t="s">
        <v>1272</v>
      </c>
      <c r="D497" s="58"/>
    </row>
    <row r="498" spans="1:4">
      <c r="A498" s="84"/>
      <c r="B498" s="74"/>
      <c r="C498" s="58" t="s">
        <v>665</v>
      </c>
      <c r="D498" s="58"/>
    </row>
    <row r="499" spans="1:4">
      <c r="A499" s="116"/>
      <c r="B499" s="121" t="s">
        <v>1273</v>
      </c>
      <c r="C499" s="55" t="s">
        <v>146</v>
      </c>
      <c r="D499" s="55"/>
    </row>
    <row r="500" spans="1:4">
      <c r="A500" s="65"/>
      <c r="B500" s="121"/>
      <c r="C500" s="55" t="s">
        <v>1274</v>
      </c>
      <c r="D500" s="55"/>
    </row>
    <row r="501" spans="1:4">
      <c r="A501" s="65"/>
      <c r="B501" s="121"/>
      <c r="C501" s="55" t="s">
        <v>1275</v>
      </c>
      <c r="D501" s="55"/>
    </row>
    <row r="502" spans="1:4">
      <c r="A502" s="65"/>
      <c r="B502" s="121"/>
      <c r="C502" s="55" t="s">
        <v>1276</v>
      </c>
      <c r="D502" s="55"/>
    </row>
    <row r="503" spans="1:4">
      <c r="A503" s="65"/>
      <c r="B503" s="121"/>
      <c r="C503" s="55" t="s">
        <v>1277</v>
      </c>
      <c r="D503" s="55"/>
    </row>
    <row r="504" spans="1:4">
      <c r="A504" s="65"/>
      <c r="B504" s="121"/>
      <c r="C504" s="55" t="s">
        <v>1278</v>
      </c>
      <c r="D504" s="55"/>
    </row>
    <row r="505" spans="1:4">
      <c r="A505" s="65"/>
      <c r="B505" s="121"/>
      <c r="C505" s="55" t="s">
        <v>1279</v>
      </c>
      <c r="D505" s="55"/>
    </row>
    <row r="506" spans="1:4">
      <c r="A506" s="65"/>
      <c r="B506" s="121"/>
      <c r="C506" s="55" t="s">
        <v>1280</v>
      </c>
      <c r="D506" s="55"/>
    </row>
    <row r="507" spans="1:4">
      <c r="A507" s="65"/>
      <c r="B507" s="121"/>
      <c r="C507" s="55" t="s">
        <v>1281</v>
      </c>
      <c r="D507" s="55"/>
    </row>
    <row r="508" spans="1:4">
      <c r="A508" s="65"/>
      <c r="B508" s="121"/>
      <c r="C508" s="55" t="s">
        <v>1282</v>
      </c>
      <c r="D508" s="55"/>
    </row>
    <row r="509" spans="1:4">
      <c r="A509" s="65"/>
      <c r="B509" s="121"/>
      <c r="C509" s="55" t="s">
        <v>1283</v>
      </c>
      <c r="D509" s="55"/>
    </row>
    <row r="510" spans="1:4">
      <c r="A510" s="65"/>
      <c r="B510" s="121"/>
      <c r="C510" s="55" t="s">
        <v>1284</v>
      </c>
      <c r="D510" s="55"/>
    </row>
    <row r="511" spans="1:4">
      <c r="A511" s="65"/>
      <c r="B511" s="121"/>
      <c r="C511" s="55" t="s">
        <v>1285</v>
      </c>
      <c r="D511" s="55"/>
    </row>
    <row r="512" spans="1:4">
      <c r="A512" s="65"/>
      <c r="B512" s="121"/>
      <c r="C512" s="55" t="s">
        <v>1042</v>
      </c>
      <c r="D512" s="55"/>
    </row>
    <row r="513" spans="1:4">
      <c r="A513" s="65"/>
      <c r="B513" s="121"/>
      <c r="C513" s="55" t="s">
        <v>71</v>
      </c>
      <c r="D513" s="55"/>
    </row>
    <row r="514" spans="1:4">
      <c r="A514" s="83"/>
      <c r="B514" s="69" t="s">
        <v>1286</v>
      </c>
      <c r="C514" s="58" t="s">
        <v>593</v>
      </c>
      <c r="D514" s="58"/>
    </row>
    <row r="515" spans="1:4">
      <c r="A515" s="84"/>
      <c r="B515" s="71"/>
      <c r="C515" s="58" t="s">
        <v>103</v>
      </c>
      <c r="D515" s="58"/>
    </row>
    <row r="516" spans="1:4">
      <c r="A516" s="65"/>
      <c r="B516" s="121" t="s">
        <v>572</v>
      </c>
      <c r="C516" s="55" t="s">
        <v>1287</v>
      </c>
      <c r="D516" s="55"/>
    </row>
    <row r="517" spans="1:4">
      <c r="A517" s="65"/>
      <c r="B517" s="121"/>
      <c r="C517" s="55" t="s">
        <v>113</v>
      </c>
      <c r="D517" s="55"/>
    </row>
    <row r="518" spans="1:4">
      <c r="A518" s="65"/>
      <c r="B518" s="121"/>
      <c r="C518" s="55" t="s">
        <v>1288</v>
      </c>
      <c r="D518" s="55"/>
    </row>
    <row r="519" spans="1:4">
      <c r="A519" s="65"/>
      <c r="B519" s="121"/>
      <c r="C519" s="55" t="s">
        <v>1289</v>
      </c>
      <c r="D519" s="55"/>
    </row>
    <row r="520" spans="1:4">
      <c r="A520" s="119"/>
      <c r="B520" s="69" t="s">
        <v>762</v>
      </c>
      <c r="C520" s="58" t="s">
        <v>1290</v>
      </c>
      <c r="D520" s="58"/>
    </row>
    <row r="521" spans="1:4">
      <c r="A521" s="81"/>
      <c r="B521" s="70"/>
      <c r="C521" s="58" t="s">
        <v>1291</v>
      </c>
      <c r="D521" s="58"/>
    </row>
    <row r="522" spans="1:4">
      <c r="A522" s="81"/>
      <c r="B522" s="70"/>
      <c r="C522" s="58" t="s">
        <v>1292</v>
      </c>
      <c r="D522" s="58"/>
    </row>
    <row r="523" spans="1:4">
      <c r="A523" s="81"/>
      <c r="B523" s="70"/>
      <c r="C523" s="58" t="s">
        <v>1293</v>
      </c>
      <c r="D523" s="58"/>
    </row>
    <row r="524" spans="1:4">
      <c r="A524" s="81"/>
      <c r="B524" s="70"/>
      <c r="C524" s="58" t="s">
        <v>1294</v>
      </c>
      <c r="D524" s="58"/>
    </row>
    <row r="525" spans="1:4">
      <c r="A525" s="81"/>
      <c r="B525" s="70"/>
      <c r="C525" s="58" t="s">
        <v>1295</v>
      </c>
      <c r="D525" s="58"/>
    </row>
    <row r="526" spans="1:4">
      <c r="A526" s="81"/>
      <c r="B526" s="70"/>
      <c r="C526" s="58" t="s">
        <v>1296</v>
      </c>
      <c r="D526" s="58"/>
    </row>
    <row r="527" spans="1:4">
      <c r="A527" s="81"/>
      <c r="B527" s="70"/>
      <c r="C527" s="58" t="s">
        <v>1297</v>
      </c>
      <c r="D527" s="58"/>
    </row>
    <row r="528" spans="1:4">
      <c r="A528" s="81"/>
      <c r="B528" s="70"/>
      <c r="C528" s="58" t="s">
        <v>628</v>
      </c>
      <c r="D528" s="58"/>
    </row>
    <row r="529" spans="1:4">
      <c r="A529" s="81"/>
      <c r="B529" s="70"/>
      <c r="C529" s="58" t="s">
        <v>1282</v>
      </c>
      <c r="D529" s="58"/>
    </row>
    <row r="530" spans="1:4">
      <c r="B530" s="70"/>
      <c r="C530" s="58" t="s">
        <v>1298</v>
      </c>
      <c r="D530" s="58"/>
    </row>
    <row r="531" spans="1:4" ht="15">
      <c r="A531" s="81"/>
      <c r="B531" s="70"/>
      <c r="C531" s="58" t="s">
        <v>1299</v>
      </c>
      <c r="D531" s="58" t="s">
        <v>1300</v>
      </c>
    </row>
    <row r="532" spans="1:4" ht="15">
      <c r="A532" s="81"/>
      <c r="B532" s="70"/>
      <c r="C532" s="58" t="s">
        <v>1301</v>
      </c>
      <c r="D532" s="58" t="s">
        <v>1300</v>
      </c>
    </row>
    <row r="533" spans="1:4" ht="15">
      <c r="A533" s="81"/>
      <c r="B533" s="70"/>
      <c r="C533" s="58" t="s">
        <v>1302</v>
      </c>
      <c r="D533" s="58" t="s">
        <v>1300</v>
      </c>
    </row>
    <row r="534" spans="1:4">
      <c r="A534" s="81"/>
      <c r="B534" s="70"/>
      <c r="C534" s="58" t="s">
        <v>1303</v>
      </c>
      <c r="D534" s="58"/>
    </row>
    <row r="535" spans="1:4">
      <c r="A535" s="81"/>
      <c r="B535" s="70"/>
      <c r="C535" s="58" t="s">
        <v>1304</v>
      </c>
      <c r="D535" s="58"/>
    </row>
    <row r="536" spans="1:4">
      <c r="A536" s="81"/>
      <c r="B536" s="70"/>
      <c r="C536" s="58" t="s">
        <v>1305</v>
      </c>
      <c r="D536" s="58"/>
    </row>
    <row r="537" spans="1:4">
      <c r="A537" s="81"/>
      <c r="B537" s="70"/>
      <c r="C537" s="58" t="s">
        <v>1306</v>
      </c>
      <c r="D537" s="58"/>
    </row>
    <row r="538" spans="1:4">
      <c r="A538" s="81"/>
      <c r="B538" s="70"/>
      <c r="C538" s="58" t="s">
        <v>1307</v>
      </c>
      <c r="D538" s="58"/>
    </row>
    <row r="539" spans="1:4">
      <c r="A539" s="81"/>
      <c r="B539" s="70"/>
      <c r="C539" s="58" t="s">
        <v>1308</v>
      </c>
      <c r="D539" s="58"/>
    </row>
    <row r="540" spans="1:4">
      <c r="A540" s="81"/>
      <c r="B540" s="70"/>
      <c r="C540" s="58" t="s">
        <v>1309</v>
      </c>
      <c r="D540" s="58"/>
    </row>
    <row r="541" spans="1:4">
      <c r="A541" s="81"/>
      <c r="B541" s="70"/>
      <c r="C541" s="58" t="s">
        <v>1310</v>
      </c>
      <c r="D541" s="58"/>
    </row>
    <row r="542" spans="1:4">
      <c r="A542" s="81"/>
      <c r="B542" s="70"/>
      <c r="C542" s="58" t="s">
        <v>1042</v>
      </c>
      <c r="D542" s="58"/>
    </row>
    <row r="543" spans="1:4">
      <c r="A543" s="81"/>
      <c r="B543" s="70"/>
      <c r="C543" s="58" t="s">
        <v>71</v>
      </c>
      <c r="D543" s="59"/>
    </row>
    <row r="544" spans="1:4">
      <c r="A544" s="87"/>
      <c r="B544" s="60" t="s">
        <v>766</v>
      </c>
      <c r="C544" s="55" t="s">
        <v>593</v>
      </c>
      <c r="D544" s="55"/>
    </row>
    <row r="545" spans="1:4">
      <c r="A545" s="88"/>
      <c r="B545" s="120"/>
      <c r="C545" s="55" t="s">
        <v>103</v>
      </c>
      <c r="D545" s="55"/>
    </row>
    <row r="546" spans="1:4">
      <c r="A546" s="81"/>
      <c r="B546" s="69" t="s">
        <v>767</v>
      </c>
      <c r="C546" s="58" t="s">
        <v>1311</v>
      </c>
      <c r="D546" s="58"/>
    </row>
    <row r="547" spans="1:4">
      <c r="A547" s="81"/>
      <c r="B547" s="70"/>
      <c r="C547" s="58" t="s">
        <v>1312</v>
      </c>
      <c r="D547" s="58"/>
    </row>
    <row r="548" spans="1:4">
      <c r="A548" s="81"/>
      <c r="B548" s="70"/>
      <c r="C548" s="58" t="s">
        <v>1313</v>
      </c>
      <c r="D548" s="58"/>
    </row>
    <row r="549" spans="1:4">
      <c r="A549" s="81"/>
      <c r="B549" s="70"/>
      <c r="C549" s="58" t="s">
        <v>1314</v>
      </c>
      <c r="D549" s="58"/>
    </row>
    <row r="550" spans="1:4">
      <c r="A550" s="81"/>
      <c r="B550" s="70"/>
      <c r="C550" s="58" t="s">
        <v>1315</v>
      </c>
      <c r="D550" s="58"/>
    </row>
    <row r="551" spans="1:4">
      <c r="A551" s="87"/>
      <c r="B551" s="60" t="s">
        <v>769</v>
      </c>
      <c r="C551" s="55" t="s">
        <v>593</v>
      </c>
      <c r="D551" s="55"/>
    </row>
    <row r="552" spans="1:4">
      <c r="A552" s="88"/>
      <c r="B552" s="120"/>
      <c r="C552" s="55" t="s">
        <v>103</v>
      </c>
      <c r="D552" s="55"/>
    </row>
    <row r="553" spans="1:4">
      <c r="A553" s="66"/>
      <c r="B553" s="69" t="s">
        <v>1316</v>
      </c>
      <c r="C553" s="58" t="s">
        <v>1317</v>
      </c>
      <c r="D553" s="58"/>
    </row>
    <row r="554" spans="1:4">
      <c r="A554" s="67"/>
      <c r="B554" s="67"/>
      <c r="C554" s="58" t="s">
        <v>1318</v>
      </c>
      <c r="D554" s="58"/>
    </row>
    <row r="555" spans="1:4">
      <c r="A555" s="67"/>
      <c r="B555" s="67"/>
      <c r="C555" s="58" t="s">
        <v>1319</v>
      </c>
      <c r="D555" s="58"/>
    </row>
    <row r="556" spans="1:4">
      <c r="A556" s="67"/>
      <c r="B556" s="67"/>
      <c r="C556" s="58" t="s">
        <v>1320</v>
      </c>
      <c r="D556" s="58"/>
    </row>
    <row r="557" spans="1:4">
      <c r="A557" s="67"/>
      <c r="B557" s="67"/>
      <c r="C557" s="58" t="s">
        <v>1321</v>
      </c>
      <c r="D557" s="58"/>
    </row>
    <row r="558" spans="1:4">
      <c r="A558" s="67"/>
      <c r="B558" s="67"/>
      <c r="C558" s="58" t="s">
        <v>1322</v>
      </c>
      <c r="D558" s="58"/>
    </row>
    <row r="559" spans="1:4">
      <c r="A559" s="67"/>
      <c r="B559" s="67"/>
      <c r="C559" s="58" t="s">
        <v>1323</v>
      </c>
      <c r="D559" s="58"/>
    </row>
    <row r="560" spans="1:4">
      <c r="A560" s="67"/>
      <c r="B560" s="67"/>
      <c r="C560" s="58" t="s">
        <v>1324</v>
      </c>
      <c r="D560" s="58"/>
    </row>
    <row r="561" spans="1:4">
      <c r="A561" s="67"/>
      <c r="B561" s="67"/>
      <c r="C561" s="58" t="s">
        <v>1325</v>
      </c>
      <c r="D561" s="58"/>
    </row>
    <row r="562" spans="1:4">
      <c r="A562" s="67"/>
      <c r="B562" s="67"/>
      <c r="C562" s="58" t="s">
        <v>1326</v>
      </c>
      <c r="D562" s="58"/>
    </row>
    <row r="563" spans="1:4">
      <c r="A563" s="67"/>
      <c r="B563" s="67"/>
      <c r="C563" s="58" t="s">
        <v>1327</v>
      </c>
      <c r="D563" s="58"/>
    </row>
    <row r="564" spans="1:4">
      <c r="A564" s="67"/>
      <c r="B564" s="67"/>
      <c r="C564" s="58" t="s">
        <v>1328</v>
      </c>
      <c r="D564" s="58"/>
    </row>
    <row r="565" spans="1:4">
      <c r="A565" s="67"/>
      <c r="B565" s="67"/>
      <c r="C565" s="58" t="s">
        <v>1329</v>
      </c>
      <c r="D565" s="58"/>
    </row>
    <row r="566" spans="1:4">
      <c r="A566" s="67"/>
      <c r="B566" s="67"/>
      <c r="C566" s="58" t="s">
        <v>1330</v>
      </c>
      <c r="D566" s="58"/>
    </row>
    <row r="567" spans="1:4">
      <c r="A567" s="67"/>
      <c r="B567" s="67"/>
      <c r="C567" s="58" t="s">
        <v>1331</v>
      </c>
      <c r="D567" s="58"/>
    </row>
    <row r="568" spans="1:4">
      <c r="A568" s="67"/>
      <c r="B568" s="67"/>
      <c r="C568" s="58" t="s">
        <v>1332</v>
      </c>
      <c r="D568" s="58"/>
    </row>
    <row r="569" spans="1:4">
      <c r="A569" s="67"/>
      <c r="B569" s="67"/>
      <c r="C569" s="58" t="s">
        <v>1333</v>
      </c>
      <c r="D569" s="58"/>
    </row>
    <row r="570" spans="1:4">
      <c r="A570" s="67"/>
      <c r="B570" s="67"/>
      <c r="C570" s="58" t="s">
        <v>1334</v>
      </c>
      <c r="D570" s="58"/>
    </row>
    <row r="571" spans="1:4">
      <c r="A571" s="67"/>
      <c r="B571" s="67"/>
      <c r="C571" s="58" t="s">
        <v>1335</v>
      </c>
      <c r="D571" s="58"/>
    </row>
    <row r="572" spans="1:4">
      <c r="A572" s="67"/>
      <c r="B572" s="67"/>
      <c r="C572" s="58" t="s">
        <v>1336</v>
      </c>
      <c r="D572" s="58"/>
    </row>
    <row r="573" spans="1:4">
      <c r="A573" s="67"/>
      <c r="B573" s="67"/>
      <c r="C573" s="58" t="s">
        <v>1337</v>
      </c>
      <c r="D573" s="58"/>
    </row>
    <row r="574" spans="1:4">
      <c r="A574" s="67"/>
      <c r="B574" s="67"/>
      <c r="C574" s="58" t="s">
        <v>1338</v>
      </c>
      <c r="D574" s="58"/>
    </row>
    <row r="575" spans="1:4">
      <c r="A575" s="67"/>
      <c r="B575" s="67"/>
      <c r="C575" s="58" t="s">
        <v>1339</v>
      </c>
      <c r="D575" s="58"/>
    </row>
    <row r="576" spans="1:4">
      <c r="A576" s="67"/>
      <c r="B576" s="67"/>
      <c r="C576" s="58" t="s">
        <v>1340</v>
      </c>
      <c r="D576" s="58"/>
    </row>
    <row r="577" spans="1:5">
      <c r="A577" s="67"/>
      <c r="B577" s="67"/>
      <c r="C577" s="58" t="s">
        <v>1341</v>
      </c>
      <c r="D577" s="58"/>
    </row>
    <row r="578" spans="1:5">
      <c r="A578" s="67"/>
      <c r="B578" s="67"/>
      <c r="C578" s="58" t="s">
        <v>1342</v>
      </c>
      <c r="D578" s="58"/>
    </row>
    <row r="579" spans="1:5">
      <c r="A579" s="67"/>
      <c r="B579" s="67"/>
      <c r="C579" s="58" t="s">
        <v>1343</v>
      </c>
      <c r="D579" s="58"/>
    </row>
    <row r="580" spans="1:5">
      <c r="A580" s="67"/>
      <c r="B580" s="67"/>
      <c r="C580" s="58" t="s">
        <v>1344</v>
      </c>
      <c r="D580" s="58"/>
      <c r="E580" s="15" t="s">
        <v>822</v>
      </c>
    </row>
    <row r="581" spans="1:5">
      <c r="A581" s="67"/>
      <c r="B581" s="67"/>
      <c r="C581" s="58" t="s">
        <v>1345</v>
      </c>
      <c r="D581" s="58"/>
      <c r="E581" s="15" t="s">
        <v>822</v>
      </c>
    </row>
    <row r="582" spans="1:5">
      <c r="A582" s="67"/>
      <c r="B582" s="67"/>
      <c r="C582" s="58" t="s">
        <v>1346</v>
      </c>
      <c r="D582" s="58"/>
    </row>
    <row r="583" spans="1:5">
      <c r="A583" s="67"/>
      <c r="B583" s="67"/>
      <c r="C583" s="58" t="s">
        <v>1347</v>
      </c>
      <c r="D583" s="58"/>
    </row>
    <row r="584" spans="1:5">
      <c r="A584" s="67"/>
      <c r="B584" s="67"/>
      <c r="C584" s="58" t="s">
        <v>1348</v>
      </c>
      <c r="D584" s="58"/>
    </row>
    <row r="585" spans="1:5">
      <c r="A585" s="67"/>
      <c r="B585" s="67"/>
      <c r="C585" s="58" t="s">
        <v>1349</v>
      </c>
      <c r="D585" s="58"/>
    </row>
    <row r="586" spans="1:5">
      <c r="A586" s="67"/>
      <c r="B586" s="67"/>
      <c r="C586" s="58" t="s">
        <v>1350</v>
      </c>
      <c r="D586" s="58"/>
    </row>
    <row r="587" spans="1:5">
      <c r="A587" s="67"/>
      <c r="B587" s="67"/>
      <c r="C587" s="58" t="s">
        <v>1351</v>
      </c>
      <c r="D587" s="58"/>
    </row>
    <row r="588" spans="1:5">
      <c r="A588" s="67"/>
      <c r="B588" s="67"/>
      <c r="C588" s="58" t="s">
        <v>1352</v>
      </c>
      <c r="D588" s="58"/>
    </row>
    <row r="589" spans="1:5">
      <c r="A589" s="67"/>
      <c r="B589" s="67"/>
      <c r="C589" s="58" t="s">
        <v>1353</v>
      </c>
      <c r="D589" s="58"/>
    </row>
    <row r="590" spans="1:5">
      <c r="A590" s="67"/>
      <c r="B590" s="67"/>
      <c r="C590" s="58" t="s">
        <v>1354</v>
      </c>
      <c r="D590" s="58"/>
    </row>
    <row r="591" spans="1:5">
      <c r="A591" s="68"/>
      <c r="B591" s="68"/>
      <c r="C591" s="58" t="s">
        <v>1355</v>
      </c>
      <c r="D591" s="58"/>
    </row>
    <row r="592" spans="1:5">
      <c r="A592" s="65"/>
      <c r="B592" s="121" t="s">
        <v>760</v>
      </c>
      <c r="C592" s="55" t="s">
        <v>1356</v>
      </c>
      <c r="D592" s="55"/>
    </row>
    <row r="593" spans="1:5">
      <c r="A593" s="65"/>
      <c r="B593" s="121"/>
      <c r="C593" s="55" t="s">
        <v>1357</v>
      </c>
      <c r="D593" s="55"/>
    </row>
    <row r="594" spans="1:5">
      <c r="A594" s="65"/>
      <c r="B594" s="121"/>
      <c r="C594" s="55" t="s">
        <v>71</v>
      </c>
      <c r="D594" s="55"/>
    </row>
    <row r="595" spans="1:5">
      <c r="A595" s="69"/>
      <c r="B595" s="75" t="s">
        <v>91</v>
      </c>
      <c r="C595" s="58" t="s">
        <v>593</v>
      </c>
      <c r="D595" s="58"/>
      <c r="E595" s="128"/>
    </row>
    <row r="596" spans="1:5">
      <c r="A596" s="122"/>
      <c r="B596" s="124"/>
      <c r="C596" s="123" t="s">
        <v>103</v>
      </c>
      <c r="D596" s="58"/>
    </row>
    <row r="597" spans="1:5">
      <c r="A597" s="116"/>
      <c r="B597" s="116" t="s">
        <v>636</v>
      </c>
      <c r="C597" s="55" t="s">
        <v>1358</v>
      </c>
      <c r="D597" s="55"/>
    </row>
    <row r="598" spans="1:5">
      <c r="A598" s="65"/>
      <c r="B598" s="65"/>
      <c r="C598" s="55" t="s">
        <v>645</v>
      </c>
      <c r="D598" s="55"/>
    </row>
    <row r="599" spans="1:5">
      <c r="A599" s="65"/>
      <c r="B599" s="65"/>
      <c r="C599" s="55" t="s">
        <v>1359</v>
      </c>
      <c r="D599" s="55"/>
    </row>
    <row r="600" spans="1:5">
      <c r="A600" s="65"/>
      <c r="B600" s="65"/>
      <c r="C600" s="55" t="s">
        <v>1360</v>
      </c>
      <c r="D600" s="55"/>
    </row>
    <row r="601" spans="1:5">
      <c r="A601" s="65"/>
      <c r="B601" s="65"/>
      <c r="C601" s="55" t="s">
        <v>1361</v>
      </c>
      <c r="D601" s="55"/>
    </row>
    <row r="602" spans="1:5">
      <c r="A602" s="65"/>
      <c r="B602" s="65"/>
      <c r="C602" s="55" t="s">
        <v>1362</v>
      </c>
      <c r="D602" s="55"/>
    </row>
    <row r="603" spans="1:5">
      <c r="A603" s="65"/>
      <c r="B603" s="65"/>
      <c r="C603" s="55" t="s">
        <v>652</v>
      </c>
      <c r="D603" s="55"/>
    </row>
    <row r="604" spans="1:5">
      <c r="A604" s="65"/>
      <c r="B604" s="65"/>
      <c r="C604" s="55" t="s">
        <v>1363</v>
      </c>
      <c r="D604" s="55"/>
    </row>
    <row r="605" spans="1:5">
      <c r="A605" s="65"/>
      <c r="B605" s="65"/>
      <c r="C605" s="55" t="s">
        <v>1364</v>
      </c>
      <c r="D605" s="55"/>
    </row>
    <row r="606" spans="1:5">
      <c r="A606" s="65"/>
      <c r="B606" s="65"/>
      <c r="C606" s="55" t="s">
        <v>1365</v>
      </c>
      <c r="D606" s="55"/>
    </row>
    <row r="607" spans="1:5">
      <c r="A607" s="65"/>
      <c r="B607" s="65"/>
      <c r="C607" s="55" t="s">
        <v>1366</v>
      </c>
      <c r="D607" s="55"/>
    </row>
    <row r="608" spans="1:5">
      <c r="A608" s="65"/>
      <c r="B608" s="65"/>
      <c r="C608" s="55" t="s">
        <v>1367</v>
      </c>
      <c r="D608" s="55"/>
    </row>
    <row r="609" spans="1:5">
      <c r="A609" s="65"/>
      <c r="B609" s="65"/>
      <c r="C609" s="55" t="s">
        <v>691</v>
      </c>
      <c r="D609" s="55"/>
    </row>
    <row r="610" spans="1:5">
      <c r="A610" s="65"/>
      <c r="B610" s="65"/>
      <c r="C610" s="55" t="s">
        <v>1368</v>
      </c>
      <c r="D610" s="55"/>
    </row>
    <row r="611" spans="1:5">
      <c r="A611" s="65"/>
      <c r="B611" s="65"/>
      <c r="C611" s="55" t="s">
        <v>1369</v>
      </c>
      <c r="D611" s="55"/>
    </row>
    <row r="612" spans="1:5">
      <c r="A612" s="65"/>
      <c r="B612" s="65"/>
      <c r="C612" s="55" t="s">
        <v>699</v>
      </c>
      <c r="D612" s="55"/>
    </row>
    <row r="613" spans="1:5">
      <c r="A613" s="65"/>
      <c r="B613" s="65"/>
      <c r="C613" s="55" t="s">
        <v>1370</v>
      </c>
      <c r="D613" s="55"/>
    </row>
    <row r="614" spans="1:5">
      <c r="A614" s="65"/>
      <c r="B614" s="65"/>
      <c r="C614" s="55" t="s">
        <v>1371</v>
      </c>
      <c r="D614" s="55"/>
    </row>
    <row r="615" spans="1:5">
      <c r="A615" s="65"/>
      <c r="B615" s="65"/>
      <c r="C615" s="55" t="s">
        <v>1372</v>
      </c>
      <c r="D615" s="55"/>
    </row>
    <row r="616" spans="1:5">
      <c r="A616" s="65"/>
      <c r="B616" s="65"/>
      <c r="C616" s="55" t="s">
        <v>1373</v>
      </c>
      <c r="D616" s="55"/>
    </row>
    <row r="617" spans="1:5">
      <c r="A617" s="65"/>
      <c r="B617" s="65"/>
      <c r="C617" s="55" t="s">
        <v>1374</v>
      </c>
      <c r="D617" s="55"/>
    </row>
    <row r="618" spans="1:5">
      <c r="A618" s="65"/>
      <c r="B618" s="65"/>
      <c r="C618" s="55" t="s">
        <v>1375</v>
      </c>
      <c r="D618" s="55"/>
    </row>
    <row r="619" spans="1:5">
      <c r="A619" s="65"/>
      <c r="B619" s="65"/>
      <c r="C619" s="55" t="s">
        <v>1376</v>
      </c>
      <c r="D619" s="55"/>
    </row>
    <row r="620" spans="1:5">
      <c r="A620" s="65"/>
      <c r="B620" s="65"/>
      <c r="C620" s="55" t="s">
        <v>665</v>
      </c>
      <c r="D620" s="55"/>
    </row>
    <row r="621" spans="1:5">
      <c r="A621" s="65"/>
      <c r="B621" s="65"/>
      <c r="C621" s="55" t="s">
        <v>1377</v>
      </c>
      <c r="D621" s="55"/>
      <c r="E621" s="15" t="s">
        <v>822</v>
      </c>
    </row>
    <row r="622" spans="1:5">
      <c r="A622" s="69"/>
      <c r="B622" s="69" t="s">
        <v>783</v>
      </c>
      <c r="C622" s="58" t="s">
        <v>1378</v>
      </c>
      <c r="D622" s="58"/>
    </row>
    <row r="623" spans="1:5">
      <c r="A623" s="70"/>
      <c r="B623" s="70"/>
      <c r="C623" s="58" t="s">
        <v>1379</v>
      </c>
      <c r="D623" s="58"/>
    </row>
    <row r="624" spans="1:5">
      <c r="A624" s="70"/>
      <c r="B624" s="70"/>
      <c r="C624" s="58" t="s">
        <v>1380</v>
      </c>
      <c r="D624" s="58"/>
    </row>
    <row r="625" spans="1:5">
      <c r="A625" s="70"/>
      <c r="B625" s="70"/>
      <c r="C625" s="58" t="s">
        <v>1381</v>
      </c>
      <c r="D625" s="58"/>
    </row>
    <row r="626" spans="1:5">
      <c r="A626" s="70"/>
      <c r="B626" s="70"/>
      <c r="C626" s="58" t="s">
        <v>1382</v>
      </c>
      <c r="D626" s="58"/>
      <c r="E626" s="15" t="s">
        <v>822</v>
      </c>
    </row>
    <row r="627" spans="1:5">
      <c r="A627" s="70"/>
      <c r="B627" s="70"/>
      <c r="C627" s="58" t="s">
        <v>1383</v>
      </c>
      <c r="D627" s="58"/>
    </row>
    <row r="628" spans="1:5">
      <c r="A628" s="70"/>
      <c r="B628" s="70"/>
      <c r="C628" s="58" t="s">
        <v>1384</v>
      </c>
      <c r="D628" s="58"/>
    </row>
    <row r="629" spans="1:5">
      <c r="A629" s="70"/>
      <c r="B629" s="70"/>
      <c r="C629" s="58" t="s">
        <v>199</v>
      </c>
      <c r="D629" s="58"/>
    </row>
    <row r="630" spans="1:5">
      <c r="A630" s="70"/>
      <c r="B630" s="70"/>
      <c r="C630" s="58" t="s">
        <v>1385</v>
      </c>
      <c r="D630" s="58"/>
    </row>
    <row r="631" spans="1:5">
      <c r="A631" s="70"/>
      <c r="B631" s="70"/>
      <c r="C631" s="58" t="s">
        <v>1386</v>
      </c>
      <c r="D631" s="58"/>
    </row>
    <row r="632" spans="1:5">
      <c r="A632" s="70"/>
      <c r="B632" s="70"/>
      <c r="C632" s="58" t="s">
        <v>1387</v>
      </c>
      <c r="D632" s="58"/>
    </row>
    <row r="633" spans="1:5">
      <c r="A633" s="71"/>
      <c r="B633" s="71"/>
      <c r="C633" s="58" t="s">
        <v>71</v>
      </c>
      <c r="D633" s="58"/>
    </row>
    <row r="634" spans="1:5">
      <c r="A634" s="65"/>
      <c r="B634" s="121" t="s">
        <v>784</v>
      </c>
      <c r="C634" s="55" t="s">
        <v>1388</v>
      </c>
      <c r="D634" s="55" t="s">
        <v>1389</v>
      </c>
    </row>
    <row r="635" spans="1:5">
      <c r="A635" s="65"/>
      <c r="B635" s="121"/>
      <c r="C635" s="55" t="s">
        <v>1390</v>
      </c>
      <c r="D635" s="55" t="s">
        <v>1391</v>
      </c>
    </row>
    <row r="636" spans="1:5">
      <c r="A636" s="65"/>
      <c r="B636" s="121"/>
      <c r="C636" s="55" t="s">
        <v>1392</v>
      </c>
      <c r="D636" s="55" t="s">
        <v>1393</v>
      </c>
    </row>
    <row r="637" spans="1:5">
      <c r="A637" s="65"/>
      <c r="B637" s="121"/>
      <c r="C637" s="55" t="s">
        <v>1394</v>
      </c>
      <c r="D637" s="55" t="s">
        <v>1395</v>
      </c>
    </row>
    <row r="638" spans="1:5">
      <c r="A638" s="65"/>
      <c r="B638" s="121"/>
      <c r="C638" s="55" t="s">
        <v>1396</v>
      </c>
      <c r="D638" s="55" t="s">
        <v>1397</v>
      </c>
    </row>
    <row r="639" spans="1:5">
      <c r="A639" s="65"/>
      <c r="B639" s="121"/>
      <c r="C639" s="55" t="s">
        <v>1398</v>
      </c>
      <c r="D639" s="55" t="s">
        <v>1399</v>
      </c>
    </row>
    <row r="640" spans="1:5">
      <c r="A640" s="65"/>
      <c r="B640" s="121"/>
      <c r="C640" s="55" t="s">
        <v>1400</v>
      </c>
      <c r="D640" s="55" t="s">
        <v>1401</v>
      </c>
    </row>
    <row r="641" spans="1:4">
      <c r="A641" s="65"/>
      <c r="B641" s="121"/>
      <c r="C641" s="55" t="s">
        <v>1402</v>
      </c>
      <c r="D641" s="55" t="s">
        <v>1402</v>
      </c>
    </row>
    <row r="642" spans="1:4">
      <c r="A642" s="65"/>
      <c r="B642" s="121"/>
      <c r="C642" s="55" t="s">
        <v>71</v>
      </c>
      <c r="D642" s="55"/>
    </row>
    <row r="643" spans="1:4">
      <c r="A643" s="72"/>
      <c r="B643" s="72" t="s">
        <v>1403</v>
      </c>
      <c r="C643" s="58" t="s">
        <v>1404</v>
      </c>
      <c r="D643" s="58" t="s">
        <v>1405</v>
      </c>
    </row>
    <row r="644" spans="1:4">
      <c r="A644" s="73"/>
      <c r="B644" s="73"/>
      <c r="C644" s="58" t="s">
        <v>1406</v>
      </c>
      <c r="D644" s="58" t="s">
        <v>1407</v>
      </c>
    </row>
    <row r="645" spans="1:4">
      <c r="A645" s="73"/>
      <c r="B645" s="73"/>
      <c r="C645" s="58" t="s">
        <v>1408</v>
      </c>
      <c r="D645" s="58" t="s">
        <v>1409</v>
      </c>
    </row>
    <row r="646" spans="1:4">
      <c r="A646" s="73"/>
      <c r="B646" s="73"/>
      <c r="C646" s="58" t="s">
        <v>1410</v>
      </c>
      <c r="D646" s="58" t="s">
        <v>1411</v>
      </c>
    </row>
    <row r="647" spans="1:4">
      <c r="A647" s="73"/>
      <c r="B647" s="73"/>
      <c r="C647" s="58" t="s">
        <v>1412</v>
      </c>
      <c r="D647" s="58"/>
    </row>
    <row r="648" spans="1:4">
      <c r="A648" s="74"/>
      <c r="B648" s="74"/>
      <c r="C648" s="58" t="s">
        <v>71</v>
      </c>
      <c r="D648" s="58"/>
    </row>
    <row r="649" spans="1:4">
      <c r="A649" s="65"/>
      <c r="B649" s="121" t="s">
        <v>577</v>
      </c>
      <c r="C649" s="55" t="s">
        <v>589</v>
      </c>
      <c r="D649" s="55"/>
    </row>
    <row r="650" spans="1:4">
      <c r="A650" s="65"/>
      <c r="B650" s="121"/>
      <c r="C650" s="55" t="s">
        <v>1413</v>
      </c>
      <c r="D650" s="55"/>
    </row>
    <row r="651" spans="1:4">
      <c r="A651" s="65"/>
      <c r="B651" s="121"/>
      <c r="C651" s="55" t="s">
        <v>610</v>
      </c>
      <c r="D651" s="55"/>
    </row>
    <row r="652" spans="1:4">
      <c r="A652" s="65"/>
      <c r="B652" s="121"/>
      <c r="C652" s="55" t="s">
        <v>1414</v>
      </c>
      <c r="D652" s="55"/>
    </row>
    <row r="653" spans="1:4">
      <c r="A653" s="65"/>
      <c r="B653" s="121"/>
      <c r="C653" s="55" t="s">
        <v>71</v>
      </c>
      <c r="D653" s="55"/>
    </row>
    <row r="654" spans="1:4">
      <c r="A654" s="72"/>
      <c r="B654" s="72" t="s">
        <v>578</v>
      </c>
      <c r="C654" s="58" t="s">
        <v>594</v>
      </c>
      <c r="D654" s="58"/>
    </row>
    <row r="655" spans="1:4">
      <c r="A655" s="73"/>
      <c r="B655" s="73"/>
      <c r="C655" s="58" t="s">
        <v>590</v>
      </c>
      <c r="D655" s="58"/>
    </row>
    <row r="656" spans="1:4">
      <c r="A656" s="65"/>
      <c r="B656" s="121" t="s">
        <v>22</v>
      </c>
      <c r="C656" s="55" t="s">
        <v>36</v>
      </c>
      <c r="D656" s="55"/>
    </row>
    <row r="657" spans="1:4">
      <c r="A657" s="65"/>
      <c r="B657" s="121"/>
      <c r="C657" s="55" t="s">
        <v>1415</v>
      </c>
      <c r="D657" s="55"/>
    </row>
    <row r="658" spans="1:4">
      <c r="A658" s="72"/>
      <c r="B658" s="72" t="s">
        <v>740</v>
      </c>
      <c r="C658" s="58" t="s">
        <v>1416</v>
      </c>
      <c r="D658" s="58"/>
    </row>
    <row r="659" spans="1:4">
      <c r="A659" s="73"/>
      <c r="B659" s="73"/>
      <c r="C659" s="58" t="s">
        <v>1417</v>
      </c>
      <c r="D659" s="58"/>
    </row>
    <row r="660" spans="1:4">
      <c r="A660" s="73"/>
      <c r="B660" s="73"/>
      <c r="C660" s="58" t="s">
        <v>1418</v>
      </c>
      <c r="D660" s="58"/>
    </row>
    <row r="661" spans="1:4">
      <c r="A661" s="73"/>
      <c r="B661" s="73"/>
      <c r="C661" s="58" t="s">
        <v>1419</v>
      </c>
      <c r="D661" s="58"/>
    </row>
    <row r="662" spans="1:4">
      <c r="A662" s="73"/>
      <c r="B662" s="73"/>
      <c r="C662" s="58" t="s">
        <v>1420</v>
      </c>
      <c r="D662" s="58"/>
    </row>
    <row r="663" spans="1:4">
      <c r="A663" s="73"/>
      <c r="B663" s="73"/>
      <c r="C663" s="58" t="s">
        <v>1421</v>
      </c>
      <c r="D663" s="58"/>
    </row>
    <row r="664" spans="1:4">
      <c r="A664" s="73"/>
      <c r="B664" s="73"/>
      <c r="C664" s="58" t="s">
        <v>71</v>
      </c>
      <c r="D664" s="58"/>
    </row>
    <row r="665" spans="1:4">
      <c r="A665" s="74"/>
      <c r="B665" s="74"/>
      <c r="C665" s="58" t="s">
        <v>1422</v>
      </c>
      <c r="D665" s="58"/>
    </row>
    <row r="666" spans="1:4">
      <c r="A666" s="65"/>
      <c r="B666" s="121" t="s">
        <v>741</v>
      </c>
      <c r="C666" s="55" t="s">
        <v>1423</v>
      </c>
      <c r="D666" s="55"/>
    </row>
    <row r="667" spans="1:4">
      <c r="A667" s="65"/>
      <c r="B667" s="121"/>
      <c r="C667" s="55" t="s">
        <v>1424</v>
      </c>
      <c r="D667" s="55"/>
    </row>
    <row r="668" spans="1:4">
      <c r="A668" s="72"/>
      <c r="B668" s="72" t="s">
        <v>89</v>
      </c>
      <c r="C668" s="58" t="s">
        <v>1425</v>
      </c>
      <c r="D668" s="58"/>
    </row>
    <row r="669" spans="1:4">
      <c r="A669" s="73"/>
      <c r="B669" s="73"/>
      <c r="C669" s="58" t="s">
        <v>1426</v>
      </c>
      <c r="D669" s="58"/>
    </row>
    <row r="670" spans="1:4">
      <c r="A670" s="73"/>
      <c r="B670" s="73"/>
      <c r="C670" s="58" t="s">
        <v>1427</v>
      </c>
      <c r="D670" s="58"/>
    </row>
    <row r="671" spans="1:4">
      <c r="A671" s="73"/>
      <c r="B671" s="73"/>
      <c r="C671" s="58" t="s">
        <v>1428</v>
      </c>
      <c r="D671" s="58"/>
    </row>
    <row r="672" spans="1:4">
      <c r="A672" s="73"/>
      <c r="B672" s="73"/>
      <c r="C672" s="58" t="s">
        <v>1429</v>
      </c>
      <c r="D672" s="58"/>
    </row>
    <row r="673" spans="1:4">
      <c r="A673" s="73"/>
      <c r="B673" s="73"/>
      <c r="C673" s="58" t="s">
        <v>1430</v>
      </c>
      <c r="D673" s="58"/>
    </row>
    <row r="674" spans="1:4">
      <c r="A674" s="73"/>
      <c r="B674" s="73"/>
      <c r="C674" s="58" t="s">
        <v>1431</v>
      </c>
      <c r="D674" s="58"/>
    </row>
    <row r="675" spans="1:4">
      <c r="A675" s="73"/>
      <c r="B675" s="73"/>
      <c r="C675" s="58" t="s">
        <v>1432</v>
      </c>
      <c r="D675" s="58"/>
    </row>
    <row r="676" spans="1:4">
      <c r="A676" s="73"/>
      <c r="B676" s="73"/>
      <c r="C676" s="58" t="s">
        <v>1433</v>
      </c>
      <c r="D676" s="58"/>
    </row>
    <row r="677" spans="1:4">
      <c r="A677" s="73"/>
      <c r="B677" s="73"/>
      <c r="C677" s="58" t="s">
        <v>1434</v>
      </c>
      <c r="D677" s="58"/>
    </row>
    <row r="678" spans="1:4">
      <c r="A678" s="73"/>
      <c r="B678" s="73"/>
      <c r="C678" s="58" t="s">
        <v>665</v>
      </c>
      <c r="D678" s="58"/>
    </row>
    <row r="679" spans="1:4">
      <c r="A679" s="74"/>
      <c r="B679" s="74"/>
      <c r="C679" s="58" t="s">
        <v>1422</v>
      </c>
      <c r="D679" s="58"/>
    </row>
    <row r="680" spans="1:4">
      <c r="A680" s="94"/>
      <c r="B680" s="94" t="s">
        <v>744</v>
      </c>
      <c r="C680" s="55" t="s">
        <v>1416</v>
      </c>
      <c r="D680" s="55"/>
    </row>
    <row r="681" spans="1:4">
      <c r="A681" s="96"/>
      <c r="B681" s="96"/>
      <c r="C681" s="55" t="s">
        <v>1417</v>
      </c>
      <c r="D681" s="55"/>
    </row>
    <row r="682" spans="1:4">
      <c r="A682" s="96"/>
      <c r="B682" s="96"/>
      <c r="C682" s="55" t="s">
        <v>1418</v>
      </c>
      <c r="D682" s="55"/>
    </row>
    <row r="683" spans="1:4">
      <c r="A683" s="96"/>
      <c r="B683" s="96"/>
      <c r="C683" s="55" t="s">
        <v>1419</v>
      </c>
      <c r="D683" s="55"/>
    </row>
    <row r="684" spans="1:4">
      <c r="A684" s="96"/>
      <c r="B684" s="96"/>
      <c r="C684" s="55" t="s">
        <v>1420</v>
      </c>
      <c r="D684" s="55"/>
    </row>
    <row r="685" spans="1:4">
      <c r="A685" s="96"/>
      <c r="B685" s="96"/>
      <c r="C685" s="55" t="s">
        <v>1421</v>
      </c>
      <c r="D685" s="55"/>
    </row>
    <row r="686" spans="1:4">
      <c r="A686" s="96"/>
      <c r="B686" s="96"/>
      <c r="C686" s="55" t="s">
        <v>71</v>
      </c>
      <c r="D686" s="55"/>
    </row>
    <row r="687" spans="1:4">
      <c r="A687" s="96"/>
      <c r="B687" s="96"/>
      <c r="C687" s="55" t="s">
        <v>1422</v>
      </c>
      <c r="D687" s="55"/>
    </row>
    <row r="688" spans="1:4">
      <c r="A688" s="72"/>
      <c r="B688" s="69" t="s">
        <v>1435</v>
      </c>
      <c r="C688" s="58" t="s">
        <v>1436</v>
      </c>
      <c r="D688" s="58"/>
    </row>
    <row r="689" spans="1:4">
      <c r="A689" s="73"/>
      <c r="B689" s="71"/>
      <c r="C689" s="58" t="s">
        <v>1437</v>
      </c>
      <c r="D689" s="58"/>
    </row>
    <row r="690" spans="1:4">
      <c r="A690" s="94"/>
      <c r="B690" s="94" t="s">
        <v>743</v>
      </c>
      <c r="C690" s="55" t="s">
        <v>1438</v>
      </c>
      <c r="D690" s="55"/>
    </row>
    <row r="691" spans="1:4">
      <c r="A691" s="96"/>
      <c r="B691" s="96"/>
      <c r="C691" s="55" t="s">
        <v>1439</v>
      </c>
      <c r="D691" s="55"/>
    </row>
    <row r="692" spans="1:4">
      <c r="A692" s="72"/>
      <c r="B692" s="72" t="s">
        <v>735</v>
      </c>
      <c r="C692" s="58" t="s">
        <v>1440</v>
      </c>
      <c r="D692" s="58"/>
    </row>
    <row r="693" spans="1:4">
      <c r="A693" s="73"/>
      <c r="B693" s="73"/>
      <c r="C693" s="58" t="s">
        <v>1279</v>
      </c>
      <c r="D693" s="58"/>
    </row>
    <row r="694" spans="1:4">
      <c r="A694" s="73"/>
      <c r="B694" s="73"/>
      <c r="C694" s="58" t="s">
        <v>1441</v>
      </c>
      <c r="D694" s="58"/>
    </row>
    <row r="695" spans="1:4">
      <c r="A695" s="73"/>
      <c r="B695" s="73"/>
      <c r="C695" s="58" t="s">
        <v>1442</v>
      </c>
      <c r="D695" s="58"/>
    </row>
    <row r="696" spans="1:4">
      <c r="A696" s="73"/>
      <c r="B696" s="73"/>
      <c r="C696" s="58" t="s">
        <v>273</v>
      </c>
      <c r="D696" s="58"/>
    </row>
    <row r="697" spans="1:4">
      <c r="A697" s="73"/>
      <c r="B697" s="73"/>
      <c r="C697" s="58" t="s">
        <v>86</v>
      </c>
      <c r="D697" s="58"/>
    </row>
    <row r="698" spans="1:4">
      <c r="A698" s="73"/>
      <c r="B698" s="73"/>
      <c r="C698" s="58" t="s">
        <v>1443</v>
      </c>
      <c r="D698" s="58"/>
    </row>
    <row r="699" spans="1:4">
      <c r="A699" s="73"/>
      <c r="B699" s="73"/>
      <c r="C699" s="58" t="s">
        <v>1444</v>
      </c>
      <c r="D699" s="58"/>
    </row>
    <row r="700" spans="1:4">
      <c r="A700" s="73"/>
      <c r="B700" s="73"/>
      <c r="C700" s="58" t="s">
        <v>71</v>
      </c>
      <c r="D700" s="58"/>
    </row>
    <row r="701" spans="1:4">
      <c r="A701" s="94"/>
      <c r="B701" s="94" t="s">
        <v>736</v>
      </c>
      <c r="C701" s="55" t="s">
        <v>1011</v>
      </c>
      <c r="D701" s="55"/>
    </row>
    <row r="702" spans="1:4">
      <c r="A702" s="96"/>
      <c r="B702" s="96"/>
      <c r="C702" s="55" t="s">
        <v>1012</v>
      </c>
      <c r="D702" s="55"/>
    </row>
    <row r="703" spans="1:4">
      <c r="A703" s="96"/>
      <c r="B703" s="96"/>
      <c r="C703" s="55" t="s">
        <v>1013</v>
      </c>
      <c r="D703" s="55"/>
    </row>
    <row r="704" spans="1:4">
      <c r="A704" s="96"/>
      <c r="B704" s="96"/>
      <c r="C704" s="55" t="s">
        <v>348</v>
      </c>
      <c r="D704" s="55"/>
    </row>
    <row r="705" spans="1:5">
      <c r="A705" s="96"/>
      <c r="B705" s="96"/>
      <c r="C705" s="55" t="s">
        <v>146</v>
      </c>
      <c r="D705" s="55"/>
    </row>
    <row r="706" spans="1:5">
      <c r="A706" s="96"/>
      <c r="B706" s="96"/>
      <c r="C706" s="55" t="s">
        <v>128</v>
      </c>
      <c r="D706" s="55"/>
    </row>
    <row r="707" spans="1:5">
      <c r="A707" s="96"/>
      <c r="B707" s="96"/>
      <c r="C707" s="55" t="s">
        <v>225</v>
      </c>
      <c r="D707" s="55"/>
    </row>
    <row r="708" spans="1:5">
      <c r="A708" s="96"/>
      <c r="B708" s="96"/>
      <c r="C708" s="55" t="s">
        <v>1015</v>
      </c>
      <c r="D708" s="55"/>
    </row>
    <row r="709" spans="1:5">
      <c r="A709" s="96"/>
      <c r="B709" s="96"/>
      <c r="C709" s="55" t="s">
        <v>102</v>
      </c>
      <c r="D709" s="55"/>
    </row>
    <row r="710" spans="1:5">
      <c r="A710" s="96"/>
      <c r="B710" s="96"/>
      <c r="C710" s="55" t="s">
        <v>279</v>
      </c>
      <c r="D710" s="55"/>
    </row>
    <row r="711" spans="1:5">
      <c r="A711" s="96"/>
      <c r="B711" s="96"/>
      <c r="C711" s="55" t="s">
        <v>140</v>
      </c>
      <c r="D711" s="55"/>
    </row>
    <row r="712" spans="1:5">
      <c r="A712" s="96"/>
      <c r="B712" s="96"/>
      <c r="C712" s="55" t="s">
        <v>209</v>
      </c>
      <c r="D712" s="55"/>
    </row>
    <row r="713" spans="1:5">
      <c r="A713" s="96"/>
      <c r="B713" s="96"/>
      <c r="C713" s="55" t="s">
        <v>1016</v>
      </c>
      <c r="D713" s="55"/>
    </row>
    <row r="714" spans="1:5">
      <c r="A714" s="96"/>
      <c r="B714" s="96"/>
      <c r="C714" s="55" t="s">
        <v>1017</v>
      </c>
      <c r="D714" s="55"/>
    </row>
    <row r="715" spans="1:5">
      <c r="A715" s="96"/>
      <c r="B715" s="96"/>
      <c r="C715" s="55" t="s">
        <v>586</v>
      </c>
      <c r="D715" s="55"/>
    </row>
    <row r="716" spans="1:5">
      <c r="A716" s="96"/>
      <c r="B716" s="96"/>
      <c r="C716" s="55" t="s">
        <v>1018</v>
      </c>
      <c r="D716" s="55" t="s">
        <v>1019</v>
      </c>
      <c r="E716" s="15" t="s">
        <v>822</v>
      </c>
    </row>
    <row r="717" spans="1:5">
      <c r="A717" s="96"/>
      <c r="B717" s="96"/>
      <c r="C717" s="55" t="s">
        <v>335</v>
      </c>
      <c r="D717" s="55"/>
    </row>
    <row r="718" spans="1:5">
      <c r="A718" s="96"/>
      <c r="B718" s="96"/>
      <c r="C718" s="55" t="s">
        <v>1020</v>
      </c>
      <c r="D718" s="55"/>
    </row>
    <row r="719" spans="1:5">
      <c r="A719" s="96"/>
      <c r="B719" s="96"/>
      <c r="C719" s="55" t="s">
        <v>1021</v>
      </c>
      <c r="D719" s="55"/>
    </row>
    <row r="720" spans="1:5">
      <c r="A720" s="96"/>
      <c r="B720" s="96"/>
      <c r="C720" s="55" t="s">
        <v>1022</v>
      </c>
      <c r="D720" s="55"/>
    </row>
    <row r="721" spans="1:4">
      <c r="A721" s="96"/>
      <c r="B721" s="96"/>
      <c r="C721" s="55" t="s">
        <v>1023</v>
      </c>
      <c r="D721" s="55"/>
    </row>
    <row r="722" spans="1:4">
      <c r="A722" s="96"/>
      <c r="B722" s="96"/>
      <c r="C722" s="55" t="s">
        <v>1024</v>
      </c>
      <c r="D722" s="55"/>
    </row>
    <row r="723" spans="1:4">
      <c r="A723" s="96"/>
      <c r="B723" s="96"/>
      <c r="C723" s="55" t="s">
        <v>1025</v>
      </c>
      <c r="D723" s="55"/>
    </row>
    <row r="724" spans="1:4">
      <c r="A724" s="96"/>
      <c r="B724" s="96"/>
      <c r="C724" s="55" t="s">
        <v>599</v>
      </c>
      <c r="D724" s="55"/>
    </row>
    <row r="725" spans="1:4">
      <c r="A725" s="96"/>
      <c r="B725" s="96"/>
      <c r="C725" s="55" t="s">
        <v>199</v>
      </c>
      <c r="D725" s="55"/>
    </row>
    <row r="726" spans="1:4">
      <c r="A726" s="96"/>
      <c r="B726" s="96"/>
      <c r="C726" s="55" t="s">
        <v>363</v>
      </c>
      <c r="D726" s="55"/>
    </row>
    <row r="727" spans="1:4">
      <c r="A727" s="96"/>
      <c r="B727" s="96"/>
      <c r="C727" s="55" t="s">
        <v>114</v>
      </c>
      <c r="D727" s="55"/>
    </row>
    <row r="728" spans="1:4">
      <c r="A728" s="96"/>
      <c r="B728" s="96"/>
      <c r="C728" s="55" t="s">
        <v>1026</v>
      </c>
      <c r="D728" s="55"/>
    </row>
    <row r="729" spans="1:4">
      <c r="A729" s="96"/>
      <c r="B729" s="96"/>
      <c r="C729" s="55" t="s">
        <v>1027</v>
      </c>
      <c r="D729" s="55"/>
    </row>
    <row r="730" spans="1:4">
      <c r="A730" s="96"/>
      <c r="B730" s="96"/>
      <c r="C730" s="55" t="s">
        <v>306</v>
      </c>
      <c r="D730" s="55"/>
    </row>
    <row r="731" spans="1:4">
      <c r="A731" s="96"/>
      <c r="B731" s="96"/>
      <c r="C731" s="55" t="s">
        <v>1028</v>
      </c>
      <c r="D731" s="55"/>
    </row>
    <row r="732" spans="1:4">
      <c r="A732" s="96"/>
      <c r="B732" s="96"/>
      <c r="C732" s="55" t="s">
        <v>1029</v>
      </c>
      <c r="D732" s="55"/>
    </row>
    <row r="733" spans="1:4">
      <c r="A733" s="96"/>
      <c r="B733" s="96"/>
      <c r="C733" s="55" t="s">
        <v>1030</v>
      </c>
      <c r="D733" s="55"/>
    </row>
    <row r="734" spans="1:4">
      <c r="A734" s="96"/>
      <c r="B734" s="96"/>
      <c r="C734" s="55" t="s">
        <v>1031</v>
      </c>
      <c r="D734" s="55"/>
    </row>
    <row r="735" spans="1:4">
      <c r="A735" s="96"/>
      <c r="B735" s="96"/>
      <c r="C735" s="55" t="s">
        <v>1032</v>
      </c>
      <c r="D735" s="55"/>
    </row>
    <row r="736" spans="1:4">
      <c r="A736" s="96"/>
      <c r="B736" s="96"/>
      <c r="C736" s="55" t="s">
        <v>1033</v>
      </c>
      <c r="D736" s="55"/>
    </row>
    <row r="737" spans="1:4">
      <c r="A737" s="96"/>
      <c r="B737" s="96"/>
      <c r="C737" s="55" t="s">
        <v>1034</v>
      </c>
      <c r="D737" s="55"/>
    </row>
    <row r="738" spans="1:4">
      <c r="A738" s="96"/>
      <c r="B738" s="96"/>
      <c r="C738" s="55" t="s">
        <v>1035</v>
      </c>
      <c r="D738" s="55"/>
    </row>
    <row r="739" spans="1:4">
      <c r="A739" s="96"/>
      <c r="B739" s="96"/>
      <c r="C739" s="55" t="s">
        <v>358</v>
      </c>
      <c r="D739" s="55"/>
    </row>
    <row r="740" spans="1:4">
      <c r="A740" s="96"/>
      <c r="B740" s="96"/>
      <c r="C740" s="55" t="s">
        <v>1036</v>
      </c>
      <c r="D740" s="55"/>
    </row>
    <row r="741" spans="1:4">
      <c r="A741" s="96"/>
      <c r="B741" s="96"/>
      <c r="C741" s="55" t="s">
        <v>274</v>
      </c>
      <c r="D741" s="55"/>
    </row>
    <row r="742" spans="1:4">
      <c r="A742" s="96"/>
      <c r="B742" s="96"/>
      <c r="C742" s="55" t="s">
        <v>1037</v>
      </c>
      <c r="D742" s="55"/>
    </row>
    <row r="743" spans="1:4">
      <c r="A743" s="96"/>
      <c r="B743" s="96"/>
      <c r="C743" s="55" t="s">
        <v>1038</v>
      </c>
      <c r="D743" s="55"/>
    </row>
    <row r="744" spans="1:4">
      <c r="A744" s="96"/>
      <c r="B744" s="96"/>
      <c r="C744" s="55" t="s">
        <v>344</v>
      </c>
      <c r="D744" s="55"/>
    </row>
    <row r="745" spans="1:4">
      <c r="A745" s="96"/>
      <c r="B745" s="96"/>
      <c r="C745" s="55" t="s">
        <v>1039</v>
      </c>
      <c r="D745" s="55"/>
    </row>
    <row r="746" spans="1:4">
      <c r="A746" s="96"/>
      <c r="B746" s="96"/>
      <c r="C746" s="55" t="s">
        <v>1040</v>
      </c>
      <c r="D746" s="55"/>
    </row>
    <row r="747" spans="1:4">
      <c r="A747" s="96"/>
      <c r="B747" s="96"/>
      <c r="C747" s="55" t="s">
        <v>1041</v>
      </c>
      <c r="D747" s="55"/>
    </row>
    <row r="748" spans="1:4">
      <c r="A748" s="96"/>
      <c r="B748" s="96"/>
      <c r="C748" s="55" t="s">
        <v>292</v>
      </c>
      <c r="D748" s="55"/>
    </row>
    <row r="749" spans="1:4">
      <c r="A749" s="96"/>
      <c r="B749" s="96"/>
      <c r="C749" s="55" t="s">
        <v>1042</v>
      </c>
      <c r="D749" s="55"/>
    </row>
    <row r="750" spans="1:4">
      <c r="A750" s="96"/>
      <c r="B750" s="96"/>
      <c r="C750" s="55" t="s">
        <v>30</v>
      </c>
      <c r="D750" s="55"/>
    </row>
    <row r="751" spans="1:4">
      <c r="A751" s="96"/>
      <c r="B751" s="96"/>
      <c r="C751" s="55" t="s">
        <v>815</v>
      </c>
      <c r="D751" s="55"/>
    </row>
    <row r="752" spans="1:4">
      <c r="A752" s="96"/>
      <c r="B752" s="96"/>
      <c r="C752" s="55" t="s">
        <v>816</v>
      </c>
      <c r="D752" s="55"/>
    </row>
    <row r="753" spans="1:4">
      <c r="A753" s="96"/>
      <c r="B753" s="96"/>
      <c r="C753" s="55" t="s">
        <v>817</v>
      </c>
      <c r="D753" s="55"/>
    </row>
    <row r="754" spans="1:4">
      <c r="A754" s="96"/>
      <c r="B754" s="96"/>
      <c r="C754" s="55" t="s">
        <v>818</v>
      </c>
      <c r="D754" s="55"/>
    </row>
    <row r="755" spans="1:4">
      <c r="A755" s="96"/>
      <c r="B755" s="96"/>
      <c r="C755" s="55" t="s">
        <v>819</v>
      </c>
      <c r="D755" s="55"/>
    </row>
    <row r="756" spans="1:4">
      <c r="A756" s="96"/>
      <c r="B756" s="96"/>
      <c r="C756" s="55" t="s">
        <v>820</v>
      </c>
      <c r="D756" s="55"/>
    </row>
    <row r="757" spans="1:4">
      <c r="A757" s="96"/>
      <c r="B757" s="96"/>
      <c r="C757" s="55" t="s">
        <v>821</v>
      </c>
      <c r="D757" s="55"/>
    </row>
    <row r="758" spans="1:4">
      <c r="A758" s="96"/>
      <c r="B758" s="96"/>
      <c r="C758" s="55" t="s">
        <v>823</v>
      </c>
      <c r="D758" s="55"/>
    </row>
    <row r="759" spans="1:4">
      <c r="A759" s="96"/>
      <c r="B759" s="96"/>
      <c r="C759" s="55" t="s">
        <v>824</v>
      </c>
      <c r="D759" s="55"/>
    </row>
    <row r="760" spans="1:4">
      <c r="A760" s="96"/>
      <c r="B760" s="96"/>
      <c r="C760" s="55" t="s">
        <v>692</v>
      </c>
      <c r="D760" s="55"/>
    </row>
    <row r="761" spans="1:4">
      <c r="A761" s="96"/>
      <c r="B761" s="96"/>
      <c r="C761" s="55" t="s">
        <v>825</v>
      </c>
      <c r="D761" s="55"/>
    </row>
    <row r="762" spans="1:4">
      <c r="A762" s="96"/>
      <c r="B762" s="96"/>
      <c r="C762" s="55" t="s">
        <v>826</v>
      </c>
      <c r="D762" s="55"/>
    </row>
    <row r="763" spans="1:4">
      <c r="A763" s="96"/>
      <c r="B763" s="96"/>
      <c r="C763" s="55" t="s">
        <v>827</v>
      </c>
      <c r="D763" s="55"/>
    </row>
    <row r="764" spans="1:4">
      <c r="A764" s="96"/>
      <c r="B764" s="96"/>
      <c r="C764" s="55" t="s">
        <v>828</v>
      </c>
      <c r="D764" s="55"/>
    </row>
    <row r="765" spans="1:4">
      <c r="A765" s="96"/>
      <c r="B765" s="96"/>
      <c r="C765" s="55" t="s">
        <v>829</v>
      </c>
      <c r="D765" s="55"/>
    </row>
    <row r="766" spans="1:4">
      <c r="A766" s="96"/>
      <c r="B766" s="96"/>
      <c r="C766" s="55" t="s">
        <v>830</v>
      </c>
      <c r="D766" s="55"/>
    </row>
    <row r="767" spans="1:4">
      <c r="A767" s="96"/>
      <c r="B767" s="96"/>
      <c r="C767" s="55" t="s">
        <v>62</v>
      </c>
      <c r="D767" s="55"/>
    </row>
    <row r="768" spans="1:4">
      <c r="A768" s="96"/>
      <c r="B768" s="96"/>
      <c r="C768" s="55" t="s">
        <v>831</v>
      </c>
      <c r="D768" s="55"/>
    </row>
    <row r="769" spans="1:5">
      <c r="A769" s="96"/>
      <c r="B769" s="96"/>
      <c r="C769" s="55" t="s">
        <v>832</v>
      </c>
      <c r="D769" s="55"/>
    </row>
    <row r="770" spans="1:5">
      <c r="A770" s="96"/>
      <c r="B770" s="96"/>
      <c r="C770" s="55" t="s">
        <v>833</v>
      </c>
      <c r="D770" s="55"/>
    </row>
    <row r="771" spans="1:5">
      <c r="A771" s="96"/>
      <c r="B771" s="96"/>
      <c r="C771" s="55" t="s">
        <v>834</v>
      </c>
      <c r="D771" s="55"/>
    </row>
    <row r="772" spans="1:5">
      <c r="A772" s="96"/>
      <c r="B772" s="96"/>
      <c r="C772" s="55" t="s">
        <v>835</v>
      </c>
      <c r="D772" s="55"/>
    </row>
    <row r="773" spans="1:5">
      <c r="A773" s="96"/>
      <c r="B773" s="96"/>
      <c r="C773" s="55" t="s">
        <v>836</v>
      </c>
      <c r="D773" s="55"/>
    </row>
    <row r="774" spans="1:5">
      <c r="A774" s="96"/>
      <c r="B774" s="96"/>
      <c r="C774" s="55" t="s">
        <v>837</v>
      </c>
      <c r="D774" s="55"/>
    </row>
    <row r="775" spans="1:5">
      <c r="A775" s="96"/>
      <c r="B775" s="96"/>
      <c r="C775" s="55" t="s">
        <v>838</v>
      </c>
      <c r="D775" s="55"/>
    </row>
    <row r="776" spans="1:5">
      <c r="A776" s="96"/>
      <c r="B776" s="96"/>
      <c r="C776" s="55" t="s">
        <v>839</v>
      </c>
      <c r="D776" s="55"/>
    </row>
    <row r="777" spans="1:5">
      <c r="A777" s="96"/>
      <c r="B777" s="96"/>
      <c r="C777" s="55" t="s">
        <v>840</v>
      </c>
      <c r="D777" s="55"/>
    </row>
    <row r="778" spans="1:5">
      <c r="A778" s="96"/>
      <c r="B778" s="96"/>
      <c r="C778" s="55" t="s">
        <v>841</v>
      </c>
      <c r="D778" s="55"/>
    </row>
    <row r="779" spans="1:5">
      <c r="A779" s="96"/>
      <c r="B779" s="96"/>
      <c r="C779" s="55" t="s">
        <v>842</v>
      </c>
      <c r="D779" s="55"/>
    </row>
    <row r="780" spans="1:5">
      <c r="A780" s="96"/>
      <c r="B780" s="96"/>
      <c r="C780" s="55" t="s">
        <v>843</v>
      </c>
      <c r="D780" s="55"/>
    </row>
    <row r="781" spans="1:5">
      <c r="A781" s="96"/>
      <c r="B781" s="96"/>
      <c r="C781" s="55" t="s">
        <v>490</v>
      </c>
      <c r="D781" s="55"/>
    </row>
    <row r="782" spans="1:5">
      <c r="A782" s="96"/>
      <c r="B782" s="96"/>
      <c r="C782" s="55" t="s">
        <v>844</v>
      </c>
      <c r="D782" s="55"/>
      <c r="E782" s="15" t="s">
        <v>822</v>
      </c>
    </row>
    <row r="783" spans="1:5">
      <c r="A783" s="96"/>
      <c r="B783" s="96"/>
      <c r="C783" s="55" t="s">
        <v>845</v>
      </c>
      <c r="D783" s="55"/>
      <c r="E783" s="15" t="s">
        <v>822</v>
      </c>
    </row>
    <row r="784" spans="1:5">
      <c r="A784" s="96"/>
      <c r="B784" s="96"/>
      <c r="C784" s="55" t="s">
        <v>848</v>
      </c>
      <c r="D784" s="55"/>
      <c r="E784" s="15" t="s">
        <v>822</v>
      </c>
    </row>
    <row r="785" spans="1:5">
      <c r="A785" s="96"/>
      <c r="B785" s="96"/>
      <c r="C785" s="55" t="s">
        <v>849</v>
      </c>
      <c r="D785" s="55"/>
    </row>
    <row r="786" spans="1:5">
      <c r="A786" s="96"/>
      <c r="B786" s="96"/>
      <c r="C786" s="55" t="s">
        <v>379</v>
      </c>
      <c r="D786" s="55"/>
    </row>
    <row r="787" spans="1:5">
      <c r="A787" s="96"/>
      <c r="B787" s="96"/>
      <c r="C787" s="55" t="s">
        <v>850</v>
      </c>
      <c r="D787" s="55"/>
    </row>
    <row r="788" spans="1:5">
      <c r="A788" s="96"/>
      <c r="B788" s="96"/>
      <c r="C788" s="55" t="s">
        <v>851</v>
      </c>
      <c r="D788" s="55"/>
    </row>
    <row r="789" spans="1:5">
      <c r="A789" s="96"/>
      <c r="B789" s="96"/>
      <c r="C789" s="55" t="s">
        <v>852</v>
      </c>
      <c r="D789" s="55"/>
    </row>
    <row r="790" spans="1:5">
      <c r="A790" s="96"/>
      <c r="B790" s="96"/>
      <c r="C790" s="55" t="s">
        <v>853</v>
      </c>
      <c r="D790" s="55"/>
      <c r="E790" s="15" t="s">
        <v>822</v>
      </c>
    </row>
    <row r="791" spans="1:5">
      <c r="A791" s="96"/>
      <c r="B791" s="96"/>
      <c r="C791" s="55" t="s">
        <v>854</v>
      </c>
      <c r="D791" s="55"/>
    </row>
    <row r="792" spans="1:5">
      <c r="A792" s="96"/>
      <c r="B792" s="96"/>
      <c r="C792" s="55" t="s">
        <v>855</v>
      </c>
      <c r="D792" s="55"/>
    </row>
    <row r="793" spans="1:5">
      <c r="A793" s="96"/>
      <c r="B793" s="96"/>
      <c r="C793" s="55" t="s">
        <v>856</v>
      </c>
      <c r="D793" s="55"/>
    </row>
    <row r="794" spans="1:5">
      <c r="A794" s="96"/>
      <c r="B794" s="96"/>
      <c r="C794" s="55" t="s">
        <v>1445</v>
      </c>
      <c r="D794" s="55"/>
    </row>
    <row r="795" spans="1:5">
      <c r="A795" s="96"/>
      <c r="B795" s="96"/>
      <c r="C795" s="55" t="s">
        <v>857</v>
      </c>
      <c r="D795" s="55"/>
    </row>
    <row r="796" spans="1:5">
      <c r="A796" s="96"/>
      <c r="B796" s="96"/>
      <c r="C796" s="55" t="s">
        <v>858</v>
      </c>
      <c r="D796" s="55"/>
    </row>
    <row r="797" spans="1:5">
      <c r="A797" s="96"/>
      <c r="B797" s="96"/>
      <c r="C797" s="55" t="s">
        <v>859</v>
      </c>
      <c r="D797" s="55"/>
    </row>
    <row r="798" spans="1:5">
      <c r="A798" s="96"/>
      <c r="B798" s="96"/>
      <c r="C798" s="55" t="s">
        <v>860</v>
      </c>
      <c r="D798" s="55"/>
    </row>
    <row r="799" spans="1:5">
      <c r="A799" s="96"/>
      <c r="B799" s="96"/>
      <c r="C799" s="55" t="s">
        <v>861</v>
      </c>
      <c r="D799" s="55"/>
    </row>
    <row r="800" spans="1:5">
      <c r="A800" s="96"/>
      <c r="B800" s="96"/>
      <c r="C800" s="55" t="s">
        <v>862</v>
      </c>
      <c r="D800" s="55"/>
    </row>
    <row r="801" spans="1:5">
      <c r="A801" s="96"/>
      <c r="B801" s="96"/>
      <c r="C801" s="55" t="s">
        <v>863</v>
      </c>
      <c r="D801" s="55"/>
    </row>
    <row r="802" spans="1:5">
      <c r="A802" s="96"/>
      <c r="B802" s="96"/>
      <c r="C802" s="55" t="s">
        <v>864</v>
      </c>
      <c r="D802" s="55"/>
    </row>
    <row r="803" spans="1:5">
      <c r="A803" s="96"/>
      <c r="B803" s="96"/>
      <c r="C803" s="55" t="s">
        <v>865</v>
      </c>
      <c r="D803" s="55"/>
    </row>
    <row r="804" spans="1:5">
      <c r="A804" s="96"/>
      <c r="B804" s="96"/>
      <c r="C804" s="55" t="s">
        <v>866</v>
      </c>
      <c r="D804" s="55"/>
    </row>
    <row r="805" spans="1:5">
      <c r="A805" s="96"/>
      <c r="B805" s="96"/>
      <c r="C805" s="55" t="s">
        <v>867</v>
      </c>
      <c r="D805" s="55"/>
    </row>
    <row r="806" spans="1:5">
      <c r="A806" s="96"/>
      <c r="B806" s="96"/>
      <c r="C806" s="55" t="s">
        <v>868</v>
      </c>
      <c r="D806" s="55"/>
    </row>
    <row r="807" spans="1:5">
      <c r="A807" s="96"/>
      <c r="B807" s="96"/>
      <c r="C807" s="55" t="s">
        <v>869</v>
      </c>
      <c r="D807" s="55"/>
    </row>
    <row r="808" spans="1:5">
      <c r="A808" s="96"/>
      <c r="B808" s="96"/>
      <c r="C808" s="55" t="s">
        <v>871</v>
      </c>
      <c r="D808" s="55"/>
    </row>
    <row r="809" spans="1:5">
      <c r="A809" s="96"/>
      <c r="B809" s="96"/>
      <c r="C809" s="55" t="s">
        <v>870</v>
      </c>
      <c r="D809" s="55"/>
      <c r="E809" s="15" t="s">
        <v>822</v>
      </c>
    </row>
    <row r="810" spans="1:5">
      <c r="A810" s="96"/>
      <c r="B810" s="96"/>
      <c r="C810" s="55" t="s">
        <v>415</v>
      </c>
      <c r="D810" s="55"/>
    </row>
    <row r="811" spans="1:5">
      <c r="A811" s="96"/>
      <c r="B811" s="96"/>
      <c r="C811" s="55" t="s">
        <v>872</v>
      </c>
      <c r="D811" s="55"/>
    </row>
    <row r="812" spans="1:5">
      <c r="A812" s="96"/>
      <c r="B812" s="96"/>
      <c r="C812" s="55" t="s">
        <v>873</v>
      </c>
      <c r="D812" s="55"/>
    </row>
    <row r="813" spans="1:5">
      <c r="A813" s="96"/>
      <c r="B813" s="96"/>
      <c r="C813" s="55" t="s">
        <v>874</v>
      </c>
      <c r="D813" s="55"/>
    </row>
    <row r="814" spans="1:5">
      <c r="A814" s="96"/>
      <c r="B814" s="96"/>
      <c r="C814" s="55" t="s">
        <v>875</v>
      </c>
      <c r="D814" s="55"/>
    </row>
    <row r="815" spans="1:5">
      <c r="A815" s="96"/>
      <c r="B815" s="96"/>
      <c r="C815" s="55" t="s">
        <v>876</v>
      </c>
      <c r="D815" s="55"/>
    </row>
    <row r="816" spans="1:5">
      <c r="A816" s="96"/>
      <c r="B816" s="96"/>
      <c r="C816" s="55" t="s">
        <v>877</v>
      </c>
      <c r="D816" s="55"/>
    </row>
    <row r="817" spans="1:4">
      <c r="A817" s="96"/>
      <c r="B817" s="96"/>
      <c r="C817" s="55" t="s">
        <v>878</v>
      </c>
      <c r="D817" s="55"/>
    </row>
    <row r="818" spans="1:4">
      <c r="A818" s="96"/>
      <c r="B818" s="96"/>
      <c r="C818" s="55" t="s">
        <v>879</v>
      </c>
      <c r="D818" s="55"/>
    </row>
    <row r="819" spans="1:4">
      <c r="A819" s="96"/>
      <c r="B819" s="96"/>
      <c r="C819" s="55" t="s">
        <v>880</v>
      </c>
      <c r="D819" s="55"/>
    </row>
    <row r="820" spans="1:4">
      <c r="A820" s="96"/>
      <c r="B820" s="96"/>
      <c r="C820" s="55" t="s">
        <v>881</v>
      </c>
      <c r="D820" s="55"/>
    </row>
    <row r="821" spans="1:4">
      <c r="A821" s="96"/>
      <c r="B821" s="96"/>
      <c r="C821" s="55" t="s">
        <v>882</v>
      </c>
      <c r="D821" s="55"/>
    </row>
    <row r="822" spans="1:4">
      <c r="A822" s="96"/>
      <c r="B822" s="96"/>
      <c r="C822" s="55" t="s">
        <v>883</v>
      </c>
      <c r="D822" s="55"/>
    </row>
    <row r="823" spans="1:4">
      <c r="A823" s="96"/>
      <c r="B823" s="96"/>
      <c r="C823" s="55" t="s">
        <v>884</v>
      </c>
      <c r="D823" s="55"/>
    </row>
    <row r="824" spans="1:4">
      <c r="A824" s="96"/>
      <c r="B824" s="96"/>
      <c r="C824" s="55" t="s">
        <v>885</v>
      </c>
      <c r="D824" s="55"/>
    </row>
    <row r="825" spans="1:4">
      <c r="A825" s="96"/>
      <c r="B825" s="96"/>
      <c r="C825" s="55" t="s">
        <v>886</v>
      </c>
      <c r="D825" s="55"/>
    </row>
    <row r="826" spans="1:4">
      <c r="A826" s="96"/>
      <c r="B826" s="96"/>
      <c r="C826" s="55" t="s">
        <v>887</v>
      </c>
      <c r="D826" s="55"/>
    </row>
    <row r="827" spans="1:4">
      <c r="A827" s="96"/>
      <c r="B827" s="96"/>
      <c r="C827" s="55" t="s">
        <v>888</v>
      </c>
      <c r="D827" s="55"/>
    </row>
    <row r="828" spans="1:4">
      <c r="A828" s="96"/>
      <c r="B828" s="96"/>
      <c r="C828" s="55" t="s">
        <v>889</v>
      </c>
      <c r="D828" s="55"/>
    </row>
    <row r="829" spans="1:4">
      <c r="A829" s="96"/>
      <c r="B829" s="96"/>
      <c r="C829" s="55" t="s">
        <v>890</v>
      </c>
      <c r="D829" s="55"/>
    </row>
    <row r="830" spans="1:4">
      <c r="A830" s="96"/>
      <c r="B830" s="96"/>
      <c r="C830" s="55" t="s">
        <v>891</v>
      </c>
      <c r="D830" s="55"/>
    </row>
    <row r="831" spans="1:4">
      <c r="A831" s="96"/>
      <c r="B831" s="96"/>
      <c r="C831" s="55" t="s">
        <v>1446</v>
      </c>
      <c r="D831" s="129" t="s">
        <v>1447</v>
      </c>
    </row>
    <row r="832" spans="1:4">
      <c r="A832" s="96"/>
      <c r="B832" s="96"/>
      <c r="C832" s="55" t="s">
        <v>1448</v>
      </c>
      <c r="D832" s="129" t="s">
        <v>901</v>
      </c>
    </row>
    <row r="833" spans="1:4">
      <c r="A833" s="96"/>
      <c r="B833" s="96"/>
      <c r="C833" s="55" t="s">
        <v>1449</v>
      </c>
      <c r="D833" s="129" t="s">
        <v>901</v>
      </c>
    </row>
    <row r="834" spans="1:4" ht="15">
      <c r="A834" s="96"/>
      <c r="B834" s="96"/>
      <c r="C834" s="55" t="s">
        <v>1450</v>
      </c>
      <c r="D834" s="127"/>
    </row>
    <row r="835" spans="1:4">
      <c r="A835" s="96"/>
      <c r="B835" s="96"/>
      <c r="C835" s="55" t="s">
        <v>391</v>
      </c>
      <c r="D835" s="55"/>
    </row>
    <row r="836" spans="1:4">
      <c r="A836" s="96"/>
      <c r="B836" s="96"/>
      <c r="C836" s="55" t="s">
        <v>894</v>
      </c>
      <c r="D836" s="55"/>
    </row>
    <row r="837" spans="1:4">
      <c r="A837" s="96"/>
      <c r="B837" s="96"/>
      <c r="C837" s="55" t="s">
        <v>895</v>
      </c>
      <c r="D837" s="55"/>
    </row>
    <row r="838" spans="1:4">
      <c r="A838" s="96"/>
      <c r="B838" s="96"/>
      <c r="C838" s="55" t="s">
        <v>892</v>
      </c>
      <c r="D838" s="55"/>
    </row>
    <row r="839" spans="1:4">
      <c r="A839" s="96"/>
      <c r="B839" s="96"/>
      <c r="C839" s="55" t="s">
        <v>497</v>
      </c>
      <c r="D839" s="55"/>
    </row>
    <row r="840" spans="1:4">
      <c r="A840" s="96"/>
      <c r="B840" s="96"/>
      <c r="C840" s="55" t="s">
        <v>893</v>
      </c>
      <c r="D840" s="55"/>
    </row>
    <row r="841" spans="1:4">
      <c r="A841" s="96"/>
      <c r="B841" s="96"/>
      <c r="C841" s="55" t="s">
        <v>896</v>
      </c>
      <c r="D841" s="55"/>
    </row>
    <row r="842" spans="1:4">
      <c r="A842" s="96"/>
      <c r="B842" s="96"/>
      <c r="C842" s="55" t="s">
        <v>1451</v>
      </c>
      <c r="D842" s="55"/>
    </row>
    <row r="843" spans="1:4">
      <c r="A843" s="96"/>
      <c r="B843" s="96"/>
      <c r="C843" s="55" t="s">
        <v>1452</v>
      </c>
      <c r="D843" s="55"/>
    </row>
    <row r="844" spans="1:4">
      <c r="A844" s="96"/>
      <c r="B844" s="96"/>
      <c r="C844" s="55" t="s">
        <v>1453</v>
      </c>
      <c r="D844" s="55"/>
    </row>
    <row r="845" spans="1:4">
      <c r="A845" s="96"/>
      <c r="B845" s="96"/>
      <c r="C845" s="55" t="s">
        <v>1454</v>
      </c>
      <c r="D845" s="55"/>
    </row>
    <row r="846" spans="1:4">
      <c r="A846" s="96"/>
      <c r="B846" s="96"/>
      <c r="C846" s="55" t="s">
        <v>1455</v>
      </c>
      <c r="D846" s="55"/>
    </row>
    <row r="847" spans="1:4">
      <c r="A847" s="96"/>
      <c r="B847" s="96"/>
      <c r="C847" s="55" t="s">
        <v>1456</v>
      </c>
      <c r="D847" s="55"/>
    </row>
    <row r="848" spans="1:4">
      <c r="A848" s="96"/>
      <c r="B848" s="96"/>
      <c r="C848" s="55" t="s">
        <v>1457</v>
      </c>
      <c r="D848" s="55"/>
    </row>
    <row r="849" spans="1:4">
      <c r="A849" s="96"/>
      <c r="B849" s="96"/>
      <c r="C849" s="55" t="s">
        <v>1458</v>
      </c>
      <c r="D849" s="55"/>
    </row>
    <row r="850" spans="1:4">
      <c r="A850" s="96"/>
      <c r="B850" s="96"/>
      <c r="C850" s="55" t="s">
        <v>71</v>
      </c>
      <c r="D850" s="55"/>
    </row>
    <row r="851" spans="1:4">
      <c r="A851" s="69" t="s">
        <v>748</v>
      </c>
      <c r="B851" s="69"/>
      <c r="C851" s="58" t="s">
        <v>593</v>
      </c>
      <c r="D851" s="58"/>
    </row>
    <row r="852" spans="1:4">
      <c r="A852" s="70"/>
      <c r="B852" s="70"/>
      <c r="C852" s="58" t="s">
        <v>103</v>
      </c>
      <c r="D852" s="58"/>
    </row>
    <row r="853" spans="1:4">
      <c r="A853" s="96" t="s">
        <v>1459</v>
      </c>
      <c r="B853" s="96" t="s">
        <v>5</v>
      </c>
      <c r="C853" s="55" t="s">
        <v>1460</v>
      </c>
      <c r="D853" s="55"/>
    </row>
    <row r="854" spans="1:4">
      <c r="A854" s="96"/>
      <c r="B854" s="96"/>
      <c r="C854" s="55" t="s">
        <v>1461</v>
      </c>
      <c r="D854" s="55"/>
    </row>
    <row r="855" spans="1:4">
      <c r="A855" s="96"/>
      <c r="B855" s="96"/>
      <c r="C855" s="55" t="s">
        <v>1462</v>
      </c>
      <c r="D855" s="55"/>
    </row>
    <row r="856" spans="1:4">
      <c r="A856" s="96"/>
      <c r="B856" s="96"/>
      <c r="C856" s="55" t="s">
        <v>1463</v>
      </c>
      <c r="D856" s="55"/>
    </row>
    <row r="857" spans="1:4">
      <c r="A857" s="96"/>
      <c r="B857" s="96"/>
      <c r="C857" s="55" t="s">
        <v>1464</v>
      </c>
      <c r="D857" s="55"/>
    </row>
    <row r="858" spans="1:4">
      <c r="A858" s="96"/>
      <c r="B858" s="96"/>
      <c r="C858" s="55" t="s">
        <v>1465</v>
      </c>
      <c r="D858" s="55"/>
    </row>
    <row r="859" spans="1:4">
      <c r="A859" s="96"/>
      <c r="B859" s="96"/>
      <c r="C859" s="55" t="s">
        <v>1466</v>
      </c>
      <c r="D859" s="55"/>
    </row>
    <row r="860" spans="1:4">
      <c r="A860" s="96"/>
      <c r="B860" s="96"/>
      <c r="C860" s="55" t="s">
        <v>1467</v>
      </c>
      <c r="D860" s="55"/>
    </row>
    <row r="861" spans="1:4">
      <c r="A861" s="96"/>
      <c r="B861" s="96"/>
      <c r="C861" s="55" t="s">
        <v>1468</v>
      </c>
      <c r="D861" s="55"/>
    </row>
    <row r="862" spans="1:4">
      <c r="A862" s="69" t="s">
        <v>1469</v>
      </c>
      <c r="B862" s="69" t="s">
        <v>5</v>
      </c>
      <c r="C862" s="58" t="s">
        <v>29</v>
      </c>
      <c r="D862" s="58"/>
    </row>
    <row r="863" spans="1:4">
      <c r="A863" s="70"/>
      <c r="B863" s="70"/>
      <c r="C863" s="58" t="s">
        <v>1470</v>
      </c>
      <c r="D863" s="58"/>
    </row>
    <row r="864" spans="1:4">
      <c r="A864" s="70"/>
      <c r="B864" s="70"/>
      <c r="C864" s="58" t="s">
        <v>40</v>
      </c>
      <c r="D864" s="58"/>
    </row>
    <row r="865" spans="1:4">
      <c r="A865" s="70"/>
      <c r="B865" s="70"/>
      <c r="C865" s="58" t="s">
        <v>1471</v>
      </c>
      <c r="D865" s="58"/>
    </row>
    <row r="866" spans="1:4">
      <c r="A866" s="70"/>
      <c r="B866" s="70"/>
      <c r="C866" s="58" t="s">
        <v>60</v>
      </c>
      <c r="D866" s="58"/>
    </row>
    <row r="867" spans="1:4">
      <c r="A867" s="70"/>
      <c r="B867" s="70"/>
      <c r="C867" s="58" t="s">
        <v>1472</v>
      </c>
      <c r="D867" s="58"/>
    </row>
    <row r="868" spans="1:4">
      <c r="A868" s="70"/>
      <c r="B868" s="70"/>
      <c r="C868" s="58" t="s">
        <v>1473</v>
      </c>
      <c r="D868" s="58"/>
    </row>
    <row r="869" spans="1:4">
      <c r="A869" s="70"/>
      <c r="B869" s="70"/>
      <c r="C869" s="58" t="s">
        <v>1474</v>
      </c>
      <c r="D869" s="58"/>
    </row>
    <row r="870" spans="1:4">
      <c r="A870" s="96" t="s">
        <v>1475</v>
      </c>
      <c r="B870" s="96" t="s">
        <v>5</v>
      </c>
      <c r="C870" s="55" t="s">
        <v>29</v>
      </c>
      <c r="D870" s="55"/>
    </row>
    <row r="871" spans="1:4">
      <c r="A871" s="96"/>
      <c r="B871" s="96"/>
      <c r="C871" s="55" t="s">
        <v>40</v>
      </c>
      <c r="D871" s="55"/>
    </row>
    <row r="872" spans="1:4">
      <c r="A872" s="96"/>
      <c r="B872" s="96"/>
      <c r="C872" s="55" t="s">
        <v>60</v>
      </c>
      <c r="D872" s="55"/>
    </row>
    <row r="873" spans="1:4">
      <c r="A873" s="96"/>
      <c r="B873" s="96"/>
      <c r="C873" s="55" t="s">
        <v>71</v>
      </c>
      <c r="D873" s="55"/>
    </row>
    <row r="874" spans="1:4">
      <c r="A874" s="69" t="s">
        <v>1476</v>
      </c>
      <c r="B874" s="69" t="s">
        <v>5</v>
      </c>
      <c r="C874" s="58" t="s">
        <v>100</v>
      </c>
      <c r="D874" s="58"/>
    </row>
    <row r="875" spans="1:4">
      <c r="A875" s="70"/>
      <c r="B875" s="70"/>
      <c r="C875" s="58" t="s">
        <v>113</v>
      </c>
      <c r="D875" s="58"/>
    </row>
    <row r="876" spans="1:4">
      <c r="A876" s="70"/>
      <c r="B876" s="70"/>
      <c r="C876" s="58" t="s">
        <v>1288</v>
      </c>
      <c r="D876" s="58"/>
    </row>
    <row r="877" spans="1:4">
      <c r="A877" s="70"/>
      <c r="B877" s="70"/>
      <c r="C877" s="58" t="s">
        <v>1289</v>
      </c>
      <c r="D877" s="58"/>
    </row>
    <row r="878" spans="1:4">
      <c r="A878" s="70"/>
      <c r="B878" s="70"/>
      <c r="C878" s="58" t="s">
        <v>1477</v>
      </c>
      <c r="D878" s="58"/>
    </row>
    <row r="879" spans="1:4">
      <c r="A879" s="70"/>
      <c r="B879" s="70"/>
      <c r="C879" s="58" t="s">
        <v>1478</v>
      </c>
      <c r="D879" s="58"/>
    </row>
    <row r="880" spans="1:4">
      <c r="A880" s="70"/>
      <c r="B880" s="70"/>
      <c r="C880" s="58" t="s">
        <v>1479</v>
      </c>
      <c r="D880" s="58"/>
    </row>
    <row r="881" spans="1:5">
      <c r="A881" s="70"/>
      <c r="B881" s="70"/>
      <c r="C881" s="58" t="s">
        <v>1480</v>
      </c>
      <c r="D881" s="58"/>
    </row>
    <row r="882" spans="1:5">
      <c r="A882" s="70"/>
      <c r="B882" s="70"/>
      <c r="C882" s="58" t="s">
        <v>1481</v>
      </c>
      <c r="D882" s="58" t="s">
        <v>1481</v>
      </c>
      <c r="E882" s="15" t="s">
        <v>822</v>
      </c>
    </row>
    <row r="883" spans="1:5">
      <c r="A883" s="71"/>
      <c r="B883" s="71"/>
      <c r="C883" s="58" t="s">
        <v>71</v>
      </c>
      <c r="D883" s="58"/>
    </row>
    <row r="884" spans="1:5">
      <c r="A884" s="85" t="s">
        <v>1482</v>
      </c>
      <c r="B884" s="85" t="s">
        <v>5</v>
      </c>
      <c r="C884" s="55" t="s">
        <v>273</v>
      </c>
      <c r="D884" s="55"/>
    </row>
    <row r="885" spans="1:5">
      <c r="A885" s="86"/>
      <c r="B885" s="86"/>
      <c r="C885" s="55" t="s">
        <v>1483</v>
      </c>
      <c r="D885" s="55"/>
    </row>
    <row r="886" spans="1:5">
      <c r="A886" s="86"/>
      <c r="B886" s="86"/>
      <c r="C886" s="55" t="s">
        <v>1484</v>
      </c>
      <c r="D886" s="55"/>
    </row>
    <row r="887" spans="1:5">
      <c r="A887" s="86"/>
      <c r="B887" s="86"/>
      <c r="C887" s="55" t="s">
        <v>1485</v>
      </c>
      <c r="D887" s="55"/>
    </row>
    <row r="888" spans="1:5">
      <c r="A888" s="86"/>
      <c r="B888" s="86"/>
      <c r="C888" s="55" t="s">
        <v>1486</v>
      </c>
      <c r="D888" s="55"/>
    </row>
    <row r="889" spans="1:5">
      <c r="A889" s="86"/>
      <c r="B889" s="86"/>
      <c r="C889" s="55" t="s">
        <v>1487</v>
      </c>
      <c r="D889" s="55" t="s">
        <v>1488</v>
      </c>
    </row>
    <row r="890" spans="1:5">
      <c r="A890" s="86"/>
      <c r="B890" s="86"/>
      <c r="C890" s="55" t="s">
        <v>1489</v>
      </c>
      <c r="D890" s="55"/>
    </row>
    <row r="891" spans="1:5">
      <c r="A891" s="69" t="s">
        <v>1033</v>
      </c>
      <c r="B891" s="69" t="s">
        <v>5</v>
      </c>
      <c r="C891" s="58" t="s">
        <v>462</v>
      </c>
      <c r="D891" s="58"/>
    </row>
    <row r="892" spans="1:5">
      <c r="A892" s="70"/>
      <c r="B892" s="70"/>
      <c r="C892" s="58" t="s">
        <v>484</v>
      </c>
      <c r="D892" s="58"/>
    </row>
    <row r="893" spans="1:5">
      <c r="A893" s="70"/>
      <c r="B893" s="70"/>
      <c r="C893" s="58" t="s">
        <v>474</v>
      </c>
      <c r="D893" s="58"/>
    </row>
    <row r="894" spans="1:5">
      <c r="A894" s="70"/>
      <c r="B894" s="70"/>
      <c r="C894" s="58" t="s">
        <v>514</v>
      </c>
      <c r="D894" s="58"/>
    </row>
    <row r="895" spans="1:5">
      <c r="A895" s="70"/>
      <c r="B895" s="70"/>
      <c r="C895" s="58" t="s">
        <v>1490</v>
      </c>
      <c r="D895" s="58"/>
    </row>
    <row r="896" spans="1:5">
      <c r="A896" s="70"/>
      <c r="B896" s="70"/>
      <c r="C896" s="58" t="s">
        <v>71</v>
      </c>
      <c r="D896" s="58"/>
    </row>
    <row r="897" spans="1:4">
      <c r="A897" s="85" t="s">
        <v>1491</v>
      </c>
      <c r="B897" s="85" t="s">
        <v>5</v>
      </c>
      <c r="C897" s="55" t="s">
        <v>1492</v>
      </c>
      <c r="D897" s="55"/>
    </row>
    <row r="898" spans="1:4">
      <c r="A898" s="86"/>
      <c r="B898" s="86"/>
      <c r="C898" s="55" t="s">
        <v>1493</v>
      </c>
      <c r="D898" s="55"/>
    </row>
    <row r="899" spans="1:4">
      <c r="A899" s="86"/>
      <c r="B899" s="86"/>
      <c r="C899" s="55" t="s">
        <v>273</v>
      </c>
      <c r="D899" s="55"/>
    </row>
    <row r="900" spans="1:4">
      <c r="A900" s="86"/>
      <c r="B900" s="86"/>
      <c r="C900" s="55" t="s">
        <v>71</v>
      </c>
      <c r="D900" s="55"/>
    </row>
    <row r="901" spans="1:4">
      <c r="A901" s="69" t="s">
        <v>1494</v>
      </c>
      <c r="B901" s="69" t="s">
        <v>5</v>
      </c>
      <c r="C901" s="58" t="s">
        <v>1495</v>
      </c>
      <c r="D901" s="58"/>
    </row>
    <row r="902" spans="1:4">
      <c r="A902" s="70"/>
      <c r="B902" s="70"/>
      <c r="C902" s="58" t="s">
        <v>1496</v>
      </c>
      <c r="D902" s="58"/>
    </row>
    <row r="903" spans="1:4">
      <c r="A903" s="70"/>
      <c r="B903" s="70"/>
      <c r="C903" s="58" t="s">
        <v>1280</v>
      </c>
      <c r="D903" s="58"/>
    </row>
    <row r="904" spans="1:4">
      <c r="A904" s="70"/>
      <c r="B904" s="70"/>
      <c r="C904" s="58" t="s">
        <v>1497</v>
      </c>
      <c r="D904" s="58"/>
    </row>
    <row r="905" spans="1:4">
      <c r="A905" s="70"/>
      <c r="B905" s="70"/>
      <c r="C905" s="58" t="s">
        <v>1498</v>
      </c>
      <c r="D905" s="58"/>
    </row>
    <row r="906" spans="1:4">
      <c r="A906" s="95" t="s">
        <v>1499</v>
      </c>
      <c r="B906" s="95" t="s">
        <v>5</v>
      </c>
      <c r="C906" s="61" t="s">
        <v>1500</v>
      </c>
      <c r="D906" s="61"/>
    </row>
    <row r="907" spans="1:4">
      <c r="A907" s="96"/>
      <c r="B907" s="96"/>
      <c r="C907" s="61" t="s">
        <v>1501</v>
      </c>
      <c r="D907" s="61"/>
    </row>
    <row r="908" spans="1:4">
      <c r="A908" s="96"/>
      <c r="B908" s="96"/>
      <c r="C908" s="55" t="s">
        <v>1502</v>
      </c>
      <c r="D908" s="55"/>
    </row>
    <row r="909" spans="1:4">
      <c r="A909" s="96"/>
      <c r="B909" s="96"/>
      <c r="C909" s="55" t="s">
        <v>1503</v>
      </c>
      <c r="D909" s="55"/>
    </row>
    <row r="910" spans="1:4">
      <c r="A910" s="96"/>
      <c r="B910" s="96"/>
      <c r="C910" s="55" t="s">
        <v>1504</v>
      </c>
      <c r="D910" s="55"/>
    </row>
    <row r="911" spans="1:4">
      <c r="A911" s="96"/>
      <c r="B911" s="96"/>
      <c r="C911" s="55" t="s">
        <v>1505</v>
      </c>
      <c r="D911" s="55"/>
    </row>
    <row r="912" spans="1:4">
      <c r="A912" s="91" t="s">
        <v>1506</v>
      </c>
      <c r="B912" s="91" t="s">
        <v>5</v>
      </c>
      <c r="C912" s="63" t="s">
        <v>29</v>
      </c>
      <c r="D912" s="63"/>
    </row>
    <row r="913" spans="1:5">
      <c r="A913" s="73"/>
      <c r="B913" s="73"/>
      <c r="C913" s="63" t="s">
        <v>1470</v>
      </c>
      <c r="D913" s="63"/>
    </row>
    <row r="914" spans="1:5">
      <c r="A914" s="73"/>
      <c r="B914" s="73"/>
      <c r="C914" s="58" t="s">
        <v>40</v>
      </c>
      <c r="D914" s="58"/>
    </row>
    <row r="915" spans="1:5">
      <c r="A915" s="73"/>
      <c r="B915" s="73"/>
      <c r="C915" s="58" t="s">
        <v>1471</v>
      </c>
      <c r="D915" s="58"/>
    </row>
    <row r="916" spans="1:5">
      <c r="A916" s="73"/>
      <c r="B916" s="73"/>
      <c r="C916" s="58" t="s">
        <v>60</v>
      </c>
      <c r="D916" s="58"/>
    </row>
    <row r="917" spans="1:5">
      <c r="A917" s="73"/>
      <c r="B917" s="73"/>
      <c r="C917" s="58" t="s">
        <v>1472</v>
      </c>
      <c r="D917" s="58"/>
    </row>
    <row r="918" spans="1:5">
      <c r="A918" s="73"/>
      <c r="B918" s="73"/>
      <c r="C918" s="63" t="s">
        <v>1473</v>
      </c>
      <c r="D918" s="63"/>
    </row>
    <row r="919" spans="1:5">
      <c r="A919" s="73"/>
      <c r="B919" s="73"/>
      <c r="C919" s="63" t="s">
        <v>1474</v>
      </c>
      <c r="D919" s="63"/>
    </row>
    <row r="920" spans="1:5" ht="15">
      <c r="A920" s="95" t="s">
        <v>1507</v>
      </c>
      <c r="B920" s="95" t="s">
        <v>5</v>
      </c>
      <c r="C920" s="61" t="s">
        <v>1508</v>
      </c>
      <c r="D920" s="61"/>
      <c r="E920" s="62"/>
    </row>
    <row r="921" spans="1:5" ht="15">
      <c r="A921" s="96"/>
      <c r="B921" s="96"/>
      <c r="C921" s="61" t="s">
        <v>1509</v>
      </c>
      <c r="D921" s="61"/>
      <c r="E921" s="62"/>
    </row>
    <row r="922" spans="1:5" ht="15">
      <c r="A922" s="96"/>
      <c r="B922" s="96"/>
      <c r="C922" s="55" t="s">
        <v>1510</v>
      </c>
      <c r="D922" s="55"/>
      <c r="E922" s="62"/>
    </row>
    <row r="923" spans="1:5" ht="15">
      <c r="A923" s="96"/>
      <c r="B923" s="96"/>
      <c r="C923" s="55" t="s">
        <v>1511</v>
      </c>
      <c r="D923" s="55"/>
      <c r="E923" s="62"/>
    </row>
    <row r="924" spans="1:5" ht="15">
      <c r="A924" s="96"/>
      <c r="B924" s="96"/>
      <c r="C924" s="55" t="s">
        <v>1512</v>
      </c>
      <c r="D924" s="55"/>
      <c r="E924" s="62"/>
    </row>
    <row r="925" spans="1:5">
      <c r="A925" s="96"/>
      <c r="B925" s="96"/>
      <c r="C925" s="55" t="s">
        <v>71</v>
      </c>
      <c r="D925" s="55"/>
    </row>
    <row r="926" spans="1:5">
      <c r="A926" s="91" t="s">
        <v>1513</v>
      </c>
      <c r="B926" s="91" t="s">
        <v>5</v>
      </c>
      <c r="C926" s="58" t="s">
        <v>1514</v>
      </c>
      <c r="D926" s="58"/>
    </row>
    <row r="927" spans="1:5">
      <c r="A927" s="73"/>
      <c r="B927" s="73"/>
      <c r="C927" s="58" t="s">
        <v>1515</v>
      </c>
      <c r="D927" s="58"/>
    </row>
    <row r="928" spans="1:5">
      <c r="A928" s="73"/>
      <c r="B928" s="73"/>
      <c r="C928" s="58" t="s">
        <v>1516</v>
      </c>
      <c r="D928" s="58"/>
    </row>
    <row r="929" spans="1:5">
      <c r="A929" s="92" t="s">
        <v>1517</v>
      </c>
      <c r="B929" s="92" t="s">
        <v>5</v>
      </c>
      <c r="C929" s="61" t="s">
        <v>1518</v>
      </c>
      <c r="D929" s="61"/>
    </row>
    <row r="930" spans="1:5">
      <c r="A930" s="93"/>
      <c r="B930" s="93"/>
      <c r="C930" s="61" t="s">
        <v>113</v>
      </c>
      <c r="D930" s="61"/>
    </row>
    <row r="931" spans="1:5">
      <c r="A931" s="93"/>
      <c r="B931" s="93"/>
      <c r="C931" s="55" t="s">
        <v>100</v>
      </c>
      <c r="D931" s="55"/>
    </row>
    <row r="932" spans="1:5">
      <c r="A932" s="93"/>
      <c r="B932" s="93"/>
      <c r="C932" s="55" t="s">
        <v>1288</v>
      </c>
      <c r="D932" s="55"/>
    </row>
    <row r="933" spans="1:5">
      <c r="A933" s="93"/>
      <c r="B933" s="93"/>
      <c r="C933" s="55" t="s">
        <v>71</v>
      </c>
      <c r="D933" s="55"/>
    </row>
    <row r="934" spans="1:5">
      <c r="A934" s="99" t="s">
        <v>1519</v>
      </c>
      <c r="B934" s="99" t="s">
        <v>5</v>
      </c>
      <c r="C934" s="63" t="s">
        <v>100</v>
      </c>
      <c r="D934" s="63"/>
    </row>
    <row r="935" spans="1:5">
      <c r="A935" s="100"/>
      <c r="B935" s="100"/>
      <c r="C935" s="63" t="s">
        <v>113</v>
      </c>
      <c r="D935" s="63"/>
    </row>
    <row r="936" spans="1:5">
      <c r="A936" s="100"/>
      <c r="B936" s="100"/>
      <c r="C936" s="58" t="s">
        <v>1288</v>
      </c>
      <c r="D936" s="58"/>
    </row>
    <row r="937" spans="1:5">
      <c r="A937" s="100"/>
      <c r="B937" s="100"/>
      <c r="C937" s="58" t="s">
        <v>1289</v>
      </c>
      <c r="D937" s="58"/>
    </row>
    <row r="938" spans="1:5">
      <c r="A938" s="100"/>
      <c r="B938" s="100"/>
      <c r="C938" s="58" t="s">
        <v>1520</v>
      </c>
      <c r="D938" s="58"/>
    </row>
    <row r="939" spans="1:5">
      <c r="A939" s="100"/>
      <c r="B939" s="100"/>
      <c r="C939" s="63" t="s">
        <v>1520</v>
      </c>
      <c r="D939" s="63"/>
    </row>
    <row r="940" spans="1:5">
      <c r="A940" s="100"/>
      <c r="B940" s="100"/>
      <c r="C940" s="63" t="s">
        <v>1478</v>
      </c>
      <c r="D940" s="63"/>
    </row>
    <row r="941" spans="1:5">
      <c r="A941" s="100"/>
      <c r="B941" s="100"/>
      <c r="C941" s="58" t="s">
        <v>1479</v>
      </c>
      <c r="D941" s="58"/>
    </row>
    <row r="942" spans="1:5">
      <c r="A942" s="100"/>
      <c r="B942" s="100"/>
      <c r="C942" s="63" t="s">
        <v>1480</v>
      </c>
      <c r="D942" s="63"/>
    </row>
    <row r="943" spans="1:5">
      <c r="A943" s="100"/>
      <c r="B943" s="100"/>
      <c r="C943" s="63" t="s">
        <v>1518</v>
      </c>
      <c r="D943" s="63"/>
    </row>
    <row r="944" spans="1:5">
      <c r="A944" s="100"/>
      <c r="B944" s="100"/>
      <c r="C944" s="58" t="s">
        <v>1521</v>
      </c>
      <c r="D944" s="58" t="s">
        <v>1521</v>
      </c>
      <c r="E944" s="15" t="s">
        <v>822</v>
      </c>
    </row>
    <row r="945" spans="1:4">
      <c r="A945" s="125"/>
      <c r="B945" s="125"/>
      <c r="C945" s="58" t="s">
        <v>71</v>
      </c>
      <c r="D945" s="58"/>
    </row>
    <row r="946" spans="1:4" ht="14.25" customHeight="1">
      <c r="A946" s="92" t="s">
        <v>1522</v>
      </c>
      <c r="B946" s="92" t="s">
        <v>5</v>
      </c>
      <c r="C946" s="61" t="s">
        <v>1523</v>
      </c>
      <c r="D946" s="61"/>
    </row>
    <row r="947" spans="1:4">
      <c r="A947" s="93"/>
      <c r="B947" s="93"/>
      <c r="C947" s="61" t="s">
        <v>1524</v>
      </c>
      <c r="D947" s="61"/>
    </row>
    <row r="948" spans="1:4">
      <c r="A948" s="93"/>
      <c r="B948" s="93"/>
      <c r="C948" s="55" t="s">
        <v>1525</v>
      </c>
      <c r="D948" s="55"/>
    </row>
    <row r="949" spans="1:4">
      <c r="A949" s="93"/>
      <c r="B949" s="93"/>
      <c r="C949" s="55" t="s">
        <v>1526</v>
      </c>
      <c r="D949" s="55"/>
    </row>
    <row r="950" spans="1:4">
      <c r="A950" s="93"/>
      <c r="B950" s="93"/>
      <c r="C950" s="55" t="s">
        <v>1527</v>
      </c>
      <c r="D950" s="55"/>
    </row>
    <row r="951" spans="1:4">
      <c r="A951" s="93"/>
      <c r="B951" s="93"/>
      <c r="C951" s="61" t="s">
        <v>628</v>
      </c>
      <c r="D951" s="61"/>
    </row>
    <row r="952" spans="1:4">
      <c r="A952" s="93"/>
      <c r="B952" s="93"/>
      <c r="C952" s="61" t="s">
        <v>1518</v>
      </c>
      <c r="D952" s="61"/>
    </row>
    <row r="953" spans="1:4">
      <c r="A953" s="93"/>
      <c r="B953" s="93"/>
      <c r="C953" s="55" t="s">
        <v>1528</v>
      </c>
      <c r="D953" s="55" t="s">
        <v>1529</v>
      </c>
    </row>
    <row r="954" spans="1:4">
      <c r="A954" s="93"/>
      <c r="B954" s="93"/>
      <c r="C954" s="55" t="s">
        <v>1487</v>
      </c>
      <c r="D954" s="55" t="s">
        <v>1488</v>
      </c>
    </row>
    <row r="955" spans="1:4">
      <c r="A955" s="93"/>
      <c r="B955" s="93"/>
      <c r="C955" s="55" t="s">
        <v>71</v>
      </c>
      <c r="D955" s="55"/>
    </row>
    <row r="956" spans="1:4">
      <c r="A956" s="99" t="s">
        <v>1305</v>
      </c>
      <c r="B956" s="99" t="s">
        <v>5</v>
      </c>
      <c r="C956" s="58" t="s">
        <v>1530</v>
      </c>
      <c r="D956" s="58"/>
    </row>
    <row r="957" spans="1:4">
      <c r="A957" s="100"/>
      <c r="B957" s="100"/>
      <c r="C957" s="58" t="s">
        <v>644</v>
      </c>
      <c r="D957" s="58"/>
    </row>
    <row r="958" spans="1:4">
      <c r="A958" s="100"/>
      <c r="B958" s="100"/>
      <c r="C958" s="58" t="s">
        <v>1531</v>
      </c>
      <c r="D958" s="58"/>
    </row>
    <row r="959" spans="1:4">
      <c r="A959" s="100"/>
      <c r="B959" s="100"/>
      <c r="C959" s="58" t="s">
        <v>1532</v>
      </c>
      <c r="D959" s="58"/>
    </row>
    <row r="960" spans="1:4">
      <c r="A960" s="100"/>
      <c r="B960" s="100"/>
      <c r="C960" s="58" t="s">
        <v>690</v>
      </c>
      <c r="D960" s="58"/>
    </row>
    <row r="961" spans="1:5">
      <c r="A961" s="100"/>
      <c r="B961" s="100"/>
      <c r="C961" s="58" t="s">
        <v>1533</v>
      </c>
      <c r="D961" s="58"/>
    </row>
    <row r="962" spans="1:5">
      <c r="A962" s="100"/>
      <c r="B962" s="100"/>
      <c r="C962" s="58" t="s">
        <v>1534</v>
      </c>
      <c r="D962" s="58"/>
    </row>
    <row r="963" spans="1:5">
      <c r="A963" s="100"/>
      <c r="B963" s="100"/>
      <c r="C963" s="58" t="s">
        <v>1377</v>
      </c>
      <c r="D963" s="58"/>
      <c r="E963" s="15" t="s">
        <v>822</v>
      </c>
    </row>
    <row r="964" spans="1:5">
      <c r="A964" s="101" t="s">
        <v>1535</v>
      </c>
      <c r="B964" s="92" t="s">
        <v>5</v>
      </c>
      <c r="C964" s="55" t="s">
        <v>1495</v>
      </c>
      <c r="D964" s="55"/>
    </row>
    <row r="965" spans="1:5">
      <c r="A965" s="102"/>
      <c r="B965" s="93"/>
      <c r="C965" s="55" t="s">
        <v>1496</v>
      </c>
      <c r="D965" s="55"/>
    </row>
    <row r="966" spans="1:5">
      <c r="A966" s="102"/>
      <c r="B966" s="93"/>
      <c r="C966" s="55" t="s">
        <v>1280</v>
      </c>
      <c r="D966" s="55"/>
    </row>
    <row r="967" spans="1:5">
      <c r="A967" s="102"/>
      <c r="B967" s="93"/>
      <c r="C967" s="55" t="s">
        <v>1497</v>
      </c>
      <c r="D967" s="55"/>
    </row>
    <row r="968" spans="1:5">
      <c r="A968" s="102"/>
      <c r="B968" s="93"/>
      <c r="C968" s="55" t="s">
        <v>1498</v>
      </c>
      <c r="D968" s="55"/>
    </row>
    <row r="969" spans="1:5">
      <c r="A969" s="102"/>
      <c r="B969" s="93"/>
      <c r="C969" s="55" t="s">
        <v>1536</v>
      </c>
      <c r="D969" s="55"/>
      <c r="E969" s="15" t="s">
        <v>822</v>
      </c>
    </row>
    <row r="970" spans="1:5">
      <c r="A970" s="103" t="s">
        <v>1537</v>
      </c>
      <c r="B970" s="99" t="s">
        <v>5</v>
      </c>
      <c r="C970" s="58" t="s">
        <v>1538</v>
      </c>
      <c r="D970" s="58"/>
    </row>
    <row r="971" spans="1:5">
      <c r="A971" s="104"/>
      <c r="B971" s="100"/>
      <c r="C971" s="58" t="s">
        <v>1539</v>
      </c>
      <c r="D971" s="58"/>
    </row>
    <row r="972" spans="1:5">
      <c r="A972" s="104"/>
      <c r="B972" s="100"/>
      <c r="C972" s="58" t="s">
        <v>1540</v>
      </c>
      <c r="D972" s="58"/>
    </row>
    <row r="973" spans="1:5">
      <c r="A973" s="104"/>
      <c r="B973" s="100"/>
      <c r="C973" s="58" t="s">
        <v>1541</v>
      </c>
      <c r="D973" s="58"/>
    </row>
    <row r="974" spans="1:5">
      <c r="A974" s="104"/>
      <c r="B974" s="100"/>
      <c r="C974" s="58" t="s">
        <v>1542</v>
      </c>
      <c r="D974" s="58"/>
    </row>
    <row r="975" spans="1:5">
      <c r="A975" s="104"/>
      <c r="B975" s="100"/>
      <c r="C975" s="58" t="s">
        <v>1543</v>
      </c>
      <c r="D975" s="58"/>
    </row>
    <row r="976" spans="1:5">
      <c r="A976" s="126"/>
      <c r="B976" s="125"/>
      <c r="C976" s="58" t="s">
        <v>71</v>
      </c>
      <c r="D976" s="58"/>
    </row>
    <row r="977" spans="1:5">
      <c r="A977" s="92" t="s">
        <v>1544</v>
      </c>
      <c r="B977" s="92" t="s">
        <v>5</v>
      </c>
      <c r="C977" s="55" t="s">
        <v>1545</v>
      </c>
      <c r="D977" s="55"/>
      <c r="E977" s="15" t="s">
        <v>1546</v>
      </c>
    </row>
    <row r="978" spans="1:5">
      <c r="A978" s="93"/>
      <c r="B978" s="93"/>
      <c r="C978" s="55" t="s">
        <v>1547</v>
      </c>
      <c r="D978" s="55"/>
    </row>
    <row r="979" spans="1:5">
      <c r="A979" s="93"/>
      <c r="B979" s="93"/>
      <c r="C979" s="55" t="s">
        <v>1548</v>
      </c>
      <c r="D979" s="55"/>
    </row>
    <row r="980" spans="1:5">
      <c r="A980" s="93"/>
      <c r="B980" s="93"/>
      <c r="C980" s="55" t="s">
        <v>1549</v>
      </c>
      <c r="D980" s="55"/>
    </row>
    <row r="981" spans="1:5">
      <c r="A981" s="93"/>
      <c r="B981" s="93"/>
      <c r="C981" s="55" t="s">
        <v>1550</v>
      </c>
      <c r="D981" s="55"/>
    </row>
    <row r="982" spans="1:5">
      <c r="A982" s="93"/>
      <c r="B982" s="93"/>
      <c r="C982" s="55" t="s">
        <v>1551</v>
      </c>
      <c r="D982" s="55"/>
    </row>
    <row r="983" spans="1:5">
      <c r="A983" s="93"/>
      <c r="B983" s="93"/>
      <c r="C983" s="55" t="s">
        <v>1552</v>
      </c>
      <c r="D983" s="55"/>
    </row>
    <row r="984" spans="1:5">
      <c r="A984" s="93"/>
      <c r="B984" s="93"/>
      <c r="C984" s="55" t="s">
        <v>1553</v>
      </c>
      <c r="D984" s="55"/>
    </row>
    <row r="985" spans="1:5">
      <c r="A985" s="93"/>
      <c r="B985" s="93"/>
      <c r="C985" s="55" t="s">
        <v>1554</v>
      </c>
      <c r="D985" s="55" t="s">
        <v>1555</v>
      </c>
      <c r="E985" s="15" t="s">
        <v>822</v>
      </c>
    </row>
    <row r="986" spans="1:5">
      <c r="A986" s="103" t="s">
        <v>1556</v>
      </c>
      <c r="B986" s="99" t="s">
        <v>5</v>
      </c>
      <c r="C986" s="58" t="s">
        <v>1500</v>
      </c>
      <c r="D986" s="58"/>
    </row>
    <row r="987" spans="1:5">
      <c r="A987" s="104"/>
      <c r="B987" s="100"/>
      <c r="C987" s="58" t="s">
        <v>1501</v>
      </c>
      <c r="D987" s="58"/>
    </row>
    <row r="988" spans="1:5">
      <c r="A988" s="104"/>
      <c r="B988" s="100"/>
      <c r="C988" s="58" t="s">
        <v>1557</v>
      </c>
      <c r="D988" s="58"/>
    </row>
    <row r="989" spans="1:5">
      <c r="A989" s="104"/>
      <c r="B989" s="100"/>
      <c r="C989" s="58" t="s">
        <v>1558</v>
      </c>
      <c r="D989" s="58"/>
    </row>
    <row r="990" spans="1:5">
      <c r="A990" s="104"/>
      <c r="B990" s="100"/>
      <c r="C990" s="58" t="s">
        <v>1559</v>
      </c>
      <c r="D990" s="58"/>
    </row>
    <row r="991" spans="1:5">
      <c r="A991" s="104"/>
      <c r="B991" s="100"/>
      <c r="C991" s="58" t="s">
        <v>1560</v>
      </c>
      <c r="D991" s="58"/>
    </row>
    <row r="992" spans="1:5">
      <c r="A992" s="92" t="s">
        <v>1561</v>
      </c>
      <c r="B992" s="92" t="s">
        <v>5</v>
      </c>
      <c r="C992" s="55" t="s">
        <v>113</v>
      </c>
      <c r="D992" s="55"/>
    </row>
    <row r="993" spans="1:5">
      <c r="A993" s="93"/>
      <c r="B993" s="93"/>
      <c r="C993" s="55" t="s">
        <v>100</v>
      </c>
      <c r="D993" s="55"/>
    </row>
    <row r="994" spans="1:5">
      <c r="A994" s="93"/>
      <c r="B994" s="93"/>
      <c r="C994" s="55" t="s">
        <v>1474</v>
      </c>
      <c r="D994" s="55"/>
    </row>
    <row r="995" spans="1:5">
      <c r="A995" s="93"/>
      <c r="B995" s="93"/>
      <c r="C995" s="55" t="s">
        <v>1288</v>
      </c>
      <c r="D995" s="55"/>
    </row>
    <row r="996" spans="1:5">
      <c r="A996" s="93"/>
      <c r="B996" s="93"/>
      <c r="C996" s="55" t="s">
        <v>1562</v>
      </c>
      <c r="D996" s="55" t="s">
        <v>1563</v>
      </c>
    </row>
    <row r="997" spans="1:5">
      <c r="A997" s="93"/>
      <c r="B997" s="93"/>
      <c r="C997" s="55" t="s">
        <v>71</v>
      </c>
      <c r="D997" s="55"/>
    </row>
    <row r="998" spans="1:5">
      <c r="A998" s="99" t="s">
        <v>1564</v>
      </c>
      <c r="B998" s="99" t="s">
        <v>5</v>
      </c>
      <c r="C998" s="58" t="s">
        <v>1565</v>
      </c>
      <c r="D998" s="58"/>
      <c r="E998" s="15" t="s">
        <v>1546</v>
      </c>
    </row>
    <row r="999" spans="1:5">
      <c r="A999" s="100"/>
      <c r="B999" s="100"/>
      <c r="C999" s="58" t="s">
        <v>1566</v>
      </c>
      <c r="D999" s="58"/>
    </row>
    <row r="1000" spans="1:5">
      <c r="A1000" s="92" t="s">
        <v>1567</v>
      </c>
      <c r="B1000" s="92" t="s">
        <v>5</v>
      </c>
      <c r="C1000" s="55" t="s">
        <v>1568</v>
      </c>
      <c r="D1000" s="55"/>
    </row>
    <row r="1001" spans="1:5">
      <c r="A1001" s="93"/>
      <c r="B1001" s="93"/>
      <c r="C1001" s="55" t="s">
        <v>1569</v>
      </c>
      <c r="D1001" s="55"/>
    </row>
    <row r="1002" spans="1:5">
      <c r="A1002" s="93"/>
      <c r="B1002" s="93"/>
      <c r="C1002" s="55" t="s">
        <v>1570</v>
      </c>
      <c r="D1002" s="55"/>
    </row>
    <row r="1003" spans="1:5">
      <c r="A1003" s="93"/>
      <c r="B1003" s="93"/>
      <c r="C1003" s="55" t="s">
        <v>1571</v>
      </c>
      <c r="D1003" s="55"/>
      <c r="E1003" s="15" t="s">
        <v>822</v>
      </c>
    </row>
    <row r="1004" spans="1:5">
      <c r="A1004" s="93"/>
      <c r="B1004" s="93"/>
      <c r="C1004" s="55" t="s">
        <v>1572</v>
      </c>
      <c r="D1004" s="55"/>
    </row>
    <row r="1005" spans="1:5">
      <c r="A1005" s="93"/>
      <c r="B1005" s="93"/>
      <c r="C1005" s="55" t="s">
        <v>1573</v>
      </c>
      <c r="D1005" s="55"/>
    </row>
    <row r="1006" spans="1:5">
      <c r="A1006" s="93"/>
      <c r="B1006" s="93"/>
      <c r="C1006" s="55" t="s">
        <v>1574</v>
      </c>
      <c r="D1006" s="55"/>
      <c r="E1006" s="15" t="s">
        <v>822</v>
      </c>
    </row>
    <row r="1007" spans="1:5">
      <c r="A1007" s="93"/>
      <c r="B1007" s="93"/>
      <c r="C1007" s="55" t="s">
        <v>1575</v>
      </c>
      <c r="D1007" s="55"/>
    </row>
    <row r="1008" spans="1:5">
      <c r="A1008" s="93"/>
      <c r="B1008" s="93"/>
      <c r="C1008" s="55" t="s">
        <v>1576</v>
      </c>
      <c r="D1008" s="55"/>
    </row>
    <row r="1009" spans="1:4">
      <c r="A1009" s="93"/>
      <c r="B1009" s="93"/>
      <c r="C1009" s="55" t="s">
        <v>1577</v>
      </c>
      <c r="D1009" s="55"/>
    </row>
    <row r="1010" spans="1:4">
      <c r="A1010" s="93"/>
      <c r="B1010" s="93"/>
      <c r="C1010" s="55" t="s">
        <v>1578</v>
      </c>
      <c r="D1010" s="55"/>
    </row>
    <row r="1011" spans="1:4">
      <c r="A1011" s="93"/>
      <c r="B1011" s="93"/>
      <c r="C1011" s="55" t="s">
        <v>1579</v>
      </c>
      <c r="D1011" s="55"/>
    </row>
    <row r="1012" spans="1:4">
      <c r="A1012" s="93"/>
      <c r="B1012" s="93"/>
      <c r="C1012" s="55" t="s">
        <v>1580</v>
      </c>
      <c r="D1012" s="55"/>
    </row>
    <row r="1013" spans="1:4">
      <c r="A1013" s="93"/>
      <c r="B1013" s="93"/>
      <c r="C1013" s="55" t="s">
        <v>1581</v>
      </c>
      <c r="D1013" s="55"/>
    </row>
    <row r="1014" spans="1:4">
      <c r="A1014" s="93"/>
      <c r="B1014" s="93"/>
      <c r="C1014" s="55" t="s">
        <v>1582</v>
      </c>
      <c r="D1014" s="55"/>
    </row>
    <row r="1015" spans="1:4">
      <c r="A1015" s="93"/>
      <c r="B1015" s="93"/>
      <c r="C1015" s="55" t="s">
        <v>795</v>
      </c>
      <c r="D1015" s="55"/>
    </row>
    <row r="1016" spans="1:4">
      <c r="A1016" s="93"/>
      <c r="B1016" s="93"/>
      <c r="C1016" s="55" t="s">
        <v>1583</v>
      </c>
      <c r="D1016" s="55"/>
    </row>
    <row r="1017" spans="1:4">
      <c r="A1017" s="93"/>
      <c r="B1017" s="93"/>
      <c r="C1017" s="55" t="s">
        <v>1584</v>
      </c>
      <c r="D1017" s="55"/>
    </row>
    <row r="1018" spans="1:4">
      <c r="A1018" s="93"/>
      <c r="B1018" s="93"/>
      <c r="C1018" s="55" t="s">
        <v>1585</v>
      </c>
      <c r="D1018" s="55"/>
    </row>
    <row r="1019" spans="1:4">
      <c r="A1019" s="93"/>
      <c r="B1019" s="93"/>
      <c r="C1019" s="55" t="s">
        <v>1586</v>
      </c>
      <c r="D1019" s="55"/>
    </row>
    <row r="1020" spans="1:4">
      <c r="A1020" s="93"/>
      <c r="B1020" s="93"/>
      <c r="C1020" s="55" t="s">
        <v>1587</v>
      </c>
      <c r="D1020" s="55"/>
    </row>
    <row r="1021" spans="1:4">
      <c r="A1021" s="93"/>
      <c r="B1021" s="93"/>
      <c r="C1021" s="55" t="s">
        <v>1588</v>
      </c>
      <c r="D1021" s="55"/>
    </row>
    <row r="1022" spans="1:4">
      <c r="A1022" s="93"/>
      <c r="B1022" s="93"/>
      <c r="C1022" s="55" t="s">
        <v>1589</v>
      </c>
      <c r="D1022" s="55"/>
    </row>
    <row r="1023" spans="1:4">
      <c r="A1023" s="93"/>
      <c r="B1023" s="93"/>
      <c r="C1023" s="55" t="s">
        <v>1590</v>
      </c>
      <c r="D1023" s="55"/>
    </row>
    <row r="1024" spans="1:4">
      <c r="A1024" s="93"/>
      <c r="B1024" s="93"/>
      <c r="C1024" s="55" t="s">
        <v>1591</v>
      </c>
      <c r="D1024" s="55"/>
    </row>
    <row r="1025" spans="1:5">
      <c r="A1025" s="93"/>
      <c r="B1025" s="93"/>
      <c r="C1025" s="55" t="s">
        <v>1592</v>
      </c>
      <c r="D1025" s="55"/>
    </row>
    <row r="1026" spans="1:5">
      <c r="A1026" s="93"/>
      <c r="B1026" s="93"/>
      <c r="C1026" s="55" t="s">
        <v>1593</v>
      </c>
      <c r="D1026" s="55"/>
    </row>
    <row r="1027" spans="1:5">
      <c r="A1027" s="93"/>
      <c r="B1027" s="93"/>
      <c r="C1027" s="55" t="s">
        <v>1594</v>
      </c>
      <c r="D1027" s="55"/>
    </row>
    <row r="1028" spans="1:5">
      <c r="A1028" s="93"/>
      <c r="B1028" s="93"/>
      <c r="C1028" s="55" t="s">
        <v>1595</v>
      </c>
      <c r="D1028" s="55"/>
    </row>
    <row r="1029" spans="1:5">
      <c r="A1029" s="93"/>
      <c r="B1029" s="93"/>
      <c r="C1029" s="55" t="s">
        <v>1596</v>
      </c>
      <c r="D1029" s="55"/>
    </row>
    <row r="1030" spans="1:5">
      <c r="A1030" s="93"/>
      <c r="B1030" s="93"/>
      <c r="C1030" s="55" t="s">
        <v>1597</v>
      </c>
      <c r="D1030" s="55"/>
    </row>
    <row r="1031" spans="1:5">
      <c r="A1031" s="93"/>
      <c r="B1031" s="93"/>
      <c r="C1031" s="135" t="s">
        <v>1598</v>
      </c>
      <c r="D1031" s="55"/>
      <c r="E1031" s="15" t="s">
        <v>822</v>
      </c>
    </row>
    <row r="1032" spans="1:5">
      <c r="A1032" s="93"/>
      <c r="B1032" s="93"/>
      <c r="C1032" s="55" t="s">
        <v>1599</v>
      </c>
      <c r="D1032" s="55"/>
    </row>
    <row r="1033" spans="1:5">
      <c r="A1033" s="93"/>
      <c r="B1033" s="93"/>
      <c r="C1033" s="55" t="s">
        <v>71</v>
      </c>
      <c r="D1033" s="55"/>
    </row>
    <row r="1034" spans="1:5">
      <c r="A1034" s="69" t="s">
        <v>1600</v>
      </c>
      <c r="B1034" s="69" t="s">
        <v>5</v>
      </c>
      <c r="C1034" s="58" t="s">
        <v>1601</v>
      </c>
      <c r="D1034" s="58"/>
      <c r="E1034" s="15" t="s">
        <v>1546</v>
      </c>
    </row>
    <row r="1035" spans="1:5">
      <c r="A1035" s="70"/>
      <c r="B1035" s="70"/>
      <c r="C1035" s="58" t="s">
        <v>1602</v>
      </c>
      <c r="D1035" s="58"/>
    </row>
    <row r="1036" spans="1:5">
      <c r="A1036" s="70"/>
      <c r="B1036" s="70"/>
      <c r="C1036" s="58" t="s">
        <v>71</v>
      </c>
      <c r="D1036" s="58"/>
    </row>
    <row r="1037" spans="1:5">
      <c r="A1037" s="92" t="s">
        <v>1603</v>
      </c>
      <c r="B1037" s="92" t="s">
        <v>5</v>
      </c>
      <c r="C1037" s="55" t="s">
        <v>1604</v>
      </c>
      <c r="D1037" s="55"/>
    </row>
    <row r="1038" spans="1:5">
      <c r="A1038" s="93"/>
      <c r="B1038" s="93"/>
      <c r="C1038" s="55" t="s">
        <v>1605</v>
      </c>
      <c r="D1038" s="55" t="s">
        <v>1606</v>
      </c>
    </row>
    <row r="1039" spans="1:5">
      <c r="A1039" s="93"/>
      <c r="B1039" s="93"/>
      <c r="C1039" s="55" t="s">
        <v>1607</v>
      </c>
      <c r="D1039" s="55" t="s">
        <v>1608</v>
      </c>
    </row>
    <row r="1040" spans="1:5">
      <c r="A1040" s="93"/>
      <c r="B1040" s="93"/>
      <c r="C1040" s="55" t="s">
        <v>1609</v>
      </c>
      <c r="D1040" s="55" t="s">
        <v>1610</v>
      </c>
    </row>
    <row r="1044" spans="4:4">
      <c r="D1044" s="57"/>
    </row>
    <row r="1045" spans="4:4">
      <c r="D1045" s="57"/>
    </row>
    <row r="1046" spans="4:4">
      <c r="D1046" s="57"/>
    </row>
    <row r="1047" spans="4:4">
      <c r="D1047" s="57"/>
    </row>
    <row r="1065" spans="1:4">
      <c r="D1065" s="32"/>
    </row>
    <row r="1070" spans="1:4">
      <c r="A1070" s="32"/>
    </row>
    <row r="1072" spans="1:4">
      <c r="C1072" s="15"/>
    </row>
    <row r="1073" spans="1:5" s="9" customFormat="1">
      <c r="B1073" s="15"/>
      <c r="C1073" s="15"/>
      <c r="E1073" s="15"/>
    </row>
    <row r="1074" spans="1:5" s="9" customFormat="1">
      <c r="A1074" s="44"/>
      <c r="B1074" s="15"/>
      <c r="C1074" s="15"/>
      <c r="E1074" s="15"/>
    </row>
    <row r="1075" spans="1:5" s="9" customFormat="1">
      <c r="B1075" s="15"/>
      <c r="C1075" s="57"/>
      <c r="E1075" s="15"/>
    </row>
    <row r="1076" spans="1:5" s="9" customFormat="1">
      <c r="B1076" s="15"/>
      <c r="C1076" s="57" t="s">
        <v>96</v>
      </c>
      <c r="E1076" s="15"/>
    </row>
    <row r="1077" spans="1:5" s="9" customFormat="1">
      <c r="B1077" s="15"/>
      <c r="C1077" s="57" t="s">
        <v>83</v>
      </c>
      <c r="E1077" s="15"/>
    </row>
    <row r="1078" spans="1:5" s="9" customFormat="1">
      <c r="B1078" s="15"/>
      <c r="C1078" s="57" t="s">
        <v>332</v>
      </c>
      <c r="E1078" s="15"/>
    </row>
    <row r="1079" spans="1:5" s="9" customFormat="1">
      <c r="B1079" s="15"/>
      <c r="C1079" s="57" t="s">
        <v>125</v>
      </c>
      <c r="E1079" s="15"/>
    </row>
    <row r="1080" spans="1:5" s="9" customFormat="1">
      <c r="B1080" s="15"/>
      <c r="C1080" s="57"/>
      <c r="E1080" s="15"/>
    </row>
    <row r="1081" spans="1:5" s="9" customFormat="1">
      <c r="B1081" s="15"/>
      <c r="C1081" s="57" t="s">
        <v>96</v>
      </c>
      <c r="E1081" s="15"/>
    </row>
    <row r="1082" spans="1:5" s="9" customFormat="1">
      <c r="B1082" s="15"/>
      <c r="C1082" s="57" t="s">
        <v>83</v>
      </c>
      <c r="E1082" s="15"/>
    </row>
    <row r="1083" spans="1:5" s="9" customFormat="1">
      <c r="B1083" s="15"/>
      <c r="C1083" s="57" t="s">
        <v>332</v>
      </c>
      <c r="E1083" s="15"/>
    </row>
    <row r="1084" spans="1:5" s="9" customFormat="1">
      <c r="B1084" s="15"/>
      <c r="C1084" s="57" t="s">
        <v>125</v>
      </c>
      <c r="E1084" s="15"/>
    </row>
    <row r="1085" spans="1:5" s="9" customFormat="1">
      <c r="B1085" s="15"/>
      <c r="C1085" s="57" t="s">
        <v>592</v>
      </c>
      <c r="E1085" s="15"/>
    </row>
    <row r="1086" spans="1:5" s="9" customFormat="1">
      <c r="B1086" s="15"/>
      <c r="C1086" s="57"/>
      <c r="E1086" s="15"/>
    </row>
    <row r="1087" spans="1:5" s="9" customFormat="1">
      <c r="A1087" s="32"/>
      <c r="B1087" s="15"/>
      <c r="C1087" s="57" t="s">
        <v>96</v>
      </c>
      <c r="E1087" s="15"/>
    </row>
    <row r="1088" spans="1:5" s="9" customFormat="1">
      <c r="B1088" s="15"/>
      <c r="C1088" s="57" t="s">
        <v>83</v>
      </c>
      <c r="E1088" s="15"/>
    </row>
    <row r="1089" spans="2:5" s="9" customFormat="1">
      <c r="B1089" s="15"/>
      <c r="C1089" s="57" t="s">
        <v>125</v>
      </c>
      <c r="E1089" s="15"/>
    </row>
    <row r="1090" spans="2:5" s="9" customFormat="1">
      <c r="B1090" s="15"/>
      <c r="C1090" s="57"/>
      <c r="E1090" s="15"/>
    </row>
    <row r="1091" spans="2:5" s="9" customFormat="1">
      <c r="B1091" s="15"/>
      <c r="C1091" s="57" t="s">
        <v>610</v>
      </c>
      <c r="E1091" s="15"/>
    </row>
    <row r="1092" spans="2:5" s="9" customFormat="1">
      <c r="B1092" s="15"/>
      <c r="C1092" s="57" t="s">
        <v>71</v>
      </c>
      <c r="E1092" s="15"/>
    </row>
    <row r="1093" spans="2:5" s="9" customFormat="1">
      <c r="B1093" s="15"/>
      <c r="C1093" s="57"/>
      <c r="E1093" s="15"/>
    </row>
    <row r="1094" spans="2:5" s="9" customFormat="1">
      <c r="B1094" s="15"/>
      <c r="C1094" s="57" t="s">
        <v>146</v>
      </c>
      <c r="E1094" s="15"/>
    </row>
    <row r="1095" spans="2:5" s="9" customFormat="1">
      <c r="B1095" s="15"/>
      <c r="C1095" s="57" t="s">
        <v>1274</v>
      </c>
      <c r="E1095" s="15"/>
    </row>
    <row r="1096" spans="2:5" s="9" customFormat="1">
      <c r="B1096" s="15"/>
      <c r="C1096" s="57" t="s">
        <v>1275</v>
      </c>
      <c r="E1096" s="15"/>
    </row>
    <row r="1097" spans="2:5" s="9" customFormat="1">
      <c r="B1097" s="15"/>
      <c r="C1097" s="57" t="s">
        <v>1278</v>
      </c>
      <c r="E1097" s="15"/>
    </row>
    <row r="1098" spans="2:5" s="9" customFormat="1">
      <c r="B1098" s="15"/>
      <c r="C1098" s="57" t="s">
        <v>1279</v>
      </c>
      <c r="E1098" s="15"/>
    </row>
    <row r="1099" spans="2:5" s="9" customFormat="1">
      <c r="B1099" s="15"/>
      <c r="C1099" s="57" t="s">
        <v>1280</v>
      </c>
      <c r="E1099" s="15"/>
    </row>
    <row r="1100" spans="2:5" s="9" customFormat="1">
      <c r="B1100" s="15"/>
      <c r="C1100" s="57" t="s">
        <v>1281</v>
      </c>
      <c r="E1100" s="15"/>
    </row>
    <row r="1101" spans="2:5" s="9" customFormat="1">
      <c r="B1101" s="15"/>
      <c r="C1101" s="57" t="s">
        <v>1282</v>
      </c>
      <c r="E1101" s="15"/>
    </row>
    <row r="1102" spans="2:5" s="9" customFormat="1">
      <c r="B1102" s="15"/>
      <c r="C1102" s="57" t="s">
        <v>1283</v>
      </c>
      <c r="E1102" s="15"/>
    </row>
    <row r="1103" spans="2:5" s="9" customFormat="1">
      <c r="B1103" s="15"/>
      <c r="C1103" s="57" t="s">
        <v>1285</v>
      </c>
      <c r="E1103" s="15"/>
    </row>
    <row r="1104" spans="2:5" s="9" customFormat="1">
      <c r="B1104" s="15"/>
      <c r="C1104" s="57" t="s">
        <v>1042</v>
      </c>
      <c r="E1104" s="15"/>
    </row>
    <row r="1105" spans="2:5" s="9" customFormat="1">
      <c r="B1105" s="15"/>
      <c r="C1105" s="57" t="s">
        <v>71</v>
      </c>
      <c r="E1105" s="15"/>
    </row>
    <row r="1106" spans="2:5" s="9" customFormat="1">
      <c r="B1106" s="15"/>
      <c r="C1106" s="57"/>
      <c r="E1106" s="15"/>
    </row>
    <row r="1107" spans="2:5" s="9" customFormat="1">
      <c r="B1107" s="15"/>
      <c r="C1107" s="57"/>
      <c r="E1107" s="15"/>
    </row>
    <row r="1108" spans="2:5">
      <c r="C1108" s="57" t="s">
        <v>589</v>
      </c>
    </row>
    <row r="1109" spans="2:5" s="9" customFormat="1">
      <c r="B1109" s="15"/>
      <c r="C1109" s="57" t="s">
        <v>1413</v>
      </c>
      <c r="E1109" s="15"/>
    </row>
    <row r="1110" spans="2:5" s="9" customFormat="1">
      <c r="B1110" s="15"/>
      <c r="C1110" s="57" t="s">
        <v>1414</v>
      </c>
      <c r="E1110" s="15"/>
    </row>
    <row r="1111" spans="2:5" s="9" customFormat="1">
      <c r="B1111" s="15"/>
      <c r="C1111" s="57" t="s">
        <v>71</v>
      </c>
      <c r="E1111" s="15"/>
    </row>
    <row r="1112" spans="2:5" s="9" customFormat="1">
      <c r="B1112" s="15"/>
      <c r="C1112" s="57"/>
      <c r="E1112" s="15"/>
    </row>
    <row r="1113" spans="2:5" s="9" customFormat="1">
      <c r="B1113" s="15"/>
      <c r="C1113" s="57" t="s">
        <v>99</v>
      </c>
      <c r="E1113" s="15"/>
    </row>
    <row r="1114" spans="2:5" s="9" customFormat="1">
      <c r="B1114" s="15"/>
      <c r="C1114" s="57" t="s">
        <v>916</v>
      </c>
      <c r="E1114" s="15"/>
    </row>
    <row r="1115" spans="2:5" s="9" customFormat="1">
      <c r="B1115" s="15"/>
      <c r="C1115" s="57" t="s">
        <v>33</v>
      </c>
      <c r="E1115" s="15"/>
    </row>
    <row r="1116" spans="2:5" s="9" customFormat="1">
      <c r="B1116" s="15"/>
      <c r="C1116" s="57" t="s">
        <v>71</v>
      </c>
      <c r="E1116" s="15"/>
    </row>
    <row r="1117" spans="2:5" s="9" customFormat="1">
      <c r="B1117" s="15"/>
      <c r="C1117" s="57"/>
      <c r="E1117" s="15"/>
    </row>
    <row r="1118" spans="2:5" s="9" customFormat="1">
      <c r="B1118" s="15"/>
      <c r="C1118" s="57" t="s">
        <v>101</v>
      </c>
      <c r="E1118" s="15"/>
    </row>
    <row r="1119" spans="2:5" s="9" customFormat="1">
      <c r="B1119" s="15"/>
      <c r="C1119" s="57" t="s">
        <v>1611</v>
      </c>
      <c r="E1119" s="15"/>
    </row>
    <row r="1120" spans="2:5" s="9" customFormat="1">
      <c r="B1120" s="15"/>
      <c r="C1120" s="57"/>
      <c r="E1120" s="15"/>
    </row>
    <row r="1121" spans="2:5">
      <c r="C1121" s="57" t="s">
        <v>101</v>
      </c>
    </row>
    <row r="1122" spans="2:5" s="9" customFormat="1">
      <c r="B1122" s="15"/>
      <c r="C1122" s="57" t="s">
        <v>920</v>
      </c>
      <c r="E1122" s="15"/>
    </row>
    <row r="1123" spans="2:5" s="9" customFormat="1">
      <c r="B1123" s="15"/>
      <c r="C1123" s="57" t="s">
        <v>922</v>
      </c>
      <c r="E1123" s="15"/>
    </row>
    <row r="1124" spans="2:5" s="9" customFormat="1">
      <c r="B1124" s="15"/>
      <c r="C1124" s="57" t="s">
        <v>924</v>
      </c>
      <c r="E1124" s="15"/>
    </row>
    <row r="1125" spans="2:5">
      <c r="C1125" s="57" t="s">
        <v>929</v>
      </c>
    </row>
    <row r="1126" spans="2:5">
      <c r="C1126" s="57" t="s">
        <v>71</v>
      </c>
    </row>
    <row r="1129" spans="2:5">
      <c r="C1129" s="57" t="s">
        <v>1011</v>
      </c>
    </row>
    <row r="1130" spans="2:5">
      <c r="C1130" s="57" t="s">
        <v>1012</v>
      </c>
    </row>
    <row r="1131" spans="2:5">
      <c r="C1131" s="57" t="s">
        <v>348</v>
      </c>
    </row>
    <row r="1132" spans="2:5">
      <c r="C1132" s="57" t="s">
        <v>146</v>
      </c>
    </row>
    <row r="1133" spans="2:5">
      <c r="C1133" s="57" t="s">
        <v>128</v>
      </c>
    </row>
    <row r="1134" spans="2:5">
      <c r="C1134" s="57" t="s">
        <v>225</v>
      </c>
    </row>
    <row r="1135" spans="2:5">
      <c r="C1135" s="57" t="s">
        <v>1015</v>
      </c>
    </row>
    <row r="1136" spans="2:5">
      <c r="C1136" s="57" t="s">
        <v>102</v>
      </c>
    </row>
    <row r="1137" spans="3:3">
      <c r="C1137" s="57" t="s">
        <v>279</v>
      </c>
    </row>
    <row r="1138" spans="3:3">
      <c r="C1138" s="57" t="s">
        <v>140</v>
      </c>
    </row>
    <row r="1139" spans="3:3">
      <c r="C1139" s="57" t="s">
        <v>209</v>
      </c>
    </row>
    <row r="1140" spans="3:3">
      <c r="C1140" s="57" t="s">
        <v>1016</v>
      </c>
    </row>
    <row r="1141" spans="3:3">
      <c r="C1141" s="57" t="s">
        <v>1017</v>
      </c>
    </row>
    <row r="1142" spans="3:3">
      <c r="C1142" s="57" t="s">
        <v>586</v>
      </c>
    </row>
    <row r="1143" spans="3:3">
      <c r="C1143" s="57" t="s">
        <v>1018</v>
      </c>
    </row>
    <row r="1144" spans="3:3">
      <c r="C1144" s="57" t="s">
        <v>335</v>
      </c>
    </row>
    <row r="1145" spans="3:3">
      <c r="C1145" s="57" t="s">
        <v>1020</v>
      </c>
    </row>
    <row r="1146" spans="3:3">
      <c r="C1146" s="57" t="s">
        <v>1021</v>
      </c>
    </row>
    <row r="1147" spans="3:3">
      <c r="C1147" s="57" t="s">
        <v>1023</v>
      </c>
    </row>
    <row r="1148" spans="3:3">
      <c r="C1148" s="57" t="s">
        <v>1024</v>
      </c>
    </row>
    <row r="1149" spans="3:3">
      <c r="C1149" s="57" t="s">
        <v>1025</v>
      </c>
    </row>
    <row r="1150" spans="3:3">
      <c r="C1150" s="57" t="s">
        <v>599</v>
      </c>
    </row>
    <row r="1151" spans="3:3">
      <c r="C1151" s="57" t="s">
        <v>199</v>
      </c>
    </row>
    <row r="1152" spans="3:3">
      <c r="C1152" s="57" t="s">
        <v>363</v>
      </c>
    </row>
    <row r="1153" spans="3:3">
      <c r="C1153" s="57" t="s">
        <v>114</v>
      </c>
    </row>
    <row r="1154" spans="3:3">
      <c r="C1154" s="57" t="s">
        <v>1026</v>
      </c>
    </row>
    <row r="1155" spans="3:3">
      <c r="C1155" s="57" t="s">
        <v>1027</v>
      </c>
    </row>
    <row r="1156" spans="3:3">
      <c r="C1156" s="57" t="s">
        <v>306</v>
      </c>
    </row>
    <row r="1157" spans="3:3">
      <c r="C1157" s="57" t="s">
        <v>1028</v>
      </c>
    </row>
    <row r="1158" spans="3:3">
      <c r="C1158" s="57" t="s">
        <v>1029</v>
      </c>
    </row>
    <row r="1159" spans="3:3">
      <c r="C1159" s="57" t="s">
        <v>1030</v>
      </c>
    </row>
    <row r="1160" spans="3:3">
      <c r="C1160" s="57" t="s">
        <v>1031</v>
      </c>
    </row>
    <row r="1161" spans="3:3">
      <c r="C1161" s="57" t="s">
        <v>1032</v>
      </c>
    </row>
    <row r="1162" spans="3:3">
      <c r="C1162" s="57" t="s">
        <v>1033</v>
      </c>
    </row>
    <row r="1163" spans="3:3" ht="14.45" customHeight="1">
      <c r="C1163" s="57" t="s">
        <v>1034</v>
      </c>
    </row>
    <row r="1164" spans="3:3">
      <c r="C1164" s="57" t="s">
        <v>358</v>
      </c>
    </row>
    <row r="1165" spans="3:3">
      <c r="C1165" s="57" t="s">
        <v>1036</v>
      </c>
    </row>
    <row r="1166" spans="3:3">
      <c r="C1166" s="57" t="s">
        <v>274</v>
      </c>
    </row>
    <row r="1167" spans="3:3">
      <c r="C1167" s="57" t="s">
        <v>1037</v>
      </c>
    </row>
    <row r="1168" spans="3:3">
      <c r="C1168" s="57" t="s">
        <v>344</v>
      </c>
    </row>
    <row r="1169" spans="3:3">
      <c r="C1169" s="57" t="s">
        <v>292</v>
      </c>
    </row>
    <row r="1170" spans="3:3">
      <c r="C1170" s="57" t="s">
        <v>71</v>
      </c>
    </row>
    <row r="1171" spans="3:3">
      <c r="C1171" s="57" t="s">
        <v>1043</v>
      </c>
    </row>
    <row r="1172" spans="3:3">
      <c r="C1172" s="57" t="s">
        <v>1044</v>
      </c>
    </row>
    <row r="1173" spans="3:3">
      <c r="C1173" s="57" t="s">
        <v>1045</v>
      </c>
    </row>
    <row r="1174" spans="3:3">
      <c r="C1174" s="57" t="s">
        <v>1046</v>
      </c>
    </row>
    <row r="1175" spans="3:3">
      <c r="C1175" s="57" t="s">
        <v>1047</v>
      </c>
    </row>
    <row r="1176" spans="3:3">
      <c r="C1176" s="57" t="s">
        <v>1048</v>
      </c>
    </row>
    <row r="1177" spans="3:3">
      <c r="C1177" s="57" t="s">
        <v>1049</v>
      </c>
    </row>
    <row r="1178" spans="3:3">
      <c r="C1178" s="57" t="s">
        <v>1050</v>
      </c>
    </row>
    <row r="1179" spans="3:3">
      <c r="C1179" s="57" t="s">
        <v>1051</v>
      </c>
    </row>
    <row r="1180" spans="3:3">
      <c r="C1180" s="57" t="s">
        <v>1052</v>
      </c>
    </row>
    <row r="1181" spans="3:3">
      <c r="C1181" s="57" t="s">
        <v>1053</v>
      </c>
    </row>
    <row r="1182" spans="3:3">
      <c r="C1182" s="57" t="s">
        <v>1054</v>
      </c>
    </row>
    <row r="1183" spans="3:3">
      <c r="C1183" s="57" t="s">
        <v>1055</v>
      </c>
    </row>
    <row r="1184" spans="3:3">
      <c r="C1184" s="57" t="s">
        <v>1056</v>
      </c>
    </row>
    <row r="1185" spans="3:3">
      <c r="C1185" s="57" t="s">
        <v>410</v>
      </c>
    </row>
    <row r="1186" spans="3:3">
      <c r="C1186" s="57" t="s">
        <v>1057</v>
      </c>
    </row>
    <row r="1187" spans="3:3">
      <c r="C1187" s="57" t="s">
        <v>1058</v>
      </c>
    </row>
    <row r="1188" spans="3:3">
      <c r="C1188" s="57" t="s">
        <v>1059</v>
      </c>
    </row>
    <row r="1189" spans="3:3">
      <c r="C1189" s="57" t="s">
        <v>1061</v>
      </c>
    </row>
    <row r="1190" spans="3:3">
      <c r="C1190" s="57" t="s">
        <v>1063</v>
      </c>
    </row>
    <row r="1191" spans="3:3">
      <c r="C1191" s="57" t="s">
        <v>1065</v>
      </c>
    </row>
    <row r="1192" spans="3:3">
      <c r="C1192" s="134" t="s">
        <v>1066</v>
      </c>
    </row>
    <row r="1193" spans="3:3">
      <c r="C1193" s="57" t="s">
        <v>448</v>
      </c>
    </row>
    <row r="1194" spans="3:3">
      <c r="C1194" s="57" t="s">
        <v>1068</v>
      </c>
    </row>
    <row r="1195" spans="3:3">
      <c r="C1195" s="57" t="s">
        <v>1069</v>
      </c>
    </row>
    <row r="1196" spans="3:3">
      <c r="C1196" s="57" t="s">
        <v>369</v>
      </c>
    </row>
    <row r="1197" spans="3:3">
      <c r="C1197" s="57" t="s">
        <v>1070</v>
      </c>
    </row>
    <row r="1198" spans="3:3">
      <c r="C1198" s="57" t="s">
        <v>1071</v>
      </c>
    </row>
    <row r="1199" spans="3:3">
      <c r="C1199" s="57" t="s">
        <v>1072</v>
      </c>
    </row>
    <row r="1200" spans="3:3">
      <c r="C1200" s="57" t="s">
        <v>1073</v>
      </c>
    </row>
    <row r="1201" spans="3:3">
      <c r="C1201" s="57" t="s">
        <v>1075</v>
      </c>
    </row>
    <row r="1202" spans="3:3">
      <c r="C1202" s="57" t="s">
        <v>400</v>
      </c>
    </row>
    <row r="1203" spans="3:3">
      <c r="C1203" s="57" t="s">
        <v>1077</v>
      </c>
    </row>
    <row r="1204" spans="3:3">
      <c r="C1204" s="57" t="s">
        <v>1078</v>
      </c>
    </row>
    <row r="1205" spans="3:3">
      <c r="C1205" s="57" t="s">
        <v>1079</v>
      </c>
    </row>
    <row r="1206" spans="3:3">
      <c r="C1206" s="57" t="s">
        <v>1080</v>
      </c>
    </row>
    <row r="1207" spans="3:3">
      <c r="C1207" s="57" t="s">
        <v>1081</v>
      </c>
    </row>
    <row r="1208" spans="3:3">
      <c r="C1208" s="57" t="s">
        <v>1083</v>
      </c>
    </row>
    <row r="1209" spans="3:3">
      <c r="C1209" s="57" t="s">
        <v>1084</v>
      </c>
    </row>
    <row r="1210" spans="3:3">
      <c r="C1210" s="57" t="s">
        <v>1085</v>
      </c>
    </row>
    <row r="1211" spans="3:3">
      <c r="C1211" s="57" t="s">
        <v>1086</v>
      </c>
    </row>
    <row r="1212" spans="3:3">
      <c r="C1212" s="57" t="s">
        <v>1087</v>
      </c>
    </row>
    <row r="1213" spans="3:3">
      <c r="C1213" s="57" t="s">
        <v>1088</v>
      </c>
    </row>
    <row r="1214" spans="3:3">
      <c r="C1214" s="57" t="s">
        <v>1089</v>
      </c>
    </row>
    <row r="1215" spans="3:3">
      <c r="C1215" s="57" t="s">
        <v>1090</v>
      </c>
    </row>
    <row r="1216" spans="3:3">
      <c r="C1216" s="57" t="s">
        <v>1092</v>
      </c>
    </row>
    <row r="1217" spans="3:3">
      <c r="C1217" s="57" t="s">
        <v>1093</v>
      </c>
    </row>
    <row r="1218" spans="3:3">
      <c r="C1218" s="57" t="s">
        <v>1094</v>
      </c>
    </row>
    <row r="1219" spans="3:3">
      <c r="C1219" s="57" t="s">
        <v>1095</v>
      </c>
    </row>
    <row r="1220" spans="3:3">
      <c r="C1220" s="57" t="s">
        <v>1096</v>
      </c>
    </row>
    <row r="1221" spans="3:3">
      <c r="C1221" s="57" t="s">
        <v>395</v>
      </c>
    </row>
    <row r="1222" spans="3:3">
      <c r="C1222" s="57" t="s">
        <v>1097</v>
      </c>
    </row>
    <row r="1223" spans="3:3">
      <c r="C1223" s="57" t="s">
        <v>1098</v>
      </c>
    </row>
    <row r="1224" spans="3:3">
      <c r="C1224" s="57" t="s">
        <v>1099</v>
      </c>
    </row>
    <row r="1225" spans="3:3">
      <c r="C1225" s="57" t="s">
        <v>374</v>
      </c>
    </row>
    <row r="1226" spans="3:3">
      <c r="C1226" s="57" t="s">
        <v>1100</v>
      </c>
    </row>
    <row r="1227" spans="3:3">
      <c r="C1227" s="57" t="s">
        <v>1101</v>
      </c>
    </row>
    <row r="1228" spans="3:3">
      <c r="C1228" s="57" t="s">
        <v>1102</v>
      </c>
    </row>
    <row r="1229" spans="3:3">
      <c r="C1229" s="57" t="s">
        <v>1103</v>
      </c>
    </row>
    <row r="1230" spans="3:3">
      <c r="C1230" s="57" t="s">
        <v>1104</v>
      </c>
    </row>
    <row r="1231" spans="3:3">
      <c r="C1231" s="57" t="s">
        <v>1105</v>
      </c>
    </row>
    <row r="1232" spans="3:3">
      <c r="C1232" s="57" t="s">
        <v>1106</v>
      </c>
    </row>
    <row r="1233" spans="3:3">
      <c r="C1233" s="57" t="s">
        <v>1107</v>
      </c>
    </row>
    <row r="1234" spans="3:3">
      <c r="C1234" s="57" t="s">
        <v>439</v>
      </c>
    </row>
    <row r="1235" spans="3:3">
      <c r="C1235" s="57" t="s">
        <v>1108</v>
      </c>
    </row>
    <row r="1236" spans="3:3">
      <c r="C1236" s="57" t="s">
        <v>1109</v>
      </c>
    </row>
    <row r="1237" spans="3:3">
      <c r="C1237" s="57" t="s">
        <v>1111</v>
      </c>
    </row>
    <row r="1238" spans="3:3">
      <c r="C1238" s="57" t="s">
        <v>1112</v>
      </c>
    </row>
    <row r="1239" spans="3:3">
      <c r="C1239" s="57" t="s">
        <v>1113</v>
      </c>
    </row>
    <row r="1240" spans="3:3">
      <c r="C1240" s="57" t="s">
        <v>1114</v>
      </c>
    </row>
    <row r="1241" spans="3:3">
      <c r="C1241" s="57" t="s">
        <v>1115</v>
      </c>
    </row>
    <row r="1242" spans="3:3">
      <c r="C1242" s="57" t="s">
        <v>1116</v>
      </c>
    </row>
    <row r="1243" spans="3:3">
      <c r="C1243" s="57" t="s">
        <v>1117</v>
      </c>
    </row>
    <row r="1244" spans="3:3">
      <c r="C1244" s="57" t="s">
        <v>1118</v>
      </c>
    </row>
    <row r="1245" spans="3:3">
      <c r="C1245" s="57" t="s">
        <v>665</v>
      </c>
    </row>
    <row r="1248" spans="3:3">
      <c r="C1248" s="57" t="s">
        <v>919</v>
      </c>
    </row>
    <row r="1249" spans="3:3">
      <c r="C1249" s="57" t="s">
        <v>920</v>
      </c>
    </row>
    <row r="1250" spans="3:3">
      <c r="C1250" s="57" t="s">
        <v>922</v>
      </c>
    </row>
    <row r="1251" spans="3:3">
      <c r="C1251" s="57" t="s">
        <v>925</v>
      </c>
    </row>
    <row r="1252" spans="3:3">
      <c r="C1252" s="57" t="s">
        <v>927</v>
      </c>
    </row>
    <row r="1253" spans="3:3">
      <c r="C1253" s="57" t="s">
        <v>71</v>
      </c>
    </row>
    <row r="1255" spans="3:3">
      <c r="C1255" s="57" t="s">
        <v>919</v>
      </c>
    </row>
    <row r="1256" spans="3:3">
      <c r="C1256" s="57" t="s">
        <v>924</v>
      </c>
    </row>
    <row r="1257" spans="3:3">
      <c r="C1257" s="57" t="s">
        <v>929</v>
      </c>
    </row>
    <row r="1258" spans="3:3">
      <c r="C1258" s="57" t="s">
        <v>920</v>
      </c>
    </row>
    <row r="1259" spans="3:3">
      <c r="C1259" s="57" t="s">
        <v>71</v>
      </c>
    </row>
    <row r="1261" spans="3:3">
      <c r="C1261" s="57" t="s">
        <v>101</v>
      </c>
    </row>
    <row r="1262" spans="3:3">
      <c r="C1262" s="57" t="s">
        <v>920</v>
      </c>
    </row>
    <row r="1263" spans="3:3">
      <c r="C1263" s="57" t="s">
        <v>927</v>
      </c>
    </row>
    <row r="1264" spans="3:3">
      <c r="C1264" s="57" t="s">
        <v>925</v>
      </c>
    </row>
    <row r="1265" spans="3:3">
      <c r="C1265" s="57" t="s">
        <v>71</v>
      </c>
    </row>
    <row r="1267" spans="3:3">
      <c r="C1267" s="57" t="s">
        <v>919</v>
      </c>
    </row>
    <row r="1268" spans="3:3">
      <c r="C1268" s="57" t="s">
        <v>920</v>
      </c>
    </row>
    <row r="1269" spans="3:3">
      <c r="C1269" s="57" t="s">
        <v>71</v>
      </c>
    </row>
    <row r="1272" spans="3:3">
      <c r="C1272" s="57" t="s">
        <v>101</v>
      </c>
    </row>
    <row r="1273" spans="3:3">
      <c r="C1273" s="57" t="s">
        <v>920</v>
      </c>
    </row>
    <row r="1274" spans="3:3">
      <c r="C1274" s="57" t="s">
        <v>922</v>
      </c>
    </row>
    <row r="1275" spans="3:3">
      <c r="C1275" s="57" t="s">
        <v>924</v>
      </c>
    </row>
    <row r="1276" spans="3:3">
      <c r="C1276" s="57" t="s">
        <v>925</v>
      </c>
    </row>
    <row r="1277" spans="3:3">
      <c r="C1277" s="57" t="s">
        <v>926</v>
      </c>
    </row>
    <row r="1278" spans="3:3">
      <c r="C1278" s="57" t="s">
        <v>927</v>
      </c>
    </row>
    <row r="1279" spans="3:3">
      <c r="C1279" s="57" t="s">
        <v>928</v>
      </c>
    </row>
    <row r="1280" spans="3:3">
      <c r="C1280" s="57" t="s">
        <v>929</v>
      </c>
    </row>
    <row r="1281" spans="3:3">
      <c r="C1281" s="57" t="s">
        <v>71</v>
      </c>
    </row>
    <row r="1283" spans="3:3">
      <c r="C1283" s="57" t="s">
        <v>31</v>
      </c>
    </row>
    <row r="1284" spans="3:3">
      <c r="C1284" s="57" t="s">
        <v>932</v>
      </c>
    </row>
    <row r="1285" spans="3:3">
      <c r="C1285" s="57" t="s">
        <v>409</v>
      </c>
    </row>
    <row r="1286" spans="3:3">
      <c r="C1286" s="57" t="s">
        <v>368</v>
      </c>
    </row>
    <row r="1287" spans="3:3">
      <c r="C1287" s="57" t="s">
        <v>936</v>
      </c>
    </row>
    <row r="1288" spans="3:3">
      <c r="C1288" s="57" t="s">
        <v>938</v>
      </c>
    </row>
    <row r="1289" spans="3:3">
      <c r="C1289" s="57" t="s">
        <v>940</v>
      </c>
    </row>
    <row r="1290" spans="3:3">
      <c r="C1290" s="57" t="s">
        <v>942</v>
      </c>
    </row>
    <row r="1291" spans="3:3">
      <c r="C1291" s="57" t="s">
        <v>944</v>
      </c>
    </row>
    <row r="1292" spans="3:3">
      <c r="C1292" s="57" t="s">
        <v>946</v>
      </c>
    </row>
    <row r="1293" spans="3:3">
      <c r="C1293" s="57" t="s">
        <v>948</v>
      </c>
    </row>
    <row r="1294" spans="3:3">
      <c r="C1294" s="57" t="s">
        <v>950</v>
      </c>
    </row>
    <row r="1295" spans="3:3">
      <c r="C1295" s="57" t="s">
        <v>952</v>
      </c>
    </row>
    <row r="1296" spans="3:3">
      <c r="C1296" s="57" t="s">
        <v>491</v>
      </c>
    </row>
    <row r="1297" spans="3:3">
      <c r="C1297" s="57" t="s">
        <v>498</v>
      </c>
    </row>
    <row r="1298" spans="3:3">
      <c r="C1298" s="57" t="s">
        <v>416</v>
      </c>
    </row>
    <row r="1299" spans="3:3">
      <c r="C1299" s="57" t="s">
        <v>957</v>
      </c>
    </row>
    <row r="1300" spans="3:3">
      <c r="C1300" s="57" t="s">
        <v>959</v>
      </c>
    </row>
    <row r="1301" spans="3:3">
      <c r="C1301" s="57" t="s">
        <v>961</v>
      </c>
    </row>
    <row r="1302" spans="3:3">
      <c r="C1302" s="57" t="s">
        <v>963</v>
      </c>
    </row>
    <row r="1303" spans="3:3">
      <c r="C1303" s="57" t="s">
        <v>515</v>
      </c>
    </row>
    <row r="1304" spans="3:3">
      <c r="C1304" s="57" t="s">
        <v>966</v>
      </c>
    </row>
    <row r="1305" spans="3:3">
      <c r="C1305" s="57" t="s">
        <v>968</v>
      </c>
    </row>
    <row r="1306" spans="3:3">
      <c r="C1306" s="57" t="s">
        <v>970</v>
      </c>
    </row>
    <row r="1307" spans="3:3">
      <c r="C1307" s="57" t="s">
        <v>972</v>
      </c>
    </row>
    <row r="1308" spans="3:3">
      <c r="C1308" s="57" t="s">
        <v>974</v>
      </c>
    </row>
    <row r="1309" spans="3:3">
      <c r="C1309" s="57" t="s">
        <v>976</v>
      </c>
    </row>
    <row r="1310" spans="3:3">
      <c r="C1310" s="57" t="s">
        <v>978</v>
      </c>
    </row>
    <row r="1311" spans="3:3">
      <c r="C1311" s="57" t="s">
        <v>980</v>
      </c>
    </row>
    <row r="1312" spans="3:3">
      <c r="C1312" s="57" t="s">
        <v>982</v>
      </c>
    </row>
    <row r="1313" spans="3:3">
      <c r="C1313" s="57" t="s">
        <v>984</v>
      </c>
    </row>
    <row r="1314" spans="3:3">
      <c r="C1314" s="57" t="s">
        <v>986</v>
      </c>
    </row>
    <row r="1315" spans="3:3">
      <c r="C1315" s="57" t="s">
        <v>71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2" customWidth="1"/>
    <col min="2" max="2" width="48.75" style="62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1" t="s">
        <v>1744</v>
      </c>
      <c r="B1" s="112" t="s">
        <v>1745</v>
      </c>
      <c r="C1" s="112" t="s">
        <v>1746</v>
      </c>
      <c r="D1" s="113" t="s">
        <v>1747</v>
      </c>
    </row>
    <row r="2" spans="1:4" ht="15.75" hidden="1" outlineLevel="1">
      <c r="A2" s="39" t="s">
        <v>1459</v>
      </c>
      <c r="B2" s="40" t="s">
        <v>0</v>
      </c>
      <c r="C2" s="39">
        <v>5.0999999999999996</v>
      </c>
      <c r="D2" s="115"/>
    </row>
    <row r="3" spans="1:4" ht="15.75" hidden="1" outlineLevel="1">
      <c r="A3" s="39" t="s">
        <v>1459</v>
      </c>
      <c r="B3" s="40" t="s">
        <v>1</v>
      </c>
      <c r="C3" s="39">
        <v>5.2</v>
      </c>
      <c r="D3" s="115"/>
    </row>
    <row r="4" spans="1:4" ht="15.75" hidden="1" outlineLevel="1">
      <c r="A4" s="39" t="s">
        <v>1459</v>
      </c>
      <c r="B4" s="40" t="s">
        <v>774</v>
      </c>
      <c r="C4" s="39">
        <v>5.4</v>
      </c>
      <c r="D4" s="115"/>
    </row>
    <row r="5" spans="1:4" ht="15.75" hidden="1" outlineLevel="1">
      <c r="A5" s="39" t="s">
        <v>1459</v>
      </c>
      <c r="B5" s="40" t="s">
        <v>775</v>
      </c>
      <c r="C5" s="39">
        <v>5.7</v>
      </c>
      <c r="D5" s="115"/>
    </row>
    <row r="6" spans="1:4" ht="15.75" hidden="1" outlineLevel="1">
      <c r="A6" s="39" t="s">
        <v>1459</v>
      </c>
      <c r="B6" s="40" t="s">
        <v>776</v>
      </c>
      <c r="C6" s="39">
        <v>5.1100000000000003</v>
      </c>
      <c r="D6" s="115"/>
    </row>
    <row r="7" spans="1:4" ht="15.75" hidden="1" outlineLevel="1">
      <c r="A7" s="39" t="s">
        <v>1459</v>
      </c>
      <c r="B7" s="40" t="s">
        <v>5</v>
      </c>
      <c r="C7" s="39">
        <v>5.26</v>
      </c>
      <c r="D7" s="115"/>
    </row>
    <row r="8" spans="1:4" ht="15.75" hidden="1" outlineLevel="1">
      <c r="A8" s="39" t="s">
        <v>1459</v>
      </c>
      <c r="B8" s="40" t="s">
        <v>6</v>
      </c>
      <c r="C8" s="39">
        <v>5.27</v>
      </c>
      <c r="D8" s="115"/>
    </row>
    <row r="9" spans="1:4" ht="15.75" hidden="1" outlineLevel="1">
      <c r="A9" s="39" t="s">
        <v>1459</v>
      </c>
      <c r="B9" s="40" t="s">
        <v>87</v>
      </c>
      <c r="C9" s="39">
        <v>5.36</v>
      </c>
      <c r="D9" s="115"/>
    </row>
    <row r="10" spans="1:4" ht="15.75" hidden="1" outlineLevel="1">
      <c r="A10" s="39" t="s">
        <v>1459</v>
      </c>
      <c r="B10" s="40" t="s">
        <v>778</v>
      </c>
      <c r="C10" s="41">
        <v>5.5</v>
      </c>
      <c r="D10" s="115"/>
    </row>
    <row r="11" spans="1:4" ht="15.75" hidden="1" outlineLevel="1">
      <c r="A11" s="39" t="s">
        <v>1459</v>
      </c>
      <c r="B11" s="40" t="s">
        <v>10</v>
      </c>
      <c r="C11" s="39">
        <v>5.51</v>
      </c>
      <c r="D11" s="115"/>
    </row>
    <row r="12" spans="1:4" ht="15.75" hidden="1" outlineLevel="1">
      <c r="A12" s="39" t="s">
        <v>1459</v>
      </c>
      <c r="B12" s="40" t="s">
        <v>11</v>
      </c>
      <c r="C12" s="39">
        <v>5.53</v>
      </c>
      <c r="D12" s="115"/>
    </row>
    <row r="13" spans="1:4" ht="15.75" hidden="1" outlineLevel="1">
      <c r="A13" s="39" t="s">
        <v>1459</v>
      </c>
      <c r="B13" s="40" t="s">
        <v>779</v>
      </c>
      <c r="C13" s="39">
        <v>5.59</v>
      </c>
      <c r="D13" s="115"/>
    </row>
    <row r="14" spans="1:4" ht="15.75" hidden="1" outlineLevel="1">
      <c r="A14" s="39" t="s">
        <v>1459</v>
      </c>
      <c r="B14" s="40" t="s">
        <v>18</v>
      </c>
      <c r="C14" s="39">
        <v>5.54</v>
      </c>
      <c r="D14" s="115"/>
    </row>
    <row r="15" spans="1:4" ht="15.75" hidden="1" outlineLevel="1">
      <c r="A15" s="39" t="s">
        <v>1459</v>
      </c>
      <c r="B15" s="40" t="s">
        <v>14</v>
      </c>
      <c r="C15" s="41">
        <v>5.7</v>
      </c>
      <c r="D15" s="114" t="s">
        <v>1748</v>
      </c>
    </row>
    <row r="16" spans="1:4" ht="15.75" hidden="1" outlineLevel="1">
      <c r="A16" s="39" t="s">
        <v>1459</v>
      </c>
      <c r="B16" s="40" t="s">
        <v>20</v>
      </c>
      <c r="C16" s="39">
        <v>5.63</v>
      </c>
      <c r="D16" s="115"/>
    </row>
    <row r="17" spans="1:4" ht="15.75" hidden="1" outlineLevel="1">
      <c r="A17" s="39" t="s">
        <v>1459</v>
      </c>
      <c r="B17" s="40" t="s">
        <v>24</v>
      </c>
      <c r="C17" s="39">
        <v>5.47</v>
      </c>
      <c r="D17" s="115"/>
    </row>
    <row r="18" spans="1:4" ht="15.75" hidden="1" outlineLevel="1">
      <c r="A18" s="39" t="s">
        <v>1459</v>
      </c>
      <c r="B18" s="40" t="s">
        <v>25</v>
      </c>
      <c r="C18" s="39">
        <v>5.48</v>
      </c>
      <c r="D18" s="115"/>
    </row>
    <row r="19" spans="1:4" ht="15.75">
      <c r="A19" s="45" t="s">
        <v>1459</v>
      </c>
      <c r="B19" s="40"/>
      <c r="C19" s="39"/>
      <c r="D19" s="115"/>
    </row>
    <row r="20" spans="1:4" ht="15.75" hidden="1" outlineLevel="1">
      <c r="A20" s="39" t="s">
        <v>1469</v>
      </c>
      <c r="B20" s="40" t="s">
        <v>0</v>
      </c>
      <c r="C20" s="39">
        <v>5.0999999999999996</v>
      </c>
      <c r="D20" s="115"/>
    </row>
    <row r="21" spans="1:4" ht="15.75" hidden="1" outlineLevel="1">
      <c r="A21" s="39" t="s">
        <v>1469</v>
      </c>
      <c r="B21" s="40" t="s">
        <v>1</v>
      </c>
      <c r="C21" s="39">
        <v>5.2</v>
      </c>
      <c r="D21" s="115"/>
    </row>
    <row r="22" spans="1:4" ht="15.75" hidden="1" outlineLevel="1">
      <c r="A22" s="39" t="s">
        <v>1469</v>
      </c>
      <c r="B22" s="40" t="s">
        <v>2</v>
      </c>
      <c r="C22" s="39">
        <v>5.3</v>
      </c>
      <c r="D22" s="115"/>
    </row>
    <row r="23" spans="1:4" ht="15.75" hidden="1" outlineLevel="1">
      <c r="A23" s="39" t="s">
        <v>1469</v>
      </c>
      <c r="B23" s="40" t="s">
        <v>561</v>
      </c>
      <c r="C23" s="39">
        <v>5.14</v>
      </c>
      <c r="D23" s="115"/>
    </row>
    <row r="24" spans="1:4" ht="15.75" hidden="1" outlineLevel="1">
      <c r="A24" s="39" t="s">
        <v>1469</v>
      </c>
      <c r="B24" s="40" t="s">
        <v>4</v>
      </c>
      <c r="C24" s="39">
        <v>5.19</v>
      </c>
      <c r="D24" s="115"/>
    </row>
    <row r="25" spans="1:4" ht="15.75" hidden="1" outlineLevel="1">
      <c r="A25" s="39" t="s">
        <v>1469</v>
      </c>
      <c r="B25" s="40" t="s">
        <v>5</v>
      </c>
      <c r="C25" s="39">
        <v>5.26</v>
      </c>
      <c r="D25" s="115"/>
    </row>
    <row r="26" spans="1:4" ht="15.75" hidden="1" outlineLevel="1">
      <c r="A26" s="39" t="s">
        <v>1469</v>
      </c>
      <c r="B26" s="40" t="s">
        <v>6</v>
      </c>
      <c r="C26" s="39">
        <v>5.27</v>
      </c>
      <c r="D26" s="115"/>
    </row>
    <row r="27" spans="1:4" ht="15.75" hidden="1" outlineLevel="1">
      <c r="A27" s="39" t="s">
        <v>1469</v>
      </c>
      <c r="B27" s="40" t="s">
        <v>7</v>
      </c>
      <c r="C27" s="39">
        <v>5.28</v>
      </c>
      <c r="D27" s="115"/>
    </row>
    <row r="28" spans="1:4" ht="15.75" hidden="1" outlineLevel="1">
      <c r="A28" s="39" t="s">
        <v>1469</v>
      </c>
      <c r="B28" s="40" t="s">
        <v>8</v>
      </c>
      <c r="C28" s="41">
        <v>5.3</v>
      </c>
      <c r="D28" s="115"/>
    </row>
    <row r="29" spans="1:4" ht="15.75" hidden="1" outlineLevel="1">
      <c r="A29" s="39" t="s">
        <v>1469</v>
      </c>
      <c r="B29" s="40" t="s">
        <v>9</v>
      </c>
      <c r="C29" s="39">
        <v>5.49</v>
      </c>
      <c r="D29" s="115"/>
    </row>
    <row r="30" spans="1:4" ht="15.75" hidden="1" outlineLevel="1">
      <c r="A30" s="39" t="s">
        <v>1469</v>
      </c>
      <c r="B30" s="40" t="s">
        <v>10</v>
      </c>
      <c r="C30" s="39">
        <v>5.51</v>
      </c>
      <c r="D30" s="115"/>
    </row>
    <row r="31" spans="1:4" ht="15.75" hidden="1" outlineLevel="1">
      <c r="A31" s="39" t="s">
        <v>1469</v>
      </c>
      <c r="B31" s="40" t="s">
        <v>11</v>
      </c>
      <c r="C31" s="39">
        <v>5.53</v>
      </c>
      <c r="D31" s="115"/>
    </row>
    <row r="32" spans="1:4" ht="15.75" hidden="1" outlineLevel="1">
      <c r="A32" s="39" t="s">
        <v>1469</v>
      </c>
      <c r="B32" s="40" t="s">
        <v>12</v>
      </c>
      <c r="C32" s="39">
        <v>5.69</v>
      </c>
      <c r="D32" s="115"/>
    </row>
    <row r="33" spans="1:4" ht="15.75" hidden="1" outlineLevel="1">
      <c r="A33" s="39" t="s">
        <v>1469</v>
      </c>
      <c r="B33" s="40" t="s">
        <v>13</v>
      </c>
      <c r="C33" s="39">
        <v>5.75</v>
      </c>
      <c r="D33" s="115"/>
    </row>
    <row r="34" spans="1:4" ht="15.75" hidden="1" outlineLevel="1">
      <c r="A34" s="39" t="s">
        <v>1469</v>
      </c>
      <c r="B34" s="40" t="s">
        <v>14</v>
      </c>
      <c r="C34" s="41">
        <v>5.7</v>
      </c>
      <c r="D34" s="115"/>
    </row>
    <row r="35" spans="1:4" ht="15.75" hidden="1" outlineLevel="1">
      <c r="A35" s="39" t="s">
        <v>1469</v>
      </c>
      <c r="B35" s="40" t="s">
        <v>15</v>
      </c>
      <c r="C35" s="39">
        <v>5.74</v>
      </c>
      <c r="D35" s="115"/>
    </row>
    <row r="36" spans="1:4" ht="15.75" hidden="1" outlineLevel="1">
      <c r="A36" s="39" t="s">
        <v>1469</v>
      </c>
      <c r="B36" s="40" t="s">
        <v>16</v>
      </c>
      <c r="C36" s="39">
        <v>5.62</v>
      </c>
      <c r="D36" s="115"/>
    </row>
    <row r="37" spans="1:4" ht="15.75" hidden="1" outlineLevel="1">
      <c r="A37" s="39" t="s">
        <v>1469</v>
      </c>
      <c r="B37" s="40" t="s">
        <v>17</v>
      </c>
      <c r="C37" s="39">
        <v>5.58</v>
      </c>
      <c r="D37" s="115"/>
    </row>
    <row r="38" spans="1:4" ht="15.75" hidden="1" outlineLevel="1">
      <c r="A38" s="39" t="s">
        <v>1469</v>
      </c>
      <c r="B38" s="40" t="s">
        <v>18</v>
      </c>
      <c r="C38" s="39">
        <v>5.54</v>
      </c>
      <c r="D38" s="115"/>
    </row>
    <row r="39" spans="1:4" ht="15.75" hidden="1" outlineLevel="1">
      <c r="A39" s="39" t="s">
        <v>1469</v>
      </c>
      <c r="B39" s="40" t="s">
        <v>19</v>
      </c>
      <c r="C39" s="39">
        <v>5.55</v>
      </c>
      <c r="D39" s="115"/>
    </row>
    <row r="40" spans="1:4" ht="15.75" hidden="1" outlineLevel="1">
      <c r="A40" s="39" t="s">
        <v>1469</v>
      </c>
      <c r="B40" s="40" t="s">
        <v>20</v>
      </c>
      <c r="C40" s="39">
        <v>5.63</v>
      </c>
      <c r="D40" s="115"/>
    </row>
    <row r="41" spans="1:4" ht="15.75" hidden="1" outlineLevel="1">
      <c r="A41" s="39" t="s">
        <v>1469</v>
      </c>
      <c r="B41" s="40" t="s">
        <v>21</v>
      </c>
      <c r="C41" s="39">
        <v>5.65</v>
      </c>
      <c r="D41" s="115"/>
    </row>
    <row r="42" spans="1:4" ht="15.75" hidden="1" outlineLevel="1">
      <c r="A42" s="39" t="s">
        <v>1469</v>
      </c>
      <c r="B42" s="40" t="s">
        <v>22</v>
      </c>
      <c r="C42" s="39">
        <v>5.68</v>
      </c>
      <c r="D42" s="115"/>
    </row>
    <row r="43" spans="1:4" ht="15.75" hidden="1" outlineLevel="1">
      <c r="A43" s="39" t="s">
        <v>1469</v>
      </c>
      <c r="B43" s="40" t="s">
        <v>23</v>
      </c>
      <c r="C43" s="39">
        <v>5.45</v>
      </c>
      <c r="D43" s="115"/>
    </row>
    <row r="44" spans="1:4" ht="15.75" hidden="1" outlineLevel="1">
      <c r="A44" s="39" t="s">
        <v>1469</v>
      </c>
      <c r="B44" s="40" t="s">
        <v>24</v>
      </c>
      <c r="C44" s="39">
        <v>5.47</v>
      </c>
      <c r="D44" s="115"/>
    </row>
    <row r="45" spans="1:4" ht="15.75" hidden="1" outlineLevel="1">
      <c r="A45" s="39" t="s">
        <v>1469</v>
      </c>
      <c r="B45" s="40" t="s">
        <v>25</v>
      </c>
      <c r="C45" s="39">
        <v>5.48</v>
      </c>
      <c r="D45" s="115"/>
    </row>
    <row r="46" spans="1:4" ht="15.75">
      <c r="A46" s="45" t="s">
        <v>1469</v>
      </c>
      <c r="B46" s="40"/>
      <c r="C46" s="39"/>
      <c r="D46" s="115"/>
    </row>
    <row r="47" spans="1:4" ht="15.75" hidden="1" outlineLevel="1">
      <c r="A47" s="39" t="s">
        <v>1475</v>
      </c>
      <c r="B47" s="40" t="s">
        <v>0</v>
      </c>
      <c r="C47" s="39">
        <v>5.0999999999999996</v>
      </c>
      <c r="D47" s="115"/>
    </row>
    <row r="48" spans="1:4" ht="15.75" hidden="1" outlineLevel="1">
      <c r="A48" s="39" t="s">
        <v>1475</v>
      </c>
      <c r="B48" s="40" t="s">
        <v>1</v>
      </c>
      <c r="C48" s="39">
        <v>5.2</v>
      </c>
      <c r="D48" s="115"/>
    </row>
    <row r="49" spans="1:4" ht="15.75" hidden="1" outlineLevel="1">
      <c r="A49" s="39" t="s">
        <v>1475</v>
      </c>
      <c r="B49" s="40" t="s">
        <v>2</v>
      </c>
      <c r="C49" s="39">
        <v>5.3</v>
      </c>
      <c r="D49" s="115"/>
    </row>
    <row r="50" spans="1:4" ht="15.75" hidden="1" outlineLevel="1">
      <c r="A50" s="39" t="s">
        <v>1475</v>
      </c>
      <c r="B50" s="40" t="s">
        <v>83</v>
      </c>
      <c r="C50" s="39">
        <v>5.6</v>
      </c>
      <c r="D50" s="115"/>
    </row>
    <row r="51" spans="1:4" ht="15.75" hidden="1" outlineLevel="1">
      <c r="A51" s="39" t="s">
        <v>1475</v>
      </c>
      <c r="B51" s="40" t="s">
        <v>1749</v>
      </c>
      <c r="C51" s="41">
        <v>5.0999999999999996</v>
      </c>
      <c r="D51" s="115"/>
    </row>
    <row r="52" spans="1:4" ht="15.75" hidden="1" outlineLevel="1">
      <c r="A52" s="39" t="s">
        <v>1475</v>
      </c>
      <c r="B52" s="40" t="s">
        <v>561</v>
      </c>
      <c r="C52" s="39">
        <v>5.14</v>
      </c>
      <c r="D52" s="115"/>
    </row>
    <row r="53" spans="1:4" ht="15.75" hidden="1" outlineLevel="1">
      <c r="A53" s="39" t="s">
        <v>1475</v>
      </c>
      <c r="B53" s="40" t="s">
        <v>4</v>
      </c>
      <c r="C53" s="39">
        <v>5.19</v>
      </c>
      <c r="D53" s="115"/>
    </row>
    <row r="54" spans="1:4" ht="15.75" hidden="1" outlineLevel="1">
      <c r="A54" s="39" t="s">
        <v>1475</v>
      </c>
      <c r="B54" s="40" t="s">
        <v>85</v>
      </c>
      <c r="C54" s="39">
        <v>5.24</v>
      </c>
      <c r="D54" s="115"/>
    </row>
    <row r="55" spans="1:4" ht="15.75" hidden="1" outlineLevel="1">
      <c r="A55" s="39" t="s">
        <v>1475</v>
      </c>
      <c r="B55" s="40" t="s">
        <v>5</v>
      </c>
      <c r="C55" s="39">
        <v>5.26</v>
      </c>
      <c r="D55" s="115"/>
    </row>
    <row r="56" spans="1:4" ht="15.75" hidden="1" outlineLevel="1">
      <c r="A56" s="39" t="s">
        <v>1475</v>
      </c>
      <c r="B56" s="40" t="s">
        <v>6</v>
      </c>
      <c r="C56" s="39">
        <v>5.27</v>
      </c>
      <c r="D56" s="115"/>
    </row>
    <row r="57" spans="1:4" ht="15.75" hidden="1" outlineLevel="1">
      <c r="A57" s="39" t="s">
        <v>1475</v>
      </c>
      <c r="B57" s="40" t="s">
        <v>7</v>
      </c>
      <c r="C57" s="39">
        <v>5.28</v>
      </c>
      <c r="D57" s="115"/>
    </row>
    <row r="58" spans="1:4" ht="15.75" hidden="1" outlineLevel="1">
      <c r="A58" s="39" t="s">
        <v>1475</v>
      </c>
      <c r="B58" s="40" t="s">
        <v>8</v>
      </c>
      <c r="C58" s="41">
        <v>5.3</v>
      </c>
      <c r="D58" s="115"/>
    </row>
    <row r="59" spans="1:4" ht="15.75" hidden="1" outlineLevel="1">
      <c r="A59" s="39" t="s">
        <v>1475</v>
      </c>
      <c r="B59" s="40" t="s">
        <v>86</v>
      </c>
      <c r="C59" s="39">
        <v>5.31</v>
      </c>
      <c r="D59" s="115"/>
    </row>
    <row r="60" spans="1:4" ht="15.75" hidden="1" outlineLevel="1">
      <c r="A60" s="39" t="s">
        <v>1475</v>
      </c>
      <c r="B60" s="40" t="s">
        <v>87</v>
      </c>
      <c r="C60" s="39">
        <v>5.36</v>
      </c>
      <c r="D60" s="115"/>
    </row>
    <row r="61" spans="1:4" ht="15.75" hidden="1" outlineLevel="1">
      <c r="A61" s="39" t="s">
        <v>1475</v>
      </c>
      <c r="B61" s="40" t="s">
        <v>9</v>
      </c>
      <c r="C61" s="39">
        <v>5.49</v>
      </c>
      <c r="D61" s="115"/>
    </row>
    <row r="62" spans="1:4" ht="15.75" hidden="1" outlineLevel="1">
      <c r="A62" s="39" t="s">
        <v>1475</v>
      </c>
      <c r="B62" s="40" t="s">
        <v>10</v>
      </c>
      <c r="C62" s="39">
        <v>5.51</v>
      </c>
      <c r="D62" s="115"/>
    </row>
    <row r="63" spans="1:4" ht="15.75" hidden="1" outlineLevel="1">
      <c r="A63" s="39" t="s">
        <v>1475</v>
      </c>
      <c r="B63" s="40" t="s">
        <v>1750</v>
      </c>
      <c r="C63" s="39">
        <v>5.52</v>
      </c>
      <c r="D63" s="115"/>
    </row>
    <row r="64" spans="1:4" ht="15.75" hidden="1" outlineLevel="1">
      <c r="A64" s="39" t="s">
        <v>1475</v>
      </c>
      <c r="B64" s="40" t="s">
        <v>11</v>
      </c>
      <c r="C64" s="39">
        <v>5.53</v>
      </c>
      <c r="D64" s="115"/>
    </row>
    <row r="65" spans="1:4" ht="15.75" hidden="1" outlineLevel="1">
      <c r="A65" s="39" t="s">
        <v>1475</v>
      </c>
      <c r="B65" s="40" t="s">
        <v>12</v>
      </c>
      <c r="C65" s="39">
        <v>5.69</v>
      </c>
      <c r="D65" s="115"/>
    </row>
    <row r="66" spans="1:4" ht="15.75" hidden="1" outlineLevel="1">
      <c r="A66" s="39" t="s">
        <v>1475</v>
      </c>
      <c r="B66" s="40" t="s">
        <v>89</v>
      </c>
      <c r="C66" s="41">
        <v>5.72</v>
      </c>
      <c r="D66" s="115"/>
    </row>
    <row r="67" spans="1:4" ht="15.75" hidden="1" outlineLevel="1">
      <c r="A67" s="39" t="s">
        <v>1475</v>
      </c>
      <c r="B67" s="40" t="s">
        <v>13</v>
      </c>
      <c r="C67" s="39">
        <v>5.75</v>
      </c>
      <c r="D67" s="115"/>
    </row>
    <row r="68" spans="1:4" ht="15.75" hidden="1" outlineLevel="1">
      <c r="A68" s="39" t="s">
        <v>1475</v>
      </c>
      <c r="B68" s="40" t="s">
        <v>14</v>
      </c>
      <c r="C68" s="41">
        <v>5.7</v>
      </c>
      <c r="D68" s="115"/>
    </row>
    <row r="69" spans="1:4" ht="15.75" hidden="1" outlineLevel="1">
      <c r="A69" s="39" t="s">
        <v>1475</v>
      </c>
      <c r="B69" s="40" t="s">
        <v>15</v>
      </c>
      <c r="C69" s="39">
        <v>5.74</v>
      </c>
      <c r="D69" s="115"/>
    </row>
    <row r="70" spans="1:4" ht="15.75" hidden="1" outlineLevel="1">
      <c r="A70" s="39" t="s">
        <v>1475</v>
      </c>
      <c r="B70" s="40" t="s">
        <v>90</v>
      </c>
      <c r="C70" s="39">
        <v>5.76</v>
      </c>
      <c r="D70" s="115"/>
    </row>
    <row r="71" spans="1:4" ht="15.75" hidden="1" outlineLevel="1">
      <c r="A71" s="39" t="s">
        <v>1475</v>
      </c>
      <c r="B71" s="40" t="s">
        <v>91</v>
      </c>
      <c r="C71" s="39">
        <v>5.89</v>
      </c>
      <c r="D71" s="114" t="s">
        <v>1748</v>
      </c>
    </row>
    <row r="72" spans="1:4" ht="15.75" hidden="1" outlineLevel="1">
      <c r="A72" s="39" t="s">
        <v>1475</v>
      </c>
      <c r="B72" s="40" t="s">
        <v>17</v>
      </c>
      <c r="C72" s="39">
        <v>5.58</v>
      </c>
      <c r="D72" s="115"/>
    </row>
    <row r="73" spans="1:4" ht="15.75" hidden="1" outlineLevel="1">
      <c r="A73" s="39" t="s">
        <v>1475</v>
      </c>
      <c r="B73" s="40" t="s">
        <v>16</v>
      </c>
      <c r="C73" s="39">
        <v>5.62</v>
      </c>
      <c r="D73" s="115"/>
    </row>
    <row r="74" spans="1:4" ht="15.75" hidden="1" outlineLevel="1">
      <c r="A74" s="39" t="s">
        <v>1475</v>
      </c>
      <c r="B74" s="40" t="s">
        <v>18</v>
      </c>
      <c r="C74" s="39">
        <v>5.54</v>
      </c>
      <c r="D74" s="115"/>
    </row>
    <row r="75" spans="1:4" ht="15.75" hidden="1" outlineLevel="1">
      <c r="A75" s="39" t="s">
        <v>1475</v>
      </c>
      <c r="B75" s="40" t="s">
        <v>19</v>
      </c>
      <c r="C75" s="39">
        <v>5.55</v>
      </c>
      <c r="D75" s="115"/>
    </row>
    <row r="76" spans="1:4" ht="15.75" hidden="1" outlineLevel="1">
      <c r="A76" s="39" t="s">
        <v>1475</v>
      </c>
      <c r="B76" s="40" t="s">
        <v>20</v>
      </c>
      <c r="C76" s="39">
        <v>5.63</v>
      </c>
      <c r="D76" s="115"/>
    </row>
    <row r="77" spans="1:4" ht="15.75" hidden="1" outlineLevel="1">
      <c r="A77" s="39" t="s">
        <v>1475</v>
      </c>
      <c r="B77" s="40" t="s">
        <v>21</v>
      </c>
      <c r="C77" s="39">
        <v>5.65</v>
      </c>
      <c r="D77" s="115"/>
    </row>
    <row r="78" spans="1:4" ht="15.75" hidden="1" outlineLevel="1">
      <c r="A78" s="39" t="s">
        <v>1475</v>
      </c>
      <c r="B78" s="40" t="s">
        <v>92</v>
      </c>
      <c r="C78" s="39">
        <v>5.66</v>
      </c>
      <c r="D78" s="115"/>
    </row>
    <row r="79" spans="1:4" ht="15.75" hidden="1" outlineLevel="1">
      <c r="A79" s="39" t="s">
        <v>1475</v>
      </c>
      <c r="B79" s="40" t="s">
        <v>22</v>
      </c>
      <c r="C79" s="39">
        <v>5.68</v>
      </c>
      <c r="D79" s="115"/>
    </row>
    <row r="80" spans="1:4" ht="15.75" hidden="1" outlineLevel="1">
      <c r="A80" s="39" t="s">
        <v>1475</v>
      </c>
      <c r="B80" s="40" t="s">
        <v>23</v>
      </c>
      <c r="C80" s="39">
        <v>5.45</v>
      </c>
      <c r="D80" s="115"/>
    </row>
    <row r="81" spans="1:4" ht="15.75" hidden="1" outlineLevel="1">
      <c r="A81" s="39" t="s">
        <v>1475</v>
      </c>
      <c r="B81" s="40" t="s">
        <v>24</v>
      </c>
      <c r="C81" s="39">
        <v>5.47</v>
      </c>
      <c r="D81" s="115"/>
    </row>
    <row r="82" spans="1:4" ht="15.75" hidden="1" outlineLevel="1">
      <c r="A82" s="39" t="s">
        <v>1475</v>
      </c>
      <c r="B82" s="40" t="s">
        <v>25</v>
      </c>
      <c r="C82" s="39">
        <v>5.48</v>
      </c>
      <c r="D82" s="115"/>
    </row>
    <row r="83" spans="1:4" ht="15.75">
      <c r="A83" s="45" t="s">
        <v>1475</v>
      </c>
      <c r="B83" s="40"/>
      <c r="C83" s="39"/>
      <c r="D83" s="115"/>
    </row>
    <row r="84" spans="1:4" ht="15.75" hidden="1" outlineLevel="1">
      <c r="A84" s="39" t="s">
        <v>1476</v>
      </c>
      <c r="B84" s="40" t="s">
        <v>0</v>
      </c>
      <c r="C84" s="39">
        <v>5.0999999999999996</v>
      </c>
      <c r="D84" s="115"/>
    </row>
    <row r="85" spans="1:4" ht="15.75" hidden="1" outlineLevel="1">
      <c r="A85" s="39" t="s">
        <v>1476</v>
      </c>
      <c r="B85" s="40" t="s">
        <v>1</v>
      </c>
      <c r="C85" s="39">
        <v>5.2</v>
      </c>
      <c r="D85" s="115"/>
    </row>
    <row r="86" spans="1:4" ht="15.75" hidden="1" outlineLevel="1">
      <c r="A86" s="39" t="s">
        <v>1476</v>
      </c>
      <c r="B86" s="40" t="s">
        <v>2</v>
      </c>
      <c r="C86" s="39">
        <v>5.3</v>
      </c>
      <c r="D86" s="115"/>
    </row>
    <row r="87" spans="1:4" ht="15.75" hidden="1" outlineLevel="1">
      <c r="A87" s="39" t="s">
        <v>1476</v>
      </c>
      <c r="B87" s="40" t="s">
        <v>83</v>
      </c>
      <c r="C87" s="39">
        <v>5.6</v>
      </c>
      <c r="D87" s="115"/>
    </row>
    <row r="88" spans="1:4" ht="15.75" hidden="1" outlineLevel="1">
      <c r="A88" s="39" t="s">
        <v>1476</v>
      </c>
      <c r="B88" s="40" t="s">
        <v>1749</v>
      </c>
      <c r="C88" s="41">
        <v>5.0999999999999996</v>
      </c>
      <c r="D88" s="115"/>
    </row>
    <row r="89" spans="1:4" ht="15.75" hidden="1" outlineLevel="1">
      <c r="A89" s="39" t="s">
        <v>1476</v>
      </c>
      <c r="B89" s="40" t="s">
        <v>561</v>
      </c>
      <c r="C89" s="39">
        <v>5.14</v>
      </c>
      <c r="D89" s="115"/>
    </row>
    <row r="90" spans="1:4" ht="15.75" hidden="1" outlineLevel="1">
      <c r="A90" s="39" t="s">
        <v>1476</v>
      </c>
      <c r="B90" s="40" t="s">
        <v>4</v>
      </c>
      <c r="C90" s="39">
        <v>5.19</v>
      </c>
      <c r="D90" s="115"/>
    </row>
    <row r="91" spans="1:4" ht="15.75" hidden="1" outlineLevel="1">
      <c r="A91" s="39" t="s">
        <v>1476</v>
      </c>
      <c r="B91" s="40" t="s">
        <v>85</v>
      </c>
      <c r="C91" s="39">
        <v>5.24</v>
      </c>
      <c r="D91" s="115"/>
    </row>
    <row r="92" spans="1:4" ht="15.75" hidden="1" outlineLevel="1">
      <c r="A92" s="39" t="s">
        <v>1476</v>
      </c>
      <c r="B92" s="40" t="s">
        <v>5</v>
      </c>
      <c r="C92" s="39">
        <v>5.26</v>
      </c>
      <c r="D92" s="115"/>
    </row>
    <row r="93" spans="1:4" ht="15.75" hidden="1" outlineLevel="1">
      <c r="A93" s="39" t="s">
        <v>1476</v>
      </c>
      <c r="B93" s="40" t="s">
        <v>6</v>
      </c>
      <c r="C93" s="39">
        <v>5.27</v>
      </c>
      <c r="D93" s="115"/>
    </row>
    <row r="94" spans="1:4" ht="15.75" hidden="1" outlineLevel="1">
      <c r="A94" s="39" t="s">
        <v>1476</v>
      </c>
      <c r="B94" s="40" t="s">
        <v>7</v>
      </c>
      <c r="C94" s="39">
        <v>5.28</v>
      </c>
      <c r="D94" s="115"/>
    </row>
    <row r="95" spans="1:4" ht="15.75" hidden="1" outlineLevel="1">
      <c r="A95" s="39" t="s">
        <v>1476</v>
      </c>
      <c r="B95" s="40" t="s">
        <v>93</v>
      </c>
      <c r="C95" s="39">
        <v>5.29</v>
      </c>
      <c r="D95" s="115"/>
    </row>
    <row r="96" spans="1:4" ht="15.75" hidden="1" outlineLevel="1">
      <c r="A96" s="39" t="s">
        <v>1476</v>
      </c>
      <c r="B96" s="40" t="s">
        <v>8</v>
      </c>
      <c r="C96" s="41">
        <v>5.3</v>
      </c>
      <c r="D96" s="115"/>
    </row>
    <row r="97" spans="1:4" ht="15.75" hidden="1" outlineLevel="1">
      <c r="A97" s="39" t="s">
        <v>1476</v>
      </c>
      <c r="B97" s="40" t="s">
        <v>86</v>
      </c>
      <c r="C97" s="39">
        <v>5.31</v>
      </c>
      <c r="D97" s="115"/>
    </row>
    <row r="98" spans="1:4" ht="15.75" hidden="1" outlineLevel="1">
      <c r="A98" s="39" t="s">
        <v>1476</v>
      </c>
      <c r="B98" s="40" t="s">
        <v>87</v>
      </c>
      <c r="C98" s="39">
        <v>5.36</v>
      </c>
      <c r="D98" s="115"/>
    </row>
    <row r="99" spans="1:4" ht="15.75" hidden="1" outlineLevel="1">
      <c r="A99" s="39" t="s">
        <v>1476</v>
      </c>
      <c r="B99" s="40" t="s">
        <v>9</v>
      </c>
      <c r="C99" s="39">
        <v>5.49</v>
      </c>
      <c r="D99" s="115"/>
    </row>
    <row r="100" spans="1:4" ht="15.75" hidden="1" outlineLevel="1">
      <c r="A100" s="39" t="s">
        <v>1476</v>
      </c>
      <c r="B100" s="40" t="s">
        <v>10</v>
      </c>
      <c r="C100" s="39">
        <v>5.51</v>
      </c>
      <c r="D100" s="115"/>
    </row>
    <row r="101" spans="1:4" ht="15.75" hidden="1" outlineLevel="1">
      <c r="A101" s="39" t="s">
        <v>1476</v>
      </c>
      <c r="B101" s="40" t="s">
        <v>1750</v>
      </c>
      <c r="C101" s="39">
        <v>5.52</v>
      </c>
      <c r="D101" s="115"/>
    </row>
    <row r="102" spans="1:4" ht="15.75" hidden="1" outlineLevel="1">
      <c r="A102" s="39" t="s">
        <v>1476</v>
      </c>
      <c r="B102" s="40" t="s">
        <v>11</v>
      </c>
      <c r="C102" s="39">
        <v>5.53</v>
      </c>
      <c r="D102" s="115"/>
    </row>
    <row r="103" spans="1:4" ht="15.75" hidden="1" outlineLevel="1">
      <c r="A103" s="39" t="s">
        <v>1476</v>
      </c>
      <c r="B103" s="40" t="s">
        <v>12</v>
      </c>
      <c r="C103" s="39">
        <v>5.69</v>
      </c>
      <c r="D103" s="115"/>
    </row>
    <row r="104" spans="1:4" ht="15.75" hidden="1" outlineLevel="1">
      <c r="A104" s="39" t="s">
        <v>1476</v>
      </c>
      <c r="B104" s="40" t="s">
        <v>13</v>
      </c>
      <c r="C104" s="39">
        <v>5.75</v>
      </c>
      <c r="D104" s="115"/>
    </row>
    <row r="105" spans="1:4" ht="15.75" hidden="1" outlineLevel="1">
      <c r="A105" s="39" t="s">
        <v>1476</v>
      </c>
      <c r="B105" s="40" t="s">
        <v>14</v>
      </c>
      <c r="C105" s="41">
        <v>5.7</v>
      </c>
      <c r="D105" s="115"/>
    </row>
    <row r="106" spans="1:4" ht="15.75" hidden="1" outlineLevel="1">
      <c r="A106" s="39" t="s">
        <v>1476</v>
      </c>
      <c r="B106" s="40" t="s">
        <v>15</v>
      </c>
      <c r="C106" s="39">
        <v>5.74</v>
      </c>
      <c r="D106" s="115"/>
    </row>
    <row r="107" spans="1:4" ht="15.75" hidden="1" outlineLevel="1">
      <c r="A107" s="39" t="s">
        <v>1476</v>
      </c>
      <c r="B107" s="40" t="s">
        <v>90</v>
      </c>
      <c r="C107" s="39">
        <v>5.76</v>
      </c>
      <c r="D107" s="115"/>
    </row>
    <row r="108" spans="1:4" ht="15.75" hidden="1" outlineLevel="1">
      <c r="A108" s="39" t="s">
        <v>1476</v>
      </c>
      <c r="B108" s="40" t="s">
        <v>91</v>
      </c>
      <c r="C108" s="39">
        <v>5.89</v>
      </c>
      <c r="D108" s="114" t="s">
        <v>1748</v>
      </c>
    </row>
    <row r="109" spans="1:4" ht="15.75" hidden="1" outlineLevel="1">
      <c r="A109" s="39" t="s">
        <v>1476</v>
      </c>
      <c r="B109" s="40" t="s">
        <v>17</v>
      </c>
      <c r="C109" s="39">
        <v>5.58</v>
      </c>
      <c r="D109" s="115"/>
    </row>
    <row r="110" spans="1:4" ht="15.75" hidden="1" outlineLevel="1">
      <c r="A110" s="39" t="s">
        <v>1476</v>
      </c>
      <c r="B110" s="40" t="s">
        <v>16</v>
      </c>
      <c r="C110" s="39">
        <v>5.62</v>
      </c>
      <c r="D110" s="115"/>
    </row>
    <row r="111" spans="1:4" ht="15.75" hidden="1" outlineLevel="1">
      <c r="A111" s="39" t="s">
        <v>1476</v>
      </c>
      <c r="B111" s="40" t="s">
        <v>18</v>
      </c>
      <c r="C111" s="39">
        <v>5.54</v>
      </c>
      <c r="D111" s="115"/>
    </row>
    <row r="112" spans="1:4" ht="15.75" hidden="1" outlineLevel="1">
      <c r="A112" s="39" t="s">
        <v>1476</v>
      </c>
      <c r="B112" s="40" t="s">
        <v>19</v>
      </c>
      <c r="C112" s="39">
        <v>5.55</v>
      </c>
      <c r="D112" s="115"/>
    </row>
    <row r="113" spans="1:4" ht="15.75" hidden="1" outlineLevel="1">
      <c r="A113" s="39" t="s">
        <v>1476</v>
      </c>
      <c r="B113" s="40" t="s">
        <v>21</v>
      </c>
      <c r="C113" s="39">
        <v>5.65</v>
      </c>
      <c r="D113" s="115"/>
    </row>
    <row r="114" spans="1:4" ht="15.75" hidden="1" outlineLevel="1">
      <c r="A114" s="39" t="s">
        <v>1476</v>
      </c>
      <c r="B114" s="40" t="s">
        <v>92</v>
      </c>
      <c r="C114" s="39">
        <v>5.66</v>
      </c>
      <c r="D114" s="115"/>
    </row>
    <row r="115" spans="1:4" ht="15.75" hidden="1" outlineLevel="1">
      <c r="A115" s="39" t="s">
        <v>1476</v>
      </c>
      <c r="B115" s="40" t="s">
        <v>22</v>
      </c>
      <c r="C115" s="39">
        <v>5.68</v>
      </c>
      <c r="D115" s="115"/>
    </row>
    <row r="116" spans="1:4" ht="15.75" hidden="1" outlineLevel="1">
      <c r="A116" s="39" t="s">
        <v>1476</v>
      </c>
      <c r="B116" s="40" t="s">
        <v>23</v>
      </c>
      <c r="C116" s="39">
        <v>5.45</v>
      </c>
      <c r="D116" s="115"/>
    </row>
    <row r="117" spans="1:4" ht="15.75" hidden="1" outlineLevel="1">
      <c r="A117" s="39" t="s">
        <v>1476</v>
      </c>
      <c r="B117" s="40" t="s">
        <v>24</v>
      </c>
      <c r="C117" s="39">
        <v>5.47</v>
      </c>
      <c r="D117" s="115"/>
    </row>
    <row r="118" spans="1:4" ht="15.75" hidden="1" outlineLevel="1">
      <c r="A118" s="39" t="s">
        <v>1476</v>
      </c>
      <c r="B118" s="40" t="s">
        <v>25</v>
      </c>
      <c r="C118" s="39">
        <v>5.48</v>
      </c>
      <c r="D118" s="115"/>
    </row>
    <row r="119" spans="1:4" ht="15.75">
      <c r="A119" s="45" t="s">
        <v>1476</v>
      </c>
      <c r="B119" s="40"/>
      <c r="C119" s="39"/>
      <c r="D119" s="115"/>
    </row>
    <row r="120" spans="1:4" ht="15.75" hidden="1" outlineLevel="1">
      <c r="A120" s="39" t="s">
        <v>1751</v>
      </c>
      <c r="B120" s="40" t="s">
        <v>0</v>
      </c>
      <c r="C120" s="39">
        <v>5.0999999999999996</v>
      </c>
      <c r="D120" s="115"/>
    </row>
    <row r="121" spans="1:4" ht="15.75" hidden="1" outlineLevel="1">
      <c r="A121" s="39" t="s">
        <v>1751</v>
      </c>
      <c r="B121" s="40" t="s">
        <v>1</v>
      </c>
      <c r="C121" s="39">
        <v>5.2</v>
      </c>
      <c r="D121" s="115"/>
    </row>
    <row r="122" spans="1:4" ht="15.75" hidden="1" outlineLevel="1">
      <c r="A122" s="39" t="s">
        <v>1751</v>
      </c>
      <c r="B122" s="40" t="s">
        <v>2</v>
      </c>
      <c r="C122" s="39">
        <v>5.3</v>
      </c>
      <c r="D122" s="115"/>
    </row>
    <row r="123" spans="1:4" ht="15.75" hidden="1" outlineLevel="1">
      <c r="A123" s="39" t="s">
        <v>1751</v>
      </c>
      <c r="B123" s="40" t="s">
        <v>83</v>
      </c>
      <c r="C123" s="39">
        <v>5.6</v>
      </c>
      <c r="D123" s="115"/>
    </row>
    <row r="124" spans="1:4" ht="15.75" hidden="1" outlineLevel="1">
      <c r="A124" s="39" t="s">
        <v>1751</v>
      </c>
      <c r="B124" s="40" t="s">
        <v>1749</v>
      </c>
      <c r="C124" s="41">
        <v>5.0999999999999996</v>
      </c>
      <c r="D124" s="115"/>
    </row>
    <row r="125" spans="1:4" ht="15.75" hidden="1" outlineLevel="1">
      <c r="A125" s="39" t="s">
        <v>1751</v>
      </c>
      <c r="B125" s="40" t="s">
        <v>561</v>
      </c>
      <c r="C125" s="39">
        <v>5.14</v>
      </c>
      <c r="D125" s="115"/>
    </row>
    <row r="126" spans="1:4" ht="15.75" hidden="1" outlineLevel="1">
      <c r="A126" s="39" t="s">
        <v>1751</v>
      </c>
      <c r="B126" s="40" t="s">
        <v>4</v>
      </c>
      <c r="C126" s="39">
        <v>5.19</v>
      </c>
      <c r="D126" s="115"/>
    </row>
    <row r="127" spans="1:4" ht="15.75" hidden="1" outlineLevel="1">
      <c r="A127" s="39" t="s">
        <v>1751</v>
      </c>
      <c r="B127" s="40" t="s">
        <v>85</v>
      </c>
      <c r="C127" s="39">
        <v>5.24</v>
      </c>
      <c r="D127" s="115"/>
    </row>
    <row r="128" spans="1:4" ht="15.75" hidden="1" outlineLevel="1">
      <c r="A128" s="39" t="s">
        <v>1751</v>
      </c>
      <c r="B128" s="40" t="s">
        <v>5</v>
      </c>
      <c r="C128" s="39">
        <v>5.26</v>
      </c>
      <c r="D128" s="115"/>
    </row>
    <row r="129" spans="1:4" ht="15.75" hidden="1" outlineLevel="1">
      <c r="A129" s="39" t="s">
        <v>1751</v>
      </c>
      <c r="B129" s="40" t="s">
        <v>6</v>
      </c>
      <c r="C129" s="39">
        <v>5.27</v>
      </c>
      <c r="D129" s="115"/>
    </row>
    <row r="130" spans="1:4" ht="15.75" hidden="1" outlineLevel="1">
      <c r="A130" s="39" t="s">
        <v>1751</v>
      </c>
      <c r="B130" s="40" t="s">
        <v>7</v>
      </c>
      <c r="C130" s="39">
        <v>5.28</v>
      </c>
      <c r="D130" s="115"/>
    </row>
    <row r="131" spans="1:4" ht="15.75" hidden="1" outlineLevel="1">
      <c r="A131" s="39" t="s">
        <v>1751</v>
      </c>
      <c r="B131" s="40" t="s">
        <v>93</v>
      </c>
      <c r="C131" s="39">
        <v>5.29</v>
      </c>
      <c r="D131" s="115"/>
    </row>
    <row r="132" spans="1:4" ht="15.75" hidden="1" outlineLevel="1">
      <c r="A132" s="39" t="s">
        <v>1751</v>
      </c>
      <c r="B132" s="40" t="s">
        <v>8</v>
      </c>
      <c r="C132" s="41">
        <v>5.3</v>
      </c>
      <c r="D132" s="115"/>
    </row>
    <row r="133" spans="1:4" ht="15.75" hidden="1" outlineLevel="1">
      <c r="A133" s="39" t="s">
        <v>1751</v>
      </c>
      <c r="B133" s="40" t="s">
        <v>86</v>
      </c>
      <c r="C133" s="39">
        <v>5.31</v>
      </c>
      <c r="D133" s="115"/>
    </row>
    <row r="134" spans="1:4" ht="15.75" hidden="1" outlineLevel="1">
      <c r="A134" s="39" t="s">
        <v>1751</v>
      </c>
      <c r="B134" s="40" t="s">
        <v>87</v>
      </c>
      <c r="C134" s="39">
        <v>5.36</v>
      </c>
      <c r="D134" s="115"/>
    </row>
    <row r="135" spans="1:4" ht="15.75" hidden="1" outlineLevel="1">
      <c r="A135" s="39" t="s">
        <v>1751</v>
      </c>
      <c r="B135" s="40" t="s">
        <v>11</v>
      </c>
      <c r="C135" s="39">
        <v>5.53</v>
      </c>
      <c r="D135" s="115"/>
    </row>
    <row r="136" spans="1:4" ht="15.75" hidden="1" outlineLevel="1">
      <c r="A136" s="39" t="s">
        <v>1751</v>
      </c>
      <c r="B136" s="40" t="s">
        <v>17</v>
      </c>
      <c r="C136" s="39">
        <v>5.58</v>
      </c>
      <c r="D136" s="115"/>
    </row>
    <row r="137" spans="1:4" ht="15.75" hidden="1" outlineLevel="1">
      <c r="A137" s="39" t="s">
        <v>1751</v>
      </c>
      <c r="B137" s="40" t="s">
        <v>16</v>
      </c>
      <c r="C137" s="39">
        <v>5.62</v>
      </c>
      <c r="D137" s="115"/>
    </row>
    <row r="138" spans="1:4" ht="15.75" hidden="1" outlineLevel="1">
      <c r="A138" s="39" t="s">
        <v>1751</v>
      </c>
      <c r="B138" s="40" t="s">
        <v>18</v>
      </c>
      <c r="C138" s="39">
        <v>5.54</v>
      </c>
      <c r="D138" s="115"/>
    </row>
    <row r="139" spans="1:4" ht="15.75" hidden="1" outlineLevel="1">
      <c r="A139" s="39" t="s">
        <v>1751</v>
      </c>
      <c r="B139" s="40" t="s">
        <v>19</v>
      </c>
      <c r="C139" s="39">
        <v>5.55</v>
      </c>
      <c r="D139" s="115"/>
    </row>
    <row r="140" spans="1:4" ht="15.75" hidden="1" outlineLevel="1">
      <c r="A140" s="39" t="s">
        <v>1751</v>
      </c>
      <c r="B140" s="40" t="s">
        <v>20</v>
      </c>
      <c r="C140" s="39">
        <v>5.63</v>
      </c>
      <c r="D140" s="115"/>
    </row>
    <row r="141" spans="1:4" ht="15.75" hidden="1" outlineLevel="1">
      <c r="A141" s="39" t="s">
        <v>1751</v>
      </c>
      <c r="B141" s="40" t="s">
        <v>23</v>
      </c>
      <c r="C141" s="39">
        <v>5.45</v>
      </c>
      <c r="D141" s="115"/>
    </row>
    <row r="142" spans="1:4" ht="15.75" hidden="1" outlineLevel="1">
      <c r="A142" s="39" t="s">
        <v>1751</v>
      </c>
      <c r="B142" s="40" t="s">
        <v>24</v>
      </c>
      <c r="C142" s="39">
        <v>5.47</v>
      </c>
      <c r="D142" s="115"/>
    </row>
    <row r="143" spans="1:4" ht="15.75" hidden="1" outlineLevel="1">
      <c r="A143" s="39" t="s">
        <v>1751</v>
      </c>
      <c r="B143" s="40" t="s">
        <v>25</v>
      </c>
      <c r="C143" s="39">
        <v>5.48</v>
      </c>
      <c r="D143" s="115"/>
    </row>
    <row r="144" spans="1:4" ht="15.75">
      <c r="A144" s="45" t="s">
        <v>1751</v>
      </c>
      <c r="B144" s="40"/>
      <c r="C144" s="39"/>
      <c r="D144" s="115"/>
    </row>
    <row r="145" spans="1:4" ht="15.75" hidden="1" outlineLevel="1">
      <c r="A145" s="39" t="s">
        <v>1033</v>
      </c>
      <c r="B145" s="40" t="s">
        <v>0</v>
      </c>
      <c r="C145" s="39">
        <v>5.0999999999999996</v>
      </c>
      <c r="D145" s="115"/>
    </row>
    <row r="146" spans="1:4" ht="15.75" hidden="1" outlineLevel="1">
      <c r="A146" s="39" t="s">
        <v>1033</v>
      </c>
      <c r="B146" s="40" t="s">
        <v>1</v>
      </c>
      <c r="C146" s="39">
        <v>5.2</v>
      </c>
      <c r="D146" s="115"/>
    </row>
    <row r="147" spans="1:4" ht="15.75" hidden="1" outlineLevel="1">
      <c r="A147" s="39" t="s">
        <v>1033</v>
      </c>
      <c r="B147" s="40" t="s">
        <v>2</v>
      </c>
      <c r="C147" s="39">
        <v>5.3</v>
      </c>
      <c r="D147" s="115"/>
    </row>
    <row r="148" spans="1:4" ht="15.75" hidden="1" outlineLevel="1">
      <c r="A148" s="39" t="s">
        <v>1033</v>
      </c>
      <c r="B148" s="40" t="s">
        <v>83</v>
      </c>
      <c r="C148" s="39">
        <v>5.6</v>
      </c>
      <c r="D148" s="115"/>
    </row>
    <row r="149" spans="1:4" ht="15.75" hidden="1" outlineLevel="1">
      <c r="A149" s="39" t="s">
        <v>1033</v>
      </c>
      <c r="B149" s="40" t="s">
        <v>1749</v>
      </c>
      <c r="C149" s="41">
        <v>5.0999999999999996</v>
      </c>
      <c r="D149" s="115"/>
    </row>
    <row r="150" spans="1:4" ht="15.75" hidden="1" outlineLevel="1">
      <c r="A150" s="39" t="s">
        <v>1033</v>
      </c>
      <c r="B150" s="40" t="s">
        <v>561</v>
      </c>
      <c r="C150" s="39">
        <v>5.14</v>
      </c>
      <c r="D150" s="115"/>
    </row>
    <row r="151" spans="1:4" ht="15.75" hidden="1" outlineLevel="1">
      <c r="A151" s="39" t="s">
        <v>1033</v>
      </c>
      <c r="B151" s="40" t="s">
        <v>4</v>
      </c>
      <c r="C151" s="39">
        <v>5.19</v>
      </c>
      <c r="D151" s="115"/>
    </row>
    <row r="152" spans="1:4" ht="15.75" hidden="1" outlineLevel="1">
      <c r="A152" s="39" t="s">
        <v>1033</v>
      </c>
      <c r="B152" s="40" t="s">
        <v>85</v>
      </c>
      <c r="C152" s="39">
        <v>5.24</v>
      </c>
      <c r="D152" s="115"/>
    </row>
    <row r="153" spans="1:4" ht="15.75" hidden="1" outlineLevel="1">
      <c r="A153" s="39" t="s">
        <v>1033</v>
      </c>
      <c r="B153" s="40" t="s">
        <v>5</v>
      </c>
      <c r="C153" s="39">
        <v>5.26</v>
      </c>
      <c r="D153" s="115"/>
    </row>
    <row r="154" spans="1:4" ht="15.75" hidden="1" outlineLevel="1">
      <c r="A154" s="39" t="s">
        <v>1033</v>
      </c>
      <c r="B154" s="40" t="s">
        <v>6</v>
      </c>
      <c r="C154" s="39">
        <v>5.27</v>
      </c>
      <c r="D154" s="115"/>
    </row>
    <row r="155" spans="1:4" ht="15.75" hidden="1" outlineLevel="1">
      <c r="A155" s="39" t="s">
        <v>1033</v>
      </c>
      <c r="B155" s="40" t="s">
        <v>7</v>
      </c>
      <c r="C155" s="39">
        <v>5.28</v>
      </c>
      <c r="D155" s="115"/>
    </row>
    <row r="156" spans="1:4" ht="15.75" hidden="1" outlineLevel="1">
      <c r="A156" s="39" t="s">
        <v>1033</v>
      </c>
      <c r="B156" s="40" t="s">
        <v>8</v>
      </c>
      <c r="C156" s="41">
        <v>5.3</v>
      </c>
      <c r="D156" s="115"/>
    </row>
    <row r="157" spans="1:4" ht="15.75" hidden="1" outlineLevel="1">
      <c r="A157" s="39" t="s">
        <v>1033</v>
      </c>
      <c r="B157" s="40" t="s">
        <v>457</v>
      </c>
      <c r="C157" s="39">
        <v>5.32</v>
      </c>
      <c r="D157" s="115"/>
    </row>
    <row r="158" spans="1:4" ht="15.75" hidden="1" outlineLevel="1">
      <c r="A158" s="39" t="s">
        <v>1033</v>
      </c>
      <c r="B158" s="40" t="s">
        <v>87</v>
      </c>
      <c r="C158" s="39">
        <v>5.36</v>
      </c>
      <c r="D158" s="115"/>
    </row>
    <row r="159" spans="1:4" ht="15.75" hidden="1" outlineLevel="1">
      <c r="A159" s="39" t="s">
        <v>1033</v>
      </c>
      <c r="B159" s="40" t="s">
        <v>11</v>
      </c>
      <c r="C159" s="39">
        <v>5.53</v>
      </c>
      <c r="D159" s="115"/>
    </row>
    <row r="160" spans="1:4" ht="15.75" hidden="1" outlineLevel="1">
      <c r="A160" s="39" t="s">
        <v>1033</v>
      </c>
      <c r="B160" s="40" t="s">
        <v>17</v>
      </c>
      <c r="C160" s="39">
        <v>5.58</v>
      </c>
      <c r="D160" s="115"/>
    </row>
    <row r="161" spans="1:4" ht="15.75" hidden="1" outlineLevel="1">
      <c r="A161" s="39" t="s">
        <v>1033</v>
      </c>
      <c r="B161" s="40" t="s">
        <v>18</v>
      </c>
      <c r="C161" s="39">
        <v>5.54</v>
      </c>
      <c r="D161" s="115"/>
    </row>
    <row r="162" spans="1:4" ht="15.75" hidden="1" outlineLevel="1">
      <c r="A162" s="39" t="s">
        <v>1033</v>
      </c>
      <c r="B162" s="40" t="s">
        <v>19</v>
      </c>
      <c r="C162" s="39">
        <v>5.55</v>
      </c>
      <c r="D162" s="115"/>
    </row>
    <row r="163" spans="1:4" ht="15.75" hidden="1" outlineLevel="1">
      <c r="A163" s="39" t="s">
        <v>1033</v>
      </c>
      <c r="B163" s="40" t="s">
        <v>16</v>
      </c>
      <c r="C163" s="39">
        <v>5.62</v>
      </c>
      <c r="D163" s="115"/>
    </row>
    <row r="164" spans="1:4" ht="15.75" hidden="1" outlineLevel="1">
      <c r="A164" s="39" t="s">
        <v>1033</v>
      </c>
      <c r="B164" s="40" t="s">
        <v>20</v>
      </c>
      <c r="C164" s="39">
        <v>5.63</v>
      </c>
      <c r="D164" s="115"/>
    </row>
    <row r="165" spans="1:4" ht="15.75" hidden="1" outlineLevel="1">
      <c r="A165" s="39" t="s">
        <v>1033</v>
      </c>
      <c r="B165" s="40" t="s">
        <v>23</v>
      </c>
      <c r="C165" s="39">
        <v>5.45</v>
      </c>
      <c r="D165" s="115"/>
    </row>
    <row r="166" spans="1:4" ht="15.75" hidden="1" outlineLevel="1">
      <c r="A166" s="39" t="s">
        <v>1033</v>
      </c>
      <c r="B166" s="40" t="s">
        <v>24</v>
      </c>
      <c r="C166" s="39">
        <v>5.47</v>
      </c>
      <c r="D166" s="115"/>
    </row>
    <row r="167" spans="1:4" ht="15.75" hidden="1" outlineLevel="1">
      <c r="A167" s="39" t="s">
        <v>1033</v>
      </c>
      <c r="B167" s="40" t="s">
        <v>25</v>
      </c>
      <c r="C167" s="39">
        <v>5.48</v>
      </c>
      <c r="D167" s="115"/>
    </row>
    <row r="168" spans="1:4" ht="15.75">
      <c r="A168" s="45" t="s">
        <v>1033</v>
      </c>
      <c r="B168" s="40"/>
      <c r="C168" s="39"/>
      <c r="D168" s="115"/>
    </row>
    <row r="169" spans="1:4" ht="15.75" hidden="1" outlineLevel="1">
      <c r="A169" s="39" t="s">
        <v>1491</v>
      </c>
      <c r="B169" s="40" t="s">
        <v>0</v>
      </c>
      <c r="C169" s="39">
        <v>5.0999999999999996</v>
      </c>
      <c r="D169" s="115"/>
    </row>
    <row r="170" spans="1:4" ht="15.75" hidden="1" outlineLevel="1">
      <c r="A170" s="39" t="s">
        <v>1491</v>
      </c>
      <c r="B170" s="40" t="s">
        <v>1</v>
      </c>
      <c r="C170" s="39">
        <v>5.2</v>
      </c>
      <c r="D170" s="115"/>
    </row>
    <row r="171" spans="1:4" ht="15.75" hidden="1" outlineLevel="1">
      <c r="A171" s="39" t="s">
        <v>1491</v>
      </c>
      <c r="B171" s="40" t="s">
        <v>2</v>
      </c>
      <c r="C171" s="39">
        <v>5.3</v>
      </c>
      <c r="D171" s="115"/>
    </row>
    <row r="172" spans="1:4" ht="15.75" hidden="1" outlineLevel="1">
      <c r="A172" s="39" t="s">
        <v>1491</v>
      </c>
      <c r="B172" s="40" t="s">
        <v>83</v>
      </c>
      <c r="C172" s="39">
        <v>5.6</v>
      </c>
      <c r="D172" s="115"/>
    </row>
    <row r="173" spans="1:4" ht="15.75" hidden="1" outlineLevel="1">
      <c r="A173" s="39" t="s">
        <v>1491</v>
      </c>
      <c r="B173" s="40" t="s">
        <v>1749</v>
      </c>
      <c r="C173" s="41">
        <v>5.0999999999999996</v>
      </c>
      <c r="D173" s="115"/>
    </row>
    <row r="174" spans="1:4" ht="15.75" hidden="1" outlineLevel="1">
      <c r="A174" s="39" t="s">
        <v>1491</v>
      </c>
      <c r="B174" s="40" t="s">
        <v>561</v>
      </c>
      <c r="C174" s="39">
        <v>5.14</v>
      </c>
      <c r="D174" s="115"/>
    </row>
    <row r="175" spans="1:4" ht="15.75" hidden="1" outlineLevel="1">
      <c r="A175" s="39" t="s">
        <v>1491</v>
      </c>
      <c r="B175" s="40" t="s">
        <v>4</v>
      </c>
      <c r="C175" s="39">
        <v>5.19</v>
      </c>
      <c r="D175" s="115"/>
    </row>
    <row r="176" spans="1:4" ht="15.75" hidden="1" outlineLevel="1">
      <c r="A176" s="39" t="s">
        <v>1491</v>
      </c>
      <c r="B176" s="40" t="s">
        <v>85</v>
      </c>
      <c r="C176" s="39">
        <v>5.24</v>
      </c>
      <c r="D176" s="115"/>
    </row>
    <row r="177" spans="1:4" ht="15.75" hidden="1" outlineLevel="1">
      <c r="A177" s="39" t="s">
        <v>1491</v>
      </c>
      <c r="B177" s="40" t="s">
        <v>5</v>
      </c>
      <c r="C177" s="39">
        <v>5.26</v>
      </c>
      <c r="D177" s="115"/>
    </row>
    <row r="178" spans="1:4" ht="15.75" hidden="1" outlineLevel="1">
      <c r="A178" s="39" t="s">
        <v>1491</v>
      </c>
      <c r="B178" s="40" t="s">
        <v>6</v>
      </c>
      <c r="C178" s="39">
        <v>5.27</v>
      </c>
      <c r="D178" s="115"/>
    </row>
    <row r="179" spans="1:4" ht="15.75" hidden="1" outlineLevel="1">
      <c r="A179" s="39" t="s">
        <v>1491</v>
      </c>
      <c r="B179" s="40" t="s">
        <v>7</v>
      </c>
      <c r="C179" s="39">
        <v>5.28</v>
      </c>
      <c r="D179" s="115"/>
    </row>
    <row r="180" spans="1:4" ht="15.75" hidden="1" outlineLevel="1">
      <c r="A180" s="39" t="s">
        <v>1491</v>
      </c>
      <c r="B180" s="40" t="s">
        <v>93</v>
      </c>
      <c r="C180" s="39">
        <v>5.29</v>
      </c>
      <c r="D180" s="115"/>
    </row>
    <row r="181" spans="1:4" ht="15.75" hidden="1" outlineLevel="1">
      <c r="A181" s="39" t="s">
        <v>1491</v>
      </c>
      <c r="B181" s="40" t="s">
        <v>8</v>
      </c>
      <c r="C181" s="41">
        <v>5.3</v>
      </c>
      <c r="D181" s="115"/>
    </row>
    <row r="182" spans="1:4" ht="15.75" hidden="1" outlineLevel="1">
      <c r="A182" s="39" t="s">
        <v>1491</v>
      </c>
      <c r="B182" s="40" t="s">
        <v>457</v>
      </c>
      <c r="C182" s="39">
        <v>5.32</v>
      </c>
      <c r="D182" s="115"/>
    </row>
    <row r="183" spans="1:4" ht="15.75" hidden="1" outlineLevel="1">
      <c r="A183" s="39" t="s">
        <v>1491</v>
      </c>
      <c r="B183" s="40" t="s">
        <v>87</v>
      </c>
      <c r="C183" s="39">
        <v>5.36</v>
      </c>
      <c r="D183" s="115"/>
    </row>
    <row r="184" spans="1:4" ht="15.75" hidden="1" outlineLevel="1">
      <c r="A184" s="39" t="s">
        <v>1491</v>
      </c>
      <c r="B184" s="40" t="s">
        <v>11</v>
      </c>
      <c r="C184" s="39">
        <v>5.53</v>
      </c>
      <c r="D184" s="115"/>
    </row>
    <row r="185" spans="1:4" ht="15.75" hidden="1" outlineLevel="1">
      <c r="A185" s="39" t="s">
        <v>1491</v>
      </c>
      <c r="B185" s="40" t="s">
        <v>17</v>
      </c>
      <c r="C185" s="39">
        <v>5.58</v>
      </c>
      <c r="D185" s="115"/>
    </row>
    <row r="186" spans="1:4" ht="15.75" hidden="1" outlineLevel="1">
      <c r="A186" s="39" t="s">
        <v>1491</v>
      </c>
      <c r="B186" s="40" t="s">
        <v>18</v>
      </c>
      <c r="C186" s="39">
        <v>5.54</v>
      </c>
      <c r="D186" s="115"/>
    </row>
    <row r="187" spans="1:4" ht="15.75" hidden="1" outlineLevel="1">
      <c r="A187" s="39" t="s">
        <v>1491</v>
      </c>
      <c r="B187" s="40" t="s">
        <v>19</v>
      </c>
      <c r="C187" s="39">
        <v>5.55</v>
      </c>
      <c r="D187" s="115"/>
    </row>
    <row r="188" spans="1:4" ht="15.75" hidden="1" outlineLevel="1">
      <c r="A188" s="39" t="s">
        <v>1491</v>
      </c>
      <c r="B188" s="40" t="s">
        <v>20</v>
      </c>
      <c r="C188" s="39">
        <v>5.63</v>
      </c>
      <c r="D188" s="115"/>
    </row>
    <row r="189" spans="1:4" ht="15.75" hidden="1" outlineLevel="1">
      <c r="A189" s="39" t="s">
        <v>1491</v>
      </c>
      <c r="B189" s="40" t="s">
        <v>23</v>
      </c>
      <c r="C189" s="39">
        <v>5.45</v>
      </c>
      <c r="D189" s="115"/>
    </row>
    <row r="190" spans="1:4" ht="15.75" hidden="1" outlineLevel="1">
      <c r="A190" s="39" t="s">
        <v>1491</v>
      </c>
      <c r="B190" s="40" t="s">
        <v>24</v>
      </c>
      <c r="C190" s="39">
        <v>5.47</v>
      </c>
      <c r="D190" s="115"/>
    </row>
    <row r="191" spans="1:4" ht="15.75" hidden="1" outlineLevel="1">
      <c r="A191" s="39" t="s">
        <v>1491</v>
      </c>
      <c r="B191" s="40" t="s">
        <v>25</v>
      </c>
      <c r="C191" s="39">
        <v>5.48</v>
      </c>
      <c r="D191" s="115"/>
    </row>
    <row r="192" spans="1:4" ht="15.75">
      <c r="A192" s="45" t="s">
        <v>1491</v>
      </c>
      <c r="B192" s="40"/>
      <c r="C192" s="39"/>
      <c r="D192" s="115"/>
    </row>
    <row r="193" spans="1:4" ht="15.75" hidden="1" outlineLevel="1">
      <c r="A193" s="39" t="s">
        <v>1752</v>
      </c>
      <c r="B193" s="40" t="s">
        <v>0</v>
      </c>
      <c r="C193" s="39">
        <v>5.0999999999999996</v>
      </c>
      <c r="D193" s="115"/>
    </row>
    <row r="194" spans="1:4" ht="15.75" hidden="1" outlineLevel="1">
      <c r="A194" s="39" t="s">
        <v>1752</v>
      </c>
      <c r="B194" s="40" t="s">
        <v>1</v>
      </c>
      <c r="C194" s="39">
        <v>5.2</v>
      </c>
      <c r="D194" s="115"/>
    </row>
    <row r="195" spans="1:4" ht="15.75" hidden="1" outlineLevel="1">
      <c r="A195" s="39" t="s">
        <v>1752</v>
      </c>
      <c r="B195" s="40" t="s">
        <v>2</v>
      </c>
      <c r="C195" s="39">
        <v>5.3</v>
      </c>
      <c r="D195" s="115"/>
    </row>
    <row r="196" spans="1:4" ht="15.75" hidden="1" outlineLevel="1">
      <c r="A196" s="39" t="s">
        <v>1752</v>
      </c>
      <c r="B196" s="40" t="s">
        <v>83</v>
      </c>
      <c r="C196" s="39">
        <v>5.6</v>
      </c>
      <c r="D196" s="115"/>
    </row>
    <row r="197" spans="1:4" ht="15.75" hidden="1" outlineLevel="1">
      <c r="A197" s="39" t="s">
        <v>1752</v>
      </c>
      <c r="B197" s="40" t="s">
        <v>1749</v>
      </c>
      <c r="C197" s="41">
        <v>5.0999999999999996</v>
      </c>
      <c r="D197" s="115"/>
    </row>
    <row r="198" spans="1:4" ht="15.75" hidden="1" outlineLevel="1">
      <c r="A198" s="39" t="s">
        <v>1752</v>
      </c>
      <c r="B198" s="40" t="s">
        <v>561</v>
      </c>
      <c r="C198" s="39">
        <v>5.14</v>
      </c>
      <c r="D198" s="115"/>
    </row>
    <row r="199" spans="1:4" ht="15.75" hidden="1" outlineLevel="1">
      <c r="A199" s="39" t="s">
        <v>1752</v>
      </c>
      <c r="B199" s="40" t="s">
        <v>4</v>
      </c>
      <c r="C199" s="39">
        <v>5.19</v>
      </c>
      <c r="D199" s="115"/>
    </row>
    <row r="200" spans="1:4" ht="15.75" hidden="1" outlineLevel="1">
      <c r="A200" s="39" t="s">
        <v>1752</v>
      </c>
      <c r="B200" s="40" t="s">
        <v>85</v>
      </c>
      <c r="C200" s="39">
        <v>5.24</v>
      </c>
      <c r="D200" s="115"/>
    </row>
    <row r="201" spans="1:4" ht="15.75" hidden="1" outlineLevel="1">
      <c r="A201" s="39" t="s">
        <v>1752</v>
      </c>
      <c r="B201" s="40" t="s">
        <v>6</v>
      </c>
      <c r="C201" s="39">
        <v>5.27</v>
      </c>
      <c r="D201" s="115"/>
    </row>
    <row r="202" spans="1:4" ht="15.75" hidden="1" outlineLevel="1">
      <c r="A202" s="39" t="s">
        <v>1752</v>
      </c>
      <c r="B202" s="40" t="s">
        <v>7</v>
      </c>
      <c r="C202" s="39">
        <v>5.28</v>
      </c>
      <c r="D202" s="115"/>
    </row>
    <row r="203" spans="1:4" ht="15.75" hidden="1" outlineLevel="1">
      <c r="A203" s="39" t="s">
        <v>1752</v>
      </c>
      <c r="B203" s="40" t="s">
        <v>93</v>
      </c>
      <c r="C203" s="39">
        <v>5.29</v>
      </c>
      <c r="D203" s="115"/>
    </row>
    <row r="204" spans="1:4" ht="15.75" hidden="1" outlineLevel="1">
      <c r="A204" s="39" t="s">
        <v>1752</v>
      </c>
      <c r="B204" s="40" t="s">
        <v>8</v>
      </c>
      <c r="C204" s="41">
        <v>5.3</v>
      </c>
      <c r="D204" s="115"/>
    </row>
    <row r="205" spans="1:4" ht="15.75" hidden="1" outlineLevel="1">
      <c r="A205" s="39" t="s">
        <v>1752</v>
      </c>
      <c r="B205" s="40" t="s">
        <v>562</v>
      </c>
      <c r="C205" s="39">
        <v>5.34</v>
      </c>
      <c r="D205" s="115"/>
    </row>
    <row r="206" spans="1:4" ht="15.75" hidden="1" outlineLevel="1">
      <c r="A206" s="39" t="s">
        <v>1752</v>
      </c>
      <c r="B206" s="40" t="s">
        <v>86</v>
      </c>
      <c r="C206" s="39">
        <v>5.31</v>
      </c>
      <c r="D206" s="115"/>
    </row>
    <row r="207" spans="1:4" ht="15.75" hidden="1" outlineLevel="1">
      <c r="A207" s="39" t="s">
        <v>1752</v>
      </c>
      <c r="B207" s="40" t="s">
        <v>563</v>
      </c>
      <c r="C207" s="39">
        <v>5.101</v>
      </c>
      <c r="D207" s="115"/>
    </row>
    <row r="208" spans="1:4" ht="15.75" hidden="1" outlineLevel="1">
      <c r="A208" s="39" t="s">
        <v>1752</v>
      </c>
      <c r="B208" s="40" t="s">
        <v>87</v>
      </c>
      <c r="C208" s="39">
        <v>5.36</v>
      </c>
      <c r="D208" s="115"/>
    </row>
    <row r="209" spans="1:4" ht="15.75" hidden="1" outlineLevel="1">
      <c r="A209" s="39" t="s">
        <v>1752</v>
      </c>
      <c r="B209" s="40" t="s">
        <v>11</v>
      </c>
      <c r="C209" s="39">
        <v>5.53</v>
      </c>
      <c r="D209" s="115"/>
    </row>
    <row r="210" spans="1:4" ht="15.75" hidden="1" outlineLevel="1">
      <c r="A210" s="39" t="s">
        <v>1752</v>
      </c>
      <c r="B210" s="40" t="s">
        <v>564</v>
      </c>
      <c r="C210" s="39">
        <v>5.1020000000000003</v>
      </c>
      <c r="D210" s="115"/>
    </row>
    <row r="211" spans="1:4" ht="15.75" hidden="1" outlineLevel="1">
      <c r="A211" s="39" t="s">
        <v>1752</v>
      </c>
      <c r="B211" s="40" t="s">
        <v>565</v>
      </c>
      <c r="C211" s="42">
        <v>5.0999999999999996</v>
      </c>
      <c r="D211" s="115"/>
    </row>
    <row r="212" spans="1:4" ht="15.75" hidden="1" outlineLevel="1">
      <c r="A212" s="39" t="s">
        <v>1752</v>
      </c>
      <c r="B212" s="40" t="s">
        <v>17</v>
      </c>
      <c r="C212" s="39">
        <v>5.58</v>
      </c>
      <c r="D212" s="115"/>
    </row>
    <row r="213" spans="1:4" ht="15.75" hidden="1" outlineLevel="1">
      <c r="A213" s="39" t="s">
        <v>1752</v>
      </c>
      <c r="B213" s="40" t="s">
        <v>18</v>
      </c>
      <c r="C213" s="39">
        <v>5.54</v>
      </c>
      <c r="D213" s="115"/>
    </row>
    <row r="214" spans="1:4" ht="15.75" hidden="1" outlineLevel="1">
      <c r="A214" s="39" t="s">
        <v>1752</v>
      </c>
      <c r="B214" s="40" t="s">
        <v>19</v>
      </c>
      <c r="C214" s="39">
        <v>5.55</v>
      </c>
      <c r="D214" s="115"/>
    </row>
    <row r="215" spans="1:4" ht="15.75" hidden="1" outlineLevel="1">
      <c r="A215" s="39" t="s">
        <v>1752</v>
      </c>
      <c r="B215" s="40" t="s">
        <v>20</v>
      </c>
      <c r="C215" s="39">
        <v>5.63</v>
      </c>
      <c r="D215" s="115"/>
    </row>
    <row r="216" spans="1:4" ht="15.75" hidden="1" outlineLevel="1">
      <c r="A216" s="39" t="s">
        <v>1752</v>
      </c>
      <c r="B216" s="40" t="s">
        <v>24</v>
      </c>
      <c r="C216" s="39">
        <v>5.47</v>
      </c>
      <c r="D216" s="115"/>
    </row>
    <row r="217" spans="1:4" ht="15.75" hidden="1" outlineLevel="1">
      <c r="A217" s="39" t="s">
        <v>1752</v>
      </c>
      <c r="B217" s="40" t="s">
        <v>25</v>
      </c>
      <c r="C217" s="39">
        <v>5.48</v>
      </c>
      <c r="D217" s="115"/>
    </row>
    <row r="218" spans="1:4" ht="15.75">
      <c r="A218" s="45" t="s">
        <v>1752</v>
      </c>
      <c r="B218" s="40"/>
      <c r="C218" s="39"/>
      <c r="D218" s="115"/>
    </row>
    <row r="219" spans="1:4" ht="15.75" hidden="1" outlineLevel="1">
      <c r="A219" s="39" t="s">
        <v>1494</v>
      </c>
      <c r="B219" s="40" t="s">
        <v>0</v>
      </c>
      <c r="C219" s="39">
        <v>5.0999999999999996</v>
      </c>
      <c r="D219" s="115"/>
    </row>
    <row r="220" spans="1:4" ht="15.75" hidden="1" outlineLevel="1">
      <c r="A220" s="39" t="s">
        <v>1494</v>
      </c>
      <c r="B220" s="40" t="s">
        <v>1</v>
      </c>
      <c r="C220" s="39">
        <v>5.2</v>
      </c>
      <c r="D220" s="115"/>
    </row>
    <row r="221" spans="1:4" ht="15.75" hidden="1" outlineLevel="1">
      <c r="A221" s="39" t="s">
        <v>1494</v>
      </c>
      <c r="B221" s="40" t="s">
        <v>2</v>
      </c>
      <c r="C221" s="39">
        <v>5.3</v>
      </c>
      <c r="D221" s="115"/>
    </row>
    <row r="222" spans="1:4" ht="15.75" hidden="1" outlineLevel="1">
      <c r="A222" s="39" t="s">
        <v>1494</v>
      </c>
      <c r="B222" s="40" t="s">
        <v>83</v>
      </c>
      <c r="C222" s="39">
        <v>5.6</v>
      </c>
      <c r="D222" s="115"/>
    </row>
    <row r="223" spans="1:4" ht="15.75" hidden="1" outlineLevel="1">
      <c r="A223" s="39" t="s">
        <v>1494</v>
      </c>
      <c r="B223" s="40" t="s">
        <v>1749</v>
      </c>
      <c r="C223" s="41">
        <v>5.0999999999999996</v>
      </c>
      <c r="D223" s="115"/>
    </row>
    <row r="224" spans="1:4" ht="15.75" hidden="1" outlineLevel="1">
      <c r="A224" s="39" t="s">
        <v>1494</v>
      </c>
      <c r="B224" s="40" t="s">
        <v>561</v>
      </c>
      <c r="C224" s="39">
        <v>5.14</v>
      </c>
      <c r="D224" s="115"/>
    </row>
    <row r="225" spans="1:4" ht="15.75" hidden="1" outlineLevel="1">
      <c r="A225" s="39" t="s">
        <v>1494</v>
      </c>
      <c r="B225" s="40" t="s">
        <v>4</v>
      </c>
      <c r="C225" s="39">
        <v>5.19</v>
      </c>
      <c r="D225" s="115"/>
    </row>
    <row r="226" spans="1:4" ht="15.75" hidden="1" outlineLevel="1">
      <c r="A226" s="39" t="s">
        <v>1494</v>
      </c>
      <c r="B226" s="40" t="s">
        <v>85</v>
      </c>
      <c r="C226" s="39">
        <v>5.24</v>
      </c>
      <c r="D226" s="115"/>
    </row>
    <row r="227" spans="1:4" ht="15.75" hidden="1" outlineLevel="1">
      <c r="A227" s="39" t="s">
        <v>1494</v>
      </c>
      <c r="B227" s="40" t="s">
        <v>5</v>
      </c>
      <c r="C227" s="39">
        <v>5.26</v>
      </c>
      <c r="D227" s="115"/>
    </row>
    <row r="228" spans="1:4" ht="15.75" hidden="1" outlineLevel="1">
      <c r="A228" s="39" t="s">
        <v>1494</v>
      </c>
      <c r="B228" s="40" t="s">
        <v>6</v>
      </c>
      <c r="C228" s="39">
        <v>5.27</v>
      </c>
      <c r="D228" s="115"/>
    </row>
    <row r="229" spans="1:4" ht="15.75" hidden="1" outlineLevel="1">
      <c r="A229" s="39" t="s">
        <v>1494</v>
      </c>
      <c r="B229" s="40" t="s">
        <v>7</v>
      </c>
      <c r="C229" s="39">
        <v>5.28</v>
      </c>
      <c r="D229" s="115"/>
    </row>
    <row r="230" spans="1:4" ht="15.75" hidden="1" outlineLevel="1">
      <c r="A230" s="39" t="s">
        <v>1494</v>
      </c>
      <c r="B230" s="40" t="s">
        <v>93</v>
      </c>
      <c r="C230" s="39">
        <v>5.29</v>
      </c>
      <c r="D230" s="115"/>
    </row>
    <row r="231" spans="1:4" ht="15.75" hidden="1" outlineLevel="1">
      <c r="A231" s="39" t="s">
        <v>1494</v>
      </c>
      <c r="B231" s="40" t="s">
        <v>8</v>
      </c>
      <c r="C231" s="41">
        <v>5.3</v>
      </c>
      <c r="D231" s="115"/>
    </row>
    <row r="232" spans="1:4" ht="15.75" hidden="1" outlineLevel="1">
      <c r="A232" s="39" t="s">
        <v>1494</v>
      </c>
      <c r="B232" s="40" t="s">
        <v>86</v>
      </c>
      <c r="C232" s="39">
        <v>5.31</v>
      </c>
      <c r="D232" s="115"/>
    </row>
    <row r="233" spans="1:4" ht="15.75" hidden="1" outlineLevel="1">
      <c r="A233" s="39" t="s">
        <v>1494</v>
      </c>
      <c r="B233" s="40" t="s">
        <v>570</v>
      </c>
      <c r="C233" s="39">
        <v>5.33</v>
      </c>
      <c r="D233" s="115"/>
    </row>
    <row r="234" spans="1:4" ht="15.75" hidden="1" outlineLevel="1">
      <c r="A234" s="39" t="s">
        <v>1494</v>
      </c>
      <c r="B234" s="40" t="s">
        <v>563</v>
      </c>
      <c r="C234" s="39">
        <v>5.101</v>
      </c>
      <c r="D234" s="115"/>
    </row>
    <row r="235" spans="1:4" ht="15.75" hidden="1" outlineLevel="1">
      <c r="A235" s="39" t="s">
        <v>1494</v>
      </c>
      <c r="B235" s="40" t="s">
        <v>87</v>
      </c>
      <c r="C235" s="39">
        <v>5.36</v>
      </c>
      <c r="D235" s="115"/>
    </row>
    <row r="236" spans="1:4" ht="15.75" hidden="1" outlineLevel="1">
      <c r="A236" s="39" t="s">
        <v>1494</v>
      </c>
      <c r="B236" s="40" t="s">
        <v>11</v>
      </c>
      <c r="C236" s="39">
        <v>5.53</v>
      </c>
      <c r="D236" s="115"/>
    </row>
    <row r="237" spans="1:4" ht="15.75" hidden="1" outlineLevel="1">
      <c r="A237" s="39" t="s">
        <v>1494</v>
      </c>
      <c r="B237" s="40" t="s">
        <v>564</v>
      </c>
      <c r="C237" s="39">
        <v>5.1020000000000003</v>
      </c>
      <c r="D237" s="115"/>
    </row>
    <row r="238" spans="1:4" ht="15.75" hidden="1" outlineLevel="1">
      <c r="A238" s="39" t="s">
        <v>1494</v>
      </c>
      <c r="B238" s="40" t="s">
        <v>17</v>
      </c>
      <c r="C238" s="39">
        <v>5.58</v>
      </c>
      <c r="D238" s="115"/>
    </row>
    <row r="239" spans="1:4" ht="15.75" hidden="1" outlineLevel="1">
      <c r="A239" s="39" t="s">
        <v>1494</v>
      </c>
      <c r="B239" s="40" t="s">
        <v>18</v>
      </c>
      <c r="C239" s="39">
        <v>5.54</v>
      </c>
      <c r="D239" s="115"/>
    </row>
    <row r="240" spans="1:4" ht="15.75" hidden="1" outlineLevel="1">
      <c r="A240" s="39" t="s">
        <v>1494</v>
      </c>
      <c r="B240" s="40" t="s">
        <v>19</v>
      </c>
      <c r="C240" s="39">
        <v>5.55</v>
      </c>
      <c r="D240" s="115"/>
    </row>
    <row r="241" spans="1:4" ht="15.75" hidden="1" outlineLevel="1">
      <c r="A241" s="39" t="s">
        <v>1494</v>
      </c>
      <c r="B241" s="40" t="s">
        <v>20</v>
      </c>
      <c r="C241" s="39">
        <v>5.63</v>
      </c>
      <c r="D241" s="115"/>
    </row>
    <row r="242" spans="1:4" ht="15.75" hidden="1" outlineLevel="1">
      <c r="A242" s="39" t="s">
        <v>1494</v>
      </c>
      <c r="B242" s="40" t="s">
        <v>24</v>
      </c>
      <c r="C242" s="39">
        <v>5.47</v>
      </c>
      <c r="D242" s="115"/>
    </row>
    <row r="243" spans="1:4" ht="15.75" hidden="1" outlineLevel="1">
      <c r="A243" s="39" t="s">
        <v>1494</v>
      </c>
      <c r="B243" s="40" t="s">
        <v>25</v>
      </c>
      <c r="C243" s="39">
        <v>5.48</v>
      </c>
      <c r="D243" s="115"/>
    </row>
    <row r="244" spans="1:4" ht="15.75">
      <c r="A244" s="45" t="s">
        <v>1494</v>
      </c>
      <c r="B244" s="40"/>
      <c r="C244" s="39"/>
      <c r="D244" s="115"/>
    </row>
    <row r="245" spans="1:4" ht="15.75" hidden="1" outlineLevel="1">
      <c r="A245" s="39" t="s">
        <v>1753</v>
      </c>
      <c r="B245" s="40" t="s">
        <v>0</v>
      </c>
      <c r="C245" s="39">
        <v>5.0999999999999996</v>
      </c>
      <c r="D245" s="115"/>
    </row>
    <row r="246" spans="1:4" ht="15.75" hidden="1" outlineLevel="1">
      <c r="A246" s="39" t="s">
        <v>1753</v>
      </c>
      <c r="B246" s="40" t="s">
        <v>1</v>
      </c>
      <c r="C246" s="39">
        <v>5.2</v>
      </c>
      <c r="D246" s="115"/>
    </row>
    <row r="247" spans="1:4" ht="15.75" hidden="1" outlineLevel="1">
      <c r="A247" s="39" t="s">
        <v>1753</v>
      </c>
      <c r="B247" s="40" t="s">
        <v>2</v>
      </c>
      <c r="C247" s="39">
        <v>5.3</v>
      </c>
      <c r="D247" s="115"/>
    </row>
    <row r="248" spans="1:4" ht="15.75" hidden="1" outlineLevel="1">
      <c r="A248" s="39" t="s">
        <v>1753</v>
      </c>
      <c r="B248" s="40" t="s">
        <v>83</v>
      </c>
      <c r="C248" s="39">
        <v>5.6</v>
      </c>
      <c r="D248" s="115"/>
    </row>
    <row r="249" spans="1:4" ht="15.75" hidden="1" outlineLevel="1">
      <c r="A249" s="39" t="s">
        <v>1753</v>
      </c>
      <c r="B249" s="40" t="s">
        <v>1749</v>
      </c>
      <c r="C249" s="41">
        <v>5.0999999999999996</v>
      </c>
      <c r="D249" s="115"/>
    </row>
    <row r="250" spans="1:4" ht="15.75" hidden="1" outlineLevel="1">
      <c r="A250" s="39" t="s">
        <v>1753</v>
      </c>
      <c r="B250" s="40" t="s">
        <v>561</v>
      </c>
      <c r="C250" s="39">
        <v>5.14</v>
      </c>
      <c r="D250" s="115"/>
    </row>
    <row r="251" spans="1:4" ht="15.75" hidden="1" outlineLevel="1">
      <c r="A251" s="39" t="s">
        <v>1753</v>
      </c>
      <c r="B251" s="40" t="s">
        <v>4</v>
      </c>
      <c r="C251" s="39">
        <v>5.19</v>
      </c>
      <c r="D251" s="115"/>
    </row>
    <row r="252" spans="1:4" ht="15.75" hidden="1" outlineLevel="1">
      <c r="A252" s="39" t="s">
        <v>1753</v>
      </c>
      <c r="B252" s="40" t="s">
        <v>85</v>
      </c>
      <c r="C252" s="39">
        <v>5.24</v>
      </c>
      <c r="D252" s="115"/>
    </row>
    <row r="253" spans="1:4" ht="15.75" hidden="1" outlineLevel="1">
      <c r="A253" s="39" t="s">
        <v>1753</v>
      </c>
      <c r="B253" s="40" t="s">
        <v>6</v>
      </c>
      <c r="C253" s="39">
        <v>5.27</v>
      </c>
      <c r="D253" s="115"/>
    </row>
    <row r="254" spans="1:4" ht="15.75" hidden="1" outlineLevel="1">
      <c r="A254" s="39" t="s">
        <v>1753</v>
      </c>
      <c r="B254" s="40" t="s">
        <v>7</v>
      </c>
      <c r="C254" s="39">
        <v>5.28</v>
      </c>
      <c r="D254" s="115"/>
    </row>
    <row r="255" spans="1:4" ht="15.75" hidden="1" outlineLevel="1">
      <c r="A255" s="39" t="s">
        <v>1753</v>
      </c>
      <c r="B255" s="40" t="s">
        <v>8</v>
      </c>
      <c r="C255" s="41">
        <v>5.3</v>
      </c>
      <c r="D255" s="115"/>
    </row>
    <row r="256" spans="1:4" ht="15.75" hidden="1" outlineLevel="1">
      <c r="A256" s="39" t="s">
        <v>1753</v>
      </c>
      <c r="B256" s="40" t="s">
        <v>570</v>
      </c>
      <c r="C256" s="39">
        <v>5.33</v>
      </c>
      <c r="D256" s="115"/>
    </row>
    <row r="257" spans="1:4" ht="15.75" hidden="1" outlineLevel="1">
      <c r="A257" s="39" t="s">
        <v>1753</v>
      </c>
      <c r="B257" s="40" t="s">
        <v>87</v>
      </c>
      <c r="C257" s="39">
        <v>5.36</v>
      </c>
      <c r="D257" s="115"/>
    </row>
    <row r="258" spans="1:4" ht="15.75" hidden="1" outlineLevel="1">
      <c r="A258" s="39" t="s">
        <v>1753</v>
      </c>
      <c r="B258" s="40" t="s">
        <v>11</v>
      </c>
      <c r="C258" s="39">
        <v>5.53</v>
      </c>
      <c r="D258" s="115"/>
    </row>
    <row r="259" spans="1:4" ht="15.75" hidden="1" outlineLevel="1">
      <c r="A259" s="39" t="s">
        <v>1753</v>
      </c>
      <c r="B259" s="40" t="s">
        <v>17</v>
      </c>
      <c r="C259" s="39">
        <v>5.58</v>
      </c>
      <c r="D259" s="115"/>
    </row>
    <row r="260" spans="1:4" ht="15.75" hidden="1" outlineLevel="1">
      <c r="A260" s="39" t="s">
        <v>1753</v>
      </c>
      <c r="B260" s="40" t="s">
        <v>18</v>
      </c>
      <c r="C260" s="39">
        <v>5.54</v>
      </c>
      <c r="D260" s="115"/>
    </row>
    <row r="261" spans="1:4" ht="15.75" hidden="1" outlineLevel="1">
      <c r="A261" s="39" t="s">
        <v>1753</v>
      </c>
      <c r="B261" s="40" t="s">
        <v>19</v>
      </c>
      <c r="C261" s="39">
        <v>5.55</v>
      </c>
      <c r="D261" s="115"/>
    </row>
    <row r="262" spans="1:4" ht="15.75" hidden="1" outlineLevel="1">
      <c r="A262" s="39" t="s">
        <v>1753</v>
      </c>
      <c r="B262" s="40" t="s">
        <v>20</v>
      </c>
      <c r="C262" s="39">
        <v>5.63</v>
      </c>
      <c r="D262" s="115"/>
    </row>
    <row r="263" spans="1:4" ht="15.75" hidden="1" outlineLevel="1">
      <c r="A263" s="39" t="s">
        <v>1753</v>
      </c>
      <c r="B263" s="40" t="s">
        <v>24</v>
      </c>
      <c r="C263" s="39">
        <v>5.47</v>
      </c>
      <c r="D263" s="115"/>
    </row>
    <row r="264" spans="1:4" ht="15.75" hidden="1" outlineLevel="1">
      <c r="A264" s="39" t="s">
        <v>1753</v>
      </c>
      <c r="B264" s="40" t="s">
        <v>25</v>
      </c>
      <c r="C264" s="39">
        <v>5.48</v>
      </c>
      <c r="D264" s="115"/>
    </row>
    <row r="265" spans="1:4" ht="15.75">
      <c r="A265" s="45" t="s">
        <v>1753</v>
      </c>
      <c r="B265" s="40"/>
      <c r="C265" s="39"/>
      <c r="D265" s="115"/>
    </row>
    <row r="266" spans="1:4" ht="15.75" hidden="1" outlineLevel="1">
      <c r="A266" s="39" t="s">
        <v>1499</v>
      </c>
      <c r="B266" s="40" t="s">
        <v>0</v>
      </c>
      <c r="C266" s="39">
        <v>5.0999999999999996</v>
      </c>
      <c r="D266" s="115"/>
    </row>
    <row r="267" spans="1:4" ht="15.75" hidden="1" outlineLevel="1">
      <c r="A267" s="39" t="s">
        <v>1499</v>
      </c>
      <c r="B267" s="40" t="s">
        <v>1</v>
      </c>
      <c r="C267" s="39">
        <v>5.2</v>
      </c>
      <c r="D267" s="115"/>
    </row>
    <row r="268" spans="1:4" ht="15.75" hidden="1" outlineLevel="1">
      <c r="A268" s="39" t="s">
        <v>1499</v>
      </c>
      <c r="B268" s="40" t="s">
        <v>2</v>
      </c>
      <c r="C268" s="39">
        <v>5.3</v>
      </c>
      <c r="D268" s="115"/>
    </row>
    <row r="269" spans="1:4" ht="15.75" hidden="1" outlineLevel="1">
      <c r="A269" s="39" t="s">
        <v>1499</v>
      </c>
      <c r="B269" s="40" t="s">
        <v>83</v>
      </c>
      <c r="C269" s="39">
        <v>5.6</v>
      </c>
      <c r="D269" s="115"/>
    </row>
    <row r="270" spans="1:4" ht="15.75" hidden="1" outlineLevel="1">
      <c r="A270" s="39" t="s">
        <v>1499</v>
      </c>
      <c r="B270" s="40" t="s">
        <v>1749</v>
      </c>
      <c r="C270" s="41">
        <v>5.0999999999999996</v>
      </c>
      <c r="D270" s="115"/>
    </row>
    <row r="271" spans="1:4" ht="15.75" hidden="1" outlineLevel="1">
      <c r="A271" s="39" t="s">
        <v>1499</v>
      </c>
      <c r="B271" s="40" t="s">
        <v>561</v>
      </c>
      <c r="C271" s="39">
        <v>5.14</v>
      </c>
      <c r="D271" s="115"/>
    </row>
    <row r="272" spans="1:4" ht="15.75" hidden="1" outlineLevel="1">
      <c r="A272" s="39" t="s">
        <v>1499</v>
      </c>
      <c r="B272" s="40" t="s">
        <v>4</v>
      </c>
      <c r="C272" s="39">
        <v>5.19</v>
      </c>
      <c r="D272" s="115"/>
    </row>
    <row r="273" spans="1:4" ht="15.75" hidden="1" outlineLevel="1">
      <c r="A273" s="39" t="s">
        <v>1499</v>
      </c>
      <c r="B273" s="40" t="s">
        <v>85</v>
      </c>
      <c r="C273" s="39">
        <v>5.24</v>
      </c>
      <c r="D273" s="115"/>
    </row>
    <row r="274" spans="1:4" ht="15.75" hidden="1" outlineLevel="1">
      <c r="A274" s="39" t="s">
        <v>1499</v>
      </c>
      <c r="B274" s="40" t="s">
        <v>5</v>
      </c>
      <c r="C274" s="39">
        <v>5.26</v>
      </c>
      <c r="D274" s="115"/>
    </row>
    <row r="275" spans="1:4" ht="15.75" hidden="1" outlineLevel="1">
      <c r="A275" s="39" t="s">
        <v>1499</v>
      </c>
      <c r="B275" s="40" t="s">
        <v>6</v>
      </c>
      <c r="C275" s="39">
        <v>5.27</v>
      </c>
      <c r="D275" s="115"/>
    </row>
    <row r="276" spans="1:4" ht="15.75" hidden="1" outlineLevel="1">
      <c r="A276" s="39" t="s">
        <v>1499</v>
      </c>
      <c r="B276" s="40" t="s">
        <v>7</v>
      </c>
      <c r="C276" s="39">
        <v>5.28</v>
      </c>
      <c r="D276" s="115"/>
    </row>
    <row r="277" spans="1:4" ht="15.75" hidden="1" outlineLevel="1">
      <c r="A277" s="39" t="s">
        <v>1499</v>
      </c>
      <c r="B277" s="40" t="s">
        <v>93</v>
      </c>
      <c r="C277" s="39">
        <v>5.29</v>
      </c>
      <c r="D277" s="115"/>
    </row>
    <row r="278" spans="1:4" ht="15.75" hidden="1" outlineLevel="1">
      <c r="A278" s="39" t="s">
        <v>1499</v>
      </c>
      <c r="B278" s="40" t="s">
        <v>8</v>
      </c>
      <c r="C278" s="41">
        <v>5.3</v>
      </c>
      <c r="D278" s="115"/>
    </row>
    <row r="279" spans="1:4" ht="15.75" hidden="1" outlineLevel="1">
      <c r="A279" s="39" t="s">
        <v>1499</v>
      </c>
      <c r="B279" s="40" t="s">
        <v>570</v>
      </c>
      <c r="C279" s="39">
        <v>5.33</v>
      </c>
      <c r="D279" s="115"/>
    </row>
    <row r="280" spans="1:4" ht="15.75" hidden="1" outlineLevel="1">
      <c r="A280" s="39" t="s">
        <v>1499</v>
      </c>
      <c r="B280" s="40" t="s">
        <v>87</v>
      </c>
      <c r="C280" s="39">
        <v>5.36</v>
      </c>
      <c r="D280" s="115"/>
    </row>
    <row r="281" spans="1:4" ht="15.75" hidden="1" outlineLevel="1">
      <c r="A281" s="39" t="s">
        <v>1499</v>
      </c>
      <c r="B281" s="40" t="s">
        <v>12</v>
      </c>
      <c r="C281" s="39">
        <v>5.69</v>
      </c>
      <c r="D281" s="115"/>
    </row>
    <row r="282" spans="1:4" ht="15.75" hidden="1" outlineLevel="1">
      <c r="A282" s="39" t="s">
        <v>1499</v>
      </c>
      <c r="B282" s="40" t="s">
        <v>14</v>
      </c>
      <c r="C282" s="41">
        <v>5.7</v>
      </c>
      <c r="D282" s="115"/>
    </row>
    <row r="283" spans="1:4" ht="15.75" hidden="1" outlineLevel="1">
      <c r="A283" s="39" t="s">
        <v>1499</v>
      </c>
      <c r="B283" s="40" t="s">
        <v>15</v>
      </c>
      <c r="C283" s="39">
        <v>5.74</v>
      </c>
      <c r="D283" s="115"/>
    </row>
    <row r="284" spans="1:4" ht="15.75" hidden="1" outlineLevel="1">
      <c r="A284" s="39" t="s">
        <v>1499</v>
      </c>
      <c r="B284" s="40" t="s">
        <v>9</v>
      </c>
      <c r="C284" s="39">
        <v>5.49</v>
      </c>
      <c r="D284" s="115"/>
    </row>
    <row r="285" spans="1:4" ht="15.75" hidden="1" outlineLevel="1">
      <c r="A285" s="39" t="s">
        <v>1499</v>
      </c>
      <c r="B285" s="40" t="s">
        <v>10</v>
      </c>
      <c r="C285" s="39">
        <v>5.51</v>
      </c>
      <c r="D285" s="115"/>
    </row>
    <row r="286" spans="1:4" ht="15.75" hidden="1" outlineLevel="1">
      <c r="A286" s="39" t="s">
        <v>1499</v>
      </c>
      <c r="B286" s="40" t="s">
        <v>1750</v>
      </c>
      <c r="C286" s="39">
        <v>5.52</v>
      </c>
      <c r="D286" s="115"/>
    </row>
    <row r="287" spans="1:4" ht="15.75" hidden="1" outlineLevel="1">
      <c r="A287" s="39" t="s">
        <v>1499</v>
      </c>
      <c r="B287" s="40" t="s">
        <v>11</v>
      </c>
      <c r="C287" s="39">
        <v>5.53</v>
      </c>
      <c r="D287" s="115"/>
    </row>
    <row r="288" spans="1:4" ht="15.75" hidden="1" outlineLevel="1">
      <c r="A288" s="39" t="s">
        <v>1499</v>
      </c>
      <c r="B288" s="40" t="s">
        <v>17</v>
      </c>
      <c r="C288" s="39">
        <v>5.58</v>
      </c>
      <c r="D288" s="115"/>
    </row>
    <row r="289" spans="1:4" ht="15.75" hidden="1" outlineLevel="1">
      <c r="A289" s="39" t="s">
        <v>1499</v>
      </c>
      <c r="B289" s="40" t="s">
        <v>18</v>
      </c>
      <c r="C289" s="39">
        <v>5.54</v>
      </c>
      <c r="D289" s="115"/>
    </row>
    <row r="290" spans="1:4" ht="15.75" hidden="1" outlineLevel="1">
      <c r="A290" s="39" t="s">
        <v>1499</v>
      </c>
      <c r="B290" s="40" t="s">
        <v>19</v>
      </c>
      <c r="C290" s="39">
        <v>5.55</v>
      </c>
      <c r="D290" s="115"/>
    </row>
    <row r="291" spans="1:4" ht="15.75" hidden="1" outlineLevel="1">
      <c r="A291" s="39" t="s">
        <v>1499</v>
      </c>
      <c r="B291" s="40" t="s">
        <v>20</v>
      </c>
      <c r="C291" s="39">
        <v>5.63</v>
      </c>
      <c r="D291" s="115"/>
    </row>
    <row r="292" spans="1:4" ht="15.75" hidden="1" outlineLevel="1">
      <c r="A292" s="39" t="s">
        <v>1499</v>
      </c>
      <c r="B292" s="40" t="s">
        <v>24</v>
      </c>
      <c r="C292" s="39">
        <v>5.47</v>
      </c>
      <c r="D292" s="115"/>
    </row>
    <row r="293" spans="1:4" ht="15.75" hidden="1" outlineLevel="1">
      <c r="A293" s="39" t="s">
        <v>1499</v>
      </c>
      <c r="B293" s="40" t="s">
        <v>25</v>
      </c>
      <c r="C293" s="39">
        <v>5.48</v>
      </c>
      <c r="D293" s="115"/>
    </row>
    <row r="294" spans="1:4" ht="15.75">
      <c r="A294" s="45" t="s">
        <v>1499</v>
      </c>
      <c r="B294" s="40"/>
      <c r="C294" s="39"/>
      <c r="D294" s="115"/>
    </row>
    <row r="295" spans="1:4" ht="31.5" hidden="1" outlineLevel="1">
      <c r="A295" s="39" t="s">
        <v>1506</v>
      </c>
      <c r="B295" s="40" t="s">
        <v>0</v>
      </c>
      <c r="C295" s="39">
        <v>5.0999999999999996</v>
      </c>
      <c r="D295" s="115"/>
    </row>
    <row r="296" spans="1:4" ht="31.5" hidden="1" outlineLevel="1">
      <c r="A296" s="39" t="s">
        <v>1506</v>
      </c>
      <c r="B296" s="40" t="s">
        <v>1</v>
      </c>
      <c r="C296" s="39">
        <v>5.2</v>
      </c>
      <c r="D296" s="115"/>
    </row>
    <row r="297" spans="1:4" ht="31.5" hidden="1" outlineLevel="1">
      <c r="A297" s="39" t="s">
        <v>1506</v>
      </c>
      <c r="B297" s="40" t="s">
        <v>2</v>
      </c>
      <c r="C297" s="39">
        <v>5.3</v>
      </c>
      <c r="D297" s="115"/>
    </row>
    <row r="298" spans="1:4" ht="31.5" hidden="1" outlineLevel="1">
      <c r="A298" s="39" t="s">
        <v>1506</v>
      </c>
      <c r="B298" s="40" t="s">
        <v>561</v>
      </c>
      <c r="C298" s="39">
        <v>5.14</v>
      </c>
      <c r="D298" s="115"/>
    </row>
    <row r="299" spans="1:4" ht="31.5" hidden="1" outlineLevel="1">
      <c r="A299" s="39" t="s">
        <v>1506</v>
      </c>
      <c r="B299" s="40" t="s">
        <v>4</v>
      </c>
      <c r="C299" s="39">
        <v>5.19</v>
      </c>
      <c r="D299" s="115"/>
    </row>
    <row r="300" spans="1:4" ht="31.5" hidden="1" outlineLevel="1">
      <c r="A300" s="39" t="s">
        <v>1506</v>
      </c>
      <c r="B300" s="40" t="s">
        <v>85</v>
      </c>
      <c r="C300" s="39">
        <v>5.24</v>
      </c>
      <c r="D300" s="115"/>
    </row>
    <row r="301" spans="1:4" ht="31.5" hidden="1" outlineLevel="1">
      <c r="A301" s="39" t="s">
        <v>1506</v>
      </c>
      <c r="B301" s="40" t="s">
        <v>5</v>
      </c>
      <c r="C301" s="39">
        <v>5.26</v>
      </c>
      <c r="D301" s="115"/>
    </row>
    <row r="302" spans="1:4" ht="31.5" hidden="1" outlineLevel="1">
      <c r="A302" s="39" t="s">
        <v>1506</v>
      </c>
      <c r="B302" s="40" t="s">
        <v>6</v>
      </c>
      <c r="C302" s="39">
        <v>5.27</v>
      </c>
      <c r="D302" s="115"/>
    </row>
    <row r="303" spans="1:4" ht="31.5" hidden="1" outlineLevel="1">
      <c r="A303" s="39" t="s">
        <v>1506</v>
      </c>
      <c r="B303" s="40" t="s">
        <v>7</v>
      </c>
      <c r="C303" s="39">
        <v>5.28</v>
      </c>
      <c r="D303" s="115"/>
    </row>
    <row r="304" spans="1:4" ht="31.5" hidden="1" outlineLevel="1">
      <c r="A304" s="39" t="s">
        <v>1506</v>
      </c>
      <c r="B304" s="40" t="s">
        <v>571</v>
      </c>
      <c r="C304" s="39">
        <v>5.37</v>
      </c>
      <c r="D304" s="115"/>
    </row>
    <row r="305" spans="1:4" ht="31.5" hidden="1" outlineLevel="1">
      <c r="A305" s="39" t="s">
        <v>1506</v>
      </c>
      <c r="B305" s="40" t="s">
        <v>9</v>
      </c>
      <c r="C305" s="39">
        <v>5.49</v>
      </c>
      <c r="D305" s="115"/>
    </row>
    <row r="306" spans="1:4" ht="31.5" hidden="1" outlineLevel="1">
      <c r="A306" s="39" t="s">
        <v>1506</v>
      </c>
      <c r="B306" s="40" t="s">
        <v>10</v>
      </c>
      <c r="C306" s="39">
        <v>5.51</v>
      </c>
      <c r="D306" s="115"/>
    </row>
    <row r="307" spans="1:4" ht="31.5" hidden="1" outlineLevel="1">
      <c r="A307" s="39" t="s">
        <v>1506</v>
      </c>
      <c r="B307" s="40" t="s">
        <v>11</v>
      </c>
      <c r="C307" s="39">
        <v>5.53</v>
      </c>
      <c r="D307" s="115"/>
    </row>
    <row r="308" spans="1:4" ht="31.5" hidden="1" outlineLevel="1">
      <c r="A308" s="39" t="s">
        <v>1506</v>
      </c>
      <c r="B308" s="40" t="s">
        <v>12</v>
      </c>
      <c r="C308" s="39">
        <v>5.69</v>
      </c>
      <c r="D308" s="115"/>
    </row>
    <row r="309" spans="1:4" ht="31.5" hidden="1" outlineLevel="1">
      <c r="A309" s="39" t="s">
        <v>1506</v>
      </c>
      <c r="B309" s="40" t="s">
        <v>13</v>
      </c>
      <c r="C309" s="39">
        <v>5.75</v>
      </c>
      <c r="D309" s="115"/>
    </row>
    <row r="310" spans="1:4" ht="31.5" hidden="1" outlineLevel="1">
      <c r="A310" s="39" t="s">
        <v>1506</v>
      </c>
      <c r="B310" s="40" t="s">
        <v>14</v>
      </c>
      <c r="C310" s="41">
        <v>5.7</v>
      </c>
      <c r="D310" s="115"/>
    </row>
    <row r="311" spans="1:4" ht="31.5" hidden="1" outlineLevel="1">
      <c r="A311" s="39" t="s">
        <v>1506</v>
      </c>
      <c r="B311" s="40" t="s">
        <v>15</v>
      </c>
      <c r="C311" s="39">
        <v>5.74</v>
      </c>
      <c r="D311" s="115"/>
    </row>
    <row r="312" spans="1:4" ht="31.5" hidden="1" outlineLevel="1">
      <c r="A312" s="39" t="s">
        <v>1506</v>
      </c>
      <c r="B312" s="40" t="s">
        <v>17</v>
      </c>
      <c r="C312" s="39">
        <v>5.58</v>
      </c>
      <c r="D312" s="115"/>
    </row>
    <row r="313" spans="1:4" ht="31.5" hidden="1" outlineLevel="1">
      <c r="A313" s="39" t="s">
        <v>1506</v>
      </c>
      <c r="B313" s="40" t="s">
        <v>18</v>
      </c>
      <c r="C313" s="39">
        <v>5.54</v>
      </c>
      <c r="D313" s="115"/>
    </row>
    <row r="314" spans="1:4" ht="31.5" hidden="1" outlineLevel="1">
      <c r="A314" s="39" t="s">
        <v>1506</v>
      </c>
      <c r="B314" s="40" t="s">
        <v>19</v>
      </c>
      <c r="C314" s="39">
        <v>5.55</v>
      </c>
      <c r="D314" s="115"/>
    </row>
    <row r="315" spans="1:4" ht="31.5" hidden="1" outlineLevel="1">
      <c r="A315" s="39" t="s">
        <v>1506</v>
      </c>
      <c r="B315" s="40" t="s">
        <v>20</v>
      </c>
      <c r="C315" s="39">
        <v>5.63</v>
      </c>
      <c r="D315" s="115"/>
    </row>
    <row r="316" spans="1:4" ht="31.5" hidden="1" outlineLevel="1">
      <c r="A316" s="39" t="s">
        <v>1506</v>
      </c>
      <c r="B316" s="40" t="s">
        <v>21</v>
      </c>
      <c r="C316" s="39">
        <v>5.65</v>
      </c>
      <c r="D316" s="115"/>
    </row>
    <row r="317" spans="1:4" ht="31.5" hidden="1" outlineLevel="1">
      <c r="A317" s="39" t="s">
        <v>1506</v>
      </c>
      <c r="B317" s="40" t="s">
        <v>22</v>
      </c>
      <c r="C317" s="39">
        <v>5.68</v>
      </c>
      <c r="D317" s="115"/>
    </row>
    <row r="318" spans="1:4" ht="31.5" hidden="1" outlineLevel="1">
      <c r="A318" s="39" t="s">
        <v>1506</v>
      </c>
      <c r="B318" s="40" t="s">
        <v>24</v>
      </c>
      <c r="C318" s="39">
        <v>5.47</v>
      </c>
      <c r="D318" s="115"/>
    </row>
    <row r="319" spans="1:4" ht="31.5" hidden="1" outlineLevel="1">
      <c r="A319" s="39" t="s">
        <v>1506</v>
      </c>
      <c r="B319" s="40" t="s">
        <v>25</v>
      </c>
      <c r="C319" s="39">
        <v>5.48</v>
      </c>
      <c r="D319" s="115"/>
    </row>
    <row r="320" spans="1:4" ht="15.75">
      <c r="A320" s="45" t="s">
        <v>1506</v>
      </c>
      <c r="B320" s="40"/>
      <c r="C320" s="39"/>
      <c r="D320" s="115"/>
    </row>
    <row r="321" spans="1:4" ht="31.5" hidden="1" outlineLevel="1">
      <c r="A321" s="39" t="s">
        <v>1507</v>
      </c>
      <c r="B321" s="40" t="s">
        <v>0</v>
      </c>
      <c r="C321" s="39">
        <v>5.0999999999999996</v>
      </c>
      <c r="D321" s="115"/>
    </row>
    <row r="322" spans="1:4" ht="31.5" hidden="1" outlineLevel="1">
      <c r="A322" s="39" t="s">
        <v>1507</v>
      </c>
      <c r="B322" s="40" t="s">
        <v>1</v>
      </c>
      <c r="C322" s="39">
        <v>5.2</v>
      </c>
      <c r="D322" s="115"/>
    </row>
    <row r="323" spans="1:4" ht="31.5" hidden="1" outlineLevel="1">
      <c r="A323" s="39" t="s">
        <v>1507</v>
      </c>
      <c r="B323" s="40" t="s">
        <v>5</v>
      </c>
      <c r="C323" s="39">
        <v>5.26</v>
      </c>
      <c r="D323" s="115"/>
    </row>
    <row r="324" spans="1:4" ht="31.5" hidden="1" outlineLevel="1">
      <c r="A324" s="39" t="s">
        <v>1507</v>
      </c>
      <c r="B324" s="40" t="s">
        <v>561</v>
      </c>
      <c r="C324" s="39">
        <v>5.14</v>
      </c>
      <c r="D324" s="115"/>
    </row>
    <row r="325" spans="1:4" ht="31.5" hidden="1" outlineLevel="1">
      <c r="A325" s="39" t="s">
        <v>1507</v>
      </c>
      <c r="B325" s="40" t="s">
        <v>4</v>
      </c>
      <c r="C325" s="39">
        <v>5.19</v>
      </c>
      <c r="D325" s="115"/>
    </row>
    <row r="326" spans="1:4" ht="31.5" hidden="1" outlineLevel="1">
      <c r="A326" s="39" t="s">
        <v>1507</v>
      </c>
      <c r="B326" s="40" t="s">
        <v>571</v>
      </c>
      <c r="C326" s="39">
        <v>5.37</v>
      </c>
      <c r="D326" s="115"/>
    </row>
    <row r="327" spans="1:4" ht="31.5" hidden="1" outlineLevel="1">
      <c r="A327" s="39" t="s">
        <v>1507</v>
      </c>
      <c r="B327" s="40" t="s">
        <v>12</v>
      </c>
      <c r="C327" s="39">
        <v>5.69</v>
      </c>
      <c r="D327" s="115"/>
    </row>
    <row r="328" spans="1:4" ht="31.5" hidden="1" outlineLevel="1">
      <c r="A328" s="39" t="s">
        <v>1507</v>
      </c>
      <c r="B328" s="40" t="s">
        <v>572</v>
      </c>
      <c r="C328" s="41">
        <v>5.8</v>
      </c>
      <c r="D328" s="115"/>
    </row>
    <row r="329" spans="1:4" ht="31.5" hidden="1" outlineLevel="1">
      <c r="A329" s="39" t="s">
        <v>1507</v>
      </c>
      <c r="B329" s="40" t="s">
        <v>13</v>
      </c>
      <c r="C329" s="39">
        <v>5.75</v>
      </c>
      <c r="D329" s="115"/>
    </row>
    <row r="330" spans="1:4" ht="31.5" hidden="1" outlineLevel="1">
      <c r="A330" s="39" t="s">
        <v>1507</v>
      </c>
      <c r="B330" s="40" t="s">
        <v>14</v>
      </c>
      <c r="C330" s="41">
        <v>5.7</v>
      </c>
      <c r="D330" s="115"/>
    </row>
    <row r="331" spans="1:4" ht="31.5" hidden="1" outlineLevel="1">
      <c r="A331" s="39" t="s">
        <v>1507</v>
      </c>
      <c r="B331" s="40" t="s">
        <v>15</v>
      </c>
      <c r="C331" s="39">
        <v>5.74</v>
      </c>
      <c r="D331" s="115"/>
    </row>
    <row r="332" spans="1:4" ht="31.5" hidden="1" outlineLevel="1">
      <c r="A332" s="39" t="s">
        <v>1507</v>
      </c>
      <c r="B332" s="40" t="s">
        <v>17</v>
      </c>
      <c r="C332" s="39">
        <v>5.58</v>
      </c>
      <c r="D332" s="115"/>
    </row>
    <row r="333" spans="1:4" ht="31.5" hidden="1" outlineLevel="1">
      <c r="A333" s="39" t="s">
        <v>1507</v>
      </c>
      <c r="B333" s="40" t="s">
        <v>19</v>
      </c>
      <c r="C333" s="39">
        <v>5.55</v>
      </c>
      <c r="D333" s="115"/>
    </row>
    <row r="334" spans="1:4" ht="31.5" hidden="1" outlineLevel="1">
      <c r="A334" s="39" t="s">
        <v>1507</v>
      </c>
      <c r="B334" s="40" t="s">
        <v>20</v>
      </c>
      <c r="C334" s="39">
        <v>5.63</v>
      </c>
      <c r="D334" s="115"/>
    </row>
    <row r="335" spans="1:4" ht="31.5" hidden="1" outlineLevel="1">
      <c r="A335" s="39" t="s">
        <v>1507</v>
      </c>
      <c r="B335" s="40" t="s">
        <v>21</v>
      </c>
      <c r="C335" s="39">
        <v>5.65</v>
      </c>
      <c r="D335" s="115"/>
    </row>
    <row r="336" spans="1:4" ht="31.5" hidden="1" outlineLevel="1">
      <c r="A336" s="39" t="s">
        <v>1507</v>
      </c>
      <c r="B336" s="40" t="s">
        <v>22</v>
      </c>
      <c r="C336" s="39">
        <v>5.68</v>
      </c>
      <c r="D336" s="115"/>
    </row>
    <row r="337" spans="1:4" ht="31.5" hidden="1" outlineLevel="1">
      <c r="A337" s="39" t="s">
        <v>1507</v>
      </c>
      <c r="B337" s="40" t="s">
        <v>24</v>
      </c>
      <c r="C337" s="39">
        <v>5.47</v>
      </c>
      <c r="D337" s="115"/>
    </row>
    <row r="338" spans="1:4" ht="31.5" hidden="1" outlineLevel="1">
      <c r="A338" s="39" t="s">
        <v>1507</v>
      </c>
      <c r="B338" s="40" t="s">
        <v>25</v>
      </c>
      <c r="C338" s="39">
        <v>5.48</v>
      </c>
      <c r="D338" s="115"/>
    </row>
    <row r="339" spans="1:4" ht="15.75">
      <c r="A339" s="45" t="s">
        <v>1507</v>
      </c>
      <c r="B339" s="40"/>
      <c r="C339" s="39"/>
      <c r="D339" s="115"/>
    </row>
    <row r="340" spans="1:4" ht="31.5" hidden="1" outlineLevel="1">
      <c r="A340" s="39" t="s">
        <v>1513</v>
      </c>
      <c r="B340" s="40" t="s">
        <v>573</v>
      </c>
      <c r="C340" s="39">
        <v>5.0999999999999996</v>
      </c>
      <c r="D340" s="115"/>
    </row>
    <row r="341" spans="1:4" ht="31.5" hidden="1" outlineLevel="1">
      <c r="A341" s="39" t="s">
        <v>1513</v>
      </c>
      <c r="B341" s="40" t="s">
        <v>1</v>
      </c>
      <c r="C341" s="39">
        <v>5.2</v>
      </c>
      <c r="D341" s="115"/>
    </row>
    <row r="342" spans="1:4" ht="31.5" hidden="1" outlineLevel="1">
      <c r="A342" s="39" t="s">
        <v>1513</v>
      </c>
      <c r="B342" s="40" t="s">
        <v>5</v>
      </c>
      <c r="C342" s="39">
        <v>5.26</v>
      </c>
      <c r="D342" s="115"/>
    </row>
    <row r="343" spans="1:4" ht="31.5" hidden="1" outlineLevel="1">
      <c r="A343" s="39" t="s">
        <v>1513</v>
      </c>
      <c r="B343" s="40" t="s">
        <v>574</v>
      </c>
      <c r="C343" s="39">
        <v>5.38</v>
      </c>
      <c r="D343" s="115"/>
    </row>
    <row r="344" spans="1:4" ht="31.5" hidden="1" outlineLevel="1">
      <c r="A344" s="39" t="s">
        <v>1513</v>
      </c>
      <c r="B344" s="40" t="s">
        <v>575</v>
      </c>
      <c r="C344" s="39">
        <v>5.39</v>
      </c>
      <c r="D344" s="115"/>
    </row>
    <row r="345" spans="1:4" ht="31.5" hidden="1" outlineLevel="1">
      <c r="A345" s="39" t="s">
        <v>1513</v>
      </c>
      <c r="B345" s="40" t="s">
        <v>576</v>
      </c>
      <c r="C345" s="41">
        <v>5.6</v>
      </c>
      <c r="D345" s="115"/>
    </row>
    <row r="346" spans="1:4" ht="31.5" hidden="1" outlineLevel="1">
      <c r="A346" s="39" t="s">
        <v>1513</v>
      </c>
      <c r="B346" s="40" t="s">
        <v>25</v>
      </c>
      <c r="C346" s="39">
        <v>5.48</v>
      </c>
      <c r="D346" s="115"/>
    </row>
    <row r="347" spans="1:4" ht="15.75">
      <c r="A347" s="45" t="s">
        <v>1513</v>
      </c>
      <c r="B347" s="40"/>
      <c r="C347" s="39"/>
      <c r="D347" s="115"/>
    </row>
    <row r="348" spans="1:4" ht="31.5" hidden="1" outlineLevel="1">
      <c r="A348" s="39" t="s">
        <v>1517</v>
      </c>
      <c r="B348" s="40" t="s">
        <v>0</v>
      </c>
      <c r="C348" s="39">
        <v>5.0999999999999996</v>
      </c>
      <c r="D348" s="115"/>
    </row>
    <row r="349" spans="1:4" ht="31.5" hidden="1" outlineLevel="1">
      <c r="A349" s="39" t="s">
        <v>1517</v>
      </c>
      <c r="B349" s="40" t="s">
        <v>1</v>
      </c>
      <c r="C349" s="39">
        <v>5.2</v>
      </c>
      <c r="D349" s="115"/>
    </row>
    <row r="350" spans="1:4" ht="31.5" hidden="1" outlineLevel="1">
      <c r="A350" s="39" t="s">
        <v>1517</v>
      </c>
      <c r="B350" s="40" t="s">
        <v>2</v>
      </c>
      <c r="C350" s="39">
        <v>5.3</v>
      </c>
      <c r="D350" s="115"/>
    </row>
    <row r="351" spans="1:4" ht="31.5" hidden="1" outlineLevel="1">
      <c r="A351" s="39" t="s">
        <v>1517</v>
      </c>
      <c r="B351" s="40" t="s">
        <v>83</v>
      </c>
      <c r="C351" s="39">
        <v>5.6</v>
      </c>
      <c r="D351" s="115"/>
    </row>
    <row r="352" spans="1:4" ht="31.5" hidden="1" outlineLevel="1">
      <c r="A352" s="39" t="s">
        <v>1517</v>
      </c>
      <c r="B352" s="40" t="s">
        <v>1749</v>
      </c>
      <c r="C352" s="41">
        <v>5.0999999999999996</v>
      </c>
      <c r="D352" s="115"/>
    </row>
    <row r="353" spans="1:4" ht="31.5" hidden="1" outlineLevel="1">
      <c r="A353" s="39" t="s">
        <v>1517</v>
      </c>
      <c r="B353" s="40" t="s">
        <v>561</v>
      </c>
      <c r="C353" s="39">
        <v>5.14</v>
      </c>
      <c r="D353" s="115"/>
    </row>
    <row r="354" spans="1:4" ht="31.5" hidden="1" outlineLevel="1">
      <c r="A354" s="39" t="s">
        <v>1517</v>
      </c>
      <c r="B354" s="40" t="s">
        <v>4</v>
      </c>
      <c r="C354" s="39">
        <v>5.19</v>
      </c>
      <c r="D354" s="115"/>
    </row>
    <row r="355" spans="1:4" ht="31.5" hidden="1" outlineLevel="1">
      <c r="A355" s="39" t="s">
        <v>1517</v>
      </c>
      <c r="B355" s="40" t="s">
        <v>85</v>
      </c>
      <c r="C355" s="39">
        <v>5.24</v>
      </c>
      <c r="D355" s="115"/>
    </row>
    <row r="356" spans="1:4" ht="31.5" hidden="1" outlineLevel="1">
      <c r="A356" s="39" t="s">
        <v>1517</v>
      </c>
      <c r="B356" s="40" t="s">
        <v>5</v>
      </c>
      <c r="C356" s="39">
        <v>5.26</v>
      </c>
      <c r="D356" s="115"/>
    </row>
    <row r="357" spans="1:4" ht="31.5" hidden="1" outlineLevel="1">
      <c r="A357" s="39" t="s">
        <v>1517</v>
      </c>
      <c r="B357" s="40" t="s">
        <v>6</v>
      </c>
      <c r="C357" s="39">
        <v>5.27</v>
      </c>
      <c r="D357" s="115"/>
    </row>
    <row r="358" spans="1:4" ht="31.5" hidden="1" outlineLevel="1">
      <c r="A358" s="39" t="s">
        <v>1517</v>
      </c>
      <c r="B358" s="40" t="s">
        <v>7</v>
      </c>
      <c r="C358" s="39">
        <v>5.28</v>
      </c>
      <c r="D358" s="115"/>
    </row>
    <row r="359" spans="1:4" ht="31.5" hidden="1" outlineLevel="1">
      <c r="A359" s="39" t="s">
        <v>1517</v>
      </c>
      <c r="B359" s="40" t="s">
        <v>86</v>
      </c>
      <c r="C359" s="39">
        <v>5.31</v>
      </c>
      <c r="D359" s="115"/>
    </row>
    <row r="360" spans="1:4" ht="31.5" hidden="1" outlineLevel="1">
      <c r="A360" s="39" t="s">
        <v>1517</v>
      </c>
      <c r="B360" s="40" t="s">
        <v>87</v>
      </c>
      <c r="C360" s="39">
        <v>5.36</v>
      </c>
      <c r="D360" s="115"/>
    </row>
    <row r="361" spans="1:4" ht="31.5" hidden="1" outlineLevel="1">
      <c r="A361" s="39" t="s">
        <v>1517</v>
      </c>
      <c r="B361" s="40" t="s">
        <v>571</v>
      </c>
      <c r="C361" s="39">
        <v>5.37</v>
      </c>
      <c r="D361" s="115"/>
    </row>
    <row r="362" spans="1:4" ht="31.5" hidden="1" outlineLevel="1">
      <c r="A362" s="39" t="s">
        <v>1517</v>
      </c>
      <c r="B362" s="40" t="s">
        <v>9</v>
      </c>
      <c r="C362" s="39">
        <v>5.49</v>
      </c>
      <c r="D362" s="115"/>
    </row>
    <row r="363" spans="1:4" ht="31.5" hidden="1" outlineLevel="1">
      <c r="A363" s="39" t="s">
        <v>1517</v>
      </c>
      <c r="B363" s="40" t="s">
        <v>10</v>
      </c>
      <c r="C363" s="39">
        <v>5.51</v>
      </c>
      <c r="D363" s="115"/>
    </row>
    <row r="364" spans="1:4" ht="31.5" hidden="1" outlineLevel="1">
      <c r="A364" s="39" t="s">
        <v>1517</v>
      </c>
      <c r="B364" s="40" t="s">
        <v>1750</v>
      </c>
      <c r="C364" s="39">
        <v>5.52</v>
      </c>
      <c r="D364" s="115"/>
    </row>
    <row r="365" spans="1:4" ht="31.5" hidden="1" outlineLevel="1">
      <c r="A365" s="39" t="s">
        <v>1517</v>
      </c>
      <c r="B365" s="40" t="s">
        <v>11</v>
      </c>
      <c r="C365" s="39">
        <v>5.53</v>
      </c>
      <c r="D365" s="115"/>
    </row>
    <row r="366" spans="1:4" ht="31.5" hidden="1" outlineLevel="1">
      <c r="A366" s="39" t="s">
        <v>1517</v>
      </c>
      <c r="B366" s="40" t="s">
        <v>12</v>
      </c>
      <c r="C366" s="39">
        <v>5.69</v>
      </c>
      <c r="D366" s="115"/>
    </row>
    <row r="367" spans="1:4" ht="31.5" hidden="1" outlineLevel="1">
      <c r="A367" s="39" t="s">
        <v>1517</v>
      </c>
      <c r="B367" s="40" t="s">
        <v>572</v>
      </c>
      <c r="C367" s="41">
        <v>5.8</v>
      </c>
      <c r="D367" s="115"/>
    </row>
    <row r="368" spans="1:4" ht="31.5" hidden="1" outlineLevel="1">
      <c r="A368" s="39" t="s">
        <v>1517</v>
      </c>
      <c r="B368" s="40" t="s">
        <v>89</v>
      </c>
      <c r="C368" s="41">
        <v>5.72</v>
      </c>
      <c r="D368" s="115"/>
    </row>
    <row r="369" spans="1:4" ht="31.5" hidden="1" outlineLevel="1">
      <c r="A369" s="39" t="s">
        <v>1517</v>
      </c>
      <c r="B369" s="40" t="s">
        <v>13</v>
      </c>
      <c r="C369" s="39">
        <v>5.75</v>
      </c>
      <c r="D369" s="115"/>
    </row>
    <row r="370" spans="1:4" ht="31.5" hidden="1" outlineLevel="1">
      <c r="A370" s="39" t="s">
        <v>1517</v>
      </c>
      <c r="B370" s="40" t="s">
        <v>14</v>
      </c>
      <c r="C370" s="41">
        <v>5.7</v>
      </c>
      <c r="D370" s="115"/>
    </row>
    <row r="371" spans="1:4" ht="31.5" hidden="1" outlineLevel="1">
      <c r="A371" s="39" t="s">
        <v>1517</v>
      </c>
      <c r="B371" s="40" t="s">
        <v>15</v>
      </c>
      <c r="C371" s="39">
        <v>5.74</v>
      </c>
      <c r="D371" s="115"/>
    </row>
    <row r="372" spans="1:4" ht="31.5" hidden="1" outlineLevel="1">
      <c r="A372" s="39" t="s">
        <v>1517</v>
      </c>
      <c r="B372" s="40" t="s">
        <v>90</v>
      </c>
      <c r="C372" s="39">
        <v>5.76</v>
      </c>
      <c r="D372" s="115"/>
    </row>
    <row r="373" spans="1:4" ht="31.5" hidden="1" outlineLevel="1">
      <c r="A373" s="39" t="s">
        <v>1517</v>
      </c>
      <c r="B373" s="40" t="s">
        <v>91</v>
      </c>
      <c r="C373" s="39">
        <v>5.89</v>
      </c>
      <c r="D373" s="114" t="s">
        <v>1748</v>
      </c>
    </row>
    <row r="374" spans="1:4" ht="31.5" hidden="1" outlineLevel="1">
      <c r="A374" s="39" t="s">
        <v>1517</v>
      </c>
      <c r="B374" s="40" t="s">
        <v>577</v>
      </c>
      <c r="C374" s="39">
        <v>5.109</v>
      </c>
      <c r="D374" s="114"/>
    </row>
    <row r="375" spans="1:4" ht="31.5" hidden="1" outlineLevel="1">
      <c r="A375" s="39" t="s">
        <v>1517</v>
      </c>
      <c r="B375" s="40" t="s">
        <v>578</v>
      </c>
      <c r="C375" s="39">
        <v>5.1109999999999998</v>
      </c>
      <c r="D375" s="115"/>
    </row>
    <row r="376" spans="1:4" ht="31.5" hidden="1" outlineLevel="1">
      <c r="A376" s="39" t="s">
        <v>1517</v>
      </c>
      <c r="B376" s="40" t="s">
        <v>580</v>
      </c>
      <c r="C376" s="39">
        <v>5.1120000000000001</v>
      </c>
      <c r="D376" s="115"/>
    </row>
    <row r="377" spans="1:4" ht="31.5" hidden="1" outlineLevel="1">
      <c r="A377" s="39" t="s">
        <v>1517</v>
      </c>
      <c r="B377" s="43" t="s">
        <v>1754</v>
      </c>
      <c r="C377" s="39">
        <v>5.1130000000000004</v>
      </c>
      <c r="D377" s="115"/>
    </row>
    <row r="378" spans="1:4" ht="31.5" hidden="1" outlineLevel="1">
      <c r="A378" s="39" t="s">
        <v>1517</v>
      </c>
      <c r="B378" s="40" t="s">
        <v>17</v>
      </c>
      <c r="C378" s="39">
        <v>5.58</v>
      </c>
      <c r="D378" s="115"/>
    </row>
    <row r="379" spans="1:4" ht="31.5" hidden="1" outlineLevel="1">
      <c r="A379" s="39" t="s">
        <v>1517</v>
      </c>
      <c r="B379" s="40" t="s">
        <v>18</v>
      </c>
      <c r="C379" s="39">
        <v>5.54</v>
      </c>
      <c r="D379" s="115"/>
    </row>
    <row r="380" spans="1:4" ht="31.5" hidden="1" outlineLevel="1">
      <c r="A380" s="39" t="s">
        <v>1517</v>
      </c>
      <c r="B380" s="40" t="s">
        <v>19</v>
      </c>
      <c r="C380" s="39">
        <v>5.55</v>
      </c>
      <c r="D380" s="115"/>
    </row>
    <row r="381" spans="1:4" ht="31.5" hidden="1" outlineLevel="1">
      <c r="A381" s="39" t="s">
        <v>1517</v>
      </c>
      <c r="B381" s="40" t="s">
        <v>20</v>
      </c>
      <c r="C381" s="39">
        <v>5.63</v>
      </c>
      <c r="D381" s="115"/>
    </row>
    <row r="382" spans="1:4" ht="31.5" hidden="1" outlineLevel="1">
      <c r="A382" s="39" t="s">
        <v>1517</v>
      </c>
      <c r="B382" s="40" t="s">
        <v>21</v>
      </c>
      <c r="C382" s="39">
        <v>5.65</v>
      </c>
      <c r="D382" s="115"/>
    </row>
    <row r="383" spans="1:4" ht="31.5" hidden="1" outlineLevel="1">
      <c r="A383" s="39" t="s">
        <v>1517</v>
      </c>
      <c r="B383" s="40" t="s">
        <v>92</v>
      </c>
      <c r="C383" s="39">
        <v>5.66</v>
      </c>
      <c r="D383" s="115"/>
    </row>
    <row r="384" spans="1:4" ht="31.5" hidden="1" outlineLevel="1">
      <c r="A384" s="39" t="s">
        <v>1517</v>
      </c>
      <c r="B384" s="40" t="s">
        <v>22</v>
      </c>
      <c r="C384" s="39">
        <v>5.68</v>
      </c>
      <c r="D384" s="115"/>
    </row>
    <row r="385" spans="1:4" ht="31.5" hidden="1" outlineLevel="1">
      <c r="A385" s="39" t="s">
        <v>1517</v>
      </c>
      <c r="B385" s="40" t="s">
        <v>24</v>
      </c>
      <c r="C385" s="39">
        <v>5.47</v>
      </c>
      <c r="D385" s="115"/>
    </row>
    <row r="386" spans="1:4" ht="31.5" hidden="1" outlineLevel="1">
      <c r="A386" s="39" t="s">
        <v>1517</v>
      </c>
      <c r="B386" s="40" t="s">
        <v>25</v>
      </c>
      <c r="C386" s="39">
        <v>5.48</v>
      </c>
      <c r="D386" s="115"/>
    </row>
    <row r="387" spans="1:4" ht="15.75">
      <c r="A387" s="45" t="s">
        <v>1517</v>
      </c>
      <c r="B387" s="40"/>
      <c r="C387" s="39"/>
      <c r="D387" s="115"/>
    </row>
    <row r="388" spans="1:4" ht="15.75" hidden="1" outlineLevel="1">
      <c r="A388" s="39" t="s">
        <v>1519</v>
      </c>
      <c r="B388" s="40" t="s">
        <v>0</v>
      </c>
      <c r="C388" s="39">
        <v>5.0999999999999996</v>
      </c>
      <c r="D388" s="115"/>
    </row>
    <row r="389" spans="1:4" ht="15.75" hidden="1" outlineLevel="1">
      <c r="A389" s="39" t="s">
        <v>1519</v>
      </c>
      <c r="B389" s="40" t="s">
        <v>1</v>
      </c>
      <c r="C389" s="39">
        <v>5.2</v>
      </c>
      <c r="D389" s="115"/>
    </row>
    <row r="390" spans="1:4" ht="15.75" hidden="1" outlineLevel="1">
      <c r="A390" s="39" t="s">
        <v>1519</v>
      </c>
      <c r="B390" s="40" t="s">
        <v>2</v>
      </c>
      <c r="C390" s="39">
        <v>5.3</v>
      </c>
      <c r="D390" s="115"/>
    </row>
    <row r="391" spans="1:4" ht="15.75" hidden="1" outlineLevel="1">
      <c r="A391" s="39" t="s">
        <v>1519</v>
      </c>
      <c r="B391" s="40" t="s">
        <v>83</v>
      </c>
      <c r="C391" s="39">
        <v>5.6</v>
      </c>
      <c r="D391" s="115"/>
    </row>
    <row r="392" spans="1:4" ht="15.75" hidden="1" outlineLevel="1">
      <c r="A392" s="39" t="s">
        <v>1519</v>
      </c>
      <c r="B392" s="40" t="s">
        <v>1749</v>
      </c>
      <c r="C392" s="41">
        <v>5.0999999999999996</v>
      </c>
      <c r="D392" s="115"/>
    </row>
    <row r="393" spans="1:4" ht="15.75" hidden="1" outlineLevel="1">
      <c r="A393" s="39" t="s">
        <v>1519</v>
      </c>
      <c r="B393" s="40" t="s">
        <v>561</v>
      </c>
      <c r="C393" s="39">
        <v>5.14</v>
      </c>
      <c r="D393" s="115"/>
    </row>
    <row r="394" spans="1:4" ht="15.75" hidden="1" outlineLevel="1">
      <c r="A394" s="39" t="s">
        <v>1519</v>
      </c>
      <c r="B394" s="40" t="s">
        <v>4</v>
      </c>
      <c r="C394" s="39">
        <v>5.19</v>
      </c>
      <c r="D394" s="115"/>
    </row>
    <row r="395" spans="1:4" ht="15.75" hidden="1" outlineLevel="1">
      <c r="A395" s="39" t="s">
        <v>1519</v>
      </c>
      <c r="B395" s="40" t="s">
        <v>85</v>
      </c>
      <c r="C395" s="39">
        <v>5.24</v>
      </c>
      <c r="D395" s="115"/>
    </row>
    <row r="396" spans="1:4" ht="15.75" hidden="1" outlineLevel="1">
      <c r="A396" s="39" t="s">
        <v>1519</v>
      </c>
      <c r="B396" s="40" t="s">
        <v>5</v>
      </c>
      <c r="C396" s="39">
        <v>5.26</v>
      </c>
      <c r="D396" s="115"/>
    </row>
    <row r="397" spans="1:4" ht="15.75" hidden="1" outlineLevel="1">
      <c r="A397" s="39" t="s">
        <v>1519</v>
      </c>
      <c r="B397" s="40" t="s">
        <v>6</v>
      </c>
      <c r="C397" s="39">
        <v>5.27</v>
      </c>
      <c r="D397" s="115"/>
    </row>
    <row r="398" spans="1:4" ht="15.75" hidden="1" outlineLevel="1">
      <c r="A398" s="39" t="s">
        <v>1519</v>
      </c>
      <c r="B398" s="40" t="s">
        <v>7</v>
      </c>
      <c r="C398" s="39">
        <v>5.28</v>
      </c>
      <c r="D398" s="115"/>
    </row>
    <row r="399" spans="1:4" ht="15.75" hidden="1" outlineLevel="1">
      <c r="A399" s="39" t="s">
        <v>1519</v>
      </c>
      <c r="B399" s="40" t="s">
        <v>93</v>
      </c>
      <c r="C399" s="39">
        <v>5.29</v>
      </c>
      <c r="D399" s="115"/>
    </row>
    <row r="400" spans="1:4" ht="15.75" hidden="1" outlineLevel="1">
      <c r="A400" s="39" t="s">
        <v>1519</v>
      </c>
      <c r="B400" s="40" t="s">
        <v>86</v>
      </c>
      <c r="C400" s="39">
        <v>5.31</v>
      </c>
      <c r="D400" s="115"/>
    </row>
    <row r="401" spans="1:4" ht="15.75" hidden="1" outlineLevel="1">
      <c r="A401" s="39" t="s">
        <v>1519</v>
      </c>
      <c r="B401" s="40" t="s">
        <v>87</v>
      </c>
      <c r="C401" s="39">
        <v>5.36</v>
      </c>
      <c r="D401" s="115"/>
    </row>
    <row r="402" spans="1:4" ht="15.75" hidden="1" outlineLevel="1">
      <c r="A402" s="39" t="s">
        <v>1519</v>
      </c>
      <c r="B402" s="40" t="s">
        <v>571</v>
      </c>
      <c r="C402" s="39">
        <v>5.37</v>
      </c>
      <c r="D402" s="115"/>
    </row>
    <row r="403" spans="1:4" ht="15.75" hidden="1" outlineLevel="1">
      <c r="A403" s="39" t="s">
        <v>1519</v>
      </c>
      <c r="B403" s="40" t="s">
        <v>9</v>
      </c>
      <c r="C403" s="39">
        <v>5.49</v>
      </c>
      <c r="D403" s="115"/>
    </row>
    <row r="404" spans="1:4" ht="15.75" hidden="1" outlineLevel="1">
      <c r="A404" s="39" t="s">
        <v>1519</v>
      </c>
      <c r="B404" s="40" t="s">
        <v>10</v>
      </c>
      <c r="C404" s="39">
        <v>5.51</v>
      </c>
      <c r="D404" s="115"/>
    </row>
    <row r="405" spans="1:4" ht="15.75" hidden="1" outlineLevel="1">
      <c r="A405" s="39" t="s">
        <v>1519</v>
      </c>
      <c r="B405" s="40" t="s">
        <v>1750</v>
      </c>
      <c r="C405" s="39">
        <v>5.52</v>
      </c>
      <c r="D405" s="115"/>
    </row>
    <row r="406" spans="1:4" ht="15.75" hidden="1" outlineLevel="1">
      <c r="A406" s="39" t="s">
        <v>1519</v>
      </c>
      <c r="B406" s="40" t="s">
        <v>11</v>
      </c>
      <c r="C406" s="39">
        <v>5.53</v>
      </c>
      <c r="D406" s="115"/>
    </row>
    <row r="407" spans="1:4" ht="15.75" hidden="1" outlineLevel="1">
      <c r="A407" s="39" t="s">
        <v>1519</v>
      </c>
      <c r="B407" s="40" t="s">
        <v>12</v>
      </c>
      <c r="C407" s="39">
        <v>5.69</v>
      </c>
      <c r="D407" s="115"/>
    </row>
    <row r="408" spans="1:4" ht="15.75" hidden="1" outlineLevel="1">
      <c r="A408" s="39" t="s">
        <v>1519</v>
      </c>
      <c r="B408" s="40" t="s">
        <v>13</v>
      </c>
      <c r="C408" s="39">
        <v>5.75</v>
      </c>
      <c r="D408" s="115"/>
    </row>
    <row r="409" spans="1:4" ht="15.75" hidden="1" outlineLevel="1">
      <c r="A409" s="39" t="s">
        <v>1519</v>
      </c>
      <c r="B409" s="40" t="s">
        <v>15</v>
      </c>
      <c r="C409" s="39">
        <v>5.74</v>
      </c>
      <c r="D409" s="115"/>
    </row>
    <row r="410" spans="1:4" ht="15.75" hidden="1" outlineLevel="1">
      <c r="A410" s="39" t="s">
        <v>1519</v>
      </c>
      <c r="B410" s="40" t="s">
        <v>14</v>
      </c>
      <c r="C410" s="41">
        <v>5.7</v>
      </c>
      <c r="D410" s="115"/>
    </row>
    <row r="411" spans="1:4" ht="15.75" hidden="1" outlineLevel="1">
      <c r="A411" s="39" t="s">
        <v>1519</v>
      </c>
      <c r="B411" s="40" t="s">
        <v>90</v>
      </c>
      <c r="C411" s="39">
        <v>5.76</v>
      </c>
      <c r="D411" s="115"/>
    </row>
    <row r="412" spans="1:4" ht="15.75" hidden="1" outlineLevel="1">
      <c r="A412" s="39" t="s">
        <v>1519</v>
      </c>
      <c r="B412" s="40" t="s">
        <v>91</v>
      </c>
      <c r="C412" s="39">
        <v>5.89</v>
      </c>
      <c r="D412" s="114" t="s">
        <v>1748</v>
      </c>
    </row>
    <row r="413" spans="1:4" ht="15.75" hidden="1" outlineLevel="1">
      <c r="A413" s="39" t="s">
        <v>1519</v>
      </c>
      <c r="B413" s="40" t="s">
        <v>577</v>
      </c>
      <c r="C413" s="39">
        <v>5.109</v>
      </c>
      <c r="D413" s="115"/>
    </row>
    <row r="414" spans="1:4" ht="15.75" hidden="1" outlineLevel="1">
      <c r="A414" s="39" t="s">
        <v>1519</v>
      </c>
      <c r="B414" s="40" t="s">
        <v>578</v>
      </c>
      <c r="C414" s="39">
        <v>5.1109999999999998</v>
      </c>
      <c r="D414" s="115"/>
    </row>
    <row r="415" spans="1:4" ht="15.75" hidden="1" outlineLevel="1">
      <c r="A415" s="39" t="s">
        <v>1519</v>
      </c>
      <c r="B415" s="40" t="s">
        <v>580</v>
      </c>
      <c r="C415" s="39">
        <v>5.1120000000000001</v>
      </c>
      <c r="D415" s="115"/>
    </row>
    <row r="416" spans="1:4" ht="15.75" hidden="1" outlineLevel="1">
      <c r="A416" s="39" t="s">
        <v>1519</v>
      </c>
      <c r="B416" s="43" t="s">
        <v>1754</v>
      </c>
      <c r="C416" s="39">
        <v>5.1130000000000004</v>
      </c>
      <c r="D416" s="115"/>
    </row>
    <row r="417" spans="1:4" ht="15.75" hidden="1" outlineLevel="1">
      <c r="A417" s="39" t="s">
        <v>1519</v>
      </c>
      <c r="B417" s="40" t="s">
        <v>17</v>
      </c>
      <c r="C417" s="39">
        <v>5.58</v>
      </c>
      <c r="D417" s="115"/>
    </row>
    <row r="418" spans="1:4" ht="15.75" hidden="1" outlineLevel="1">
      <c r="A418" s="39" t="s">
        <v>1519</v>
      </c>
      <c r="B418" s="40" t="s">
        <v>18</v>
      </c>
      <c r="C418" s="39">
        <v>5.54</v>
      </c>
      <c r="D418" s="115"/>
    </row>
    <row r="419" spans="1:4" ht="15.75" hidden="1" outlineLevel="1">
      <c r="A419" s="39" t="s">
        <v>1519</v>
      </c>
      <c r="B419" s="40" t="s">
        <v>19</v>
      </c>
      <c r="C419" s="39">
        <v>5.55</v>
      </c>
      <c r="D419" s="115"/>
    </row>
    <row r="420" spans="1:4" ht="15.75" hidden="1" outlineLevel="1">
      <c r="A420" s="39" t="s">
        <v>1519</v>
      </c>
      <c r="B420" s="40" t="s">
        <v>20</v>
      </c>
      <c r="C420" s="39">
        <v>5.63</v>
      </c>
      <c r="D420" s="115"/>
    </row>
    <row r="421" spans="1:4" ht="15.75" hidden="1" outlineLevel="1">
      <c r="A421" s="39" t="s">
        <v>1519</v>
      </c>
      <c r="B421" s="40" t="s">
        <v>21</v>
      </c>
      <c r="C421" s="39">
        <v>5.65</v>
      </c>
      <c r="D421" s="115"/>
    </row>
    <row r="422" spans="1:4" ht="15.75" hidden="1" outlineLevel="1">
      <c r="A422" s="39" t="s">
        <v>1519</v>
      </c>
      <c r="B422" s="40" t="s">
        <v>92</v>
      </c>
      <c r="C422" s="39">
        <v>5.66</v>
      </c>
      <c r="D422" s="115"/>
    </row>
    <row r="423" spans="1:4" ht="15.75" hidden="1" outlineLevel="1">
      <c r="A423" s="39" t="s">
        <v>1519</v>
      </c>
      <c r="B423" s="40" t="s">
        <v>22</v>
      </c>
      <c r="C423" s="39">
        <v>5.68</v>
      </c>
      <c r="D423" s="115"/>
    </row>
    <row r="424" spans="1:4" ht="15.75" hidden="1" outlineLevel="1">
      <c r="A424" s="39" t="s">
        <v>1519</v>
      </c>
      <c r="B424" s="40" t="s">
        <v>24</v>
      </c>
      <c r="C424" s="39">
        <v>5.47</v>
      </c>
      <c r="D424" s="115"/>
    </row>
    <row r="425" spans="1:4" ht="15.75" hidden="1" outlineLevel="1">
      <c r="A425" s="39" t="s">
        <v>1519</v>
      </c>
      <c r="B425" s="40" t="s">
        <v>25</v>
      </c>
      <c r="C425" s="39">
        <v>5.48</v>
      </c>
      <c r="D425" s="115"/>
    </row>
    <row r="426" spans="1:4" ht="15.75">
      <c r="A426" s="45" t="s">
        <v>1519</v>
      </c>
      <c r="B426" s="40"/>
      <c r="C426" s="39"/>
      <c r="D426" s="115"/>
    </row>
    <row r="427" spans="1:4" ht="15.75" outlineLevel="1">
      <c r="A427" s="39" t="s">
        <v>1755</v>
      </c>
      <c r="B427" s="40" t="s">
        <v>0</v>
      </c>
      <c r="C427" s="39">
        <v>5.0999999999999996</v>
      </c>
      <c r="D427" s="115"/>
    </row>
    <row r="428" spans="1:4" ht="15.75" outlineLevel="1">
      <c r="A428" s="39" t="s">
        <v>1755</v>
      </c>
      <c r="B428" s="40" t="s">
        <v>1</v>
      </c>
      <c r="C428" s="39">
        <v>5.2</v>
      </c>
      <c r="D428" s="115"/>
    </row>
    <row r="429" spans="1:4" ht="15.75" outlineLevel="1">
      <c r="A429" s="39" t="s">
        <v>1755</v>
      </c>
      <c r="B429" s="40" t="s">
        <v>2</v>
      </c>
      <c r="C429" s="39">
        <v>5.3</v>
      </c>
      <c r="D429" s="115"/>
    </row>
    <row r="430" spans="1:4" ht="15.75" outlineLevel="1">
      <c r="A430" s="39" t="s">
        <v>1755</v>
      </c>
      <c r="B430" s="40" t="s">
        <v>83</v>
      </c>
      <c r="C430" s="39">
        <v>5.6</v>
      </c>
      <c r="D430" s="115"/>
    </row>
    <row r="431" spans="1:4" ht="15.75" outlineLevel="1">
      <c r="A431" s="39" t="s">
        <v>1755</v>
      </c>
      <c r="B431" s="40" t="s">
        <v>1749</v>
      </c>
      <c r="C431" s="41">
        <v>5.0999999999999996</v>
      </c>
      <c r="D431" s="115"/>
    </row>
    <row r="432" spans="1:4" ht="15.75" outlineLevel="1">
      <c r="A432" s="39" t="s">
        <v>1755</v>
      </c>
      <c r="B432" s="40" t="s">
        <v>561</v>
      </c>
      <c r="C432" s="39">
        <v>5.14</v>
      </c>
      <c r="D432" s="115"/>
    </row>
    <row r="433" spans="1:4" ht="15.75" outlineLevel="1">
      <c r="A433" s="39" t="s">
        <v>1755</v>
      </c>
      <c r="B433" s="40" t="s">
        <v>4</v>
      </c>
      <c r="C433" s="39">
        <v>5.19</v>
      </c>
      <c r="D433" s="115"/>
    </row>
    <row r="434" spans="1:4" ht="15.75" outlineLevel="1">
      <c r="A434" s="39" t="s">
        <v>1755</v>
      </c>
      <c r="B434" s="40" t="s">
        <v>85</v>
      </c>
      <c r="C434" s="39">
        <v>5.24</v>
      </c>
      <c r="D434" s="115"/>
    </row>
    <row r="435" spans="1:4" ht="15.75" outlineLevel="1">
      <c r="A435" s="39" t="s">
        <v>1755</v>
      </c>
      <c r="B435" s="40" t="s">
        <v>5</v>
      </c>
      <c r="C435" s="39">
        <v>5.26</v>
      </c>
      <c r="D435" s="115"/>
    </row>
    <row r="436" spans="1:4" ht="15.75" outlineLevel="1">
      <c r="A436" s="39" t="s">
        <v>1755</v>
      </c>
      <c r="B436" s="40" t="s">
        <v>6</v>
      </c>
      <c r="C436" s="39">
        <v>5.27</v>
      </c>
      <c r="D436" s="115"/>
    </row>
    <row r="437" spans="1:4" ht="15.75" outlineLevel="1">
      <c r="A437" s="39" t="s">
        <v>1755</v>
      </c>
      <c r="B437" s="40" t="s">
        <v>7</v>
      </c>
      <c r="C437" s="39">
        <v>5.28</v>
      </c>
      <c r="D437" s="115"/>
    </row>
    <row r="438" spans="1:4" ht="15.75" outlineLevel="1">
      <c r="A438" s="39" t="s">
        <v>1755</v>
      </c>
      <c r="B438" s="40" t="s">
        <v>93</v>
      </c>
      <c r="C438" s="39">
        <v>5.29</v>
      </c>
      <c r="D438" s="115"/>
    </row>
    <row r="439" spans="1:4" ht="15.75" outlineLevel="1">
      <c r="A439" s="39" t="s">
        <v>1755</v>
      </c>
      <c r="B439" s="40" t="s">
        <v>86</v>
      </c>
      <c r="C439" s="39">
        <v>5.31</v>
      </c>
      <c r="D439" s="115"/>
    </row>
    <row r="440" spans="1:4" ht="15.75" outlineLevel="1">
      <c r="A440" s="39" t="s">
        <v>1755</v>
      </c>
      <c r="B440" s="40" t="s">
        <v>87</v>
      </c>
      <c r="C440" s="39">
        <v>5.36</v>
      </c>
      <c r="D440" s="115"/>
    </row>
    <row r="441" spans="1:4" ht="15.75" outlineLevel="1">
      <c r="A441" s="39" t="s">
        <v>1755</v>
      </c>
      <c r="B441" s="40" t="s">
        <v>571</v>
      </c>
      <c r="C441" s="39">
        <v>5.37</v>
      </c>
      <c r="D441" s="115"/>
    </row>
    <row r="442" spans="1:4" ht="15.75" outlineLevel="1">
      <c r="A442" s="39" t="s">
        <v>1755</v>
      </c>
      <c r="B442" s="40" t="s">
        <v>11</v>
      </c>
      <c r="C442" s="39">
        <v>5.53</v>
      </c>
      <c r="D442" s="115"/>
    </row>
    <row r="443" spans="1:4" ht="15.75" outlineLevel="1">
      <c r="A443" s="39" t="s">
        <v>1755</v>
      </c>
      <c r="B443" s="40" t="s">
        <v>577</v>
      </c>
      <c r="C443" s="39">
        <v>5.109</v>
      </c>
      <c r="D443" s="115"/>
    </row>
    <row r="444" spans="1:4" ht="15.75" outlineLevel="1">
      <c r="A444" s="39" t="s">
        <v>1755</v>
      </c>
      <c r="B444" s="40" t="s">
        <v>578</v>
      </c>
      <c r="C444" s="39">
        <v>5.1109999999999998</v>
      </c>
      <c r="D444" s="115"/>
    </row>
    <row r="445" spans="1:4" ht="15.75" outlineLevel="1">
      <c r="A445" s="39" t="s">
        <v>1755</v>
      </c>
      <c r="B445" s="40" t="s">
        <v>580</v>
      </c>
      <c r="C445" s="39">
        <v>5.1120000000000001</v>
      </c>
      <c r="D445" s="115"/>
    </row>
    <row r="446" spans="1:4" ht="15.75" outlineLevel="1">
      <c r="A446" s="39" t="s">
        <v>1755</v>
      </c>
      <c r="B446" s="43" t="s">
        <v>1754</v>
      </c>
      <c r="C446" s="39">
        <v>5.1130000000000004</v>
      </c>
      <c r="D446" s="115"/>
    </row>
    <row r="447" spans="1:4" ht="15.75" outlineLevel="1">
      <c r="A447" s="39" t="s">
        <v>1755</v>
      </c>
      <c r="B447" s="40" t="s">
        <v>17</v>
      </c>
      <c r="C447" s="39">
        <v>5.58</v>
      </c>
      <c r="D447" s="115"/>
    </row>
    <row r="448" spans="1:4" ht="15.75" outlineLevel="1">
      <c r="A448" s="39" t="s">
        <v>1755</v>
      </c>
      <c r="B448" s="40" t="s">
        <v>18</v>
      </c>
      <c r="C448" s="39">
        <v>5.54</v>
      </c>
      <c r="D448" s="115"/>
    </row>
    <row r="449" spans="1:4" ht="15.75" outlineLevel="1">
      <c r="A449" s="39" t="s">
        <v>1755</v>
      </c>
      <c r="B449" s="40" t="s">
        <v>19</v>
      </c>
      <c r="C449" s="39">
        <v>5.55</v>
      </c>
      <c r="D449" s="115"/>
    </row>
    <row r="450" spans="1:4" ht="15.75" outlineLevel="1">
      <c r="A450" s="39" t="s">
        <v>1755</v>
      </c>
      <c r="B450" s="40" t="s">
        <v>20</v>
      </c>
      <c r="C450" s="39">
        <v>5.63</v>
      </c>
      <c r="D450" s="115"/>
    </row>
    <row r="451" spans="1:4" ht="15.75" outlineLevel="1">
      <c r="A451" s="39" t="s">
        <v>1755</v>
      </c>
      <c r="B451" s="40" t="s">
        <v>24</v>
      </c>
      <c r="C451" s="39">
        <v>5.47</v>
      </c>
      <c r="D451" s="115"/>
    </row>
    <row r="452" spans="1:4" ht="15.75" outlineLevel="1">
      <c r="A452" s="39" t="s">
        <v>1755</v>
      </c>
      <c r="B452" s="40" t="s">
        <v>25</v>
      </c>
      <c r="C452" s="39">
        <v>5.48</v>
      </c>
      <c r="D452" s="115"/>
    </row>
    <row r="453" spans="1:4" ht="15.75">
      <c r="A453" s="45" t="s">
        <v>1755</v>
      </c>
      <c r="B453" s="40"/>
      <c r="C453" s="39"/>
      <c r="D453" s="115"/>
    </row>
    <row r="454" spans="1:4" ht="15.75" outlineLevel="1">
      <c r="A454" s="39" t="s">
        <v>1305</v>
      </c>
      <c r="B454" s="40" t="s">
        <v>0</v>
      </c>
      <c r="C454" s="39">
        <v>5.0999999999999996</v>
      </c>
      <c r="D454" s="115"/>
    </row>
    <row r="455" spans="1:4" ht="15.75" outlineLevel="1">
      <c r="A455" s="39" t="s">
        <v>1305</v>
      </c>
      <c r="B455" s="40" t="s">
        <v>1</v>
      </c>
      <c r="C455" s="39">
        <v>5.2</v>
      </c>
      <c r="D455" s="115"/>
    </row>
    <row r="456" spans="1:4" ht="15.75" outlineLevel="1">
      <c r="A456" s="39" t="s">
        <v>1305</v>
      </c>
      <c r="B456" s="40" t="s">
        <v>630</v>
      </c>
      <c r="C456" s="39">
        <v>5.5</v>
      </c>
      <c r="D456" s="115"/>
    </row>
    <row r="457" spans="1:4" ht="15.75" outlineLevel="1">
      <c r="A457" s="39" t="s">
        <v>1305</v>
      </c>
      <c r="B457" s="40" t="s">
        <v>631</v>
      </c>
      <c r="C457" s="39">
        <v>5.8</v>
      </c>
      <c r="D457" s="114" t="s">
        <v>1748</v>
      </c>
    </row>
    <row r="458" spans="1:4" ht="15.75" outlineLevel="1">
      <c r="A458" s="39" t="s">
        <v>1305</v>
      </c>
      <c r="B458" s="40" t="s">
        <v>632</v>
      </c>
      <c r="C458" s="39">
        <v>5.12</v>
      </c>
      <c r="D458" s="114" t="s">
        <v>1748</v>
      </c>
    </row>
    <row r="459" spans="1:4" ht="15.75" outlineLevel="1">
      <c r="A459" s="39" t="s">
        <v>1305</v>
      </c>
      <c r="B459" s="40" t="s">
        <v>633</v>
      </c>
      <c r="C459" s="39">
        <v>5.15</v>
      </c>
      <c r="D459" s="115"/>
    </row>
    <row r="460" spans="1:4" ht="15.75" outlineLevel="1">
      <c r="A460" s="39" t="s">
        <v>1305</v>
      </c>
      <c r="B460" s="40" t="s">
        <v>634</v>
      </c>
      <c r="C460" s="41">
        <v>5.2</v>
      </c>
      <c r="D460" s="114"/>
    </row>
    <row r="461" spans="1:4" ht="15.75" outlineLevel="1">
      <c r="A461" s="39" t="s">
        <v>1305</v>
      </c>
      <c r="B461" s="40" t="s">
        <v>635</v>
      </c>
      <c r="C461" s="39">
        <v>5.25</v>
      </c>
      <c r="D461" s="115"/>
    </row>
    <row r="462" spans="1:4" ht="15.75" outlineLevel="1">
      <c r="A462" s="39" t="s">
        <v>1305</v>
      </c>
      <c r="B462" s="40" t="s">
        <v>5</v>
      </c>
      <c r="C462" s="39">
        <v>5.26</v>
      </c>
      <c r="D462" s="115"/>
    </row>
    <row r="463" spans="1:4" ht="15.75" outlineLevel="1">
      <c r="A463" s="39" t="s">
        <v>1305</v>
      </c>
      <c r="B463" s="40" t="s">
        <v>636</v>
      </c>
      <c r="C463" s="39">
        <v>5.1139999999999999</v>
      </c>
      <c r="D463" s="114" t="s">
        <v>1748</v>
      </c>
    </row>
    <row r="464" spans="1:4" ht="15.75" outlineLevel="1">
      <c r="A464" s="39" t="s">
        <v>1305</v>
      </c>
      <c r="B464" s="40" t="s">
        <v>6</v>
      </c>
      <c r="C464" s="39">
        <v>5.27</v>
      </c>
      <c r="D464" s="115"/>
    </row>
    <row r="465" spans="1:4" ht="15.75" outlineLevel="1">
      <c r="A465" s="39" t="s">
        <v>1305</v>
      </c>
      <c r="B465" s="40" t="s">
        <v>637</v>
      </c>
      <c r="C465" s="39">
        <v>5.1150000000000002</v>
      </c>
      <c r="D465" s="114" t="s">
        <v>1748</v>
      </c>
    </row>
    <row r="466" spans="1:4" ht="15.75" outlineLevel="1">
      <c r="A466" s="39" t="s">
        <v>1305</v>
      </c>
      <c r="B466" s="40" t="s">
        <v>638</v>
      </c>
      <c r="C466" s="39">
        <v>5.1159999999999997</v>
      </c>
      <c r="D466" s="114" t="s">
        <v>1748</v>
      </c>
    </row>
    <row r="467" spans="1:4" ht="15.75" outlineLevel="1">
      <c r="A467" s="39" t="s">
        <v>1305</v>
      </c>
      <c r="B467" s="40" t="s">
        <v>7</v>
      </c>
      <c r="C467" s="39">
        <v>5.28</v>
      </c>
      <c r="D467" s="115"/>
    </row>
    <row r="468" spans="1:4" ht="15.75" outlineLevel="1">
      <c r="A468" s="39" t="s">
        <v>1305</v>
      </c>
      <c r="B468" s="40" t="s">
        <v>87</v>
      </c>
      <c r="C468" s="39">
        <v>5.36</v>
      </c>
      <c r="D468" s="115"/>
    </row>
    <row r="469" spans="1:4" ht="15.75" outlineLevel="1">
      <c r="A469" s="39" t="s">
        <v>1305</v>
      </c>
      <c r="B469" s="40" t="s">
        <v>571</v>
      </c>
      <c r="C469" s="39">
        <v>5.37</v>
      </c>
      <c r="D469" s="115"/>
    </row>
    <row r="470" spans="1:4" ht="15.75" outlineLevel="1">
      <c r="A470" s="39" t="s">
        <v>1305</v>
      </c>
      <c r="B470" s="40" t="s">
        <v>11</v>
      </c>
      <c r="C470" s="39">
        <v>5.53</v>
      </c>
      <c r="D470" s="115"/>
    </row>
    <row r="471" spans="1:4" ht="15.75" outlineLevel="1">
      <c r="A471" s="39" t="s">
        <v>1305</v>
      </c>
      <c r="B471" s="40" t="s">
        <v>577</v>
      </c>
      <c r="C471" s="39">
        <v>5.109</v>
      </c>
      <c r="D471" s="115"/>
    </row>
    <row r="472" spans="1:4" ht="15.75" outlineLevel="1">
      <c r="A472" s="39" t="s">
        <v>1305</v>
      </c>
      <c r="B472" s="40" t="s">
        <v>578</v>
      </c>
      <c r="C472" s="39">
        <v>5.1109999999999998</v>
      </c>
      <c r="D472" s="115"/>
    </row>
    <row r="473" spans="1:4" ht="15.75" outlineLevel="1">
      <c r="A473" s="39" t="s">
        <v>1305</v>
      </c>
      <c r="B473" s="40" t="s">
        <v>580</v>
      </c>
      <c r="C473" s="39">
        <v>5.1120000000000001</v>
      </c>
      <c r="D473" s="115"/>
    </row>
    <row r="474" spans="1:4" ht="15.75" outlineLevel="1">
      <c r="A474" s="39" t="s">
        <v>1305</v>
      </c>
      <c r="B474" s="40" t="s">
        <v>18</v>
      </c>
      <c r="C474" s="39">
        <v>5.54</v>
      </c>
      <c r="D474" s="115"/>
    </row>
    <row r="475" spans="1:4" ht="15.75" outlineLevel="1">
      <c r="A475" s="39" t="s">
        <v>1305</v>
      </c>
      <c r="B475" s="40" t="s">
        <v>639</v>
      </c>
      <c r="C475" s="39">
        <v>5.61</v>
      </c>
      <c r="D475" s="115"/>
    </row>
    <row r="476" spans="1:4" ht="15.75" outlineLevel="1">
      <c r="A476" s="39" t="s">
        <v>1305</v>
      </c>
      <c r="B476" s="40" t="s">
        <v>20</v>
      </c>
      <c r="C476" s="39">
        <v>5.63</v>
      </c>
      <c r="D476" s="115"/>
    </row>
    <row r="477" spans="1:4" ht="15.75" outlineLevel="1">
      <c r="A477" s="39" t="s">
        <v>1305</v>
      </c>
      <c r="B477" s="40" t="s">
        <v>640</v>
      </c>
      <c r="C477" s="39">
        <v>5.46</v>
      </c>
      <c r="D477" s="115"/>
    </row>
    <row r="478" spans="1:4" ht="15.75" outlineLevel="1">
      <c r="A478" s="39" t="s">
        <v>1305</v>
      </c>
      <c r="B478" s="40" t="s">
        <v>24</v>
      </c>
      <c r="C478" s="39">
        <v>5.47</v>
      </c>
      <c r="D478" s="115"/>
    </row>
    <row r="479" spans="1:4" ht="15.75" outlineLevel="1">
      <c r="A479" s="39" t="s">
        <v>1305</v>
      </c>
      <c r="B479" s="40" t="s">
        <v>25</v>
      </c>
      <c r="C479" s="39">
        <v>5.48</v>
      </c>
      <c r="D479" s="115"/>
    </row>
    <row r="480" spans="1:4" ht="15.75">
      <c r="A480" s="45" t="s">
        <v>1305</v>
      </c>
      <c r="B480" s="40"/>
      <c r="C480" s="39"/>
      <c r="D480" s="115"/>
    </row>
    <row r="481" spans="1:4" ht="15.75" hidden="1" outlineLevel="1">
      <c r="A481" s="39" t="s">
        <v>1756</v>
      </c>
      <c r="B481" s="40" t="s">
        <v>0</v>
      </c>
      <c r="C481" s="39">
        <v>5.0999999999999996</v>
      </c>
      <c r="D481" s="115"/>
    </row>
    <row r="482" spans="1:4" ht="15.75" hidden="1" outlineLevel="1">
      <c r="A482" s="39" t="s">
        <v>1756</v>
      </c>
      <c r="B482" s="40" t="s">
        <v>1</v>
      </c>
      <c r="C482" s="39">
        <v>5.2</v>
      </c>
      <c r="D482" s="115"/>
    </row>
    <row r="483" spans="1:4" ht="15.75" hidden="1" outlineLevel="1">
      <c r="A483" s="39" t="s">
        <v>1756</v>
      </c>
      <c r="B483" s="40" t="s">
        <v>2</v>
      </c>
      <c r="C483" s="39">
        <v>5.3</v>
      </c>
      <c r="D483" s="115"/>
    </row>
    <row r="484" spans="1:4" ht="15.75" hidden="1" outlineLevel="1">
      <c r="A484" s="39" t="s">
        <v>1756</v>
      </c>
      <c r="B484" s="40" t="s">
        <v>83</v>
      </c>
      <c r="C484" s="39">
        <v>5.6</v>
      </c>
      <c r="D484" s="115"/>
    </row>
    <row r="485" spans="1:4" ht="15.75" hidden="1" outlineLevel="1">
      <c r="A485" s="39" t="s">
        <v>1756</v>
      </c>
      <c r="B485" s="40" t="s">
        <v>1749</v>
      </c>
      <c r="C485" s="41">
        <v>5.0999999999999996</v>
      </c>
      <c r="D485" s="115"/>
    </row>
    <row r="486" spans="1:4" ht="15.75" hidden="1" outlineLevel="1">
      <c r="A486" s="39" t="s">
        <v>1756</v>
      </c>
      <c r="B486" s="40" t="s">
        <v>561</v>
      </c>
      <c r="C486" s="39">
        <v>5.14</v>
      </c>
      <c r="D486" s="115"/>
    </row>
    <row r="487" spans="1:4" ht="15.75" hidden="1" outlineLevel="1">
      <c r="A487" s="39" t="s">
        <v>1756</v>
      </c>
      <c r="B487" s="40" t="s">
        <v>4</v>
      </c>
      <c r="C487" s="39">
        <v>5.19</v>
      </c>
      <c r="D487" s="115"/>
    </row>
    <row r="488" spans="1:4" ht="15.75" hidden="1" outlineLevel="1">
      <c r="A488" s="39" t="s">
        <v>1756</v>
      </c>
      <c r="B488" s="40" t="s">
        <v>85</v>
      </c>
      <c r="C488" s="39">
        <v>5.24</v>
      </c>
      <c r="D488" s="115"/>
    </row>
    <row r="489" spans="1:4" ht="15.75" hidden="1" outlineLevel="1">
      <c r="A489" s="39" t="s">
        <v>1756</v>
      </c>
      <c r="B489" s="40" t="s">
        <v>6</v>
      </c>
      <c r="C489" s="39">
        <v>5.27</v>
      </c>
      <c r="D489" s="115"/>
    </row>
    <row r="490" spans="1:4" ht="15.75" hidden="1" outlineLevel="1">
      <c r="A490" s="39" t="s">
        <v>1756</v>
      </c>
      <c r="B490" s="40" t="s">
        <v>7</v>
      </c>
      <c r="C490" s="39">
        <v>5.28</v>
      </c>
      <c r="D490" s="115"/>
    </row>
    <row r="491" spans="1:4" ht="15.75" hidden="1" outlineLevel="1">
      <c r="A491" s="39" t="s">
        <v>1756</v>
      </c>
      <c r="B491" s="40" t="s">
        <v>93</v>
      </c>
      <c r="C491" s="39">
        <v>5.29</v>
      </c>
      <c r="D491" s="115"/>
    </row>
    <row r="492" spans="1:4" ht="15.75" hidden="1" outlineLevel="1">
      <c r="A492" s="39" t="s">
        <v>1756</v>
      </c>
      <c r="B492" s="40" t="s">
        <v>562</v>
      </c>
      <c r="C492" s="39">
        <v>5.34</v>
      </c>
      <c r="D492" s="115"/>
    </row>
    <row r="493" spans="1:4" ht="15.75" hidden="1" outlineLevel="1">
      <c r="A493" s="39" t="s">
        <v>1756</v>
      </c>
      <c r="B493" s="40" t="s">
        <v>86</v>
      </c>
      <c r="C493" s="39">
        <v>5.31</v>
      </c>
      <c r="D493" s="115"/>
    </row>
    <row r="494" spans="1:4" ht="15.75" hidden="1" outlineLevel="1">
      <c r="A494" s="39" t="s">
        <v>1756</v>
      </c>
      <c r="B494" s="40" t="s">
        <v>563</v>
      </c>
      <c r="C494" s="39">
        <v>5.101</v>
      </c>
      <c r="D494" s="115"/>
    </row>
    <row r="495" spans="1:4" ht="15.75" hidden="1" outlineLevel="1">
      <c r="A495" s="39" t="s">
        <v>1756</v>
      </c>
      <c r="B495" s="40" t="s">
        <v>87</v>
      </c>
      <c r="C495" s="39">
        <v>5.36</v>
      </c>
      <c r="D495" s="115"/>
    </row>
    <row r="496" spans="1:4" ht="15.75" hidden="1" outlineLevel="1">
      <c r="A496" s="39" t="s">
        <v>1756</v>
      </c>
      <c r="B496" s="40" t="s">
        <v>571</v>
      </c>
      <c r="C496" s="39">
        <v>5.37</v>
      </c>
      <c r="D496" s="115"/>
    </row>
    <row r="497" spans="1:4" ht="15.75" hidden="1" outlineLevel="1">
      <c r="A497" s="39" t="s">
        <v>1756</v>
      </c>
      <c r="B497" s="40" t="s">
        <v>11</v>
      </c>
      <c r="C497" s="39">
        <v>5.53</v>
      </c>
      <c r="D497" s="115"/>
    </row>
    <row r="498" spans="1:4" ht="15.75" hidden="1" outlineLevel="1">
      <c r="A498" s="39" t="s">
        <v>1756</v>
      </c>
      <c r="B498" s="40" t="s">
        <v>577</v>
      </c>
      <c r="C498" s="39">
        <v>5.109</v>
      </c>
      <c r="D498" s="115"/>
    </row>
    <row r="499" spans="1:4" ht="15.75" hidden="1" outlineLevel="1">
      <c r="A499" s="39" t="s">
        <v>1756</v>
      </c>
      <c r="B499" s="40" t="s">
        <v>578</v>
      </c>
      <c r="C499" s="39">
        <v>5.1109999999999998</v>
      </c>
      <c r="D499" s="115"/>
    </row>
    <row r="500" spans="1:4" ht="15.75" hidden="1" outlineLevel="1">
      <c r="A500" s="39" t="s">
        <v>1756</v>
      </c>
      <c r="B500" s="40" t="s">
        <v>580</v>
      </c>
      <c r="C500" s="39">
        <v>5.1120000000000001</v>
      </c>
      <c r="D500" s="115"/>
    </row>
    <row r="501" spans="1:4" ht="15.75" hidden="1" outlineLevel="1">
      <c r="A501" s="39" t="s">
        <v>1756</v>
      </c>
      <c r="B501" s="40" t="s">
        <v>564</v>
      </c>
      <c r="C501" s="39">
        <v>5.1020000000000003</v>
      </c>
      <c r="D501" s="115"/>
    </row>
    <row r="502" spans="1:4" ht="15.75" hidden="1" outlineLevel="1">
      <c r="A502" s="39" t="s">
        <v>1756</v>
      </c>
      <c r="B502" s="40" t="s">
        <v>565</v>
      </c>
      <c r="C502" s="42">
        <v>5.0999999999999996</v>
      </c>
      <c r="D502" s="115"/>
    </row>
    <row r="503" spans="1:4" ht="15.75" hidden="1" outlineLevel="1">
      <c r="A503" s="39" t="s">
        <v>1756</v>
      </c>
      <c r="B503" s="40" t="s">
        <v>17</v>
      </c>
      <c r="C503" s="39">
        <v>5.58</v>
      </c>
      <c r="D503" s="115"/>
    </row>
    <row r="504" spans="1:4" ht="15.75" hidden="1" outlineLevel="1">
      <c r="A504" s="39" t="s">
        <v>1756</v>
      </c>
      <c r="B504" s="40" t="s">
        <v>19</v>
      </c>
      <c r="C504" s="39">
        <v>5.55</v>
      </c>
      <c r="D504" s="115"/>
    </row>
    <row r="505" spans="1:4" ht="15.75" hidden="1" outlineLevel="1">
      <c r="A505" s="39" t="s">
        <v>1756</v>
      </c>
      <c r="B505" s="40" t="s">
        <v>18</v>
      </c>
      <c r="C505" s="39">
        <v>5.54</v>
      </c>
      <c r="D505" s="115"/>
    </row>
    <row r="506" spans="1:4" ht="15.75" hidden="1" outlineLevel="1">
      <c r="A506" s="39" t="s">
        <v>1756</v>
      </c>
      <c r="B506" s="40" t="s">
        <v>20</v>
      </c>
      <c r="C506" s="39">
        <v>5.63</v>
      </c>
      <c r="D506" s="115"/>
    </row>
    <row r="507" spans="1:4" ht="15.75" hidden="1" outlineLevel="1">
      <c r="A507" s="39" t="s">
        <v>1756</v>
      </c>
      <c r="B507" s="40" t="s">
        <v>24</v>
      </c>
      <c r="C507" s="39">
        <v>5.47</v>
      </c>
      <c r="D507" s="115"/>
    </row>
    <row r="508" spans="1:4" ht="15.75" hidden="1" outlineLevel="1">
      <c r="A508" s="39" t="s">
        <v>1756</v>
      </c>
      <c r="B508" s="40" t="s">
        <v>25</v>
      </c>
      <c r="C508" s="39">
        <v>5.48</v>
      </c>
      <c r="D508" s="115"/>
    </row>
    <row r="509" spans="1:4" ht="15.75">
      <c r="A509" s="45" t="s">
        <v>1756</v>
      </c>
      <c r="B509" s="40"/>
      <c r="C509" s="39"/>
      <c r="D509" s="115"/>
    </row>
    <row r="510" spans="1:4" ht="15.75" hidden="1" outlineLevel="1">
      <c r="A510" s="39" t="s">
        <v>1535</v>
      </c>
      <c r="B510" s="40" t="s">
        <v>0</v>
      </c>
      <c r="C510" s="39">
        <v>5.0999999999999996</v>
      </c>
      <c r="D510" s="115"/>
    </row>
    <row r="511" spans="1:4" ht="15.75" hidden="1" outlineLevel="1">
      <c r="A511" s="39" t="s">
        <v>1535</v>
      </c>
      <c r="B511" s="40" t="s">
        <v>1</v>
      </c>
      <c r="C511" s="39">
        <v>5.2</v>
      </c>
      <c r="D511" s="115"/>
    </row>
    <row r="512" spans="1:4" ht="15.75" hidden="1" outlineLevel="1">
      <c r="A512" s="39" t="s">
        <v>1535</v>
      </c>
      <c r="B512" s="40" t="s">
        <v>2</v>
      </c>
      <c r="C512" s="39">
        <v>5.3</v>
      </c>
      <c r="D512" s="115"/>
    </row>
    <row r="513" spans="1:4" ht="15.75" hidden="1" outlineLevel="1">
      <c r="A513" s="39" t="s">
        <v>1535</v>
      </c>
      <c r="B513" s="40" t="s">
        <v>83</v>
      </c>
      <c r="C513" s="39">
        <v>5.6</v>
      </c>
      <c r="D513" s="115"/>
    </row>
    <row r="514" spans="1:4" ht="15.75" hidden="1" outlineLevel="1">
      <c r="A514" s="39" t="s">
        <v>1535</v>
      </c>
      <c r="B514" s="40" t="s">
        <v>1749</v>
      </c>
      <c r="C514" s="41">
        <v>5.0999999999999996</v>
      </c>
      <c r="D514" s="115"/>
    </row>
    <row r="515" spans="1:4" ht="15.75" hidden="1" outlineLevel="1">
      <c r="A515" s="39" t="s">
        <v>1535</v>
      </c>
      <c r="B515" s="40" t="s">
        <v>561</v>
      </c>
      <c r="C515" s="39">
        <v>5.14</v>
      </c>
      <c r="D515" s="115"/>
    </row>
    <row r="516" spans="1:4" ht="15.75" hidden="1" outlineLevel="1">
      <c r="A516" s="39" t="s">
        <v>1535</v>
      </c>
      <c r="B516" s="40" t="s">
        <v>4</v>
      </c>
      <c r="C516" s="39">
        <v>5.19</v>
      </c>
      <c r="D516" s="115"/>
    </row>
    <row r="517" spans="1:4" ht="15.75" hidden="1" outlineLevel="1">
      <c r="A517" s="39" t="s">
        <v>1535</v>
      </c>
      <c r="B517" s="40" t="s">
        <v>85</v>
      </c>
      <c r="C517" s="39">
        <v>5.24</v>
      </c>
      <c r="D517" s="115"/>
    </row>
    <row r="518" spans="1:4" ht="15.75" hidden="1" outlineLevel="1">
      <c r="A518" s="39" t="s">
        <v>1535</v>
      </c>
      <c r="B518" s="40" t="s">
        <v>5</v>
      </c>
      <c r="C518" s="39">
        <v>5.26</v>
      </c>
      <c r="D518" s="115"/>
    </row>
    <row r="519" spans="1:4" ht="15.75" hidden="1" outlineLevel="1">
      <c r="A519" s="39" t="s">
        <v>1535</v>
      </c>
      <c r="B519" s="40" t="s">
        <v>6</v>
      </c>
      <c r="C519" s="39">
        <v>5.27</v>
      </c>
      <c r="D519" s="115"/>
    </row>
    <row r="520" spans="1:4" ht="15.75" hidden="1" outlineLevel="1">
      <c r="A520" s="39" t="s">
        <v>1535</v>
      </c>
      <c r="B520" s="40" t="s">
        <v>7</v>
      </c>
      <c r="C520" s="39">
        <v>5.28</v>
      </c>
      <c r="D520" s="115"/>
    </row>
    <row r="521" spans="1:4" ht="15.75" hidden="1" outlineLevel="1">
      <c r="A521" s="39" t="s">
        <v>1535</v>
      </c>
      <c r="B521" s="40" t="s">
        <v>86</v>
      </c>
      <c r="C521" s="39">
        <v>5.31</v>
      </c>
      <c r="D521" s="115"/>
    </row>
    <row r="522" spans="1:4" ht="15.75" hidden="1" outlineLevel="1">
      <c r="A522" s="39" t="s">
        <v>1535</v>
      </c>
      <c r="B522" s="40" t="s">
        <v>570</v>
      </c>
      <c r="C522" s="39">
        <v>5.33</v>
      </c>
      <c r="D522" s="115"/>
    </row>
    <row r="523" spans="1:4" ht="15.75" hidden="1" outlineLevel="1">
      <c r="A523" s="39" t="s">
        <v>1535</v>
      </c>
      <c r="B523" s="40" t="s">
        <v>563</v>
      </c>
      <c r="C523" s="39">
        <v>5.101</v>
      </c>
      <c r="D523" s="115"/>
    </row>
    <row r="524" spans="1:4" ht="15.75" hidden="1" outlineLevel="1">
      <c r="A524" s="39" t="s">
        <v>1535</v>
      </c>
      <c r="B524" s="40" t="s">
        <v>87</v>
      </c>
      <c r="C524" s="39">
        <v>5.36</v>
      </c>
      <c r="D524" s="115"/>
    </row>
    <row r="525" spans="1:4" ht="15.75" hidden="1" outlineLevel="1">
      <c r="A525" s="39" t="s">
        <v>1535</v>
      </c>
      <c r="B525" s="40" t="s">
        <v>571</v>
      </c>
      <c r="C525" s="39">
        <v>5.37</v>
      </c>
      <c r="D525" s="115"/>
    </row>
    <row r="526" spans="1:4" ht="15.75" hidden="1" outlineLevel="1">
      <c r="A526" s="39" t="s">
        <v>1535</v>
      </c>
      <c r="B526" s="40" t="s">
        <v>11</v>
      </c>
      <c r="C526" s="39">
        <v>5.53</v>
      </c>
      <c r="D526" s="115"/>
    </row>
    <row r="527" spans="1:4" ht="15.75" hidden="1" outlineLevel="1">
      <c r="A527" s="39" t="s">
        <v>1535</v>
      </c>
      <c r="B527" s="40" t="s">
        <v>577</v>
      </c>
      <c r="C527" s="39">
        <v>5.109</v>
      </c>
      <c r="D527" s="115"/>
    </row>
    <row r="528" spans="1:4" ht="15.75" hidden="1" outlineLevel="1">
      <c r="A528" s="39" t="s">
        <v>1535</v>
      </c>
      <c r="B528" s="40" t="s">
        <v>578</v>
      </c>
      <c r="C528" s="39">
        <v>5.1109999999999998</v>
      </c>
      <c r="D528" s="115"/>
    </row>
    <row r="529" spans="1:4" ht="15.75" hidden="1" outlineLevel="1">
      <c r="A529" s="39" t="s">
        <v>1535</v>
      </c>
      <c r="B529" s="40" t="s">
        <v>580</v>
      </c>
      <c r="C529" s="39">
        <v>5.1120000000000001</v>
      </c>
      <c r="D529" s="115"/>
    </row>
    <row r="530" spans="1:4" ht="15.75" hidden="1" outlineLevel="1">
      <c r="A530" s="39" t="s">
        <v>1535</v>
      </c>
      <c r="B530" s="40" t="s">
        <v>564</v>
      </c>
      <c r="C530" s="39">
        <v>5.1020000000000003</v>
      </c>
      <c r="D530" s="115"/>
    </row>
    <row r="531" spans="1:4" ht="15.75" hidden="1" outlineLevel="1">
      <c r="A531" s="39" t="s">
        <v>1535</v>
      </c>
      <c r="B531" s="40" t="s">
        <v>565</v>
      </c>
      <c r="C531" s="42">
        <v>5.0999999999999996</v>
      </c>
      <c r="D531" s="115"/>
    </row>
    <row r="532" spans="1:4" ht="15.75" hidden="1" outlineLevel="1">
      <c r="A532" s="39" t="s">
        <v>1535</v>
      </c>
      <c r="B532" s="40" t="s">
        <v>17</v>
      </c>
      <c r="C532" s="39">
        <v>5.58</v>
      </c>
      <c r="D532" s="115"/>
    </row>
    <row r="533" spans="1:4" ht="15.75" hidden="1" outlineLevel="1">
      <c r="A533" s="39" t="s">
        <v>1535</v>
      </c>
      <c r="B533" s="40" t="s">
        <v>19</v>
      </c>
      <c r="C533" s="39">
        <v>5.55</v>
      </c>
      <c r="D533" s="115"/>
    </row>
    <row r="534" spans="1:4" ht="15.75" hidden="1" outlineLevel="1">
      <c r="A534" s="39" t="s">
        <v>1535</v>
      </c>
      <c r="B534" s="40" t="s">
        <v>18</v>
      </c>
      <c r="C534" s="39">
        <v>5.54</v>
      </c>
      <c r="D534" s="115"/>
    </row>
    <row r="535" spans="1:4" ht="15.75" hidden="1" outlineLevel="1">
      <c r="A535" s="39" t="s">
        <v>1535</v>
      </c>
      <c r="B535" s="40" t="s">
        <v>20</v>
      </c>
      <c r="C535" s="39">
        <v>5.63</v>
      </c>
      <c r="D535" s="115"/>
    </row>
    <row r="536" spans="1:4" ht="15.75" hidden="1" outlineLevel="1">
      <c r="A536" s="39" t="s">
        <v>1535</v>
      </c>
      <c r="B536" s="40" t="s">
        <v>24</v>
      </c>
      <c r="C536" s="39">
        <v>5.47</v>
      </c>
      <c r="D536" s="115"/>
    </row>
    <row r="537" spans="1:4" ht="15.75" hidden="1" outlineLevel="1">
      <c r="A537" s="39" t="s">
        <v>1535</v>
      </c>
      <c r="B537" s="40" t="s">
        <v>25</v>
      </c>
      <c r="C537" s="39">
        <v>5.48</v>
      </c>
      <c r="D537" s="115"/>
    </row>
    <row r="538" spans="1:4" ht="15.75">
      <c r="A538" s="45" t="s">
        <v>1535</v>
      </c>
      <c r="B538" s="40"/>
      <c r="C538" s="39"/>
      <c r="D538" s="115"/>
    </row>
    <row r="539" spans="1:4" ht="15.75" hidden="1" outlineLevel="1">
      <c r="A539" s="39" t="s">
        <v>1544</v>
      </c>
      <c r="B539" s="40" t="s">
        <v>0</v>
      </c>
      <c r="C539" s="39">
        <v>5.0999999999999996</v>
      </c>
      <c r="D539" s="115"/>
    </row>
    <row r="540" spans="1:4" ht="15.75" hidden="1" outlineLevel="1">
      <c r="A540" s="39" t="s">
        <v>1544</v>
      </c>
      <c r="B540" s="40" t="s">
        <v>1</v>
      </c>
      <c r="C540" s="39">
        <v>5.2</v>
      </c>
      <c r="D540" s="115"/>
    </row>
    <row r="541" spans="1:4" ht="15.75" hidden="1" outlineLevel="1">
      <c r="A541" s="39" t="s">
        <v>1544</v>
      </c>
      <c r="B541" s="40" t="s">
        <v>5</v>
      </c>
      <c r="C541" s="39">
        <v>5.26</v>
      </c>
      <c r="D541" s="115"/>
    </row>
    <row r="542" spans="1:4" ht="15.75" hidden="1" outlineLevel="1">
      <c r="A542" s="39" t="s">
        <v>1544</v>
      </c>
      <c r="B542" s="40" t="s">
        <v>721</v>
      </c>
      <c r="C542" s="39">
        <v>5.21</v>
      </c>
      <c r="D542" s="115"/>
    </row>
    <row r="543" spans="1:4" ht="15.75" hidden="1" outlineLevel="1">
      <c r="A543" s="39" t="s">
        <v>1544</v>
      </c>
      <c r="B543" s="40" t="s">
        <v>722</v>
      </c>
      <c r="C543" s="39">
        <v>5.53</v>
      </c>
      <c r="D543" s="115"/>
    </row>
    <row r="544" spans="1:4" ht="15.75" hidden="1" outlineLevel="1">
      <c r="A544" s="39" t="s">
        <v>1544</v>
      </c>
      <c r="B544" s="40" t="s">
        <v>18</v>
      </c>
      <c r="C544" s="39">
        <v>5.54</v>
      </c>
      <c r="D544" s="115"/>
    </row>
    <row r="545" spans="1:4" ht="15.75" hidden="1" outlineLevel="1">
      <c r="A545" s="39" t="s">
        <v>1544</v>
      </c>
      <c r="B545" s="40" t="s">
        <v>723</v>
      </c>
      <c r="C545" s="39">
        <v>5.58</v>
      </c>
      <c r="D545" s="115"/>
    </row>
    <row r="546" spans="1:4" ht="15.75" hidden="1" outlineLevel="1">
      <c r="A546" s="39" t="s">
        <v>1544</v>
      </c>
      <c r="B546" s="40" t="s">
        <v>724</v>
      </c>
      <c r="C546" s="39">
        <v>5.1180000000000003</v>
      </c>
      <c r="D546" s="115"/>
    </row>
    <row r="547" spans="1:4" ht="15.75" hidden="1" outlineLevel="1">
      <c r="A547" s="39" t="s">
        <v>1544</v>
      </c>
      <c r="B547" s="43" t="s">
        <v>725</v>
      </c>
      <c r="C547" s="39">
        <v>5.47</v>
      </c>
      <c r="D547" s="115"/>
    </row>
    <row r="548" spans="1:4" ht="15.75" hidden="1" outlineLevel="1">
      <c r="A548" s="39" t="s">
        <v>1544</v>
      </c>
      <c r="B548" s="40" t="s">
        <v>726</v>
      </c>
      <c r="C548" s="39">
        <v>5.48</v>
      </c>
      <c r="D548" s="115"/>
    </row>
    <row r="549" spans="1:4" ht="15.75" hidden="1" outlineLevel="1">
      <c r="A549" s="39" t="s">
        <v>1544</v>
      </c>
      <c r="B549" s="40" t="s">
        <v>727</v>
      </c>
      <c r="C549" s="39">
        <v>5.21</v>
      </c>
      <c r="D549" s="115"/>
    </row>
    <row r="550" spans="1:4" ht="15.75" hidden="1" outlineLevel="1">
      <c r="A550" s="39" t="s">
        <v>1544</v>
      </c>
      <c r="B550" s="40" t="s">
        <v>728</v>
      </c>
      <c r="C550" s="39">
        <v>5.53</v>
      </c>
      <c r="D550" s="115"/>
    </row>
    <row r="551" spans="1:4" ht="15.75" hidden="1" outlineLevel="1">
      <c r="A551" s="39" t="s">
        <v>1544</v>
      </c>
      <c r="B551" s="40" t="s">
        <v>18</v>
      </c>
      <c r="C551" s="39">
        <v>5.54</v>
      </c>
      <c r="D551" s="115"/>
    </row>
    <row r="552" spans="1:4" ht="15.75" hidden="1" outlineLevel="1">
      <c r="A552" s="39" t="s">
        <v>1544</v>
      </c>
      <c r="B552" s="40" t="s">
        <v>729</v>
      </c>
      <c r="C552" s="39">
        <v>5.58</v>
      </c>
      <c r="D552" s="115"/>
    </row>
    <row r="553" spans="1:4" ht="15.75" hidden="1" outlineLevel="1">
      <c r="A553" s="39" t="s">
        <v>1544</v>
      </c>
      <c r="B553" s="40" t="s">
        <v>730</v>
      </c>
      <c r="C553" s="39">
        <v>5.1180000000000003</v>
      </c>
      <c r="D553" s="115"/>
    </row>
    <row r="554" spans="1:4" ht="15.75" hidden="1" outlineLevel="1">
      <c r="A554" s="39" t="s">
        <v>1544</v>
      </c>
      <c r="B554" s="40" t="s">
        <v>1757</v>
      </c>
      <c r="C554" s="39">
        <v>5.47</v>
      </c>
      <c r="D554" s="115"/>
    </row>
    <row r="555" spans="1:4" ht="15.75" hidden="1" outlineLevel="1">
      <c r="A555" s="39" t="s">
        <v>1544</v>
      </c>
      <c r="B555" s="40" t="s">
        <v>1758</v>
      </c>
      <c r="C555" s="39">
        <v>5.48</v>
      </c>
      <c r="D555" s="115"/>
    </row>
    <row r="556" spans="1:4" ht="15.75" hidden="1" outlineLevel="1">
      <c r="A556" s="39" t="s">
        <v>1544</v>
      </c>
      <c r="B556" s="40" t="s">
        <v>1759</v>
      </c>
      <c r="C556" s="39">
        <v>5.63</v>
      </c>
      <c r="D556" s="115"/>
    </row>
    <row r="557" spans="1:4" ht="15.75" hidden="1" outlineLevel="1">
      <c r="A557" s="39" t="s">
        <v>1544</v>
      </c>
      <c r="B557" s="40" t="s">
        <v>6</v>
      </c>
      <c r="C557" s="39">
        <v>5.27</v>
      </c>
      <c r="D557" s="115"/>
    </row>
    <row r="558" spans="1:4" ht="15.75" hidden="1" outlineLevel="1">
      <c r="A558" s="39" t="s">
        <v>1544</v>
      </c>
      <c r="B558" s="40" t="s">
        <v>7</v>
      </c>
      <c r="C558" s="39">
        <v>5.28</v>
      </c>
      <c r="D558" s="115"/>
    </row>
    <row r="559" spans="1:4" ht="15.75" hidden="1" outlineLevel="1">
      <c r="A559" s="39" t="s">
        <v>1544</v>
      </c>
      <c r="B559" s="40" t="s">
        <v>734</v>
      </c>
      <c r="C559" s="39">
        <v>5.35</v>
      </c>
      <c r="D559" s="115"/>
    </row>
    <row r="560" spans="1:4" ht="15.75" hidden="1" outlineLevel="1">
      <c r="A560" s="39" t="s">
        <v>1544</v>
      </c>
      <c r="B560" s="40" t="s">
        <v>735</v>
      </c>
      <c r="C560" s="39">
        <v>5.1189999999999998</v>
      </c>
      <c r="D560" s="115"/>
    </row>
    <row r="561" spans="1:4" ht="15.75" hidden="1" outlineLevel="1">
      <c r="A561" s="39" t="s">
        <v>1544</v>
      </c>
      <c r="B561" s="40" t="s">
        <v>736</v>
      </c>
      <c r="C561" s="42">
        <v>5.12</v>
      </c>
      <c r="D561" s="115"/>
    </row>
    <row r="562" spans="1:4" ht="15.75" hidden="1" outlineLevel="1">
      <c r="A562" s="39" t="s">
        <v>1544</v>
      </c>
      <c r="B562" s="40" t="s">
        <v>737</v>
      </c>
      <c r="C562" s="39">
        <v>5.1210000000000004</v>
      </c>
      <c r="D562" s="115"/>
    </row>
    <row r="563" spans="1:4" ht="15.75" hidden="1" outlineLevel="1">
      <c r="A563" s="39" t="s">
        <v>1544</v>
      </c>
      <c r="B563" s="40" t="s">
        <v>87</v>
      </c>
      <c r="C563" s="39">
        <v>5.36</v>
      </c>
      <c r="D563" s="115"/>
    </row>
    <row r="564" spans="1:4" ht="15.75" hidden="1" outlineLevel="1">
      <c r="A564" s="39" t="s">
        <v>1544</v>
      </c>
      <c r="B564" s="40" t="s">
        <v>738</v>
      </c>
      <c r="C564" s="39">
        <v>5.1219999999999999</v>
      </c>
      <c r="D564" s="115"/>
    </row>
    <row r="565" spans="1:4" ht="15.75" hidden="1" outlineLevel="1">
      <c r="A565" s="39" t="s">
        <v>1544</v>
      </c>
      <c r="B565" s="40" t="s">
        <v>739</v>
      </c>
      <c r="C565" s="39">
        <v>5.1230000000000002</v>
      </c>
      <c r="D565" s="115"/>
    </row>
    <row r="566" spans="1:4" ht="15.75" hidden="1" outlineLevel="1">
      <c r="A566" s="39" t="s">
        <v>1544</v>
      </c>
      <c r="B566" s="40" t="s">
        <v>740</v>
      </c>
      <c r="C566" s="39">
        <v>5.1239999999999997</v>
      </c>
      <c r="D566" s="115"/>
    </row>
    <row r="567" spans="1:4" ht="15.75" hidden="1" outlineLevel="1">
      <c r="A567" s="39" t="s">
        <v>1544</v>
      </c>
      <c r="B567" s="40" t="s">
        <v>741</v>
      </c>
      <c r="C567" s="39">
        <v>5.125</v>
      </c>
      <c r="D567" s="115"/>
    </row>
    <row r="568" spans="1:4" ht="15.75" hidden="1" outlineLevel="1">
      <c r="A568" s="39" t="s">
        <v>1544</v>
      </c>
      <c r="B568" s="40" t="s">
        <v>742</v>
      </c>
      <c r="C568" s="39">
        <v>5.1260000000000003</v>
      </c>
      <c r="D568" s="115"/>
    </row>
    <row r="569" spans="1:4" ht="15.75" hidden="1" outlineLevel="1">
      <c r="A569" s="39" t="s">
        <v>1544</v>
      </c>
      <c r="B569" s="40" t="s">
        <v>743</v>
      </c>
      <c r="C569" s="39">
        <v>5.1269999999999998</v>
      </c>
      <c r="D569" s="115"/>
    </row>
    <row r="570" spans="1:4" ht="15.75" hidden="1" outlineLevel="1">
      <c r="A570" s="39" t="s">
        <v>1544</v>
      </c>
      <c r="B570" s="40" t="s">
        <v>89</v>
      </c>
      <c r="C570" s="41">
        <v>5.72</v>
      </c>
      <c r="D570" s="115"/>
    </row>
    <row r="571" spans="1:4" ht="15.75" hidden="1" outlineLevel="1">
      <c r="A571" s="39" t="s">
        <v>1544</v>
      </c>
      <c r="B571" s="40" t="s">
        <v>744</v>
      </c>
      <c r="C571" s="39">
        <v>5.1280000000000001</v>
      </c>
      <c r="D571" s="115"/>
    </row>
    <row r="572" spans="1:4" ht="15.75" hidden="1" outlineLevel="1">
      <c r="A572" s="39" t="s">
        <v>1544</v>
      </c>
      <c r="B572" s="40" t="s">
        <v>745</v>
      </c>
      <c r="C572" s="39">
        <v>5.1289999999999996</v>
      </c>
      <c r="D572" s="114" t="s">
        <v>1748</v>
      </c>
    </row>
    <row r="573" spans="1:4" ht="15.75" hidden="1" outlineLevel="1">
      <c r="A573" s="39" t="s">
        <v>1544</v>
      </c>
      <c r="B573" s="40" t="s">
        <v>746</v>
      </c>
      <c r="C573" s="39">
        <v>5.1310000000000002</v>
      </c>
      <c r="D573" s="115"/>
    </row>
    <row r="574" spans="1:4" ht="15.75" hidden="1" outlineLevel="1">
      <c r="A574" s="39" t="s">
        <v>1544</v>
      </c>
      <c r="B574" s="40" t="s">
        <v>747</v>
      </c>
      <c r="C574" s="39">
        <v>5.1319999999999997</v>
      </c>
      <c r="D574" s="114" t="s">
        <v>1748</v>
      </c>
    </row>
    <row r="575" spans="1:4" ht="15.75" hidden="1" outlineLevel="1">
      <c r="A575" s="39" t="s">
        <v>1544</v>
      </c>
      <c r="B575" s="40" t="s">
        <v>748</v>
      </c>
      <c r="C575" s="39">
        <v>5.133</v>
      </c>
      <c r="D575" s="114" t="s">
        <v>1748</v>
      </c>
    </row>
    <row r="576" spans="1:4" ht="15.75" hidden="1" outlineLevel="1">
      <c r="A576" s="39" t="s">
        <v>1544</v>
      </c>
      <c r="B576" s="40" t="s">
        <v>749</v>
      </c>
      <c r="C576" s="39">
        <v>5.1340000000000003</v>
      </c>
      <c r="D576" s="114" t="s">
        <v>1748</v>
      </c>
    </row>
    <row r="577" spans="1:4" ht="15.75" hidden="1" outlineLevel="1">
      <c r="A577" s="39" t="s">
        <v>1544</v>
      </c>
      <c r="B577" s="40" t="s">
        <v>750</v>
      </c>
      <c r="C577" s="42">
        <v>5.13</v>
      </c>
      <c r="D577" s="115"/>
    </row>
    <row r="578" spans="1:4" ht="15.75" hidden="1" outlineLevel="1">
      <c r="A578" s="39" t="s">
        <v>1544</v>
      </c>
      <c r="B578" s="40" t="s">
        <v>24</v>
      </c>
      <c r="C578" s="39">
        <v>5.47</v>
      </c>
      <c r="D578" s="115"/>
    </row>
    <row r="579" spans="1:4" ht="15.75" hidden="1" outlineLevel="1">
      <c r="A579" s="39" t="s">
        <v>1544</v>
      </c>
      <c r="B579" s="40" t="s">
        <v>25</v>
      </c>
      <c r="C579" s="39">
        <v>5.48</v>
      </c>
      <c r="D579" s="115"/>
    </row>
    <row r="580" spans="1:4" ht="15.75">
      <c r="A580" s="45" t="s">
        <v>1544</v>
      </c>
      <c r="B580" s="40"/>
      <c r="C580" s="39"/>
      <c r="D580" s="115"/>
    </row>
    <row r="581" spans="1:4" ht="15.75" hidden="1" outlineLevel="1">
      <c r="A581" s="39" t="s">
        <v>1537</v>
      </c>
      <c r="B581" s="40" t="s">
        <v>0</v>
      </c>
      <c r="C581" s="39">
        <v>5.0999999999999996</v>
      </c>
      <c r="D581" s="115"/>
    </row>
    <row r="582" spans="1:4" ht="15.75" hidden="1" outlineLevel="1">
      <c r="A582" s="39" t="s">
        <v>1537</v>
      </c>
      <c r="B582" s="40" t="s">
        <v>1</v>
      </c>
      <c r="C582" s="39">
        <v>5.2</v>
      </c>
      <c r="D582" s="115"/>
    </row>
    <row r="583" spans="1:4" ht="15.75" hidden="1" outlineLevel="1">
      <c r="A583" s="39" t="s">
        <v>1537</v>
      </c>
      <c r="B583" s="40" t="s">
        <v>751</v>
      </c>
      <c r="C583" s="39">
        <v>5.9</v>
      </c>
      <c r="D583" s="114" t="s">
        <v>1748</v>
      </c>
    </row>
    <row r="584" spans="1:4" ht="15.75" hidden="1" outlineLevel="1">
      <c r="A584" s="39" t="s">
        <v>1537</v>
      </c>
      <c r="B584" s="40" t="s">
        <v>752</v>
      </c>
      <c r="C584" s="39">
        <v>5.13</v>
      </c>
      <c r="D584" s="114" t="s">
        <v>1748</v>
      </c>
    </row>
    <row r="585" spans="1:4" ht="15.75" hidden="1" outlineLevel="1">
      <c r="A585" s="39" t="s">
        <v>1537</v>
      </c>
      <c r="B585" s="40" t="s">
        <v>753</v>
      </c>
      <c r="C585" s="39">
        <v>5.16</v>
      </c>
      <c r="D585" s="114" t="s">
        <v>1748</v>
      </c>
    </row>
    <row r="586" spans="1:4" ht="15.75" hidden="1" outlineLevel="1">
      <c r="A586" s="39" t="s">
        <v>1537</v>
      </c>
      <c r="B586" s="40" t="s">
        <v>754</v>
      </c>
      <c r="C586" s="39">
        <v>5.22</v>
      </c>
      <c r="D586" s="114"/>
    </row>
    <row r="587" spans="1:4" ht="15.75" hidden="1" outlineLevel="1">
      <c r="A587" s="39" t="s">
        <v>1537</v>
      </c>
      <c r="B587" s="40" t="s">
        <v>5</v>
      </c>
      <c r="C587" s="39">
        <v>5.26</v>
      </c>
      <c r="D587" s="115"/>
    </row>
    <row r="588" spans="1:4" ht="15.75" hidden="1" outlineLevel="1">
      <c r="A588" s="39" t="s">
        <v>1537</v>
      </c>
      <c r="B588" s="40" t="s">
        <v>755</v>
      </c>
      <c r="C588" s="39">
        <v>5.77</v>
      </c>
      <c r="D588" s="115"/>
    </row>
    <row r="589" spans="1:4" ht="15.75" hidden="1" outlineLevel="1">
      <c r="A589" s="39" t="s">
        <v>1537</v>
      </c>
      <c r="B589" s="40" t="s">
        <v>6</v>
      </c>
      <c r="C589" s="39">
        <v>5.27</v>
      </c>
      <c r="D589" s="115"/>
    </row>
    <row r="590" spans="1:4" ht="15.75" hidden="1" outlineLevel="1">
      <c r="A590" s="39" t="s">
        <v>1537</v>
      </c>
      <c r="B590" s="40" t="s">
        <v>7</v>
      </c>
      <c r="C590" s="39">
        <v>5.28</v>
      </c>
      <c r="D590" s="114" t="s">
        <v>1748</v>
      </c>
    </row>
    <row r="591" spans="1:4" ht="15.75" hidden="1" outlineLevel="1">
      <c r="A591" s="39" t="s">
        <v>1537</v>
      </c>
      <c r="B591" s="40" t="s">
        <v>86</v>
      </c>
      <c r="C591" s="39">
        <v>5.31</v>
      </c>
      <c r="D591" s="115"/>
    </row>
    <row r="592" spans="1:4" ht="15.75" hidden="1" outlineLevel="1">
      <c r="A592" s="39" t="s">
        <v>1537</v>
      </c>
      <c r="B592" s="40" t="s">
        <v>87</v>
      </c>
      <c r="C592" s="39">
        <v>5.36</v>
      </c>
      <c r="D592" s="115"/>
    </row>
    <row r="593" spans="1:4" ht="15.75" hidden="1" outlineLevel="1">
      <c r="A593" s="39" t="s">
        <v>1537</v>
      </c>
      <c r="B593" s="40" t="s">
        <v>756</v>
      </c>
      <c r="C593" s="39">
        <v>5.78</v>
      </c>
      <c r="D593" s="115"/>
    </row>
    <row r="594" spans="1:4" ht="15.75" hidden="1" outlineLevel="1">
      <c r="A594" s="39" t="s">
        <v>1537</v>
      </c>
      <c r="B594" s="40" t="s">
        <v>757</v>
      </c>
      <c r="C594" s="39">
        <v>5.79</v>
      </c>
      <c r="D594" s="114" t="s">
        <v>1748</v>
      </c>
    </row>
    <row r="595" spans="1:4" ht="15.75" hidden="1" outlineLevel="1">
      <c r="A595" s="39" t="s">
        <v>1537</v>
      </c>
      <c r="B595" s="40" t="s">
        <v>758</v>
      </c>
      <c r="C595" s="39">
        <v>5.41</v>
      </c>
      <c r="D595" s="115"/>
    </row>
    <row r="596" spans="1:4" ht="15.75" hidden="1" outlineLevel="1">
      <c r="A596" s="39" t="s">
        <v>1537</v>
      </c>
      <c r="B596" s="40" t="s">
        <v>9</v>
      </c>
      <c r="C596" s="39">
        <v>5.49</v>
      </c>
      <c r="D596" s="115"/>
    </row>
    <row r="597" spans="1:4" ht="15.75" hidden="1" outlineLevel="1">
      <c r="A597" s="39" t="s">
        <v>1537</v>
      </c>
      <c r="B597" s="40" t="s">
        <v>10</v>
      </c>
      <c r="C597" s="39">
        <v>5.51</v>
      </c>
      <c r="D597" s="115"/>
    </row>
    <row r="598" spans="1:4" ht="15.75" hidden="1" outlineLevel="1">
      <c r="A598" s="39" t="s">
        <v>1537</v>
      </c>
      <c r="B598" s="40" t="s">
        <v>1760</v>
      </c>
      <c r="C598" s="39">
        <v>5.52</v>
      </c>
      <c r="D598" s="115"/>
    </row>
    <row r="599" spans="1:4" ht="15.75" hidden="1" outlineLevel="1">
      <c r="A599" s="39" t="s">
        <v>1537</v>
      </c>
      <c r="B599" s="40" t="s">
        <v>11</v>
      </c>
      <c r="C599" s="39">
        <v>5.53</v>
      </c>
      <c r="D599" s="115"/>
    </row>
    <row r="600" spans="1:4" ht="15.75" hidden="1" outlineLevel="1">
      <c r="A600" s="39" t="s">
        <v>1537</v>
      </c>
      <c r="B600" s="40" t="s">
        <v>12</v>
      </c>
      <c r="C600" s="39">
        <v>5.69</v>
      </c>
      <c r="D600" s="115"/>
    </row>
    <row r="601" spans="1:4" ht="15.75" hidden="1" outlineLevel="1">
      <c r="A601" s="39" t="s">
        <v>1537</v>
      </c>
      <c r="B601" s="40" t="s">
        <v>760</v>
      </c>
      <c r="C601" s="39">
        <v>5.71</v>
      </c>
      <c r="D601" s="115"/>
    </row>
    <row r="602" spans="1:4" ht="15.75" hidden="1" outlineLevel="1">
      <c r="A602" s="39" t="s">
        <v>1537</v>
      </c>
      <c r="B602" s="40" t="s">
        <v>14</v>
      </c>
      <c r="C602" s="41">
        <v>5.7</v>
      </c>
      <c r="D602" s="115"/>
    </row>
    <row r="603" spans="1:4" ht="15.75" hidden="1" outlineLevel="1">
      <c r="A603" s="39" t="s">
        <v>1537</v>
      </c>
      <c r="B603" s="40" t="s">
        <v>572</v>
      </c>
      <c r="C603" s="41">
        <v>5.8</v>
      </c>
      <c r="D603" s="114" t="s">
        <v>1748</v>
      </c>
    </row>
    <row r="604" spans="1:4" ht="15.75" hidden="1" outlineLevel="1">
      <c r="A604" s="39" t="s">
        <v>1537</v>
      </c>
      <c r="B604" s="40" t="s">
        <v>89</v>
      </c>
      <c r="C604" s="41">
        <v>5.72</v>
      </c>
      <c r="D604" s="114" t="s">
        <v>1748</v>
      </c>
    </row>
    <row r="605" spans="1:4" ht="15.75" hidden="1" outlineLevel="1">
      <c r="A605" s="39" t="s">
        <v>1537</v>
      </c>
      <c r="B605" s="40" t="s">
        <v>761</v>
      </c>
      <c r="C605" s="39">
        <v>5.73</v>
      </c>
      <c r="D605" s="114" t="s">
        <v>1748</v>
      </c>
    </row>
    <row r="606" spans="1:4" ht="15.75" hidden="1" outlineLevel="1">
      <c r="A606" s="39" t="s">
        <v>1537</v>
      </c>
      <c r="B606" s="40" t="s">
        <v>15</v>
      </c>
      <c r="C606" s="39">
        <v>5.74</v>
      </c>
      <c r="D606" s="115"/>
    </row>
    <row r="607" spans="1:4" ht="15.75" hidden="1" outlineLevel="1">
      <c r="A607" s="39" t="s">
        <v>1537</v>
      </c>
      <c r="B607" s="40" t="s">
        <v>13</v>
      </c>
      <c r="C607" s="39">
        <v>5.75</v>
      </c>
      <c r="D607" s="115"/>
    </row>
    <row r="608" spans="1:4" ht="15.75" hidden="1" outlineLevel="1">
      <c r="A608" s="39" t="s">
        <v>1537</v>
      </c>
      <c r="B608" s="40" t="s">
        <v>90</v>
      </c>
      <c r="C608" s="39">
        <v>5.76</v>
      </c>
      <c r="D608" s="115"/>
    </row>
    <row r="609" spans="1:4" ht="15.75" hidden="1" outlineLevel="1">
      <c r="A609" s="39" t="s">
        <v>1537</v>
      </c>
      <c r="B609" s="40" t="s">
        <v>762</v>
      </c>
      <c r="C609" s="39">
        <v>5.81</v>
      </c>
      <c r="D609" s="114" t="s">
        <v>1748</v>
      </c>
    </row>
    <row r="610" spans="1:4" ht="15.75" hidden="1" outlineLevel="1">
      <c r="A610" s="39" t="s">
        <v>1537</v>
      </c>
      <c r="B610" s="40" t="s">
        <v>763</v>
      </c>
      <c r="C610" s="39">
        <v>5.82</v>
      </c>
      <c r="D610" s="114" t="s">
        <v>1748</v>
      </c>
    </row>
    <row r="611" spans="1:4" ht="15.75" hidden="1" outlineLevel="1">
      <c r="A611" s="39" t="s">
        <v>1537</v>
      </c>
      <c r="B611" s="40" t="s">
        <v>764</v>
      </c>
      <c r="C611" s="39">
        <v>5.83</v>
      </c>
      <c r="D611" s="114" t="s">
        <v>1748</v>
      </c>
    </row>
    <row r="612" spans="1:4" ht="15.75" hidden="1" outlineLevel="1">
      <c r="A612" s="39" t="s">
        <v>1537</v>
      </c>
      <c r="B612" s="40" t="s">
        <v>765</v>
      </c>
      <c r="C612" s="39">
        <v>5.84</v>
      </c>
      <c r="D612" s="115"/>
    </row>
    <row r="613" spans="1:4" ht="15.75" hidden="1" outlineLevel="1">
      <c r="A613" s="39" t="s">
        <v>1537</v>
      </c>
      <c r="B613" s="40" t="s">
        <v>766</v>
      </c>
      <c r="C613" s="39">
        <v>5.85</v>
      </c>
      <c r="D613" s="114" t="s">
        <v>1748</v>
      </c>
    </row>
    <row r="614" spans="1:4" ht="15.75" hidden="1" outlineLevel="1">
      <c r="A614" s="39" t="s">
        <v>1537</v>
      </c>
      <c r="B614" s="40" t="s">
        <v>767</v>
      </c>
      <c r="C614" s="39">
        <v>5.86</v>
      </c>
      <c r="D614" s="114" t="s">
        <v>1748</v>
      </c>
    </row>
    <row r="615" spans="1:4" ht="15.75" hidden="1" outlineLevel="1">
      <c r="A615" s="39" t="s">
        <v>1537</v>
      </c>
      <c r="B615" s="40" t="s">
        <v>768</v>
      </c>
      <c r="C615" s="39">
        <v>5.88</v>
      </c>
      <c r="D615" s="114" t="s">
        <v>1748</v>
      </c>
    </row>
    <row r="616" spans="1:4" ht="15.75" hidden="1" outlineLevel="1">
      <c r="A616" s="39" t="s">
        <v>1537</v>
      </c>
      <c r="B616" s="40" t="s">
        <v>769</v>
      </c>
      <c r="C616" s="39">
        <v>5.87</v>
      </c>
      <c r="D616" s="115"/>
    </row>
    <row r="617" spans="1:4" ht="15.75" hidden="1" outlineLevel="1">
      <c r="A617" s="39" t="s">
        <v>1537</v>
      </c>
      <c r="B617" s="40" t="s">
        <v>577</v>
      </c>
      <c r="C617" s="39">
        <v>5.109</v>
      </c>
      <c r="D617" s="115"/>
    </row>
    <row r="618" spans="1:4" ht="15.75" hidden="1" outlineLevel="1">
      <c r="A618" s="39" t="s">
        <v>1537</v>
      </c>
      <c r="B618" s="40" t="s">
        <v>579</v>
      </c>
      <c r="C618" s="42">
        <v>5.1100000000000003</v>
      </c>
      <c r="D618" s="114" t="s">
        <v>1748</v>
      </c>
    </row>
    <row r="619" spans="1:4" ht="15.75" hidden="1" outlineLevel="1">
      <c r="A619" s="39" t="s">
        <v>1537</v>
      </c>
      <c r="B619" s="40" t="s">
        <v>578</v>
      </c>
      <c r="C619" s="39">
        <v>5.1109999999999998</v>
      </c>
      <c r="D619" s="115"/>
    </row>
    <row r="620" spans="1:4" ht="15.75" hidden="1" outlineLevel="1">
      <c r="A620" s="39" t="s">
        <v>1537</v>
      </c>
      <c r="B620" s="40" t="s">
        <v>580</v>
      </c>
      <c r="C620" s="39">
        <v>5.1120000000000001</v>
      </c>
      <c r="D620" s="115"/>
    </row>
    <row r="621" spans="1:4" ht="15.75" hidden="1" outlineLevel="1">
      <c r="A621" s="39" t="s">
        <v>1537</v>
      </c>
      <c r="B621" s="40" t="s">
        <v>1754</v>
      </c>
      <c r="C621" s="39">
        <v>5.1130000000000004</v>
      </c>
      <c r="D621" s="115"/>
    </row>
    <row r="622" spans="1:4" ht="15.75" hidden="1" outlineLevel="1">
      <c r="A622" s="39" t="s">
        <v>1537</v>
      </c>
      <c r="B622" s="40" t="s">
        <v>770</v>
      </c>
      <c r="C622" s="39">
        <v>5.99</v>
      </c>
      <c r="D622" s="114" t="s">
        <v>1748</v>
      </c>
    </row>
    <row r="623" spans="1:4" ht="15.75" hidden="1" outlineLevel="1">
      <c r="A623" s="39" t="s">
        <v>1537</v>
      </c>
      <c r="B623" s="40" t="s">
        <v>771</v>
      </c>
      <c r="C623" s="39">
        <v>5.58</v>
      </c>
      <c r="D623" s="114"/>
    </row>
    <row r="624" spans="1:4" ht="15.75" hidden="1" outlineLevel="1">
      <c r="A624" s="39" t="s">
        <v>1537</v>
      </c>
      <c r="B624" s="40" t="s">
        <v>18</v>
      </c>
      <c r="C624" s="39">
        <v>5.54</v>
      </c>
      <c r="D624" s="115"/>
    </row>
    <row r="625" spans="1:4" ht="15.75" hidden="1" outlineLevel="1">
      <c r="A625" s="39" t="s">
        <v>1537</v>
      </c>
      <c r="B625" s="40" t="s">
        <v>772</v>
      </c>
      <c r="C625" s="39">
        <v>5.56</v>
      </c>
      <c r="D625" s="115"/>
    </row>
    <row r="626" spans="1:4" ht="15.75" hidden="1" outlineLevel="1">
      <c r="A626" s="39" t="s">
        <v>1537</v>
      </c>
      <c r="B626" s="40" t="s">
        <v>20</v>
      </c>
      <c r="C626" s="39">
        <v>5.63</v>
      </c>
      <c r="D626" s="115"/>
    </row>
    <row r="627" spans="1:4" ht="15.75" hidden="1" outlineLevel="1">
      <c r="A627" s="39" t="s">
        <v>1537</v>
      </c>
      <c r="B627" s="40" t="s">
        <v>773</v>
      </c>
      <c r="C627" s="39">
        <v>5.64</v>
      </c>
      <c r="D627" s="115"/>
    </row>
    <row r="628" spans="1:4" ht="15.75" hidden="1" outlineLevel="1">
      <c r="A628" s="39" t="s">
        <v>1537</v>
      </c>
      <c r="B628" s="40" t="s">
        <v>21</v>
      </c>
      <c r="C628" s="39">
        <v>5.65</v>
      </c>
      <c r="D628" s="115"/>
    </row>
    <row r="629" spans="1:4" ht="15.75" hidden="1" outlineLevel="1">
      <c r="A629" s="39" t="s">
        <v>1537</v>
      </c>
      <c r="B629" s="40" t="s">
        <v>92</v>
      </c>
      <c r="C629" s="39">
        <v>5.66</v>
      </c>
      <c r="D629" s="115"/>
    </row>
    <row r="630" spans="1:4" ht="15.75" hidden="1" outlineLevel="1">
      <c r="A630" s="39" t="s">
        <v>1537</v>
      </c>
      <c r="B630" s="40" t="s">
        <v>91</v>
      </c>
      <c r="C630" s="39">
        <v>5.89</v>
      </c>
      <c r="D630" s="114" t="s">
        <v>1748</v>
      </c>
    </row>
    <row r="631" spans="1:4" ht="15.75" hidden="1" outlineLevel="1">
      <c r="A631" s="39" t="s">
        <v>1537</v>
      </c>
      <c r="B631" s="40" t="s">
        <v>22</v>
      </c>
      <c r="C631" s="39">
        <v>5.68</v>
      </c>
      <c r="D631" s="115"/>
    </row>
    <row r="632" spans="1:4" ht="15.75" hidden="1" outlineLevel="1">
      <c r="A632" s="39" t="s">
        <v>1537</v>
      </c>
      <c r="B632" s="40" t="s">
        <v>24</v>
      </c>
      <c r="C632" s="39">
        <v>5.47</v>
      </c>
      <c r="D632" s="115"/>
    </row>
    <row r="633" spans="1:4" ht="15.75" hidden="1" outlineLevel="1">
      <c r="A633" s="39" t="s">
        <v>1537</v>
      </c>
      <c r="B633" s="40" t="s">
        <v>25</v>
      </c>
      <c r="C633" s="39">
        <v>5.48</v>
      </c>
      <c r="D633" s="115"/>
    </row>
    <row r="634" spans="1:4" ht="15.75">
      <c r="A634" s="45" t="s">
        <v>1537</v>
      </c>
      <c r="B634" s="40"/>
      <c r="C634" s="39"/>
      <c r="D634" s="115"/>
    </row>
    <row r="635" spans="1:4" ht="15.75" hidden="1" outlineLevel="1">
      <c r="A635" s="39" t="s">
        <v>1556</v>
      </c>
      <c r="B635" s="40" t="s">
        <v>0</v>
      </c>
      <c r="C635" s="39">
        <v>5.0999999999999996</v>
      </c>
      <c r="D635" s="115"/>
    </row>
    <row r="636" spans="1:4" ht="15.75" hidden="1" outlineLevel="1">
      <c r="A636" s="39" t="s">
        <v>1556</v>
      </c>
      <c r="B636" s="40" t="s">
        <v>1</v>
      </c>
      <c r="C636" s="39">
        <v>5.2</v>
      </c>
      <c r="D636" s="115"/>
    </row>
    <row r="637" spans="1:4" ht="15.75" hidden="1" outlineLevel="1">
      <c r="A637" s="39" t="s">
        <v>1556</v>
      </c>
      <c r="B637" s="40" t="s">
        <v>2</v>
      </c>
      <c r="C637" s="39">
        <v>5.3</v>
      </c>
      <c r="D637" s="115"/>
    </row>
    <row r="638" spans="1:4" ht="15.75" hidden="1" outlineLevel="1">
      <c r="A638" s="39" t="s">
        <v>1556</v>
      </c>
      <c r="B638" s="40" t="s">
        <v>83</v>
      </c>
      <c r="C638" s="39">
        <v>5.6</v>
      </c>
      <c r="D638" s="115"/>
    </row>
    <row r="639" spans="1:4" ht="15.75" hidden="1" outlineLevel="1">
      <c r="A639" s="39" t="s">
        <v>1556</v>
      </c>
      <c r="B639" s="40" t="s">
        <v>1749</v>
      </c>
      <c r="C639" s="41">
        <v>5.0999999999999996</v>
      </c>
      <c r="D639" s="115"/>
    </row>
    <row r="640" spans="1:4" ht="15.75" hidden="1" outlineLevel="1">
      <c r="A640" s="39" t="s">
        <v>1556</v>
      </c>
      <c r="B640" s="40" t="s">
        <v>561</v>
      </c>
      <c r="C640" s="39">
        <v>5.14</v>
      </c>
      <c r="D640" s="115"/>
    </row>
    <row r="641" spans="1:4" ht="15.75" hidden="1" outlineLevel="1">
      <c r="A641" s="39" t="s">
        <v>1556</v>
      </c>
      <c r="B641" s="40" t="s">
        <v>4</v>
      </c>
      <c r="C641" s="39">
        <v>5.19</v>
      </c>
      <c r="D641" s="115"/>
    </row>
    <row r="642" spans="1:4" ht="15.75" hidden="1" outlineLevel="1">
      <c r="A642" s="39" t="s">
        <v>1556</v>
      </c>
      <c r="B642" s="40" t="s">
        <v>85</v>
      </c>
      <c r="C642" s="39">
        <v>5.24</v>
      </c>
      <c r="D642" s="115"/>
    </row>
    <row r="643" spans="1:4" ht="15.75" hidden="1" outlineLevel="1">
      <c r="A643" s="39" t="s">
        <v>1556</v>
      </c>
      <c r="B643" s="40" t="s">
        <v>5</v>
      </c>
      <c r="C643" s="39">
        <v>5.26</v>
      </c>
      <c r="D643" s="115"/>
    </row>
    <row r="644" spans="1:4" ht="15.75" hidden="1" outlineLevel="1">
      <c r="A644" s="39" t="s">
        <v>1556</v>
      </c>
      <c r="B644" s="40" t="s">
        <v>6</v>
      </c>
      <c r="C644" s="39">
        <v>5.27</v>
      </c>
      <c r="D644" s="115"/>
    </row>
    <row r="645" spans="1:4" ht="15.75" hidden="1" outlineLevel="1">
      <c r="A645" s="39" t="s">
        <v>1556</v>
      </c>
      <c r="B645" s="40" t="s">
        <v>7</v>
      </c>
      <c r="C645" s="39">
        <v>5.28</v>
      </c>
      <c r="D645" s="115"/>
    </row>
    <row r="646" spans="1:4" ht="15.75" hidden="1" outlineLevel="1">
      <c r="A646" s="39" t="s">
        <v>1556</v>
      </c>
      <c r="B646" s="40" t="s">
        <v>87</v>
      </c>
      <c r="C646" s="39">
        <v>5.36</v>
      </c>
      <c r="D646" s="115"/>
    </row>
    <row r="647" spans="1:4" ht="15.75" hidden="1" outlineLevel="1">
      <c r="A647" s="39" t="s">
        <v>1556</v>
      </c>
      <c r="B647" s="40" t="s">
        <v>570</v>
      </c>
      <c r="C647" s="39">
        <v>5.33</v>
      </c>
      <c r="D647" s="115"/>
    </row>
    <row r="648" spans="1:4" ht="15.75" hidden="1" outlineLevel="1">
      <c r="A648" s="39" t="s">
        <v>1556</v>
      </c>
      <c r="B648" s="40" t="s">
        <v>571</v>
      </c>
      <c r="C648" s="39">
        <v>5.37</v>
      </c>
      <c r="D648" s="115"/>
    </row>
    <row r="649" spans="1:4" ht="15.75" hidden="1" outlineLevel="1">
      <c r="A649" s="39" t="s">
        <v>1556</v>
      </c>
      <c r="B649" s="40" t="s">
        <v>9</v>
      </c>
      <c r="C649" s="39">
        <v>5.49</v>
      </c>
      <c r="D649" s="115"/>
    </row>
    <row r="650" spans="1:4" ht="15.75" hidden="1" outlineLevel="1">
      <c r="A650" s="39" t="s">
        <v>1556</v>
      </c>
      <c r="B650" s="40" t="s">
        <v>10</v>
      </c>
      <c r="C650" s="39">
        <v>5.51</v>
      </c>
      <c r="D650" s="115"/>
    </row>
    <row r="651" spans="1:4" ht="15.75" hidden="1" outlineLevel="1">
      <c r="A651" s="39" t="s">
        <v>1556</v>
      </c>
      <c r="B651" s="40" t="s">
        <v>1750</v>
      </c>
      <c r="C651" s="39">
        <v>5.52</v>
      </c>
      <c r="D651" s="115"/>
    </row>
    <row r="652" spans="1:4" ht="15.75" hidden="1" outlineLevel="1">
      <c r="A652" s="39" t="s">
        <v>1556</v>
      </c>
      <c r="B652" s="40" t="s">
        <v>11</v>
      </c>
      <c r="C652" s="39">
        <v>5.53</v>
      </c>
      <c r="D652" s="115"/>
    </row>
    <row r="653" spans="1:4" ht="15.75" hidden="1" outlineLevel="1">
      <c r="A653" s="39" t="s">
        <v>1556</v>
      </c>
      <c r="B653" s="40" t="s">
        <v>12</v>
      </c>
      <c r="C653" s="39">
        <v>5.69</v>
      </c>
      <c r="D653" s="115"/>
    </row>
    <row r="654" spans="1:4" ht="15.75" hidden="1" outlineLevel="1">
      <c r="A654" s="39" t="s">
        <v>1556</v>
      </c>
      <c r="B654" s="40" t="s">
        <v>14</v>
      </c>
      <c r="C654" s="41">
        <v>5.7</v>
      </c>
      <c r="D654" s="115"/>
    </row>
    <row r="655" spans="1:4" ht="15.75" hidden="1" outlineLevel="1">
      <c r="A655" s="39" t="s">
        <v>1556</v>
      </c>
      <c r="B655" s="40" t="s">
        <v>15</v>
      </c>
      <c r="C655" s="39">
        <v>5.74</v>
      </c>
      <c r="D655" s="115"/>
    </row>
    <row r="656" spans="1:4" ht="15.75" hidden="1" outlineLevel="1">
      <c r="A656" s="39" t="s">
        <v>1556</v>
      </c>
      <c r="B656" s="40" t="s">
        <v>577</v>
      </c>
      <c r="C656" s="39">
        <v>5.109</v>
      </c>
      <c r="D656" s="115"/>
    </row>
    <row r="657" spans="1:4" ht="15.75" hidden="1" outlineLevel="1">
      <c r="A657" s="39" t="s">
        <v>1556</v>
      </c>
      <c r="B657" s="40" t="s">
        <v>578</v>
      </c>
      <c r="C657" s="39">
        <v>5.1109999999999998</v>
      </c>
      <c r="D657" s="115"/>
    </row>
    <row r="658" spans="1:4" ht="15.75" hidden="1" outlineLevel="1">
      <c r="A658" s="39" t="s">
        <v>1556</v>
      </c>
      <c r="B658" s="40" t="s">
        <v>580</v>
      </c>
      <c r="C658" s="39">
        <v>5.1120000000000001</v>
      </c>
      <c r="D658" s="115"/>
    </row>
    <row r="659" spans="1:4" ht="15.75" hidden="1" outlineLevel="1">
      <c r="A659" s="39" t="s">
        <v>1556</v>
      </c>
      <c r="B659" s="40" t="s">
        <v>17</v>
      </c>
      <c r="C659" s="39">
        <v>5.58</v>
      </c>
      <c r="D659" s="115"/>
    </row>
    <row r="660" spans="1:4" ht="15.75" hidden="1" outlineLevel="1">
      <c r="A660" s="39" t="s">
        <v>1556</v>
      </c>
      <c r="B660" s="40" t="s">
        <v>18</v>
      </c>
      <c r="C660" s="39">
        <v>5.54</v>
      </c>
      <c r="D660" s="115"/>
    </row>
    <row r="661" spans="1:4" ht="15.75" hidden="1" outlineLevel="1">
      <c r="A661" s="39" t="s">
        <v>1556</v>
      </c>
      <c r="B661" s="40" t="s">
        <v>19</v>
      </c>
      <c r="C661" s="39">
        <v>5.55</v>
      </c>
      <c r="D661" s="115"/>
    </row>
    <row r="662" spans="1:4" ht="15.75" hidden="1" outlineLevel="1">
      <c r="A662" s="39" t="s">
        <v>1556</v>
      </c>
      <c r="B662" s="40" t="s">
        <v>20</v>
      </c>
      <c r="C662" s="39">
        <v>5.63</v>
      </c>
      <c r="D662" s="115"/>
    </row>
    <row r="663" spans="1:4" ht="15.75" hidden="1" outlineLevel="1">
      <c r="A663" s="39" t="s">
        <v>1556</v>
      </c>
      <c r="B663" s="40" t="s">
        <v>24</v>
      </c>
      <c r="C663" s="39">
        <v>5.47</v>
      </c>
      <c r="D663" s="115"/>
    </row>
    <row r="664" spans="1:4" ht="15.75" hidden="1" outlineLevel="1">
      <c r="A664" s="39" t="s">
        <v>1556</v>
      </c>
      <c r="B664" s="40" t="s">
        <v>25</v>
      </c>
      <c r="C664" s="39">
        <v>5.48</v>
      </c>
      <c r="D664" s="115"/>
    </row>
    <row r="665" spans="1:4" ht="15.75">
      <c r="A665" s="45" t="s">
        <v>1556</v>
      </c>
      <c r="B665" s="40"/>
      <c r="C665" s="39"/>
      <c r="D665" s="115"/>
    </row>
    <row r="666" spans="1:4" ht="15.75" hidden="1" outlineLevel="1">
      <c r="A666" s="39" t="s">
        <v>1561</v>
      </c>
      <c r="B666" s="40" t="s">
        <v>0</v>
      </c>
      <c r="C666" s="39">
        <v>5.0999999999999996</v>
      </c>
      <c r="D666" s="115"/>
    </row>
    <row r="667" spans="1:4" ht="15.75" hidden="1" outlineLevel="1">
      <c r="A667" s="39" t="s">
        <v>1561</v>
      </c>
      <c r="B667" s="40" t="s">
        <v>1</v>
      </c>
      <c r="C667" s="39">
        <v>5.2</v>
      </c>
      <c r="D667" s="115"/>
    </row>
    <row r="668" spans="1:4" ht="15.75" hidden="1" outlineLevel="1">
      <c r="A668" s="39" t="s">
        <v>1561</v>
      </c>
      <c r="B668" s="40" t="s">
        <v>774</v>
      </c>
      <c r="C668" s="39">
        <v>5.4</v>
      </c>
      <c r="D668" s="115"/>
    </row>
    <row r="669" spans="1:4" ht="15.75" hidden="1" outlineLevel="1">
      <c r="A669" s="39" t="s">
        <v>1561</v>
      </c>
      <c r="B669" s="40" t="s">
        <v>775</v>
      </c>
      <c r="C669" s="39">
        <v>5.7</v>
      </c>
      <c r="D669" s="115"/>
    </row>
    <row r="670" spans="1:4" ht="15.75" hidden="1" outlineLevel="1">
      <c r="A670" s="39" t="s">
        <v>1561</v>
      </c>
      <c r="B670" s="40" t="s">
        <v>776</v>
      </c>
      <c r="C670" s="39">
        <v>5.1100000000000003</v>
      </c>
      <c r="D670" s="115"/>
    </row>
    <row r="671" spans="1:4" ht="15.75" hidden="1" outlineLevel="1">
      <c r="A671" s="39" t="s">
        <v>1561</v>
      </c>
      <c r="B671" s="40" t="s">
        <v>5</v>
      </c>
      <c r="C671" s="39">
        <v>5.26</v>
      </c>
      <c r="D671" s="115"/>
    </row>
    <row r="672" spans="1:4" ht="15.75" hidden="1" outlineLevel="1">
      <c r="A672" s="39" t="s">
        <v>1561</v>
      </c>
      <c r="B672" s="40" t="s">
        <v>777</v>
      </c>
      <c r="C672" s="39">
        <v>5.43</v>
      </c>
      <c r="D672" s="115"/>
    </row>
    <row r="673" spans="1:4" ht="15.75" hidden="1" outlineLevel="1">
      <c r="A673" s="39" t="s">
        <v>1561</v>
      </c>
      <c r="B673" s="40" t="s">
        <v>6</v>
      </c>
      <c r="C673" s="39">
        <v>5.27</v>
      </c>
      <c r="D673" s="115"/>
    </row>
    <row r="674" spans="1:4" ht="15.75" hidden="1" outlineLevel="1">
      <c r="A674" s="39" t="s">
        <v>1561</v>
      </c>
      <c r="B674" s="40" t="s">
        <v>7</v>
      </c>
      <c r="C674" s="39">
        <v>5.28</v>
      </c>
      <c r="D674" s="115"/>
    </row>
    <row r="675" spans="1:4" ht="15.75" hidden="1" outlineLevel="1">
      <c r="A675" s="39" t="s">
        <v>1561</v>
      </c>
      <c r="B675" s="40" t="s">
        <v>87</v>
      </c>
      <c r="C675" s="39">
        <v>5.36</v>
      </c>
      <c r="D675" s="115"/>
    </row>
    <row r="676" spans="1:4" ht="15.75" hidden="1" outlineLevel="1">
      <c r="A676" s="39" t="s">
        <v>1561</v>
      </c>
      <c r="B676" s="40" t="s">
        <v>778</v>
      </c>
      <c r="C676" s="41">
        <v>5.5</v>
      </c>
      <c r="D676" s="115"/>
    </row>
    <row r="677" spans="1:4" ht="15.75" hidden="1" outlineLevel="1">
      <c r="A677" s="39" t="s">
        <v>1561</v>
      </c>
      <c r="B677" s="40" t="s">
        <v>10</v>
      </c>
      <c r="C677" s="39">
        <v>5.51</v>
      </c>
      <c r="D677" s="115"/>
    </row>
    <row r="678" spans="1:4" ht="15.75" hidden="1" outlineLevel="1">
      <c r="A678" s="39" t="s">
        <v>1561</v>
      </c>
      <c r="B678" s="40" t="s">
        <v>11</v>
      </c>
      <c r="C678" s="39">
        <v>5.53</v>
      </c>
      <c r="D678" s="115"/>
    </row>
    <row r="679" spans="1:4" ht="15.75" hidden="1" outlineLevel="1">
      <c r="A679" s="39" t="s">
        <v>1561</v>
      </c>
      <c r="B679" s="40" t="s">
        <v>12</v>
      </c>
      <c r="C679" s="39">
        <v>5.69</v>
      </c>
      <c r="D679" s="115"/>
    </row>
    <row r="680" spans="1:4" ht="15.75" hidden="1" outlineLevel="1">
      <c r="A680" s="39" t="s">
        <v>1561</v>
      </c>
      <c r="B680" s="40" t="s">
        <v>14</v>
      </c>
      <c r="C680" s="41">
        <v>5.7</v>
      </c>
      <c r="D680" s="114" t="s">
        <v>1748</v>
      </c>
    </row>
    <row r="681" spans="1:4" ht="15.75" hidden="1" outlineLevel="1">
      <c r="A681" s="39" t="s">
        <v>1561</v>
      </c>
      <c r="B681" s="40" t="s">
        <v>15</v>
      </c>
      <c r="C681" s="39">
        <v>5.74</v>
      </c>
      <c r="D681" s="115"/>
    </row>
    <row r="682" spans="1:4" ht="15.75" hidden="1" outlineLevel="1">
      <c r="A682" s="39" t="s">
        <v>1561</v>
      </c>
      <c r="B682" s="40" t="s">
        <v>779</v>
      </c>
      <c r="C682" s="39">
        <v>5.59</v>
      </c>
      <c r="D682" s="115"/>
    </row>
    <row r="683" spans="1:4" ht="15.75" hidden="1" outlineLevel="1">
      <c r="A683" s="39" t="s">
        <v>1561</v>
      </c>
      <c r="B683" s="40" t="s">
        <v>18</v>
      </c>
      <c r="C683" s="39">
        <v>5.54</v>
      </c>
      <c r="D683" s="115"/>
    </row>
    <row r="684" spans="1:4" ht="15.75" hidden="1" outlineLevel="1">
      <c r="A684" s="39" t="s">
        <v>1561</v>
      </c>
      <c r="B684" s="40" t="s">
        <v>780</v>
      </c>
      <c r="C684" s="39">
        <v>5.57</v>
      </c>
      <c r="D684" s="115"/>
    </row>
    <row r="685" spans="1:4" ht="15.75" hidden="1" outlineLevel="1">
      <c r="A685" s="39" t="s">
        <v>1561</v>
      </c>
      <c r="B685" s="40" t="s">
        <v>20</v>
      </c>
      <c r="C685" s="39">
        <v>5.63</v>
      </c>
      <c r="D685" s="115"/>
    </row>
    <row r="686" spans="1:4" ht="15.75" hidden="1" outlineLevel="1">
      <c r="A686" s="39" t="s">
        <v>1561</v>
      </c>
      <c r="B686" s="40" t="s">
        <v>24</v>
      </c>
      <c r="C686" s="39">
        <v>5.47</v>
      </c>
      <c r="D686" s="115"/>
    </row>
    <row r="687" spans="1:4" ht="15.75" hidden="1" outlineLevel="1">
      <c r="A687" s="39" t="s">
        <v>1561</v>
      </c>
      <c r="B687" s="40" t="s">
        <v>25</v>
      </c>
      <c r="C687" s="39">
        <v>5.48</v>
      </c>
      <c r="D687" s="115"/>
    </row>
    <row r="688" spans="1:4" ht="15.75">
      <c r="A688" s="45" t="s">
        <v>1561</v>
      </c>
      <c r="B688" s="40"/>
      <c r="C688" s="39"/>
      <c r="D688" s="115"/>
    </row>
    <row r="689" spans="1:4" ht="15.75" hidden="1" outlineLevel="1">
      <c r="A689" s="39" t="s">
        <v>1564</v>
      </c>
      <c r="B689" s="40" t="s">
        <v>0</v>
      </c>
      <c r="C689" s="39">
        <v>5.0999999999999996</v>
      </c>
      <c r="D689" s="115"/>
    </row>
    <row r="690" spans="1:4" ht="15.75" hidden="1" outlineLevel="1">
      <c r="A690" s="39" t="s">
        <v>1564</v>
      </c>
      <c r="B690" s="40" t="s">
        <v>1</v>
      </c>
      <c r="C690" s="39">
        <v>5.2</v>
      </c>
      <c r="D690" s="115"/>
    </row>
    <row r="691" spans="1:4" ht="15.75" hidden="1" outlineLevel="1">
      <c r="A691" s="39" t="s">
        <v>1564</v>
      </c>
      <c r="B691" s="40" t="s">
        <v>781</v>
      </c>
      <c r="C691" s="39">
        <v>5.17</v>
      </c>
      <c r="D691" s="115"/>
    </row>
    <row r="692" spans="1:4" ht="15.75" hidden="1" outlineLevel="1">
      <c r="A692" s="39" t="s">
        <v>1564</v>
      </c>
      <c r="B692" s="40" t="s">
        <v>5</v>
      </c>
      <c r="C692" s="39">
        <v>5.26</v>
      </c>
      <c r="D692" s="115"/>
    </row>
    <row r="693" spans="1:4" ht="15.75" hidden="1" outlineLevel="1">
      <c r="A693" s="39" t="s">
        <v>1564</v>
      </c>
      <c r="B693" s="40" t="s">
        <v>782</v>
      </c>
      <c r="C693" s="39">
        <v>5.1029999999999998</v>
      </c>
      <c r="D693" s="115"/>
    </row>
    <row r="694" spans="1:4" ht="15.75" hidden="1" outlineLevel="1">
      <c r="A694" s="39" t="s">
        <v>1564</v>
      </c>
      <c r="B694" s="40" t="s">
        <v>87</v>
      </c>
      <c r="C694" s="39">
        <v>5.36</v>
      </c>
      <c r="D694" s="115"/>
    </row>
    <row r="695" spans="1:4" ht="15.75" hidden="1" outlineLevel="1">
      <c r="A695" s="39" t="s">
        <v>1564</v>
      </c>
      <c r="B695" s="40" t="s">
        <v>571</v>
      </c>
      <c r="C695" s="39">
        <v>5.37</v>
      </c>
      <c r="D695" s="115"/>
    </row>
    <row r="696" spans="1:4" ht="15.75" hidden="1" outlineLevel="1">
      <c r="A696" s="39" t="s">
        <v>1564</v>
      </c>
      <c r="B696" s="40" t="s">
        <v>783</v>
      </c>
      <c r="C696" s="39">
        <v>5.1040000000000001</v>
      </c>
      <c r="D696" s="115"/>
    </row>
    <row r="697" spans="1:4" ht="15.75" hidden="1" outlineLevel="1">
      <c r="A697" s="39" t="s">
        <v>1564</v>
      </c>
      <c r="B697" s="40" t="s">
        <v>784</v>
      </c>
      <c r="C697" s="39">
        <v>5.1050000000000004</v>
      </c>
      <c r="D697" s="115"/>
    </row>
    <row r="698" spans="1:4" ht="15.75" hidden="1" outlineLevel="1">
      <c r="A698" s="39" t="s">
        <v>1564</v>
      </c>
      <c r="B698" s="40" t="s">
        <v>785</v>
      </c>
      <c r="C698" s="39">
        <v>5.1059999999999999</v>
      </c>
      <c r="D698" s="115"/>
    </row>
    <row r="699" spans="1:4" ht="15.75" hidden="1" outlineLevel="1">
      <c r="A699" s="39" t="s">
        <v>1564</v>
      </c>
      <c r="B699" s="40" t="s">
        <v>786</v>
      </c>
      <c r="C699" s="39">
        <v>5.1070000000000002</v>
      </c>
      <c r="D699" s="115"/>
    </row>
    <row r="700" spans="1:4" ht="15.75" hidden="1" outlineLevel="1">
      <c r="A700" s="39" t="s">
        <v>1564</v>
      </c>
      <c r="B700" s="40" t="s">
        <v>1403</v>
      </c>
      <c r="C700" s="39">
        <v>5.1079999999999997</v>
      </c>
      <c r="D700" s="114" t="s">
        <v>1748</v>
      </c>
    </row>
    <row r="701" spans="1:4" ht="15.75" hidden="1" outlineLevel="1">
      <c r="A701" s="39" t="s">
        <v>1564</v>
      </c>
      <c r="B701" s="40" t="s">
        <v>577</v>
      </c>
      <c r="C701" s="39">
        <v>5.109</v>
      </c>
      <c r="D701" s="115"/>
    </row>
    <row r="702" spans="1:4" ht="15.75" hidden="1" outlineLevel="1">
      <c r="A702" s="39" t="s">
        <v>1564</v>
      </c>
      <c r="B702" s="40" t="s">
        <v>579</v>
      </c>
      <c r="C702" s="42">
        <v>5.1100000000000003</v>
      </c>
      <c r="D702" s="114" t="s">
        <v>1748</v>
      </c>
    </row>
    <row r="703" spans="1:4" ht="15.75" hidden="1" outlineLevel="1">
      <c r="A703" s="39" t="s">
        <v>1564</v>
      </c>
      <c r="B703" s="40" t="s">
        <v>578</v>
      </c>
      <c r="C703" s="39">
        <v>5.1109999999999998</v>
      </c>
      <c r="D703" s="115"/>
    </row>
    <row r="704" spans="1:4" ht="15.75" hidden="1" outlineLevel="1">
      <c r="A704" s="39" t="s">
        <v>1564</v>
      </c>
      <c r="B704" s="40" t="s">
        <v>580</v>
      </c>
      <c r="C704" s="39">
        <v>5.1120000000000001</v>
      </c>
      <c r="D704" s="115"/>
    </row>
    <row r="705" spans="1:4" ht="15.75" hidden="1" outlineLevel="1">
      <c r="A705" s="39" t="s">
        <v>1564</v>
      </c>
      <c r="B705" s="40" t="s">
        <v>11</v>
      </c>
      <c r="C705" s="39">
        <v>5.53</v>
      </c>
      <c r="D705" s="115"/>
    </row>
    <row r="706" spans="1:4" ht="15.75" hidden="1" outlineLevel="1">
      <c r="A706" s="39" t="s">
        <v>1564</v>
      </c>
      <c r="B706" s="40" t="s">
        <v>773</v>
      </c>
      <c r="C706" s="39">
        <v>5.64</v>
      </c>
      <c r="D706" s="115"/>
    </row>
    <row r="707" spans="1:4" ht="15.75" hidden="1" outlineLevel="1">
      <c r="A707" s="39" t="s">
        <v>1564</v>
      </c>
      <c r="B707" s="40" t="s">
        <v>20</v>
      </c>
      <c r="C707" s="39">
        <v>5.63</v>
      </c>
      <c r="D707" s="115"/>
    </row>
    <row r="708" spans="1:4" ht="15.75" hidden="1" outlineLevel="1">
      <c r="A708" s="39" t="s">
        <v>1564</v>
      </c>
      <c r="B708" s="40" t="s">
        <v>21</v>
      </c>
      <c r="C708" s="39">
        <v>5.65</v>
      </c>
      <c r="D708" s="115"/>
    </row>
    <row r="709" spans="1:4" ht="15.75" hidden="1" outlineLevel="1">
      <c r="A709" s="39" t="s">
        <v>1564</v>
      </c>
      <c r="B709" s="40" t="s">
        <v>92</v>
      </c>
      <c r="C709" s="39">
        <v>5.66</v>
      </c>
      <c r="D709" s="115"/>
    </row>
    <row r="710" spans="1:4" ht="15.75" hidden="1" outlineLevel="1">
      <c r="A710" s="39" t="s">
        <v>1564</v>
      </c>
      <c r="B710" s="40" t="s">
        <v>22</v>
      </c>
      <c r="C710" s="39">
        <v>5.68</v>
      </c>
      <c r="D710" s="115"/>
    </row>
    <row r="711" spans="1:4" ht="15.75" hidden="1" outlineLevel="1">
      <c r="A711" s="39" t="s">
        <v>1564</v>
      </c>
      <c r="B711" s="40" t="s">
        <v>24</v>
      </c>
      <c r="C711" s="39">
        <v>5.47</v>
      </c>
      <c r="D711" s="115"/>
    </row>
    <row r="712" spans="1:4" ht="15.75" hidden="1" outlineLevel="1">
      <c r="A712" s="39" t="s">
        <v>1564</v>
      </c>
      <c r="B712" s="40" t="s">
        <v>25</v>
      </c>
      <c r="C712" s="39">
        <v>5.48</v>
      </c>
      <c r="D712" s="115"/>
    </row>
    <row r="713" spans="1:4" ht="15.75">
      <c r="A713" s="45" t="s">
        <v>1564</v>
      </c>
      <c r="B713" s="40"/>
      <c r="C713" s="39"/>
      <c r="D713" s="115"/>
    </row>
    <row r="714" spans="1:4" ht="15.75" hidden="1" outlineLevel="1">
      <c r="A714" s="39" t="s">
        <v>1761</v>
      </c>
      <c r="B714" s="40" t="s">
        <v>0</v>
      </c>
      <c r="C714" s="39">
        <v>5.0999999999999996</v>
      </c>
      <c r="D714" s="115"/>
    </row>
    <row r="715" spans="1:4" ht="15.75" hidden="1" outlineLevel="1">
      <c r="A715" s="39" t="s">
        <v>1761</v>
      </c>
      <c r="B715" s="40" t="s">
        <v>1</v>
      </c>
      <c r="C715" s="39">
        <v>5.2</v>
      </c>
      <c r="D715" s="115"/>
    </row>
    <row r="716" spans="1:4" ht="15.75" hidden="1" outlineLevel="1">
      <c r="A716" s="39" t="s">
        <v>1761</v>
      </c>
      <c r="B716" s="40" t="s">
        <v>2</v>
      </c>
      <c r="C716" s="39">
        <v>5.3</v>
      </c>
      <c r="D716" s="115"/>
    </row>
    <row r="717" spans="1:4" ht="15.75" hidden="1" outlineLevel="1">
      <c r="A717" s="39" t="s">
        <v>1761</v>
      </c>
      <c r="B717" s="40" t="s">
        <v>83</v>
      </c>
      <c r="C717" s="39">
        <v>5.6</v>
      </c>
      <c r="D717" s="115"/>
    </row>
    <row r="718" spans="1:4" ht="15.75" hidden="1" outlineLevel="1">
      <c r="A718" s="39" t="s">
        <v>1761</v>
      </c>
      <c r="B718" s="40" t="s">
        <v>1749</v>
      </c>
      <c r="C718" s="41">
        <v>5.0999999999999996</v>
      </c>
      <c r="D718" s="115"/>
    </row>
    <row r="719" spans="1:4" ht="15.75" hidden="1" outlineLevel="1">
      <c r="A719" s="39" t="s">
        <v>1761</v>
      </c>
      <c r="B719" s="40" t="s">
        <v>561</v>
      </c>
      <c r="C719" s="39">
        <v>5.14</v>
      </c>
      <c r="D719" s="115"/>
    </row>
    <row r="720" spans="1:4" ht="15.75" hidden="1" outlineLevel="1">
      <c r="A720" s="39" t="s">
        <v>1761</v>
      </c>
      <c r="B720" s="40" t="s">
        <v>4</v>
      </c>
      <c r="C720" s="39">
        <v>5.19</v>
      </c>
      <c r="D720" s="115"/>
    </row>
    <row r="721" spans="1:4" ht="15.75" hidden="1" outlineLevel="1">
      <c r="A721" s="39" t="s">
        <v>1761</v>
      </c>
      <c r="B721" s="40" t="s">
        <v>85</v>
      </c>
      <c r="C721" s="39">
        <v>5.24</v>
      </c>
      <c r="D721" s="115"/>
    </row>
    <row r="722" spans="1:4" ht="15.75" hidden="1" outlineLevel="1">
      <c r="A722" s="39" t="s">
        <v>1761</v>
      </c>
      <c r="B722" s="40" t="s">
        <v>5</v>
      </c>
      <c r="C722" s="39">
        <v>5.26</v>
      </c>
      <c r="D722" s="115"/>
    </row>
    <row r="723" spans="1:4" ht="15.75" hidden="1" outlineLevel="1">
      <c r="A723" s="39" t="s">
        <v>1761</v>
      </c>
      <c r="B723" s="40" t="s">
        <v>6</v>
      </c>
      <c r="C723" s="39">
        <v>5.27</v>
      </c>
      <c r="D723" s="115"/>
    </row>
    <row r="724" spans="1:4" ht="15.75" hidden="1" outlineLevel="1">
      <c r="A724" s="39" t="s">
        <v>1761</v>
      </c>
      <c r="B724" s="40" t="s">
        <v>7</v>
      </c>
      <c r="C724" s="39">
        <v>5.28</v>
      </c>
      <c r="D724" s="115"/>
    </row>
    <row r="725" spans="1:4" ht="15.75" hidden="1" outlineLevel="1">
      <c r="A725" s="39" t="s">
        <v>1761</v>
      </c>
      <c r="B725" s="40" t="s">
        <v>86</v>
      </c>
      <c r="C725" s="39">
        <v>5.31</v>
      </c>
      <c r="D725" s="115"/>
    </row>
    <row r="726" spans="1:4" ht="15.75" hidden="1" outlineLevel="1">
      <c r="A726" s="39" t="s">
        <v>1761</v>
      </c>
      <c r="B726" s="40" t="s">
        <v>87</v>
      </c>
      <c r="C726" s="39">
        <v>5.36</v>
      </c>
      <c r="D726" s="115"/>
    </row>
    <row r="727" spans="1:4" ht="15.75" hidden="1" outlineLevel="1">
      <c r="A727" s="39" t="s">
        <v>1761</v>
      </c>
      <c r="B727" s="40" t="s">
        <v>11</v>
      </c>
      <c r="C727" s="39">
        <v>5.53</v>
      </c>
      <c r="D727" s="115"/>
    </row>
    <row r="728" spans="1:4" ht="15.75" hidden="1" outlineLevel="1">
      <c r="A728" s="39" t="s">
        <v>1761</v>
      </c>
      <c r="B728" s="40" t="s">
        <v>577</v>
      </c>
      <c r="C728" s="39">
        <v>5.109</v>
      </c>
      <c r="D728" s="115"/>
    </row>
    <row r="729" spans="1:4" ht="15.75" hidden="1" outlineLevel="1">
      <c r="A729" s="39" t="s">
        <v>1761</v>
      </c>
      <c r="B729" s="40" t="s">
        <v>578</v>
      </c>
      <c r="C729" s="39">
        <v>5.1109999999999998</v>
      </c>
      <c r="D729" s="115"/>
    </row>
    <row r="730" spans="1:4" ht="15.75" hidden="1" outlineLevel="1">
      <c r="A730" s="39" t="s">
        <v>1761</v>
      </c>
      <c r="B730" s="40" t="s">
        <v>580</v>
      </c>
      <c r="C730" s="39">
        <v>5.1120000000000001</v>
      </c>
      <c r="D730" s="115"/>
    </row>
    <row r="731" spans="1:4" ht="15.75" hidden="1" outlineLevel="1">
      <c r="A731" s="39" t="s">
        <v>1761</v>
      </c>
      <c r="B731" s="40" t="s">
        <v>1754</v>
      </c>
      <c r="C731" s="39">
        <v>5.1130000000000004</v>
      </c>
      <c r="D731" s="115"/>
    </row>
    <row r="732" spans="1:4" ht="15.75" hidden="1" outlineLevel="1">
      <c r="A732" s="39" t="s">
        <v>1761</v>
      </c>
      <c r="B732" s="40" t="s">
        <v>788</v>
      </c>
      <c r="C732" s="39">
        <v>5.117</v>
      </c>
      <c r="D732" s="115"/>
    </row>
    <row r="733" spans="1:4" ht="15.75" hidden="1" outlineLevel="1">
      <c r="A733" s="39" t="s">
        <v>1761</v>
      </c>
      <c r="B733" s="40" t="s">
        <v>789</v>
      </c>
      <c r="C733" s="39">
        <v>5.67</v>
      </c>
      <c r="D733" s="115"/>
    </row>
    <row r="734" spans="1:4" ht="15.75" hidden="1" outlineLevel="1">
      <c r="A734" s="39" t="s">
        <v>1761</v>
      </c>
      <c r="B734" s="40" t="s">
        <v>20</v>
      </c>
      <c r="C734" s="39">
        <v>5.63</v>
      </c>
      <c r="D734" s="115"/>
    </row>
    <row r="735" spans="1:4" ht="15.75" hidden="1" outlineLevel="1">
      <c r="A735" s="39" t="s">
        <v>1761</v>
      </c>
      <c r="B735" s="40" t="s">
        <v>24</v>
      </c>
      <c r="C735" s="39">
        <v>5.47</v>
      </c>
      <c r="D735" s="115"/>
    </row>
    <row r="736" spans="1:4" ht="15.75" hidden="1" outlineLevel="1">
      <c r="A736" s="39" t="s">
        <v>1761</v>
      </c>
      <c r="B736" s="40" t="s">
        <v>25</v>
      </c>
      <c r="C736" s="39">
        <v>5.48</v>
      </c>
      <c r="D736" s="115"/>
    </row>
    <row r="737" spans="1:4" ht="15.75">
      <c r="A737" s="45" t="s">
        <v>1762</v>
      </c>
      <c r="B737" s="40"/>
      <c r="C737" s="39"/>
      <c r="D737" s="115"/>
    </row>
    <row r="738" spans="1:4" ht="15.75" hidden="1" outlineLevel="1">
      <c r="A738" s="39" t="s">
        <v>1567</v>
      </c>
      <c r="B738" s="40" t="s">
        <v>0</v>
      </c>
      <c r="C738" s="39">
        <v>5.0999999999999996</v>
      </c>
      <c r="D738" s="115"/>
    </row>
    <row r="739" spans="1:4" ht="15.75" hidden="1" outlineLevel="1">
      <c r="A739" s="39" t="s">
        <v>1567</v>
      </c>
      <c r="B739" s="40" t="s">
        <v>1</v>
      </c>
      <c r="C739" s="39">
        <v>5.2</v>
      </c>
      <c r="D739" s="115"/>
    </row>
    <row r="740" spans="1:4" ht="15.75" hidden="1" outlineLevel="1">
      <c r="A740" s="39" t="s">
        <v>1567</v>
      </c>
      <c r="B740" s="40" t="s">
        <v>790</v>
      </c>
      <c r="C740" s="39">
        <v>5.18</v>
      </c>
      <c r="D740" s="115"/>
    </row>
    <row r="741" spans="1:4" ht="15.75" hidden="1" outlineLevel="1">
      <c r="A741" s="39" t="s">
        <v>1567</v>
      </c>
      <c r="B741" s="40" t="s">
        <v>791</v>
      </c>
      <c r="C741" s="39">
        <v>5.23</v>
      </c>
      <c r="D741" s="115"/>
    </row>
    <row r="742" spans="1:4" ht="15.75" hidden="1" outlineLevel="1">
      <c r="A742" s="39" t="s">
        <v>1567</v>
      </c>
      <c r="B742" s="40" t="s">
        <v>5</v>
      </c>
      <c r="C742" s="39">
        <v>5.26</v>
      </c>
      <c r="D742" s="115"/>
    </row>
    <row r="743" spans="1:4" ht="15.75" hidden="1" outlineLevel="1">
      <c r="A743" s="39" t="s">
        <v>1567</v>
      </c>
      <c r="B743" s="40" t="s">
        <v>6</v>
      </c>
      <c r="C743" s="39">
        <v>5.27</v>
      </c>
      <c r="D743" s="115"/>
    </row>
    <row r="744" spans="1:4" ht="15.75" hidden="1" outlineLevel="1">
      <c r="A744" s="39" t="s">
        <v>1567</v>
      </c>
      <c r="B744" s="40" t="s">
        <v>7</v>
      </c>
      <c r="C744" s="39">
        <v>5.28</v>
      </c>
      <c r="D744" s="115"/>
    </row>
    <row r="745" spans="1:4" ht="15.75" hidden="1" outlineLevel="1">
      <c r="A745" s="39" t="s">
        <v>1567</v>
      </c>
      <c r="B745" s="40" t="s">
        <v>87</v>
      </c>
      <c r="C745" s="39">
        <v>5.36</v>
      </c>
      <c r="D745" s="115"/>
    </row>
    <row r="746" spans="1:4" ht="15.75" hidden="1" outlineLevel="1">
      <c r="A746" s="39" t="s">
        <v>1567</v>
      </c>
      <c r="B746" s="40" t="s">
        <v>792</v>
      </c>
      <c r="C746" s="39">
        <v>5.44</v>
      </c>
      <c r="D746" s="115"/>
    </row>
    <row r="747" spans="1:4" ht="15.75" hidden="1" outlineLevel="1">
      <c r="A747" s="39" t="s">
        <v>1567</v>
      </c>
      <c r="B747" s="40" t="s">
        <v>11</v>
      </c>
      <c r="C747" s="39">
        <v>5.53</v>
      </c>
      <c r="D747" s="115"/>
    </row>
    <row r="748" spans="1:4" ht="15.75" hidden="1" outlineLevel="1">
      <c r="A748" s="39" t="s">
        <v>1567</v>
      </c>
      <c r="B748" s="40" t="s">
        <v>580</v>
      </c>
      <c r="C748" s="39">
        <v>5.1120000000000001</v>
      </c>
      <c r="D748" s="115"/>
    </row>
    <row r="749" spans="1:4" ht="15.75" hidden="1" outlineLevel="1">
      <c r="A749" s="39" t="s">
        <v>1567</v>
      </c>
      <c r="B749" s="40" t="s">
        <v>779</v>
      </c>
      <c r="C749" s="39">
        <v>5.59</v>
      </c>
      <c r="D749" s="115"/>
    </row>
    <row r="750" spans="1:4" ht="15.75" hidden="1" outlineLevel="1">
      <c r="A750" s="39" t="s">
        <v>1567</v>
      </c>
      <c r="B750" s="40" t="s">
        <v>18</v>
      </c>
      <c r="C750" s="39">
        <v>5.54</v>
      </c>
      <c r="D750" s="115"/>
    </row>
    <row r="751" spans="1:4" ht="15.75" hidden="1" outlineLevel="1">
      <c r="A751" s="39" t="s">
        <v>1567</v>
      </c>
      <c r="B751" s="40" t="s">
        <v>20</v>
      </c>
      <c r="C751" s="39">
        <v>5.63</v>
      </c>
      <c r="D751" s="115"/>
    </row>
    <row r="752" spans="1:4" ht="15.75" hidden="1" outlineLevel="1">
      <c r="A752" s="39" t="s">
        <v>1567</v>
      </c>
      <c r="B752" s="40" t="s">
        <v>21</v>
      </c>
      <c r="C752" s="39">
        <v>5.65</v>
      </c>
      <c r="D752" s="115"/>
    </row>
    <row r="753" spans="1:4" ht="15.75" hidden="1" outlineLevel="1">
      <c r="A753" s="39" t="s">
        <v>1567</v>
      </c>
      <c r="B753" s="40" t="s">
        <v>22</v>
      </c>
      <c r="C753" s="39">
        <v>5.68</v>
      </c>
      <c r="D753" s="115"/>
    </row>
    <row r="754" spans="1:4" ht="15.75" hidden="1" outlineLevel="1">
      <c r="A754" s="39" t="s">
        <v>1567</v>
      </c>
      <c r="B754" s="40" t="s">
        <v>24</v>
      </c>
      <c r="C754" s="39">
        <v>5.47</v>
      </c>
      <c r="D754" s="115"/>
    </row>
    <row r="755" spans="1:4" ht="15.75" hidden="1" outlineLevel="1">
      <c r="A755" s="39" t="s">
        <v>1567</v>
      </c>
      <c r="B755" s="40" t="s">
        <v>25</v>
      </c>
      <c r="C755" s="39">
        <v>5.48</v>
      </c>
      <c r="D755" s="115"/>
    </row>
    <row r="756" spans="1:4" ht="15.75">
      <c r="A756" s="45" t="s">
        <v>1567</v>
      </c>
      <c r="B756" s="40"/>
      <c r="C756" s="39"/>
      <c r="D756" s="115"/>
    </row>
    <row r="757" spans="1:4" ht="15.75" hidden="1" outlineLevel="1">
      <c r="A757" s="39" t="s">
        <v>1763</v>
      </c>
      <c r="B757" s="40" t="s">
        <v>0</v>
      </c>
      <c r="C757" s="39">
        <v>5.0999999999999996</v>
      </c>
      <c r="D757" s="115"/>
    </row>
    <row r="758" spans="1:4" ht="15.75" hidden="1" outlineLevel="1">
      <c r="A758" s="39" t="s">
        <v>1763</v>
      </c>
      <c r="B758" s="40" t="s">
        <v>1</v>
      </c>
      <c r="C758" s="39">
        <v>5.2</v>
      </c>
      <c r="D758" s="115"/>
    </row>
    <row r="759" spans="1:4" ht="15.75" hidden="1" outlineLevel="1">
      <c r="A759" s="39" t="s">
        <v>1763</v>
      </c>
      <c r="B759" s="40" t="s">
        <v>751</v>
      </c>
      <c r="C759" s="39">
        <v>5.9</v>
      </c>
      <c r="D759" s="114" t="s">
        <v>1748</v>
      </c>
    </row>
    <row r="760" spans="1:4" ht="15.75" hidden="1" outlineLevel="1">
      <c r="A760" s="39" t="s">
        <v>1763</v>
      </c>
      <c r="B760" s="40" t="s">
        <v>752</v>
      </c>
      <c r="C760" s="39">
        <v>5.13</v>
      </c>
      <c r="D760" s="115"/>
    </row>
    <row r="761" spans="1:4" ht="15.75" hidden="1" outlineLevel="1">
      <c r="A761" s="39" t="s">
        <v>1763</v>
      </c>
      <c r="B761" s="40" t="s">
        <v>753</v>
      </c>
      <c r="C761" s="39">
        <v>5.16</v>
      </c>
      <c r="D761" s="114" t="s">
        <v>1748</v>
      </c>
    </row>
    <row r="762" spans="1:4" ht="15.75" hidden="1" outlineLevel="1">
      <c r="A762" s="39" t="s">
        <v>1763</v>
      </c>
      <c r="B762" s="40" t="s">
        <v>754</v>
      </c>
      <c r="C762" s="39">
        <v>5.22</v>
      </c>
      <c r="D762" s="114"/>
    </row>
    <row r="763" spans="1:4" ht="15.75" hidden="1" outlineLevel="1">
      <c r="A763" s="39" t="s">
        <v>1763</v>
      </c>
      <c r="B763" s="40" t="s">
        <v>798</v>
      </c>
      <c r="C763" s="39">
        <v>5.42</v>
      </c>
      <c r="D763" s="115"/>
    </row>
    <row r="764" spans="1:4" ht="15.75" hidden="1" outlineLevel="1">
      <c r="A764" s="39" t="s">
        <v>1763</v>
      </c>
      <c r="B764" s="40" t="s">
        <v>6</v>
      </c>
      <c r="C764" s="39">
        <v>5.27</v>
      </c>
      <c r="D764" s="115"/>
    </row>
    <row r="765" spans="1:4" ht="15.75" hidden="1" outlineLevel="1">
      <c r="A765" s="39" t="s">
        <v>1763</v>
      </c>
      <c r="B765" s="40" t="s">
        <v>7</v>
      </c>
      <c r="C765" s="39">
        <v>5.28</v>
      </c>
      <c r="D765" s="114" t="s">
        <v>1748</v>
      </c>
    </row>
    <row r="766" spans="1:4" ht="15.75" hidden="1" outlineLevel="1">
      <c r="A766" s="39" t="s">
        <v>1763</v>
      </c>
      <c r="B766" s="40" t="s">
        <v>87</v>
      </c>
      <c r="C766" s="39">
        <v>5.36</v>
      </c>
      <c r="D766" s="115"/>
    </row>
    <row r="767" spans="1:4" ht="15.75" hidden="1" outlineLevel="1">
      <c r="A767" s="39" t="s">
        <v>1763</v>
      </c>
      <c r="B767" s="40" t="s">
        <v>9</v>
      </c>
      <c r="C767" s="39">
        <v>5.49</v>
      </c>
      <c r="D767" s="115"/>
    </row>
    <row r="768" spans="1:4" ht="15.75" hidden="1" outlineLevel="1">
      <c r="A768" s="39" t="s">
        <v>1763</v>
      </c>
      <c r="B768" s="40" t="s">
        <v>10</v>
      </c>
      <c r="C768" s="39">
        <v>5.51</v>
      </c>
      <c r="D768" s="115"/>
    </row>
    <row r="769" spans="1:4" ht="15.75" hidden="1" outlineLevel="1">
      <c r="A769" s="39" t="s">
        <v>1763</v>
      </c>
      <c r="B769" s="40" t="s">
        <v>1760</v>
      </c>
      <c r="C769" s="39">
        <v>5.52</v>
      </c>
      <c r="D769" s="115"/>
    </row>
    <row r="770" spans="1:4" ht="15.75" hidden="1" outlineLevel="1">
      <c r="A770" s="39" t="s">
        <v>1763</v>
      </c>
      <c r="B770" s="40" t="s">
        <v>11</v>
      </c>
      <c r="C770" s="39">
        <v>5.53</v>
      </c>
      <c r="D770" s="115"/>
    </row>
    <row r="771" spans="1:4" ht="15.75" hidden="1" outlineLevel="1">
      <c r="A771" s="39" t="s">
        <v>1763</v>
      </c>
      <c r="B771" s="40" t="s">
        <v>18</v>
      </c>
      <c r="C771" s="39">
        <v>5.54</v>
      </c>
      <c r="D771" s="115"/>
    </row>
    <row r="772" spans="1:4" ht="15.75" hidden="1" outlineLevel="1">
      <c r="A772" s="39" t="s">
        <v>1763</v>
      </c>
      <c r="B772" s="40" t="s">
        <v>14</v>
      </c>
      <c r="C772" s="41">
        <v>5.7</v>
      </c>
      <c r="D772" s="115"/>
    </row>
    <row r="773" spans="1:4" ht="15.75" hidden="1" outlineLevel="1">
      <c r="A773" s="39" t="s">
        <v>1763</v>
      </c>
      <c r="B773" s="40" t="s">
        <v>760</v>
      </c>
      <c r="C773" s="39">
        <v>5.71</v>
      </c>
      <c r="D773" s="115"/>
    </row>
    <row r="774" spans="1:4" ht="15.75" hidden="1" outlineLevel="1">
      <c r="A774" s="39" t="s">
        <v>1763</v>
      </c>
      <c r="B774" s="40" t="s">
        <v>799</v>
      </c>
      <c r="C774" s="41">
        <v>5.9</v>
      </c>
      <c r="D774" s="115"/>
    </row>
    <row r="775" spans="1:4" ht="15.75" hidden="1" outlineLevel="1">
      <c r="A775" s="39" t="s">
        <v>1763</v>
      </c>
      <c r="B775" s="40" t="s">
        <v>800</v>
      </c>
      <c r="C775" s="39">
        <v>5.91</v>
      </c>
      <c r="D775" s="115"/>
    </row>
    <row r="776" spans="1:4" ht="15.75" hidden="1" outlineLevel="1">
      <c r="A776" s="39" t="s">
        <v>1763</v>
      </c>
      <c r="B776" s="40" t="s">
        <v>801</v>
      </c>
      <c r="C776" s="39">
        <v>5.97</v>
      </c>
      <c r="D776" s="115"/>
    </row>
    <row r="777" spans="1:4" ht="15.75">
      <c r="A777" s="45" t="s">
        <v>1763</v>
      </c>
      <c r="B777" s="40"/>
      <c r="C777" s="39"/>
      <c r="D777" s="115"/>
    </row>
    <row r="778" spans="1:4" ht="15.75" hidden="1" outlineLevel="1">
      <c r="A778" s="39" t="s">
        <v>1603</v>
      </c>
      <c r="B778" s="40" t="s">
        <v>0</v>
      </c>
      <c r="C778" s="39">
        <v>5.0999999999999996</v>
      </c>
      <c r="D778" s="115"/>
    </row>
    <row r="779" spans="1:4" ht="15.75" hidden="1" outlineLevel="1">
      <c r="A779" s="39" t="s">
        <v>1603</v>
      </c>
      <c r="B779" s="40" t="s">
        <v>1</v>
      </c>
      <c r="C779" s="39">
        <v>5.2</v>
      </c>
      <c r="D779" s="115"/>
    </row>
    <row r="780" spans="1:4" ht="15.75" hidden="1" outlineLevel="1">
      <c r="A780" s="39" t="s">
        <v>1603</v>
      </c>
      <c r="B780" s="40" t="s">
        <v>5</v>
      </c>
      <c r="C780" s="39">
        <v>5.26</v>
      </c>
      <c r="D780" s="115"/>
    </row>
    <row r="781" spans="1:4" ht="15.75" hidden="1" outlineLevel="1">
      <c r="A781" s="39" t="s">
        <v>1603</v>
      </c>
      <c r="B781" s="40" t="s">
        <v>630</v>
      </c>
      <c r="C781" s="39">
        <v>5.5</v>
      </c>
      <c r="D781" s="115"/>
    </row>
    <row r="782" spans="1:4" ht="15.75" hidden="1" outlineLevel="1">
      <c r="A782" s="39" t="s">
        <v>1603</v>
      </c>
      <c r="B782" s="40" t="s">
        <v>631</v>
      </c>
      <c r="C782" s="39">
        <v>5.8</v>
      </c>
      <c r="D782" s="114" t="s">
        <v>1748</v>
      </c>
    </row>
    <row r="783" spans="1:4" ht="15.75" hidden="1" outlineLevel="1">
      <c r="A783" s="39" t="s">
        <v>1603</v>
      </c>
      <c r="B783" s="40" t="s">
        <v>632</v>
      </c>
      <c r="C783" s="39">
        <v>5.12</v>
      </c>
      <c r="D783" s="39"/>
    </row>
    <row r="784" spans="1:4" ht="15.75" hidden="1" outlineLevel="1">
      <c r="A784" s="39" t="s">
        <v>1603</v>
      </c>
      <c r="B784" s="40" t="s">
        <v>633</v>
      </c>
      <c r="C784" s="39">
        <v>5.15</v>
      </c>
      <c r="D784" s="39"/>
    </row>
    <row r="785" spans="1:4" ht="15.75" hidden="1" outlineLevel="1">
      <c r="A785" s="39" t="s">
        <v>1603</v>
      </c>
      <c r="B785" s="40" t="s">
        <v>634</v>
      </c>
      <c r="C785" s="41">
        <v>5.2</v>
      </c>
      <c r="D785" s="114"/>
    </row>
    <row r="786" spans="1:4" ht="15.75" hidden="1" outlineLevel="1">
      <c r="A786" s="39" t="s">
        <v>1603</v>
      </c>
      <c r="B786" s="40" t="s">
        <v>635</v>
      </c>
      <c r="C786" s="39">
        <v>5.25</v>
      </c>
      <c r="D786" s="39"/>
    </row>
    <row r="787" spans="1:4" ht="15.75" hidden="1" outlineLevel="1">
      <c r="A787" s="39" t="s">
        <v>1603</v>
      </c>
      <c r="B787" s="40" t="s">
        <v>11</v>
      </c>
      <c r="C787" s="39">
        <v>5.53</v>
      </c>
      <c r="D787" s="39"/>
    </row>
    <row r="788" spans="1:4" ht="15.75" hidden="1" outlineLevel="1">
      <c r="A788" s="39" t="s">
        <v>1603</v>
      </c>
      <c r="B788" s="40" t="s">
        <v>802</v>
      </c>
      <c r="C788" s="41">
        <v>5.4</v>
      </c>
      <c r="D788" s="39"/>
    </row>
    <row r="789" spans="1:4" ht="31.5" hidden="1" outlineLevel="1">
      <c r="A789" s="39" t="s">
        <v>1603</v>
      </c>
      <c r="B789" s="40" t="s">
        <v>803</v>
      </c>
      <c r="C789" s="39">
        <v>5.92</v>
      </c>
      <c r="D789" s="39"/>
    </row>
    <row r="790" spans="1:4" ht="15.75" hidden="1" outlineLevel="1">
      <c r="A790" s="39" t="s">
        <v>1603</v>
      </c>
      <c r="B790" s="40" t="s">
        <v>804</v>
      </c>
      <c r="C790" s="39">
        <v>5.93</v>
      </c>
      <c r="D790" s="39"/>
    </row>
    <row r="791" spans="1:4" ht="31.5" hidden="1" outlineLevel="1">
      <c r="A791" s="39" t="s">
        <v>1603</v>
      </c>
      <c r="B791" s="40" t="s">
        <v>805</v>
      </c>
      <c r="C791" s="39">
        <v>5.94</v>
      </c>
      <c r="D791" s="39"/>
    </row>
    <row r="792" spans="1:4" ht="15.75" hidden="1" outlineLevel="1">
      <c r="A792" s="39" t="s">
        <v>1603</v>
      </c>
      <c r="B792" s="40" t="s">
        <v>806</v>
      </c>
      <c r="C792" s="39">
        <v>5.95</v>
      </c>
      <c r="D792" s="39"/>
    </row>
    <row r="793" spans="1:4" ht="15.75" hidden="1" outlineLevel="1">
      <c r="A793" s="39" t="s">
        <v>1603</v>
      </c>
      <c r="B793" s="40" t="s">
        <v>807</v>
      </c>
      <c r="C793" s="39">
        <v>5.98</v>
      </c>
      <c r="D793" s="39"/>
    </row>
    <row r="794" spans="1:4" ht="15.75" hidden="1" outlineLevel="1">
      <c r="A794" s="39" t="s">
        <v>1603</v>
      </c>
      <c r="B794" s="40" t="s">
        <v>808</v>
      </c>
      <c r="C794" s="39">
        <v>5.96</v>
      </c>
      <c r="D794" s="39"/>
    </row>
    <row r="795" spans="1:4" ht="15.75">
      <c r="A795" s="45" t="s">
        <v>1603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1624</v>
      </c>
    </row>
    <row r="3" spans="1:2">
      <c r="A3" t="s">
        <v>1625</v>
      </c>
      <c r="B3" t="s">
        <v>1626</v>
      </c>
    </row>
    <row r="4" spans="1:2">
      <c r="A4" t="s">
        <v>1627</v>
      </c>
      <c r="B4" t="s">
        <v>1628</v>
      </c>
    </row>
    <row r="5" spans="1:2">
      <c r="A5" t="s">
        <v>1629</v>
      </c>
      <c r="B5" t="s">
        <v>1630</v>
      </c>
    </row>
    <row r="6" spans="1:2">
      <c r="A6" t="s">
        <v>1631</v>
      </c>
      <c r="B6" t="s">
        <v>1632</v>
      </c>
    </row>
    <row r="7" spans="1:2">
      <c r="A7" t="s">
        <v>1633</v>
      </c>
      <c r="B7" t="s">
        <v>1634</v>
      </c>
    </row>
    <row r="8" spans="1:2">
      <c r="A8" t="s">
        <v>1635</v>
      </c>
      <c r="B8" t="s">
        <v>1636</v>
      </c>
    </row>
    <row r="10" spans="1:2" ht="15">
      <c r="A10" s="23" t="s">
        <v>1637</v>
      </c>
    </row>
    <row r="11" spans="1:2">
      <c r="A11" t="s">
        <v>1638</v>
      </c>
    </row>
    <row r="12" spans="1:2">
      <c r="A12" t="s">
        <v>1639</v>
      </c>
      <c r="B12" t="s">
        <v>1640</v>
      </c>
    </row>
    <row r="14" spans="1:2">
      <c r="A14" s="31"/>
    </row>
    <row r="15" spans="1:2" ht="15">
      <c r="A15" s="23" t="s">
        <v>1641</v>
      </c>
    </row>
    <row r="16" spans="1:2">
      <c r="A16" s="29" t="s">
        <v>1642</v>
      </c>
    </row>
    <row r="17" spans="1:2">
      <c r="A17" s="29" t="s">
        <v>1643</v>
      </c>
    </row>
    <row r="18" spans="1:2">
      <c r="A18" s="29" t="s">
        <v>1644</v>
      </c>
    </row>
    <row r="19" spans="1:2">
      <c r="A19" s="29" t="s">
        <v>1645</v>
      </c>
    </row>
    <row r="21" spans="1:2" ht="15">
      <c r="A21" s="30" t="s">
        <v>1646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1647</v>
      </c>
      <c r="B34" s="23" t="s">
        <v>96</v>
      </c>
    </row>
    <row r="35" spans="1:2">
      <c r="A35" s="136" t="s">
        <v>1648</v>
      </c>
      <c r="B35" s="137">
        <v>520023185</v>
      </c>
    </row>
    <row r="36" spans="1:2">
      <c r="A36" s="138" t="s">
        <v>1649</v>
      </c>
      <c r="B36" s="137">
        <v>520024647</v>
      </c>
    </row>
    <row r="37" spans="1:2">
      <c r="A37" s="138" t="s">
        <v>1650</v>
      </c>
      <c r="B37" s="137">
        <v>520004896</v>
      </c>
    </row>
    <row r="38" spans="1:2">
      <c r="A38" s="138" t="s">
        <v>1651</v>
      </c>
      <c r="B38" s="137">
        <v>520042540</v>
      </c>
    </row>
    <row r="39" spans="1:2">
      <c r="A39" s="138" t="s">
        <v>1652</v>
      </c>
      <c r="B39" s="137">
        <v>520021916</v>
      </c>
    </row>
    <row r="40" spans="1:2">
      <c r="A40" s="138" t="s">
        <v>1653</v>
      </c>
      <c r="B40" s="139">
        <v>510015951</v>
      </c>
    </row>
    <row r="41" spans="1:2">
      <c r="A41" s="138" t="s">
        <v>1654</v>
      </c>
      <c r="B41" s="139">
        <v>510888985</v>
      </c>
    </row>
    <row r="42" spans="1:2">
      <c r="A42" s="138" t="s">
        <v>1655</v>
      </c>
      <c r="B42" s="139">
        <v>520042177</v>
      </c>
    </row>
    <row r="43" spans="1:2">
      <c r="A43" s="138" t="s">
        <v>1656</v>
      </c>
      <c r="B43" s="138">
        <v>520031030</v>
      </c>
    </row>
    <row r="44" spans="1:2">
      <c r="A44" s="138" t="s">
        <v>1657</v>
      </c>
      <c r="B44" s="138">
        <v>520030677</v>
      </c>
    </row>
    <row r="45" spans="1:2">
      <c r="A45" s="138" t="s">
        <v>1658</v>
      </c>
      <c r="B45" s="138">
        <v>513879189</v>
      </c>
    </row>
    <row r="46" spans="1:2">
      <c r="A46" s="138" t="s">
        <v>1659</v>
      </c>
      <c r="B46" s="139">
        <v>520027848</v>
      </c>
    </row>
    <row r="47" spans="1:2">
      <c r="A47" s="138" t="s">
        <v>1660</v>
      </c>
      <c r="B47" s="139">
        <v>570003152</v>
      </c>
    </row>
    <row r="48" spans="1:2">
      <c r="A48" s="138" t="s">
        <v>1661</v>
      </c>
      <c r="B48" s="138">
        <v>513910703</v>
      </c>
    </row>
    <row r="49" spans="1:2">
      <c r="A49" s="138" t="s">
        <v>1662</v>
      </c>
      <c r="B49" s="139">
        <v>512304882</v>
      </c>
    </row>
    <row r="50" spans="1:2">
      <c r="A50" s="138" t="s">
        <v>1663</v>
      </c>
      <c r="B50" s="139">
        <v>512310509</v>
      </c>
    </row>
    <row r="51" spans="1:2">
      <c r="A51" s="138" t="s">
        <v>1664</v>
      </c>
      <c r="B51" s="139">
        <v>512904608</v>
      </c>
    </row>
    <row r="52" spans="1:2">
      <c r="A52" s="138" t="s">
        <v>1665</v>
      </c>
      <c r="B52" s="139">
        <v>500500376</v>
      </c>
    </row>
    <row r="53" spans="1:2">
      <c r="A53" s="138" t="s">
        <v>1666</v>
      </c>
      <c r="B53" s="139">
        <v>520044025</v>
      </c>
    </row>
    <row r="54" spans="1:2">
      <c r="A54" s="138" t="s">
        <v>1667</v>
      </c>
      <c r="B54" s="139">
        <v>513136895</v>
      </c>
    </row>
    <row r="55" spans="1:2">
      <c r="A55" s="138" t="s">
        <v>1668</v>
      </c>
      <c r="B55" s="139">
        <v>520004078</v>
      </c>
    </row>
    <row r="56" spans="1:2">
      <c r="A56" s="138" t="s">
        <v>1669</v>
      </c>
      <c r="B56" s="139">
        <v>515761625</v>
      </c>
    </row>
    <row r="57" spans="1:2">
      <c r="A57" s="138" t="s">
        <v>1670</v>
      </c>
      <c r="B57" s="139">
        <v>515764868</v>
      </c>
    </row>
    <row r="58" spans="1:2">
      <c r="A58" s="138" t="s">
        <v>1671</v>
      </c>
      <c r="B58" s="140">
        <v>515859379</v>
      </c>
    </row>
    <row r="59" spans="1:2">
      <c r="A59" s="138" t="s">
        <v>1672</v>
      </c>
      <c r="B59" s="139">
        <v>516687407</v>
      </c>
    </row>
    <row r="60" spans="1:2">
      <c r="A60" s="138" t="s">
        <v>1673</v>
      </c>
      <c r="B60" s="139">
        <v>516885639</v>
      </c>
    </row>
    <row r="61" spans="1:2">
      <c r="A61" s="138" t="s">
        <v>1674</v>
      </c>
      <c r="B61" s="138">
        <v>570009449</v>
      </c>
    </row>
    <row r="62" spans="1:2">
      <c r="A62" s="138" t="s">
        <v>1675</v>
      </c>
      <c r="B62" s="139">
        <v>520027954</v>
      </c>
    </row>
    <row r="63" spans="1:2">
      <c r="A63" s="138" t="s">
        <v>1676</v>
      </c>
      <c r="B63" s="139">
        <v>512362914</v>
      </c>
    </row>
    <row r="64" spans="1:2">
      <c r="A64" s="138" t="s">
        <v>1677</v>
      </c>
      <c r="B64" s="139">
        <v>511880460</v>
      </c>
    </row>
    <row r="65" spans="1:2">
      <c r="A65" s="138" t="s">
        <v>1678</v>
      </c>
      <c r="B65" s="138">
        <v>511033060</v>
      </c>
    </row>
    <row r="66" spans="1:2">
      <c r="A66" s="138" t="s">
        <v>1679</v>
      </c>
      <c r="B66" s="138">
        <v>570005850</v>
      </c>
    </row>
    <row r="67" spans="1:2">
      <c r="A67" s="138" t="s">
        <v>1680</v>
      </c>
      <c r="B67" s="139">
        <v>510694821</v>
      </c>
    </row>
    <row r="68" spans="1:2">
      <c r="A68" s="138" t="s">
        <v>1681</v>
      </c>
      <c r="B68" s="138">
        <v>520027624</v>
      </c>
    </row>
    <row r="69" spans="1:2">
      <c r="A69" s="138" t="s">
        <v>1682</v>
      </c>
      <c r="B69" s="139">
        <v>520027715</v>
      </c>
    </row>
    <row r="70" spans="1:2">
      <c r="A70" s="138" t="s">
        <v>1683</v>
      </c>
      <c r="B70" s="139">
        <v>520028861</v>
      </c>
    </row>
    <row r="71" spans="1:2">
      <c r="A71" s="138" t="s">
        <v>1684</v>
      </c>
      <c r="B71" s="139">
        <v>520029620</v>
      </c>
    </row>
    <row r="72" spans="1:2">
      <c r="A72" s="138" t="s">
        <v>1685</v>
      </c>
      <c r="B72" s="139">
        <v>520030743</v>
      </c>
    </row>
    <row r="73" spans="1:2">
      <c r="A73" s="138" t="s">
        <v>1686</v>
      </c>
      <c r="B73" s="139">
        <v>520030198</v>
      </c>
    </row>
    <row r="74" spans="1:2">
      <c r="A74" s="138" t="s">
        <v>1687</v>
      </c>
      <c r="B74" s="139">
        <v>520042631</v>
      </c>
    </row>
    <row r="75" spans="1:2">
      <c r="A75" s="138" t="s">
        <v>1688</v>
      </c>
      <c r="B75" s="139">
        <v>520030941</v>
      </c>
    </row>
    <row r="76" spans="1:2">
      <c r="A76" s="138" t="s">
        <v>1689</v>
      </c>
      <c r="B76" s="139">
        <v>520032269</v>
      </c>
    </row>
    <row r="77" spans="1:2">
      <c r="A77" s="138" t="s">
        <v>1690</v>
      </c>
      <c r="B77" s="138">
        <v>510806870</v>
      </c>
    </row>
    <row r="78" spans="1:2">
      <c r="A78" s="138" t="s">
        <v>1691</v>
      </c>
      <c r="B78" s="138">
        <v>520031824</v>
      </c>
    </row>
    <row r="79" spans="1:2">
      <c r="A79" s="138" t="s">
        <v>1692</v>
      </c>
      <c r="B79" s="139">
        <v>510927536</v>
      </c>
    </row>
    <row r="80" spans="1:2">
      <c r="A80" s="138" t="s">
        <v>1693</v>
      </c>
      <c r="B80" s="139">
        <v>510930654</v>
      </c>
    </row>
    <row r="81" spans="1:2">
      <c r="A81" s="138" t="s">
        <v>1694</v>
      </c>
      <c r="B81" s="138">
        <v>510930670</v>
      </c>
    </row>
    <row r="82" spans="1:2">
      <c r="A82" s="138" t="s">
        <v>1695</v>
      </c>
      <c r="B82" s="139">
        <v>520034968</v>
      </c>
    </row>
    <row r="83" spans="1:2">
      <c r="A83" s="138" t="s">
        <v>1696</v>
      </c>
      <c r="B83" s="139">
        <v>520024985</v>
      </c>
    </row>
    <row r="84" spans="1:2">
      <c r="A84" s="138" t="s">
        <v>1697</v>
      </c>
      <c r="B84" s="138">
        <v>520030990</v>
      </c>
    </row>
    <row r="85" spans="1:2">
      <c r="A85" s="138" t="s">
        <v>1698</v>
      </c>
      <c r="B85" s="139">
        <v>520042615</v>
      </c>
    </row>
    <row r="86" spans="1:2">
      <c r="A86" s="138" t="s">
        <v>1699</v>
      </c>
      <c r="B86" s="139">
        <v>520042607</v>
      </c>
    </row>
    <row r="87" spans="1:2">
      <c r="A87" s="138" t="s">
        <v>1700</v>
      </c>
      <c r="B87" s="139">
        <v>520019688</v>
      </c>
    </row>
    <row r="88" spans="1:2">
      <c r="A88" s="138" t="s">
        <v>1701</v>
      </c>
      <c r="B88" s="139">
        <v>570014928</v>
      </c>
    </row>
    <row r="89" spans="1:2">
      <c r="A89" s="138" t="s">
        <v>1702</v>
      </c>
      <c r="B89" s="139">
        <v>510960586</v>
      </c>
    </row>
    <row r="90" spans="1:2">
      <c r="A90" s="138" t="s">
        <v>1703</v>
      </c>
      <c r="B90" s="138">
        <v>520042581</v>
      </c>
    </row>
    <row r="91" spans="1:2">
      <c r="A91" s="138" t="s">
        <v>1704</v>
      </c>
      <c r="B91" s="139">
        <v>570005959</v>
      </c>
    </row>
    <row r="92" spans="1:2">
      <c r="A92" s="138" t="s">
        <v>1705</v>
      </c>
      <c r="B92" s="139">
        <v>570002618</v>
      </c>
    </row>
    <row r="93" spans="1:2">
      <c r="A93" s="138" t="s">
        <v>1706</v>
      </c>
      <c r="B93" s="139">
        <v>511789190</v>
      </c>
    </row>
    <row r="94" spans="1:2">
      <c r="A94" s="138" t="s">
        <v>1707</v>
      </c>
      <c r="B94" s="139">
        <v>520022518</v>
      </c>
    </row>
    <row r="95" spans="1:2">
      <c r="A95" s="138" t="s">
        <v>1708</v>
      </c>
      <c r="B95" s="139">
        <v>520031659</v>
      </c>
    </row>
    <row r="96" spans="1:2">
      <c r="A96" s="138" t="s">
        <v>1709</v>
      </c>
      <c r="B96" s="139">
        <v>570007476</v>
      </c>
    </row>
    <row r="97" spans="1:2">
      <c r="A97" s="138" t="s">
        <v>1710</v>
      </c>
      <c r="B97" s="139">
        <v>570009852</v>
      </c>
    </row>
    <row r="98" spans="1:2">
      <c r="A98" s="138" t="s">
        <v>1711</v>
      </c>
      <c r="B98" s="139">
        <v>510800402</v>
      </c>
    </row>
    <row r="99" spans="1:2">
      <c r="A99" s="138" t="s">
        <v>1712</v>
      </c>
      <c r="B99" s="139">
        <v>510773922</v>
      </c>
    </row>
    <row r="100" spans="1:2">
      <c r="A100" s="138" t="s">
        <v>1713</v>
      </c>
      <c r="B100" s="139">
        <v>512008335</v>
      </c>
    </row>
    <row r="101" spans="1:2">
      <c r="A101" s="138" t="s">
        <v>1714</v>
      </c>
      <c r="B101" s="139">
        <v>510142789</v>
      </c>
    </row>
    <row r="102" spans="1:2">
      <c r="A102" s="138" t="s">
        <v>1715</v>
      </c>
      <c r="B102" s="139">
        <v>520028556</v>
      </c>
    </row>
    <row r="103" spans="1:2">
      <c r="A103" s="138" t="s">
        <v>1716</v>
      </c>
      <c r="B103" s="139">
        <v>520030693</v>
      </c>
    </row>
    <row r="104" spans="1:2">
      <c r="A104" s="138" t="s">
        <v>1717</v>
      </c>
      <c r="B104" s="139">
        <v>520042573</v>
      </c>
    </row>
    <row r="105" spans="1:2">
      <c r="A105" s="138" t="s">
        <v>1718</v>
      </c>
      <c r="B105" s="139">
        <v>511423048</v>
      </c>
    </row>
    <row r="106" spans="1:2">
      <c r="A106" s="138" t="s">
        <v>1719</v>
      </c>
      <c r="B106" s="139">
        <v>570011767</v>
      </c>
    </row>
    <row r="107" spans="1:2">
      <c r="A107" s="138" t="s">
        <v>1720</v>
      </c>
      <c r="B107" s="139">
        <v>512065202</v>
      </c>
    </row>
    <row r="108" spans="1:2">
      <c r="A108" s="138" t="s">
        <v>1721</v>
      </c>
      <c r="B108" s="139">
        <v>512711409</v>
      </c>
    </row>
    <row r="109" spans="1:2">
      <c r="A109" s="138" t="s">
        <v>1722</v>
      </c>
      <c r="B109" s="139">
        <v>520005497</v>
      </c>
    </row>
    <row r="110" spans="1:2">
      <c r="A110" s="138" t="s">
        <v>1723</v>
      </c>
      <c r="B110" s="139">
        <v>570024109</v>
      </c>
    </row>
    <row r="111" spans="1:2">
      <c r="A111" s="138" t="s">
        <v>1724</v>
      </c>
      <c r="B111" s="139">
        <v>520020447</v>
      </c>
    </row>
    <row r="112" spans="1:2">
      <c r="A112" s="138" t="s">
        <v>1725</v>
      </c>
      <c r="B112" s="139">
        <v>520023094</v>
      </c>
    </row>
    <row r="113" spans="1:2">
      <c r="A113" s="138" t="s">
        <v>1726</v>
      </c>
      <c r="B113" s="139">
        <v>520028812</v>
      </c>
    </row>
    <row r="114" spans="1:2">
      <c r="A114" s="138" t="s">
        <v>1727</v>
      </c>
      <c r="B114" s="139">
        <v>520022963</v>
      </c>
    </row>
    <row r="115" spans="1:2">
      <c r="A115" s="138" t="s">
        <v>1728</v>
      </c>
      <c r="B115" s="139">
        <v>520027251</v>
      </c>
    </row>
    <row r="116" spans="1:2">
      <c r="A116" s="138" t="s">
        <v>1729</v>
      </c>
      <c r="B116" s="139">
        <v>520028390</v>
      </c>
    </row>
    <row r="117" spans="1:2">
      <c r="A117" s="138" t="s">
        <v>1730</v>
      </c>
      <c r="B117" s="139">
        <v>513026484</v>
      </c>
    </row>
    <row r="118" spans="1:2">
      <c r="A118" s="138" t="s">
        <v>1731</v>
      </c>
      <c r="B118" s="139">
        <v>513173393</v>
      </c>
    </row>
    <row r="119" spans="1:2">
      <c r="A119" s="138" t="s">
        <v>1732</v>
      </c>
      <c r="B119" s="139">
        <v>513452003</v>
      </c>
    </row>
    <row r="120" spans="1:2">
      <c r="A120" s="138" t="s">
        <v>1733</v>
      </c>
      <c r="B120" s="139">
        <v>513611509</v>
      </c>
    </row>
    <row r="121" spans="1:2">
      <c r="A121" s="138" t="s">
        <v>1734</v>
      </c>
      <c r="B121" s="139">
        <v>513621110</v>
      </c>
    </row>
    <row r="122" spans="1:2">
      <c r="A122" s="138" t="s">
        <v>1735</v>
      </c>
      <c r="B122" s="138">
        <v>512244146</v>
      </c>
    </row>
    <row r="123" spans="1:2">
      <c r="A123" s="138" t="s">
        <v>1736</v>
      </c>
      <c r="B123" s="139">
        <v>512237744</v>
      </c>
    </row>
    <row r="124" spans="1:2">
      <c r="A124" s="138" t="s">
        <v>1737</v>
      </c>
      <c r="B124" s="139">
        <v>512267592</v>
      </c>
    </row>
    <row r="125" spans="1:2">
      <c r="A125" s="138" t="s">
        <v>1738</v>
      </c>
      <c r="B125" s="139">
        <v>514767490</v>
      </c>
    </row>
    <row r="126" spans="1:2">
      <c r="A126" s="138" t="s">
        <v>1739</v>
      </c>
      <c r="B126" s="139">
        <v>514956465</v>
      </c>
    </row>
    <row r="127" spans="1:2">
      <c r="A127" s="138" t="s">
        <v>1740</v>
      </c>
      <c r="B127" s="139">
        <v>512245812</v>
      </c>
    </row>
    <row r="128" spans="1:2">
      <c r="A128" s="138" t="s">
        <v>1741</v>
      </c>
      <c r="B128" s="139">
        <v>515447035</v>
      </c>
    </row>
    <row r="129" spans="1:2">
      <c r="A129" s="138" t="s">
        <v>1742</v>
      </c>
      <c r="B129" s="139">
        <v>516463635</v>
      </c>
    </row>
    <row r="130" spans="1:2">
      <c r="A130" s="138" t="s">
        <v>1743</v>
      </c>
      <c r="B130" s="13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2025-11-30T09:18:48Z</dcterms:modified>
</cp:coreProperties>
</file>