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13_ncr:1_{BB7265CD-EC4F-443C-B88C-A45F1BFD0AAD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<sst xmlns="http://schemas.openxmlformats.org/spreadsheetml/2006/main" count="5122" uniqueCount="1376">
  <si>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</si>
  <si>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</si>
  <si>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</si>
  <si>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</si>
  <si>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</si>
  <si>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</si>
  <si>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</si>
  <si>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</si>
  <si>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</si>
  <si>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</si>
  <si>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</si>
  <si>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</si>
  <si>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</si>
  <si>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</si>
  <si>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</si>
  <si>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</si>
  <si>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</si>
  <si>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</si>
  <si>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</si>
  <si>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</si>
  <si>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</si>
  <si>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</si>
  <si>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</si>
  <si>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</si>
  <si>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</si>
  <si>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</si>
  <si>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</si>
  <si>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</si>
  <si>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</si>
  <si>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</si>
  <si>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</si>
  <si>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</si>
  <si>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</si>
  <si>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</si>
  <si>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</si>
  <si>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</si>
  <si>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</si>
  <si>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</si>
  <si>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</si>
  <si>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</si>
  <si>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</si>
  <si>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</si>
  <si>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</si>
  <si>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</si>
  <si>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</si>
  <si>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</si>
  <si>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</si>
  <si>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</si>
  <si>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</si>
  <si>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</si>
  <si>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</si>
  <si>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</si>
  <si>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</si>
  <si>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</si>
  <si>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</si>
  <si>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</si>
  <si>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</si>
  <si>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</si>
  <si>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</si>
  <si>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</si>
  <si>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</si>
  <si>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</si>
  <si>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</si>
  <si>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</si>
  <si>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</si>
  <si>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</si>
  <si>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</si>
  <si>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</si>
  <si>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</si>
  <si>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</si>
  <si>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</si>
  <si>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</si>
  <si>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</si>
  <si>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</si>
  <si>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</si>
  <si>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</si>
  <si>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</si>
  <si>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</si>
  <si>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</si>
  <si>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</si>
  <si>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</si>
  <si>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</si>
  <si>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</si>
  <si>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</si>
  <si>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</si>
  <si>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</si>
  <si>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</si>
  <si>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</si>
  <si>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</si>
  <si>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</si>
  <si>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</si>
  <si>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</si>
  <si>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</si>
  <si>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</si>
  <si>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</si>
  <si>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</si>
  <si>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</si>
  <si>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</si>
  <si>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</si>
  <si>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</si>
  <si>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</si>
  <si>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</si>
  <si>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</si>
  <si>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</si>
  <si>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</si>
  <si>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</si>
  <si>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</si>
  <si>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</si>
  <si>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</si>
  <si>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</si>
  <si>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</si>
  <si>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</si>
  <si>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</si>
  <si>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</si>
  <si>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</si>
  <si>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</si>
  <si>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</si>
  <si>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</si>
  <si>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</si>
  <si>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</si>
  <si>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</si>
  <si>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</si>
  <si>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</si>
  <si>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</si>
  <si>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</si>
  <si>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</si>
  <si>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</si>
  <si>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</si>
  <si>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</si>
  <si>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</si>
  <si>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</si>
  <si>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</si>
  <si>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</si>
  <si>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</si>
  <si>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</si>
  <si>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</si>
  <si>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</si>
  <si>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</si>
  <si>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</si>
  <si>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</si>
  <si>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</si>
  <si>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</si>
  <si>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</si>
  <si>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</si>
  <si>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</si>
  <si>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</si>
  <si>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</si>
  <si>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</si>
  <si>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</si>
  <si>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</si>
  <si>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</si>
  <si>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</si>
  <si>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</si>
  <si>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</si>
  <si>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</si>
  <si>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</si>
  <si>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</si>
  <si>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</si>
  <si>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</si>
  <si>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</si>
  <si>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</si>
  <si>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</si>
  <si>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</si>
  <si>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</si>
  <si>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</si>
  <si>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</si>
  <si>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</si>
  <si>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</si>
  <si>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</si>
  <si>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</si>
  <si>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</si>
  <si>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</si>
  <si>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</si>
  <si>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</si>
  <si>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</si>
  <si>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</si>
  <si>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</si>
  <si>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</si>
  <si>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</si>
  <si>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</si>
  <si>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</si>
  <si>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</si>
  <si>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</si>
  <si>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</si>
  <si>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</si>
  <si>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</si>
  <si>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</si>
  <si>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</si>
  <si>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</si>
  <si>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</si>
  <si>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</si>
  <si>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</si>
  <si>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</si>
  <si>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</si>
  <si>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</si>
  <si>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</si>
  <si>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</si>
  <si>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</si>
  <si>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</si>
  <si>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</si>
  <si>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</si>
  <si>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</si>
  <si>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</si>
  <si>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</si>
  <si>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</si>
  <si>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</si>
  <si>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</si>
  <si>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</si>
  <si>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</si>
  <si>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</si>
  <si>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</si>
  <si>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</si>
  <si>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</si>
  <si>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</si>
  <si>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</si>
  <si>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</si>
  <si>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</si>
  <si>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</si>
  <si>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</si>
  <si>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</si>
  <si>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</si>
  <si>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</si>
  <si>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</si>
  <si>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</si>
  <si>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</si>
  <si>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</si>
  <si>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</si>
  <si>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</si>
  <si>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</si>
  <si>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</si>
  <si>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</si>
  <si>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</si>
  <si>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</si>
  <si>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</si>
  <si>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</si>
  <si>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</si>
  <si>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</si>
  <si>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</si>
  <si>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</si>
  <si>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</si>
  <si>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</si>
  <si>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</si>
  <si>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</si>
  <si>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</si>
  <si>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</si>
  <si>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</si>
  <si>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</si>
  <si>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</si>
  <si>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</si>
  <si>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</si>
  <si>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</si>
  <si>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</si>
  <si>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</si>
  <si>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</si>
  <si>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</si>
  <si>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</si>
  <si>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</si>
  <si>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</si>
  <si>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</si>
  <si>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</si>
  <si>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</si>
  <si>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</si>
  <si>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</si>
  <si>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</si>
  <si>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</si>
  <si>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</si>
  <si>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</si>
  <si>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</si>
  <si>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</si>
  <si>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</si>
  <si>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</si>
  <si>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</si>
  <si>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</si>
  <si>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</si>
  <si>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</si>
  <si>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</si>
  <si>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</si>
  <si>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</si>
  <si>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</si>
  <si>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</si>
  <si>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</si>
  <si>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</si>
  <si>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</si>
  <si>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</si>
  <si>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</si>
  <si>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</si>
  <si>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</si>
  <si>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</si>
  <si>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</si>
  <si>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</si>
  <si>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</si>
  <si>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</si>
  <si>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</si>
  <si>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</si>
  <si>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</si>
  <si>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</si>
  <si>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</si>
  <si>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</si>
  <si>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</si>
  <si>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</si>
  <si>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</si>
  <si>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</si>
  <si>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</si>
  <si>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</si>
  <si>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</si>
  <si>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</si>
  <si>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</si>
  <si>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</si>
  <si>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</si>
  <si>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</si>
  <si>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</si>
  <si>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</si>
  <si>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</si>
  <si>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</si>
  <si>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</si>
  <si>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</si>
  <si>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</si>
  <si>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</si>
  <si>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</si>
  <si>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</si>
  <si>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</si>
  <si>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</si>
  <si>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</si>
  <si>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</si>
  <si>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</si>
  <si>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</si>
  <si>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</si>
  <si>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</si>
  <si>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</si>
  <si>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</si>
  <si>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</si>
  <si>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</si>
  <si>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</si>
  <si>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</si>
  <si>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</si>
  <si>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</si>
  <si>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</si>
  <si>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</si>
  <si>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</si>
  <si>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</si>
  <si>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</si>
  <si>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</si>
  <si>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</si>
  <si>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</si>
  <si>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</si>
  <si>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</si>
  <si>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</si>
  <si>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</si>
  <si>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</si>
  <si>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</si>
  <si>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</si>
  <si>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</si>
  <si>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</si>
  <si>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</si>
  <si>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</si>
  <si>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</si>
  <si>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</si>
  <si>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</si>
  <si>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</si>
  <si>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</si>
  <si>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</si>
  <si>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</si>
  <si>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</si>
  <si>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</si>
  <si>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</si>
  <si>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</si>
  <si>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</si>
  <si>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</si>
  <si>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</si>
  <si>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</si>
  <si>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</si>
  <si>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</si>
  <si>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</si>
  <si>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</si>
  <si>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</si>
  <si>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</si>
  <si>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</si>
  <si>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</si>
  <si>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</si>
  <si>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</si>
  <si>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</si>
  <si>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</si>
  <si>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</si>
  <si>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</si>
  <si>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</si>
  <si>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</si>
  <si>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</si>
  <si>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</si>
  <si>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</si>
  <si>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</si>
  <si>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</si>
  <si>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</si>
  <si>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</si>
  <si>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</si>
  <si>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</si>
  <si>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</si>
  <si>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</si>
  <si>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</si>
  <si>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</si>
  <si>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</si>
  <si>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</si>
  <si>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</si>
  <si>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</si>
  <si>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</si>
  <si>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</si>
  <si>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</si>
  <si>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</si>
  <si>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</si>
  <si>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</si>
  <si>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</si>
  <si>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</si>
  <si>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</si>
  <si>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</si>
  <si>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</si>
  <si>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</si>
  <si>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</si>
  <si>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</si>
  <si>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</si>
  <si>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</si>
  <si>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</si>
  <si>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</si>
  <si>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</si>
  <si>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</si>
  <si>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</si>
  <si>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</si>
  <si>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</si>
  <si>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</si>
  <si>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</si>
  <si>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</si>
  <si>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</si>
  <si>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</si>
  <si>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</si>
  <si>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</si>
  <si>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</si>
  <si>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</si>
  <si>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</si>
  <si>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</si>
  <si>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</si>
  <si>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</si>
  <si>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</si>
  <si>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</si>
  <si>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</si>
  <si>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</si>
  <si>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</si>
  <si>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</si>
  <si>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</si>
  <si>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</si>
  <si>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</si>
  <si>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</si>
  <si>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</si>
  <si>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</si>
  <si>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</si>
  <si>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</si>
  <si>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</si>
  <si>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</si>
  <si>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</si>
  <si>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</si>
  <si>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</si>
  <si>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</si>
  <si>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</si>
  <si>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</si>
  <si>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</si>
  <si>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</si>
  <si>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</si>
  <si>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</si>
  <si>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</si>
  <si>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</si>
  <si>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</si>
  <si>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</si>
  <si>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</si>
  <si>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</si>
  <si>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</si>
  <si>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</si>
  <si>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</si>
  <si>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</si>
  <si>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</si>
  <si>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</si>
  <si>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</si>
  <si>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</si>
  <si>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</si>
  <si>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</si>
  <si>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</si>
  <si>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</si>
  <si>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</si>
  <si>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</si>
  <si>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</si>
  <si>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</si>
  <si>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</si>
  <si>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</si>
  <si>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</si>
  <si>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</si>
  <si>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</si>
  <si>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</si>
  <si>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</si>
  <si>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</si>
  <si>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</si>
  <si>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</si>
  <si>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</si>
  <si>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</si>
  <si>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</si>
  <si>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</si>
  <si>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</si>
  <si>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</si>
  <si>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</si>
  <si>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</si>
  <si>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</si>
  <si>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</si>
  <si>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</si>
  <si>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</si>
  <si>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</si>
  <si>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</si>
  <si>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</si>
  <si>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</si>
  <si>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</si>
  <si>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</si>
  <si>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</si>
  <si>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</si>
  <si>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</si>
  <si>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</si>
  <si>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</si>
  <si>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</si>
  <si>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</si>
  <si>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</si>
  <si>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</si>
  <si>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</si>
  <si>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</si>
  <si>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</si>
  <si>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</si>
  <si>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</si>
  <si>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</si>
  <si>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</si>
  <si>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</si>
  <si>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</si>
  <si>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</si>
  <si>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</si>
  <si>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</si>
  <si>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</si>
  <si>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</si>
  <si>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</si>
  <si>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</si>
  <si>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</si>
  <si>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</si>
  <si>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</si>
  <si>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</si>
  <si>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</si>
  <si>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</si>
  <si>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</si>
  <si>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</si>
  <si>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</si>
  <si>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</si>
  <si>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</si>
  <si>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</si>
  <si>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</si>
  <si>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</si>
  <si>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</si>
  <si>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</si>
  <si>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</si>
  <si>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</si>
  <si>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</si>
  <si>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</si>
  <si>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</si>
  <si>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</si>
  <si>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</si>
  <si>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</si>
  <si>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</si>
  <si>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</si>
  <si>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</si>
  <si>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</si>
  <si>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</si>
  <si>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</si>
  <si>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</si>
  <si>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</si>
  <si>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</si>
  <si>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</si>
  <si>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</si>
  <si>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</si>
  <si>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</si>
  <si>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</si>
  <si>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</si>
  <si>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</si>
  <si>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</si>
  <si>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</si>
  <si>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</si>
  <si>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</si>
  <si>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</si>
  <si>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</si>
  <si>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</si>
  <si>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</si>
  <si>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</si>
  <si>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</si>
  <si>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</si>
  <si>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</si>
  <si>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</si>
  <si>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</si>
  <si>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</si>
  <si>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</si>
  <si>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</si>
  <si>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</si>
  <si>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</si>
  <si>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</si>
  <si>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</si>
  <si>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</si>
  <si>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</si>
  <si>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</si>
  <si>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</si>
  <si>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</si>
  <si>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</si>
  <si>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</si>
  <si>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</si>
  <si>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</si>
  <si>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</si>
  <si>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</si>
  <si>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</si>
  <si>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</si>
  <si>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</si>
  <si>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</si>
  <si>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</si>
  <si>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</si>
  <si>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</si>
  <si>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</si>
  <si>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</si>
  <si>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</si>
  <si>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</si>
  <si>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</si>
  <si>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</si>
  <si>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</si>
  <si>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</si>
  <si>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</si>
  <si>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</si>
  <si>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</si>
  <si>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</si>
  <si>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</si>
  <si>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</si>
  <si>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</si>
  <si>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</si>
  <si>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</si>
  <si>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</si>
  <si>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</si>
  <si>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</si>
  <si>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</si>
  <si>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</si>
  <si>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</si>
  <si>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</si>
  <si>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</si>
  <si>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</si>
  <si>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</si>
  <si>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</si>
  <si>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</si>
  <si>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</si>
  <si>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</si>
  <si>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</si>
  <si>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</si>
  <si>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</si>
  <si>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</si>
  <si>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</si>
  <si>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</si>
  <si>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</si>
  <si>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</si>
  <si>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</si>
  <si>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</si>
  <si>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</si>
  <si>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</si>
  <si>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</si>
  <si>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</si>
  <si>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</si>
  <si>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</si>
  <si>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</si>
  <si>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</si>
  <si>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</si>
  <si>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</si>
  <si>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</si>
  <si>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</si>
  <si>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</si>
  <si>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</si>
  <si>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</si>
  <si>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</si>
  <si>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</si>
  <si>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</si>
  <si>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</si>
  <si>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</si>
  <si>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</si>
  <si>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</si>
  <si>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</si>
  <si>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</si>
  <si>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</si>
  <si>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</si>
  <si>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</si>
  <si>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</si>
  <si>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</si>
  <si>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</si>
  <si>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</si>
  <si>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</si>
  <si>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</si>
  <si>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</si>
  <si>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</si>
  <si>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</si>
  <si>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</si>
  <si>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</si>
  <si>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</si>
  <si>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</si>
  <si>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</si>
  <si>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</si>
  <si>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</si>
  <si>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</si>
  <si>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</si>
  <si>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</si>
  <si>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</si>
  <si>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</si>
  <si>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</si>
  <si>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</si>
  <si>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</si>
  <si>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</si>
  <si>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</si>
  <si>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</si>
  <si>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</si>
  <si>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</si>
  <si>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</si>
  <si>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</si>
  <si>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</si>
  <si>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</si>
  <si>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</si>
  <si>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</si>
  <si>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</si>
  <si>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</si>
  <si>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</si>
  <si>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</si>
  <si>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</si>
  <si>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</si>
  <si>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</si>
  <si>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</si>
  <si>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</si>
  <si>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</si>
  <si>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</si>
  <si>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</si>
  <si>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</si>
  <si>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</si>
  <si>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</si>
  <si>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</si>
  <si>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</si>
  <si>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</si>
  <si>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</si>
  <si>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</si>
  <si>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</si>
  <si>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</si>
  <si>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</si>
  <si>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</si>
  <si>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</si>
  <si>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</si>
  <si>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</si>
  <si>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</si>
  <si>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</si>
  <si>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</si>
  <si>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</si>
  <si>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</si>
  <si>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</si>
  <si>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</si>
  <si>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</si>
  <si>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</si>
  <si>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</si>
  <si>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</si>
  <si>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</si>
  <si>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</si>
  <si>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</si>
  <si>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</si>
  <si>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</si>
  <si>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</si>
  <si>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</si>
  <si>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</si>
  <si>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</si>
  <si>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</si>
  <si>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</si>
  <si>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</si>
  <si>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</si>
  <si>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</si>
  <si>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</si>
  <si>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</si>
  <si>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</si>
  <si>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</si>
  <si>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</si>
  <si>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</si>
  <si>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</si>
  <si>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</si>
  <si>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</si>
  <si>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</si>
  <si>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</si>
  <si>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</si>
  <si>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</si>
  <si>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</si>
  <si>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</si>
  <si>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</si>
  <si>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</si>
  <si>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</si>
  <si>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</si>
  <si>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</si>
  <si>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</si>
  <si>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</si>
  <si>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</si>
  <si>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</si>
  <si>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</si>
  <si>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</si>
  <si>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</si>
  <si>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</si>
  <si>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</si>
  <si>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</si>
  <si>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</si>
  <si>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</si>
  <si>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</si>
  <si>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</si>
  <si>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</si>
  <si>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</si>
  <si>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</si>
  <si>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</si>
  <si>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</si>
  <si>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</si>
  <si>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</si>
  <si>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</si>
  <si>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</si>
  <si>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</si>
  <si>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</si>
  <si>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</si>
  <si>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</si>
  <si>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</si>
  <si>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</si>
  <si>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</si>
  <si>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</si>
  <si>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</si>
  <si>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</si>
  <si>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</si>
  <si>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</si>
  <si>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</si>
  <si>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</si>
  <si>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</si>
  <si>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</si>
  <si>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</si>
  <si>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</si>
  <si>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</si>
  <si>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</si>
  <si>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</si>
  <si>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</si>
  <si>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</si>
  <si>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</si>
  <si>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</si>
  <si>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</si>
  <si>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</si>
  <si>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</si>
  <si>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</si>
  <si>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</si>
  <si>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</si>
  <si>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</si>
  <si>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</si>
  <si>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</si>
  <si>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</si>
  <si>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</si>
  <si>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</si>
  <si>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</si>
  <si>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</si>
  <si>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</si>
  <si>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</si>
  <si>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</si>
  <si>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</si>
  <si>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</si>
  <si>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</si>
  <si>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</si>
  <si>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</si>
  <si>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</si>
  <si>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</si>
  <si>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</si>
  <si>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</si>
  <si>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</si>
  <si>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</si>
  <si>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</si>
  <si>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</si>
  <si>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</si>
  <si>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</si>
  <si>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</si>
  <si>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</si>
  <si>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</si>
  <si>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</si>
  <si>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</si>
  <si>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</si>
  <si>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</si>
  <si>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</si>
  <si>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</si>
  <si>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</si>
  <si>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</si>
  <si>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</si>
  <si>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</si>
  <si>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</si>
  <si>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</si>
  <si>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</si>
  <si>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</si>
  <si>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</si>
  <si>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</si>
  <si>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</si>
  <si>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</si>
  <si>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</si>
  <si>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</si>
  <si>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</si>
  <si>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</si>
  <si>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</si>
  <si>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</si>
  <si>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</si>
  <si>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</si>
  <si>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</si>
  <si>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</si>
  <si>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</si>
  <si>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</si>
  <si>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</si>
  <si>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</si>
  <si>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</si>
  <si>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</si>
  <si>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</si>
  <si>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</si>
  <si>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</si>
  <si>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</si>
  <si>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</si>
  <si>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</si>
  <si>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</si>
  <si>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</si>
  <si>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</si>
  <si>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</si>
  <si>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</si>
  <si>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</si>
  <si>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</si>
  <si>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</si>
  <si>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</si>
  <si>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</si>
  <si>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</si>
  <si>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</si>
  <si>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</si>
  <si>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</si>
  <si>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</si>
  <si>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</si>
  <si>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</si>
  <si>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</si>
  <si>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</si>
  <si>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</si>
  <si>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</si>
  <si>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</si>
  <si>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</si>
  <si>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</si>
  <si>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</si>
  <si>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</si>
  <si>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</si>
  <si>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</si>
  <si>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</si>
  <si>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</si>
  <si>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</si>
  <si>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</si>
  <si>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</si>
  <si>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</si>
  <si>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</si>
  <si>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</si>
  <si>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</si>
  <si>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</si>
  <si>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</si>
  <si>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</si>
  <si>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</si>
  <si>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</si>
  <si>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</si>
  <si>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</si>
  <si>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</si>
  <si>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</si>
  <si>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</si>
  <si>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</si>
  <si>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</si>
  <si>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</si>
  <si>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</si>
  <si>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</si>
  <si>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</si>
  <si>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</si>
  <si>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</si>
  <si>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</si>
  <si>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</si>
  <si>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</si>
  <si>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</si>
  <si>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</si>
  <si>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</si>
  <si>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</si>
  <si>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</si>
  <si>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</si>
  <si>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</si>
  <si>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</si>
  <si>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</si>
  <si>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</si>
  <si>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</si>
  <si>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</si>
  <si>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</si>
  <si>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</si>
  <si>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</si>
  <si>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</si>
  <si>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</si>
  <si>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</si>
  <si>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</si>
  <si>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</si>
  <si>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</si>
  <si>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</si>
  <si>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</si>
  <si>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</si>
  <si>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</si>
  <si>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</si>
  <si>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</si>
  <si>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</si>
  <si>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</si>
  <si>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</si>
  <si>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</si>
  <si>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</si>
  <si>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</si>
  <si>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</si>
  <si>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</si>
  <si>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</si>
  <si>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</si>
  <si>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</si>
  <si>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</si>
  <si>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</si>
  <si>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</si>
  <si>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</si>
  <si>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</si>
  <si>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</si>
  <si>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</si>
  <si>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</si>
  <si>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</si>
  <si>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</si>
  <si>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</si>
  <si>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</si>
  <si>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</si>
  <si>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</si>
  <si>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</si>
  <si>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</si>
  <si>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</si>
  <si>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</si>
  <si>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</si>
  <si>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</si>
  <si>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</si>
  <si>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</si>
  <si>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</si>
  <si>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</si>
  <si>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</si>
  <si>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</si>
  <si>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</si>
  <si>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</si>
  <si>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</si>
  <si>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</si>
  <si>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</si>
  <si>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</si>
  <si>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</si>
  <si>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</si>
  <si>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</si>
  <si>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</si>
  <si>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</si>
  <si>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</si>
  <si>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</si>
  <si>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</si>
  <si>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</si>
  <si>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</si>
  <si>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</si>
  <si>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</si>
  <si>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</si>
  <si>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</si>
  <si>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</si>
  <si>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</si>
  <si>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</si>
  <si>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</si>
  <si>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</si>
  <si>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</si>
  <si>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</si>
  <si>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</si>
  <si>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</si>
  <si>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</si>
  <si>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</si>
  <si>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</si>
  <si>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</si>
  <si>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</si>
  <si>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</si>
  <si>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</si>
  <si>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</si>
  <si>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</si>
  <si>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</si>
  <si>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</si>
  <si>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</si>
  <si>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</si>
  <si>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</si>
  <si>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</si>
  <si>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</si>
  <si>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</si>
  <si>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</si>
  <si>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</si>
  <si>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</si>
  <si>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</si>
  <si>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</si>
  <si>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</si>
  <si>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</si>
  <si>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</si>
  <si>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</si>
  <si>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</si>
  <si>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</si>
  <si>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</si>
  <si>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</si>
  <si>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</si>
  <si>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</si>
  <si>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</si>
  <si>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</si>
  <si>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</si>
  <si>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</si>
  <si>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</si>
  <si>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</si>
  <si>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</si>
  <si>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</si>
  <si>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</si>
  <si>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</si>
  <si>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</si>
  <si>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</si>
  <si>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</si>
  <si>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</si>
  <si>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</si>
  <si>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</si>
  <si>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</si>
  <si>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</si>
  <si>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</si>
  <si>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</si>
  <si>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</si>
  <si>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</si>
  <si>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</si>
  <si>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</si>
  <si>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</si>
  <si>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</si>
  <si>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</si>
  <si>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</si>
  <si>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</si>
  <si>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</si>
  <si>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</si>
  <si>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</si>
  <si>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</si>
  <si>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</si>
  <si>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</si>
  <si>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</si>
  <si>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</si>
  <si>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</si>
  <si>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</si>
  <si>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</si>
  <si>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</si>
  <si>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</si>
  <si>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</si>
  <si>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</si>
  <si>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</si>
  <si>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</si>
  <si>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</si>
  <si>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</si>
  <si>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</si>
  <si>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</si>
  <si>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</si>
  <si>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</si>
  <si>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</si>
  <si>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</si>
  <si>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</si>
  <si>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</si>
  <si>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</si>
  <si>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</si>
  <si>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</si>
  <si>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</si>
  <si>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</si>
  <si>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</si>
  <si>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</si>
  <si>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</si>
  <si>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</si>
  <si>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</si>
  <si>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</si>
  <si>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</si>
  <si>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</si>
  <si>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</si>
  <si>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</si>
  <si>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</si>
  <si>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</si>
  <si>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</si>
  <si>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</si>
  <si>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</si>
  <si>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</si>
  <si>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</si>
  <si>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</si>
  <si>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</si>
  <si>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</si>
  <si>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</si>
  <si>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</si>
  <si>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</si>
  <si>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</si>
  <si>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</si>
  <si>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</si>
  <si>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</si>
  <si>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</si>
  <si>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</si>
  <si>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</si>
  <si>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</si>
  <si>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</si>
  <si>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</si>
  <si>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</si>
  <si>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</si>
  <si>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</si>
  <si>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</si>
  <si>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</si>
  <si>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</si>
  <si>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</si>
  <si>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</si>
  <si>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</si>
  <si>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</si>
  <si>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</si>
  <si>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</si>
  <si>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</si>
  <si>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</si>
  <si>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</si>
  <si>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</si>
  <si>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</si>
  <si>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</si>
  <si>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</si>
  <si>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</si>
  <si>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נתיב קרן הפנסיה של פועלי ועובדי מפעלי משק ההסתדרות בע"מ</t>
  </si>
  <si>
    <t>בנק הפועלים</t>
  </si>
  <si>
    <t>12-600</t>
  </si>
  <si>
    <t>ilAAA</t>
  </si>
  <si>
    <t>ILS</t>
  </si>
  <si>
    <t>בנק לאומי</t>
  </si>
  <si>
    <t>10-800</t>
  </si>
  <si>
    <t>EUR</t>
  </si>
  <si>
    <t>בנק מזרחי</t>
  </si>
  <si>
    <t>20-21</t>
  </si>
  <si>
    <t>USD</t>
  </si>
  <si>
    <t>ממשלת ישראל</t>
  </si>
  <si>
    <t>IL0011722209</t>
  </si>
  <si>
    <t>ilRF</t>
  </si>
  <si>
    <t>ממשלתי צמוד 0545</t>
  </si>
  <si>
    <t>IL0011348658</t>
  </si>
  <si>
    <t>ממשלתי  צמוד 0841</t>
  </si>
  <si>
    <t>IL0011205833</t>
  </si>
  <si>
    <t>ממשל צמודה 0726</t>
  </si>
  <si>
    <t>IL0011695645</t>
  </si>
  <si>
    <t>ממשלתי צמוד  1151</t>
  </si>
  <si>
    <t>IL0011683013</t>
  </si>
  <si>
    <t>ממשל שקלית 0330</t>
  </si>
  <si>
    <t>IL0011609851</t>
  </si>
  <si>
    <t>IL0012043795</t>
  </si>
  <si>
    <t>ממשלתי משתנה 0526</t>
  </si>
  <si>
    <t>IL0011417958</t>
  </si>
  <si>
    <t>ממשלתי שקלי 347</t>
  </si>
  <si>
    <t>IL0011401937</t>
  </si>
  <si>
    <t>ממשלתי צמוד 0536</t>
  </si>
  <si>
    <t>IL0010977085</t>
  </si>
  <si>
    <t>לאומי</t>
  </si>
  <si>
    <t>לאומי 186</t>
  </si>
  <si>
    <t>IL0012018391</t>
  </si>
  <si>
    <t>Aaa.il</t>
  </si>
  <si>
    <t>מקורות חברת מים בע"מ</t>
  </si>
  <si>
    <t>מקורות סדרה 11</t>
  </si>
  <si>
    <t>IL0011584765</t>
  </si>
  <si>
    <t>מזרחי טפחות הנפקות</t>
  </si>
  <si>
    <t>מזרחי טפחות הנפקות 46</t>
  </si>
  <si>
    <t>IL0023102259</t>
  </si>
  <si>
    <t>חברת החשמל לישראל בע"מ</t>
  </si>
  <si>
    <t>חשמל אגח 27</t>
  </si>
  <si>
    <t>IL0060002107</t>
  </si>
  <si>
    <t>פועלים התח נד ז</t>
  </si>
  <si>
    <t>IL0011913295</t>
  </si>
  <si>
    <t>ilAA-</t>
  </si>
  <si>
    <t>מזרחי  טפחות הנפקות  52</t>
  </si>
  <si>
    <t>IL0023103810</t>
  </si>
  <si>
    <t>חשמל אגח 33</t>
  </si>
  <si>
    <t>IL0060003923</t>
  </si>
  <si>
    <t>מזרחי טפ הנ אגח 68</t>
  </si>
  <si>
    <t>IL0012021429</t>
  </si>
  <si>
    <t>מז טפ הנ אגח 66</t>
  </si>
  <si>
    <t>IL0011916678</t>
  </si>
  <si>
    <t>דיסקונט מנפיקים בע"מ</t>
  </si>
  <si>
    <t>דיסקונט מנפיקים אגח טו</t>
  </si>
  <si>
    <t>IL0074803045</t>
  </si>
  <si>
    <t>מימון ישיר</t>
  </si>
  <si>
    <t>מימון ישיר קבוצה ו</t>
  </si>
  <si>
    <t>IL0011916595</t>
  </si>
  <si>
    <t>Aa1.il</t>
  </si>
  <si>
    <t>לאומי אגח 182</t>
  </si>
  <si>
    <t>IL0060405391</t>
  </si>
  <si>
    <t>חשמל 31</t>
  </si>
  <si>
    <t>IL0060002859</t>
  </si>
  <si>
    <t>פועלים אגח 201</t>
  </si>
  <si>
    <t>IL0011913451</t>
  </si>
  <si>
    <t>לאומי 183</t>
  </si>
  <si>
    <t>IL0060405474</t>
  </si>
  <si>
    <t>נתיבי הגז הטבעי לישראל בע"מ</t>
  </si>
  <si>
    <t>נתיבי גז אגח ד</t>
  </si>
  <si>
    <t>IL0011475030</t>
  </si>
  <si>
    <t>פועלים אגח 203</t>
  </si>
  <si>
    <t>IL0011998684</t>
  </si>
  <si>
    <t>פועלים 200</t>
  </si>
  <si>
    <t>IL0066204962</t>
  </si>
  <si>
    <t>מזרחי טפחות הנפקות אגח 62</t>
  </si>
  <si>
    <t>IL0023104982</t>
  </si>
  <si>
    <t>מזרחי  טפחות הנפקות 64</t>
  </si>
  <si>
    <t>IL0023105559</t>
  </si>
  <si>
    <t>מימון ישיר אגח ד</t>
  </si>
  <si>
    <t>IL0011756603</t>
  </si>
  <si>
    <t>הראל קרנות נאמנות בע"מ</t>
  </si>
  <si>
    <t>הראל סל תא 35</t>
  </si>
  <si>
    <t>IL0011489072</t>
  </si>
  <si>
    <t>קסם קרנות נאמנות בע"מ</t>
  </si>
  <si>
    <t>קסם ETF תלבונד 40</t>
  </si>
  <si>
    <t>IL0011462160</t>
  </si>
  <si>
    <t>מיטב תכלית קרנות נאמנות בע"מ</t>
  </si>
  <si>
    <t>תכלית סל (00) תל בונד 40</t>
  </si>
  <si>
    <t>IL0011450934</t>
  </si>
  <si>
    <t>הראל סל תלבונד 20</t>
  </si>
  <si>
    <t>IL0011504409</t>
  </si>
  <si>
    <t>מגדל קרנות נאמנות בע"מ</t>
  </si>
  <si>
    <t>MTF סל (4A) ת"א 35</t>
  </si>
  <si>
    <t>IL0011501843</t>
  </si>
  <si>
    <t>קסם ETF תא 35</t>
  </si>
  <si>
    <t>IL0011465700</t>
  </si>
  <si>
    <t>אי.בי.אי - קרנות נאמנות בע"מ</t>
  </si>
  <si>
    <t>אי.בי.אי. (פסגות לשעבר) ETF תלבונד 40</t>
  </si>
  <si>
    <t>IL0011479743</t>
  </si>
  <si>
    <t>תכלית סל תא 35</t>
  </si>
  <si>
    <t>IL0011437006</t>
  </si>
  <si>
    <t>הראל סל תלבונד 40</t>
  </si>
  <si>
    <t>IL0011504995</t>
  </si>
  <si>
    <t>קסם ETF תלבונד 20</t>
  </si>
  <si>
    <t>IL0011459604</t>
  </si>
  <si>
    <t>State Street</t>
  </si>
  <si>
    <t>549300ZFEEJ2IP5VME73</t>
  </si>
  <si>
    <t>SWRD  LN -  MSCI World (P)</t>
  </si>
  <si>
    <t>IE00BFY0GT14</t>
  </si>
  <si>
    <t>ISHARES</t>
  </si>
  <si>
    <t>549300LRIF3NWCU26A80</t>
  </si>
  <si>
    <t>IWDA  LN -  MSCI World (P)</t>
  </si>
  <si>
    <t>IE00B4L5Y983</t>
  </si>
  <si>
    <t>INVESCO MARKETS PLC</t>
  </si>
  <si>
    <t>ECPGFXU8A2SHKVVGJI15</t>
  </si>
  <si>
    <t>MXWO  LN -  MSCI World (P)</t>
  </si>
  <si>
    <t>IE00B60SX394</t>
  </si>
  <si>
    <t>AMUNDI INVT SOLUTIONS</t>
  </si>
  <si>
    <t>549300FMBJ5S1PXQ2305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</si>
  <si>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</si>
  <si>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</si>
  <si>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</si>
  <si>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</si>
  <si>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</si>
  <si>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</si>
  <si>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ערד 8798 01.01.28 4.8%</t>
  </si>
  <si>
    <t>ערד 8835 01.02.31 4.8%</t>
  </si>
  <si>
    <t>ערד 8859 01.02.33 4.8%</t>
  </si>
  <si>
    <t>ערד 8807 01.10.28 4.8%</t>
  </si>
  <si>
    <t>ערד 8883 02.02.35 4.8%</t>
  </si>
  <si>
    <t>ערד 8822 1.1.30 4.8%</t>
  </si>
  <si>
    <t>ערד 8847 1.2.32 4.8%</t>
  </si>
  <si>
    <t>ערד 8897 02.05.36 4.8%</t>
  </si>
  <si>
    <t>ערד 8774 02.01.26 4.8%</t>
  </si>
  <si>
    <t>ערד 8871 1.02.34 4.8%</t>
  </si>
  <si>
    <t>ערד 8898 01.06.36 4.8%</t>
  </si>
  <si>
    <t>ערד 8893 01.01.36 4.8%</t>
  </si>
  <si>
    <t>ערד 8894 01.02.36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</si>
  <si>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</si>
  <si>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</si>
  <si>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</si>
  <si>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</si>
  <si>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</si>
  <si>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</si>
  <si>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</si>
  <si>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קרן השקעות של ח.העובדים וחב"ע</t>
  </si>
  <si>
    <t>נתניה -בן צבי ג.8244 שטח חקל</t>
  </si>
  <si>
    <t xml:space="preserve">רפאל איתן פינת שדרות בן צבי נתניה_x000D_
</t>
  </si>
  <si>
    <t>נתיב ס.מ.ישיר 30.06.25</t>
  </si>
  <si>
    <t>התח.ממש.אי העלאת ג.פרישה נשים</t>
  </si>
  <si>
    <t>ממשלתי צמוד 1131</t>
  </si>
  <si>
    <t>ממשלתי צמוד 1131- ריפו</t>
  </si>
  <si>
    <t>ממשלתי צמוד 1033</t>
  </si>
  <si>
    <t>ממשלתי צמוד 1033- ריפו</t>
  </si>
  <si>
    <t>ILSILS</t>
  </si>
  <si>
    <t>MIZBILIT</t>
  </si>
  <si>
    <t>מזומן לשלם- אגח ממשלתי צמוד 1131-ריפו</t>
  </si>
  <si>
    <t>מזומן לשלם- אגח ממשלתי צמוד 1033-ריפו</t>
  </si>
  <si>
    <t>520022351_pn_p_0325.xlsx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</si>
</sst>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  <numFmt numFmtId="170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70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808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3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1214</v>
      </c>
    </row>
    <row r="12" spans="1:4" x14ac:dyDescent="0.2"/>
    <row r="13" spans="1:4" ht="15" x14ac:dyDescent="0.2">
      <c r="A13" t="s">
        <v>509</v>
      </c>
      <c r="D13" s="95">
        <v>520022351</v>
      </c>
    </row>
    <row r="14" spans="1:4" x14ac:dyDescent="0.2"/>
    <row r="15" spans="1:4" ht="15" x14ac:dyDescent="0.25">
      <c r="A15" s="16" t="s">
        <v>371</v>
      </c>
      <c r="D15" s="148" t="s">
        <v>1375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C17" sqref="C17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297412.68765000004</v>
      </c>
      <c r="C3" s="42"/>
      <c r="D3" s="42"/>
      <c r="E3" s="130">
        <f>IFERROR(B3/$B$30,0)</f>
        <v>1.7554514413541909E-2</v>
      </c>
    </row>
    <row r="4" spans="1:5" x14ac:dyDescent="0.2">
      <c r="A4" s="41" t="s">
        <v>40</v>
      </c>
      <c r="B4" s="128">
        <f>SUM('איגרות חוב ממשלתיות'!U:U)</f>
        <v>1745941.7854299997</v>
      </c>
      <c r="C4" s="42"/>
      <c r="D4" s="42"/>
      <c r="E4" s="130">
        <f t="shared" ref="E4:E29" si="0">IFERROR(B4/$B$30,0)</f>
        <v>0.10305263194959741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224368.08227000001</v>
      </c>
      <c r="C6" s="42"/>
      <c r="D6" s="42"/>
      <c r="E6" s="130">
        <f t="shared" si="0"/>
        <v>1.3243122764091909E-2</v>
      </c>
    </row>
    <row r="7" spans="1:5" x14ac:dyDescent="0.2">
      <c r="A7" s="41" t="s">
        <v>459</v>
      </c>
      <c r="B7" s="128">
        <f>SUM('מניות מבכ ויהש'!U:U)</f>
        <v>0</v>
      </c>
      <c r="C7" s="42"/>
      <c r="D7" s="42"/>
      <c r="E7" s="130">
        <f t="shared" si="0"/>
        <v>0</v>
      </c>
    </row>
    <row r="8" spans="1:5" x14ac:dyDescent="0.2">
      <c r="A8" s="41" t="s">
        <v>34</v>
      </c>
      <c r="B8" s="128">
        <f>SUM('קרנות סל'!T:T)</f>
        <v>1065354.81109</v>
      </c>
      <c r="C8" s="42"/>
      <c r="D8" s="42"/>
      <c r="E8" s="130">
        <f t="shared" si="0"/>
        <v>6.2881602444695234E-2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1258716.4223500001</v>
      </c>
      <c r="C15" s="42"/>
      <c r="D15" s="42"/>
      <c r="E15" s="130">
        <f t="shared" si="0"/>
        <v>7.4294596351276346E-2</v>
      </c>
    </row>
    <row r="16" spans="1:5" x14ac:dyDescent="0.2">
      <c r="A16" s="41" t="s">
        <v>667</v>
      </c>
      <c r="B16" s="128">
        <f>SUM('אפיק השקעה מובטח תשואה'!F:F)</f>
        <v>52120.00217</v>
      </c>
      <c r="C16" s="42"/>
      <c r="D16" s="42"/>
      <c r="E16" s="130">
        <f t="shared" si="0"/>
        <v>3.0763359040143507E-3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25716.896519999998</v>
      </c>
      <c r="C18" s="42"/>
      <c r="D18" s="42"/>
      <c r="E18" s="130">
        <f t="shared" si="0"/>
        <v>1.5179165159328256E-3</v>
      </c>
    </row>
    <row r="19" spans="1:5" x14ac:dyDescent="0.2">
      <c r="A19" s="41" t="s">
        <v>462</v>
      </c>
      <c r="B19" s="128">
        <f>SUM('לא סחיר מניות מבכ ויהש'!X:X)</f>
        <v>1.0000000000000001E-5</v>
      </c>
      <c r="C19" s="42"/>
      <c r="D19" s="42"/>
      <c r="E19" s="130">
        <f t="shared" si="0"/>
        <v>5.9024093935764909E-13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2167.1983700000001</v>
      </c>
      <c r="C23" s="42"/>
      <c r="D23" s="42"/>
      <c r="E23" s="130">
        <f t="shared" si="0"/>
        <v>1.279169201683166E-4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102000</v>
      </c>
      <c r="C27" s="42"/>
      <c r="D27" s="42"/>
      <c r="E27" s="130">
        <f t="shared" si="0"/>
        <v>6.0204575814480207E-3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12168435.92612</v>
      </c>
      <c r="C29" s="122"/>
      <c r="D29" s="122"/>
      <c r="E29" s="130">
        <f t="shared" si="0"/>
        <v>0.71823090515464338</v>
      </c>
    </row>
    <row r="30" spans="1:5" ht="15.75" thickBot="1" x14ac:dyDescent="0.25">
      <c r="A30" s="40" t="s">
        <v>603</v>
      </c>
      <c r="B30" s="129">
        <f>SUM(B3:B29)</f>
        <v>16942233.811980002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9.7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332</v>
      </c>
      <c r="B2">
        <v>332</v>
      </c>
      <c r="C2" t="s">
        <v>1215</v>
      </c>
      <c r="D2" t="s">
        <v>1216</v>
      </c>
      <c r="E2" t="s">
        <v>776</v>
      </c>
      <c r="F2" t="s">
        <v>213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33">
        <v>94400.902470000001</v>
      </c>
      <c r="M2" s="133">
        <v>1</v>
      </c>
      <c r="N2" s="136"/>
      <c r="O2" s="133">
        <v>94400.902470000001</v>
      </c>
      <c r="P2" s="136">
        <v>0.31740499999999999</v>
      </c>
      <c r="Q2" s="136">
        <v>5.5700000000000003E-3</v>
      </c>
    </row>
    <row r="3" spans="1:17" x14ac:dyDescent="0.2">
      <c r="A3">
        <v>332</v>
      </c>
      <c r="B3">
        <v>332</v>
      </c>
      <c r="C3" t="s">
        <v>1219</v>
      </c>
      <c r="D3" t="s">
        <v>1220</v>
      </c>
      <c r="E3" t="s">
        <v>776</v>
      </c>
      <c r="F3" t="s">
        <v>218</v>
      </c>
      <c r="G3" t="s">
        <v>53</v>
      </c>
      <c r="H3" t="s">
        <v>62</v>
      </c>
      <c r="I3" t="s">
        <v>1217</v>
      </c>
      <c r="J3" t="s">
        <v>65</v>
      </c>
      <c r="K3" t="s">
        <v>1221</v>
      </c>
      <c r="L3" s="133">
        <v>78.439160000000001</v>
      </c>
      <c r="M3" s="133">
        <v>3.8807</v>
      </c>
      <c r="N3" s="136"/>
      <c r="O3" s="133">
        <v>304.39884999999998</v>
      </c>
      <c r="P3" s="136">
        <v>1.023E-3</v>
      </c>
      <c r="Q3" s="136">
        <v>1.7E-5</v>
      </c>
    </row>
    <row r="4" spans="1:17" x14ac:dyDescent="0.2">
      <c r="A4">
        <v>332</v>
      </c>
      <c r="B4">
        <v>332</v>
      </c>
      <c r="C4" t="s">
        <v>1222</v>
      </c>
      <c r="D4" t="s">
        <v>1223</v>
      </c>
      <c r="E4" t="s">
        <v>776</v>
      </c>
      <c r="F4" t="s">
        <v>219</v>
      </c>
      <c r="G4" t="s">
        <v>53</v>
      </c>
      <c r="H4" t="s">
        <v>62</v>
      </c>
      <c r="I4" t="s">
        <v>1217</v>
      </c>
      <c r="J4" t="s">
        <v>65</v>
      </c>
      <c r="K4" t="s">
        <v>1218</v>
      </c>
      <c r="L4" s="133">
        <v>69961.536410000001</v>
      </c>
      <c r="M4" s="133">
        <v>1</v>
      </c>
      <c r="N4" s="136"/>
      <c r="O4" s="133">
        <v>69961.536410000001</v>
      </c>
      <c r="P4" s="136">
        <v>0.235233</v>
      </c>
      <c r="Q4" s="136">
        <v>4.1289999999999999E-3</v>
      </c>
    </row>
    <row r="5" spans="1:17" x14ac:dyDescent="0.2">
      <c r="A5">
        <v>332</v>
      </c>
      <c r="B5">
        <v>332</v>
      </c>
      <c r="C5" t="s">
        <v>1222</v>
      </c>
      <c r="D5" t="s">
        <v>1223</v>
      </c>
      <c r="E5" t="s">
        <v>776</v>
      </c>
      <c r="F5" t="s">
        <v>218</v>
      </c>
      <c r="G5" t="s">
        <v>53</v>
      </c>
      <c r="H5" t="s">
        <v>62</v>
      </c>
      <c r="I5" t="s">
        <v>1217</v>
      </c>
      <c r="J5" t="s">
        <v>65</v>
      </c>
      <c r="K5" t="s">
        <v>1224</v>
      </c>
      <c r="L5" s="133">
        <v>188.57400999999999</v>
      </c>
      <c r="M5" s="133">
        <v>3.306</v>
      </c>
      <c r="N5" s="136"/>
      <c r="O5" s="133">
        <v>623.42568000000006</v>
      </c>
      <c r="P5" s="136">
        <v>2.0960000000000002E-3</v>
      </c>
      <c r="Q5" s="136">
        <v>3.6000000000000001E-5</v>
      </c>
    </row>
    <row r="6" spans="1:17" x14ac:dyDescent="0.2">
      <c r="A6">
        <v>332</v>
      </c>
      <c r="B6">
        <v>332</v>
      </c>
      <c r="C6" t="s">
        <v>1219</v>
      </c>
      <c r="D6" t="s">
        <v>1220</v>
      </c>
      <c r="E6" t="s">
        <v>776</v>
      </c>
      <c r="F6" t="s">
        <v>218</v>
      </c>
      <c r="G6" t="s">
        <v>53</v>
      </c>
      <c r="H6" t="s">
        <v>62</v>
      </c>
      <c r="I6" t="s">
        <v>1217</v>
      </c>
      <c r="J6" t="s">
        <v>65</v>
      </c>
      <c r="K6" t="s">
        <v>1224</v>
      </c>
      <c r="L6" s="133">
        <v>1081.64354</v>
      </c>
      <c r="M6" s="133">
        <v>3.306</v>
      </c>
      <c r="N6" s="136"/>
      <c r="O6" s="133">
        <v>3575.91354</v>
      </c>
      <c r="P6" s="136">
        <v>1.2023000000000001E-2</v>
      </c>
      <c r="Q6" s="136">
        <v>2.1100000000000001E-4</v>
      </c>
    </row>
    <row r="7" spans="1:17" x14ac:dyDescent="0.2">
      <c r="A7">
        <v>332</v>
      </c>
      <c r="B7">
        <v>332</v>
      </c>
      <c r="C7" t="s">
        <v>1219</v>
      </c>
      <c r="D7" t="s">
        <v>1220</v>
      </c>
      <c r="E7" t="s">
        <v>776</v>
      </c>
      <c r="F7" t="s">
        <v>213</v>
      </c>
      <c r="G7" t="s">
        <v>53</v>
      </c>
      <c r="H7" t="s">
        <v>62</v>
      </c>
      <c r="I7" t="s">
        <v>1217</v>
      </c>
      <c r="J7" t="s">
        <v>65</v>
      </c>
      <c r="K7" t="s">
        <v>1218</v>
      </c>
      <c r="L7" s="133">
        <v>63009.435689999998</v>
      </c>
      <c r="M7" s="133">
        <v>1</v>
      </c>
      <c r="N7" s="136"/>
      <c r="O7" s="133">
        <v>63009.435689999998</v>
      </c>
      <c r="P7" s="136">
        <v>0.21185799999999999</v>
      </c>
      <c r="Q7" s="136">
        <v>3.718E-3</v>
      </c>
    </row>
    <row r="8" spans="1:17" x14ac:dyDescent="0.2">
      <c r="A8">
        <v>332</v>
      </c>
      <c r="B8">
        <v>332</v>
      </c>
      <c r="C8" t="s">
        <v>1215</v>
      </c>
      <c r="D8" t="s">
        <v>1216</v>
      </c>
      <c r="E8" t="s">
        <v>776</v>
      </c>
      <c r="F8" t="s">
        <v>218</v>
      </c>
      <c r="G8" t="s">
        <v>53</v>
      </c>
      <c r="H8" t="s">
        <v>62</v>
      </c>
      <c r="I8" t="s">
        <v>1217</v>
      </c>
      <c r="J8" t="s">
        <v>65</v>
      </c>
      <c r="K8" t="s">
        <v>1224</v>
      </c>
      <c r="L8" s="133">
        <v>19822.755270000001</v>
      </c>
      <c r="M8" s="133">
        <v>3.306</v>
      </c>
      <c r="N8" s="136"/>
      <c r="O8" s="133">
        <v>65534.028919999997</v>
      </c>
      <c r="P8" s="136">
        <v>0.22034599999999999</v>
      </c>
      <c r="Q8" s="136">
        <v>3.8670000000000002E-3</v>
      </c>
    </row>
    <row r="9" spans="1:17" x14ac:dyDescent="0.2">
      <c r="A9">
        <v>332</v>
      </c>
      <c r="B9">
        <v>332</v>
      </c>
      <c r="C9" t="s">
        <v>1222</v>
      </c>
      <c r="D9" t="s">
        <v>1223</v>
      </c>
      <c r="E9" t="s">
        <v>776</v>
      </c>
      <c r="F9" t="s">
        <v>213</v>
      </c>
      <c r="G9" t="s">
        <v>53</v>
      </c>
      <c r="H9" t="s">
        <v>62</v>
      </c>
      <c r="I9" t="s">
        <v>1217</v>
      </c>
      <c r="J9" t="s">
        <v>65</v>
      </c>
      <c r="K9" t="s">
        <v>1218</v>
      </c>
      <c r="L9" s="133">
        <v>3.04609</v>
      </c>
      <c r="M9" s="133">
        <v>1</v>
      </c>
      <c r="N9" s="136"/>
      <c r="O9" s="133">
        <v>3.04609</v>
      </c>
      <c r="P9" s="136">
        <v>1.0000000000000001E-5</v>
      </c>
      <c r="Q9" s="136">
        <v>0</v>
      </c>
    </row>
    <row r="10" spans="1:17" x14ac:dyDescent="0.2">
      <c r="D10"/>
      <c r="E10" s="17"/>
      <c r="M10"/>
      <c r="N10"/>
      <c r="O10"/>
      <c r="P10"/>
      <c r="Q10"/>
    </row>
    <row r="11" spans="1:17" x14ac:dyDescent="0.2">
      <c r="D11"/>
      <c r="E11" s="17"/>
      <c r="M11"/>
      <c r="N11"/>
      <c r="O11"/>
      <c r="P11"/>
      <c r="Q11"/>
    </row>
    <row r="12" spans="1:17" x14ac:dyDescent="0.2">
      <c r="D12"/>
      <c r="E12" s="17"/>
      <c r="M12"/>
      <c r="N12"/>
      <c r="O12"/>
      <c r="P12"/>
      <c r="Q12"/>
    </row>
    <row r="13" spans="1:17" x14ac:dyDescent="0.2">
      <c r="D13"/>
      <c r="E13" s="17"/>
      <c r="M13"/>
      <c r="N13"/>
      <c r="O13"/>
      <c r="P13"/>
      <c r="Q13"/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C32" sqref="C3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32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7.12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332</v>
      </c>
      <c r="B2">
        <v>332</v>
      </c>
      <c r="C2" t="s">
        <v>1225</v>
      </c>
      <c r="D2" s="147" t="s">
        <v>1367</v>
      </c>
      <c r="E2" t="s">
        <v>1226</v>
      </c>
      <c r="F2" t="s">
        <v>221</v>
      </c>
      <c r="G2" t="s">
        <v>53</v>
      </c>
      <c r="H2" t="s">
        <v>53</v>
      </c>
      <c r="I2" t="s">
        <v>311</v>
      </c>
      <c r="J2" t="s">
        <v>1227</v>
      </c>
      <c r="K2" t="s">
        <v>65</v>
      </c>
      <c r="L2" t="s">
        <v>1218</v>
      </c>
      <c r="M2" s="133">
        <v>6.14</v>
      </c>
      <c r="N2" s="138">
        <v>48182</v>
      </c>
      <c r="O2" s="136">
        <v>1E-3</v>
      </c>
      <c r="P2" s="136">
        <v>1.9E-2</v>
      </c>
      <c r="Q2" s="133"/>
      <c r="R2" s="133">
        <v>102587894</v>
      </c>
      <c r="S2" s="133">
        <v>1</v>
      </c>
      <c r="T2" s="133">
        <v>106.54</v>
      </c>
      <c r="U2" s="133">
        <v>109297.14227</v>
      </c>
      <c r="V2" s="133"/>
      <c r="W2"/>
      <c r="X2" s="136">
        <v>2.9970000000000001E-3</v>
      </c>
      <c r="Y2" s="136">
        <v>6.2600000000000003E-2</v>
      </c>
      <c r="Z2" s="136">
        <v>6.4510000000000001E-3</v>
      </c>
    </row>
    <row r="3" spans="1:26" x14ac:dyDescent="0.2">
      <c r="A3">
        <v>332</v>
      </c>
      <c r="B3">
        <v>332</v>
      </c>
      <c r="C3" t="s">
        <v>1225</v>
      </c>
      <c r="D3" t="s">
        <v>1228</v>
      </c>
      <c r="E3" t="s">
        <v>1229</v>
      </c>
      <c r="F3" t="s">
        <v>221</v>
      </c>
      <c r="G3" t="s">
        <v>53</v>
      </c>
      <c r="H3" t="s">
        <v>53</v>
      </c>
      <c r="I3" t="s">
        <v>311</v>
      </c>
      <c r="J3" t="s">
        <v>1227</v>
      </c>
      <c r="K3" t="s">
        <v>65</v>
      </c>
      <c r="L3" t="s">
        <v>1218</v>
      </c>
      <c r="M3" s="133">
        <v>17.670000000000002</v>
      </c>
      <c r="N3" s="138">
        <v>53113</v>
      </c>
      <c r="O3" s="136">
        <v>0.01</v>
      </c>
      <c r="P3" s="136">
        <v>2.07E-2</v>
      </c>
      <c r="Q3" s="135"/>
      <c r="R3" s="133">
        <v>149987499</v>
      </c>
      <c r="S3" s="133">
        <v>1</v>
      </c>
      <c r="T3" s="133">
        <v>99.57</v>
      </c>
      <c r="U3" s="133">
        <v>149342.55275</v>
      </c>
      <c r="V3" s="135"/>
      <c r="W3"/>
      <c r="X3" s="136">
        <v>6.5690000000000002E-3</v>
      </c>
      <c r="Y3" s="136">
        <v>8.5536000000000001E-2</v>
      </c>
      <c r="Z3" s="136">
        <v>8.8140000000000007E-3</v>
      </c>
    </row>
    <row r="4" spans="1:26" x14ac:dyDescent="0.2">
      <c r="A4">
        <v>332</v>
      </c>
      <c r="B4">
        <v>332</v>
      </c>
      <c r="C4" t="s">
        <v>1225</v>
      </c>
      <c r="D4" t="s">
        <v>1230</v>
      </c>
      <c r="E4" t="s">
        <v>1231</v>
      </c>
      <c r="F4" t="s">
        <v>221</v>
      </c>
      <c r="G4" t="s">
        <v>53</v>
      </c>
      <c r="H4" t="s">
        <v>53</v>
      </c>
      <c r="I4" t="s">
        <v>311</v>
      </c>
      <c r="J4" t="s">
        <v>1227</v>
      </c>
      <c r="K4" t="s">
        <v>65</v>
      </c>
      <c r="L4" t="s">
        <v>1218</v>
      </c>
      <c r="M4" s="133">
        <v>13.23</v>
      </c>
      <c r="N4" s="138">
        <v>51744</v>
      </c>
      <c r="O4" s="136">
        <v>2.75E-2</v>
      </c>
      <c r="P4" s="136">
        <v>2.0199999999999999E-2</v>
      </c>
      <c r="Q4" s="135"/>
      <c r="R4" s="133">
        <v>36994371</v>
      </c>
      <c r="S4" s="133">
        <v>1</v>
      </c>
      <c r="T4" s="133">
        <v>139.93</v>
      </c>
      <c r="U4" s="133">
        <v>51766.223339999997</v>
      </c>
      <c r="V4" s="135"/>
      <c r="W4"/>
      <c r="X4" s="136">
        <v>1.833E-3</v>
      </c>
      <c r="Y4" s="136">
        <v>2.9648999999999998E-2</v>
      </c>
      <c r="Z4" s="136">
        <v>3.055E-3</v>
      </c>
    </row>
    <row r="5" spans="1:26" x14ac:dyDescent="0.2">
      <c r="A5">
        <v>332</v>
      </c>
      <c r="B5">
        <v>332</v>
      </c>
      <c r="C5" t="s">
        <v>1225</v>
      </c>
      <c r="D5" t="s">
        <v>1232</v>
      </c>
      <c r="E5" t="s">
        <v>1233</v>
      </c>
      <c r="F5" t="s">
        <v>221</v>
      </c>
      <c r="G5" t="s">
        <v>53</v>
      </c>
      <c r="H5" t="s">
        <v>53</v>
      </c>
      <c r="I5" t="s">
        <v>311</v>
      </c>
      <c r="J5" t="s">
        <v>1227</v>
      </c>
      <c r="K5" t="s">
        <v>65</v>
      </c>
      <c r="L5" t="s">
        <v>1218</v>
      </c>
      <c r="M5" s="133">
        <v>0.83</v>
      </c>
      <c r="N5" s="138">
        <v>46234</v>
      </c>
      <c r="O5" s="136">
        <v>1E-3</v>
      </c>
      <c r="P5" s="136">
        <v>2.6599999999999999E-2</v>
      </c>
      <c r="Q5" s="135"/>
      <c r="R5" s="133">
        <v>1388873</v>
      </c>
      <c r="S5" s="133">
        <v>1</v>
      </c>
      <c r="T5" s="133">
        <v>116.31</v>
      </c>
      <c r="U5" s="133">
        <v>1615.3981900000001</v>
      </c>
      <c r="V5" s="135"/>
      <c r="W5"/>
      <c r="X5" s="136">
        <v>6.7999999999999999E-5</v>
      </c>
      <c r="Y5" s="136">
        <v>9.2500000000000004E-4</v>
      </c>
      <c r="Z5" s="136">
        <v>9.5000000000000005E-5</v>
      </c>
    </row>
    <row r="6" spans="1:26" x14ac:dyDescent="0.2">
      <c r="A6">
        <v>332</v>
      </c>
      <c r="B6">
        <v>332</v>
      </c>
      <c r="C6" t="s">
        <v>1225</v>
      </c>
      <c r="D6" t="s">
        <v>1234</v>
      </c>
      <c r="E6" t="s">
        <v>1235</v>
      </c>
      <c r="F6" t="s">
        <v>221</v>
      </c>
      <c r="G6" t="s">
        <v>53</v>
      </c>
      <c r="H6" t="s">
        <v>53</v>
      </c>
      <c r="I6" t="s">
        <v>311</v>
      </c>
      <c r="J6" t="s">
        <v>1227</v>
      </c>
      <c r="K6" t="s">
        <v>65</v>
      </c>
      <c r="L6" t="s">
        <v>1218</v>
      </c>
      <c r="M6" s="133">
        <v>24</v>
      </c>
      <c r="N6" s="138">
        <v>55487</v>
      </c>
      <c r="O6" s="136">
        <v>5.0000000000000001E-3</v>
      </c>
      <c r="P6" s="136">
        <v>2.1399999999999999E-2</v>
      </c>
      <c r="Q6" s="135"/>
      <c r="R6" s="133">
        <v>1099509729</v>
      </c>
      <c r="S6" s="133">
        <v>1</v>
      </c>
      <c r="T6" s="133">
        <v>80.45</v>
      </c>
      <c r="U6" s="133">
        <v>884555.57698000001</v>
      </c>
      <c r="V6" s="135"/>
      <c r="W6"/>
      <c r="X6" s="136">
        <v>3.4701999999999997E-2</v>
      </c>
      <c r="Y6" s="136">
        <v>0.50663499999999995</v>
      </c>
      <c r="Z6" s="136">
        <v>5.2209999999999999E-2</v>
      </c>
    </row>
    <row r="7" spans="1:26" x14ac:dyDescent="0.2">
      <c r="A7">
        <v>332</v>
      </c>
      <c r="B7">
        <v>332</v>
      </c>
      <c r="C7" t="s">
        <v>1225</v>
      </c>
      <c r="D7" t="s">
        <v>1236</v>
      </c>
      <c r="E7" t="s">
        <v>1237</v>
      </c>
      <c r="F7" t="s">
        <v>223</v>
      </c>
      <c r="G7" t="s">
        <v>53</v>
      </c>
      <c r="H7" t="s">
        <v>53</v>
      </c>
      <c r="I7" t="s">
        <v>311</v>
      </c>
      <c r="J7" t="s">
        <v>1227</v>
      </c>
      <c r="K7" t="s">
        <v>65</v>
      </c>
      <c r="L7" t="s">
        <v>1218</v>
      </c>
      <c r="M7" s="133">
        <v>4.3899999999999997</v>
      </c>
      <c r="N7" s="138">
        <v>47573</v>
      </c>
      <c r="O7" s="136">
        <v>0.01</v>
      </c>
      <c r="P7" s="136">
        <v>3.9199999999999999E-2</v>
      </c>
      <c r="Q7" s="135"/>
      <c r="R7" s="133">
        <v>94992</v>
      </c>
      <c r="S7" s="133">
        <v>1</v>
      </c>
      <c r="T7" s="133">
        <v>88.66</v>
      </c>
      <c r="U7" s="133">
        <v>84.219909999999999</v>
      </c>
      <c r="V7" s="135"/>
      <c r="W7"/>
      <c r="X7" s="136">
        <v>1.9999999999999999E-6</v>
      </c>
      <c r="Y7" s="136">
        <v>4.8000000000000001E-5</v>
      </c>
      <c r="Z7" s="136">
        <v>3.9999999999999998E-6</v>
      </c>
    </row>
    <row r="8" spans="1:26" x14ac:dyDescent="0.2">
      <c r="A8">
        <v>332</v>
      </c>
      <c r="B8">
        <v>332</v>
      </c>
      <c r="C8" t="s">
        <v>1225</v>
      </c>
      <c r="D8" s="147" t="s">
        <v>1369</v>
      </c>
      <c r="E8" t="s">
        <v>1238</v>
      </c>
      <c r="F8" t="s">
        <v>221</v>
      </c>
      <c r="G8" t="s">
        <v>53</v>
      </c>
      <c r="H8" t="s">
        <v>53</v>
      </c>
      <c r="I8" t="s">
        <v>311</v>
      </c>
      <c r="J8" t="s">
        <v>1227</v>
      </c>
      <c r="K8" t="s">
        <v>65</v>
      </c>
      <c r="L8" t="s">
        <v>1218</v>
      </c>
      <c r="M8" s="133">
        <v>7.53</v>
      </c>
      <c r="N8" s="138">
        <v>48883</v>
      </c>
      <c r="O8" s="136">
        <v>1.6E-2</v>
      </c>
      <c r="P8" s="136">
        <v>1.95E-2</v>
      </c>
      <c r="Q8" s="135"/>
      <c r="R8" s="133">
        <v>58884620</v>
      </c>
      <c r="S8" s="133">
        <v>1</v>
      </c>
      <c r="T8" s="133">
        <v>105.4</v>
      </c>
      <c r="U8" s="133">
        <v>62064.389479999998</v>
      </c>
      <c r="V8" s="135"/>
      <c r="W8"/>
      <c r="X8" s="136">
        <v>2.2260000000000001E-3</v>
      </c>
      <c r="Y8" s="136">
        <v>3.5547000000000002E-2</v>
      </c>
      <c r="Z8" s="136">
        <v>3.663E-3</v>
      </c>
    </row>
    <row r="9" spans="1:26" x14ac:dyDescent="0.2">
      <c r="A9">
        <v>332</v>
      </c>
      <c r="B9">
        <v>332</v>
      </c>
      <c r="C9" t="s">
        <v>1225</v>
      </c>
      <c r="D9" t="s">
        <v>1239</v>
      </c>
      <c r="E9" t="s">
        <v>1240</v>
      </c>
      <c r="F9" t="s">
        <v>224</v>
      </c>
      <c r="G9" t="s">
        <v>53</v>
      </c>
      <c r="H9" t="s">
        <v>53</v>
      </c>
      <c r="I9" t="s">
        <v>311</v>
      </c>
      <c r="J9" t="s">
        <v>1227</v>
      </c>
      <c r="K9" t="s">
        <v>65</v>
      </c>
      <c r="L9" t="s">
        <v>1218</v>
      </c>
      <c r="M9" s="133">
        <v>0.66</v>
      </c>
      <c r="N9" s="138">
        <v>46173</v>
      </c>
      <c r="O9" s="136">
        <v>0</v>
      </c>
      <c r="P9" s="136">
        <v>4.2500000000000003E-2</v>
      </c>
      <c r="Q9" s="135"/>
      <c r="R9" s="133">
        <v>416739</v>
      </c>
      <c r="S9" s="133">
        <v>1</v>
      </c>
      <c r="T9" s="133">
        <v>100.25</v>
      </c>
      <c r="U9" s="133">
        <v>417.78084999999999</v>
      </c>
      <c r="V9" s="135"/>
      <c r="W9"/>
      <c r="X9" s="136">
        <v>1.9000000000000001E-5</v>
      </c>
      <c r="Y9" s="136">
        <v>2.3900000000000001E-4</v>
      </c>
      <c r="Z9" s="136">
        <v>2.4000000000000001E-5</v>
      </c>
    </row>
    <row r="10" spans="1:26" x14ac:dyDescent="0.2">
      <c r="A10">
        <v>332</v>
      </c>
      <c r="B10">
        <v>332</v>
      </c>
      <c r="C10" t="s">
        <v>1225</v>
      </c>
      <c r="D10" t="s">
        <v>1241</v>
      </c>
      <c r="E10" t="s">
        <v>1242</v>
      </c>
      <c r="F10" t="s">
        <v>223</v>
      </c>
      <c r="G10" t="s">
        <v>53</v>
      </c>
      <c r="H10" t="s">
        <v>53</v>
      </c>
      <c r="I10" t="s">
        <v>311</v>
      </c>
      <c r="J10" t="s">
        <v>1227</v>
      </c>
      <c r="K10" t="s">
        <v>65</v>
      </c>
      <c r="L10" t="s">
        <v>1218</v>
      </c>
      <c r="M10" s="133">
        <v>14.45</v>
      </c>
      <c r="N10" s="138">
        <v>53782</v>
      </c>
      <c r="O10" s="136">
        <v>3.7499999999999999E-2</v>
      </c>
      <c r="P10" s="136">
        <v>4.48E-2</v>
      </c>
      <c r="Q10" s="135"/>
      <c r="R10" s="133">
        <v>7489322</v>
      </c>
      <c r="S10" s="133">
        <v>1</v>
      </c>
      <c r="T10" s="133">
        <v>91.85</v>
      </c>
      <c r="U10" s="133">
        <v>6878.9422599999998</v>
      </c>
      <c r="V10" s="135"/>
      <c r="W10"/>
      <c r="X10" s="136">
        <v>2.8499999999999999E-4</v>
      </c>
      <c r="Y10" s="136">
        <v>3.9389999999999998E-3</v>
      </c>
      <c r="Z10" s="136">
        <v>4.06E-4</v>
      </c>
    </row>
    <row r="11" spans="1:26" x14ac:dyDescent="0.2">
      <c r="A11">
        <v>332</v>
      </c>
      <c r="B11">
        <v>332</v>
      </c>
      <c r="C11" t="s">
        <v>1225</v>
      </c>
      <c r="D11" t="s">
        <v>1243</v>
      </c>
      <c r="E11" t="s">
        <v>1244</v>
      </c>
      <c r="F11" t="s">
        <v>221</v>
      </c>
      <c r="G11" t="s">
        <v>53</v>
      </c>
      <c r="H11" t="s">
        <v>53</v>
      </c>
      <c r="I11" t="s">
        <v>311</v>
      </c>
      <c r="J11" t="s">
        <v>1227</v>
      </c>
      <c r="K11" t="s">
        <v>65</v>
      </c>
      <c r="L11" t="s">
        <v>1218</v>
      </c>
      <c r="M11" s="133">
        <v>8.9700000000000006</v>
      </c>
      <c r="N11" s="138">
        <v>49825</v>
      </c>
      <c r="O11" s="136">
        <v>0.04</v>
      </c>
      <c r="P11" s="136">
        <v>1.9400000000000001E-2</v>
      </c>
      <c r="Q11" s="135"/>
      <c r="R11" s="133">
        <v>127938870</v>
      </c>
      <c r="S11" s="133">
        <v>1</v>
      </c>
      <c r="T11" s="133">
        <v>170.85</v>
      </c>
      <c r="U11" s="133">
        <v>218583.5594</v>
      </c>
      <c r="V11" s="135"/>
      <c r="W11"/>
      <c r="X11" s="136">
        <v>8.0300000000000007E-3</v>
      </c>
      <c r="Y11" s="136">
        <v>0.125195</v>
      </c>
      <c r="Z11" s="136">
        <v>1.2900999999999999E-2</v>
      </c>
    </row>
    <row r="12" spans="1:26" x14ac:dyDescent="0.2">
      <c r="A12">
        <v>332</v>
      </c>
      <c r="B12">
        <v>332</v>
      </c>
      <c r="C12" t="s">
        <v>1225</v>
      </c>
      <c r="D12" t="s">
        <v>1368</v>
      </c>
      <c r="E12" t="s">
        <v>1226</v>
      </c>
      <c r="F12" t="s">
        <v>221</v>
      </c>
      <c r="G12" t="s">
        <v>53</v>
      </c>
      <c r="H12" t="s">
        <v>53</v>
      </c>
      <c r="I12" t="s">
        <v>311</v>
      </c>
      <c r="J12" t="s">
        <v>1227</v>
      </c>
      <c r="K12" t="s">
        <v>65</v>
      </c>
      <c r="L12" t="s">
        <v>1218</v>
      </c>
      <c r="M12" s="133">
        <v>6.14</v>
      </c>
      <c r="N12" s="138">
        <v>48182</v>
      </c>
      <c r="O12" s="136">
        <v>1E-3</v>
      </c>
      <c r="P12" s="136">
        <v>1.9E-2</v>
      </c>
      <c r="Q12" s="135"/>
      <c r="R12" s="133">
        <v>180000000</v>
      </c>
      <c r="S12" s="133">
        <v>1</v>
      </c>
      <c r="T12" s="133">
        <v>106.54</v>
      </c>
      <c r="U12" s="133">
        <v>191772</v>
      </c>
      <c r="V12" s="135"/>
      <c r="W12"/>
      <c r="X12" s="136">
        <v>5.0000000000000001E-3</v>
      </c>
      <c r="Y12" s="136">
        <v>0.10983800000000001</v>
      </c>
      <c r="Z12" s="136">
        <v>1.1318999999999999E-2</v>
      </c>
    </row>
    <row r="13" spans="1:26" x14ac:dyDescent="0.2">
      <c r="A13">
        <v>332</v>
      </c>
      <c r="B13">
        <v>332</v>
      </c>
      <c r="C13" t="s">
        <v>1225</v>
      </c>
      <c r="D13" t="s">
        <v>1370</v>
      </c>
      <c r="E13" t="s">
        <v>1238</v>
      </c>
      <c r="F13" t="s">
        <v>221</v>
      </c>
      <c r="G13" t="s">
        <v>53</v>
      </c>
      <c r="H13" t="s">
        <v>53</v>
      </c>
      <c r="I13" t="s">
        <v>311</v>
      </c>
      <c r="J13" t="s">
        <v>1227</v>
      </c>
      <c r="K13" t="s">
        <v>65</v>
      </c>
      <c r="L13" t="s">
        <v>1218</v>
      </c>
      <c r="M13" s="133">
        <v>7.53</v>
      </c>
      <c r="N13" s="138">
        <v>48883</v>
      </c>
      <c r="O13" s="136">
        <v>1.6E-2</v>
      </c>
      <c r="P13" s="136">
        <v>1.95E-2</v>
      </c>
      <c r="Q13" s="135"/>
      <c r="R13" s="133">
        <v>66000000</v>
      </c>
      <c r="S13" s="133">
        <v>1</v>
      </c>
      <c r="T13" s="133">
        <v>105.4</v>
      </c>
      <c r="U13" s="133">
        <v>69564</v>
      </c>
      <c r="V13" s="135"/>
      <c r="W13"/>
      <c r="X13" s="136">
        <v>2.3999999999999998E-3</v>
      </c>
      <c r="Y13" s="136">
        <v>3.9843000000000003E-2</v>
      </c>
      <c r="Z13" s="136">
        <v>4.1050000000000001E-3</v>
      </c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9" t="s">
        <v>421</v>
      </c>
      <c r="V1" s="140" t="s">
        <v>14</v>
      </c>
      <c r="W1" s="140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40" t="s">
        <v>18</v>
      </c>
      <c r="AI1" s="140" t="s">
        <v>19</v>
      </c>
      <c r="AJ1" s="140" t="s">
        <v>30</v>
      </c>
    </row>
    <row r="2" spans="1:36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8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332</v>
      </c>
      <c r="B2">
        <v>332</v>
      </c>
      <c r="C2" t="s">
        <v>1245</v>
      </c>
      <c r="D2">
        <v>520018078</v>
      </c>
      <c r="E2" t="s">
        <v>429</v>
      </c>
      <c r="F2" t="s">
        <v>1246</v>
      </c>
      <c r="G2" t="s">
        <v>1247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1248</v>
      </c>
      <c r="Q2" t="s">
        <v>70</v>
      </c>
      <c r="R2" t="s">
        <v>57</v>
      </c>
      <c r="S2" t="s">
        <v>1218</v>
      </c>
      <c r="T2" s="133">
        <v>4.1399999999999997</v>
      </c>
      <c r="U2" s="138">
        <v>48913</v>
      </c>
      <c r="V2" s="136">
        <v>2.0199999999999999E-2</v>
      </c>
      <c r="W2" s="136">
        <v>2.5399999999999999E-2</v>
      </c>
      <c r="X2" t="s">
        <v>620</v>
      </c>
      <c r="Y2"/>
      <c r="Z2" s="133">
        <v>5200000</v>
      </c>
      <c r="AA2" s="133">
        <v>1</v>
      </c>
      <c r="AB2" s="133">
        <v>105.02</v>
      </c>
      <c r="AC2" s="133"/>
      <c r="AD2" s="133">
        <v>5461.04</v>
      </c>
      <c r="AE2" s="133"/>
      <c r="AF2" s="133"/>
      <c r="AG2"/>
      <c r="AH2" s="136">
        <v>1.457E-3</v>
      </c>
      <c r="AI2" s="136">
        <v>2.4339E-2</v>
      </c>
      <c r="AJ2" s="136">
        <v>3.2200000000000002E-4</v>
      </c>
    </row>
    <row r="3" spans="1:36" x14ac:dyDescent="0.2">
      <c r="A3">
        <v>332</v>
      </c>
      <c r="B3">
        <v>332</v>
      </c>
      <c r="C3" t="s">
        <v>1249</v>
      </c>
      <c r="D3">
        <v>520010869</v>
      </c>
      <c r="E3" t="s">
        <v>429</v>
      </c>
      <c r="F3" t="s">
        <v>1250</v>
      </c>
      <c r="G3" t="s">
        <v>1251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258</v>
      </c>
      <c r="O3" t="s">
        <v>62</v>
      </c>
      <c r="P3" t="s">
        <v>1217</v>
      </c>
      <c r="Q3" t="s">
        <v>65</v>
      </c>
      <c r="R3" t="s">
        <v>57</v>
      </c>
      <c r="S3" t="s">
        <v>1218</v>
      </c>
      <c r="T3" s="133">
        <v>11.52</v>
      </c>
      <c r="U3" s="138">
        <v>56249</v>
      </c>
      <c r="V3" s="136">
        <v>2.07E-2</v>
      </c>
      <c r="W3" s="136">
        <v>2.7E-2</v>
      </c>
      <c r="X3" t="s">
        <v>620</v>
      </c>
      <c r="Y3"/>
      <c r="Z3" s="133">
        <v>60499067.859999999</v>
      </c>
      <c r="AA3" s="133">
        <v>1</v>
      </c>
      <c r="AB3" s="133">
        <v>109.4</v>
      </c>
      <c r="AC3" s="133"/>
      <c r="AD3" s="133">
        <v>66185.980240000004</v>
      </c>
      <c r="AE3" s="135"/>
      <c r="AF3" s="135"/>
      <c r="AG3"/>
      <c r="AH3" s="136">
        <v>1.1065999999999999E-2</v>
      </c>
      <c r="AI3" s="136">
        <v>0.29498799999999997</v>
      </c>
      <c r="AJ3" s="136">
        <v>3.9060000000000002E-3</v>
      </c>
    </row>
    <row r="4" spans="1:36" x14ac:dyDescent="0.2">
      <c r="A4">
        <v>332</v>
      </c>
      <c r="B4">
        <v>332</v>
      </c>
      <c r="C4" t="s">
        <v>1252</v>
      </c>
      <c r="D4">
        <v>520032046</v>
      </c>
      <c r="E4" t="s">
        <v>429</v>
      </c>
      <c r="F4" t="s">
        <v>1253</v>
      </c>
      <c r="G4" t="s">
        <v>1254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1217</v>
      </c>
      <c r="Q4" t="s">
        <v>65</v>
      </c>
      <c r="R4" t="s">
        <v>57</v>
      </c>
      <c r="S4" t="s">
        <v>1218</v>
      </c>
      <c r="T4" s="133">
        <v>1.98</v>
      </c>
      <c r="U4" s="138">
        <v>46658</v>
      </c>
      <c r="V4" s="136">
        <v>1.2200000000000001E-2</v>
      </c>
      <c r="W4" s="136">
        <v>2.58E-2</v>
      </c>
      <c r="X4" t="s">
        <v>620</v>
      </c>
      <c r="Y4"/>
      <c r="Z4" s="133">
        <v>2560513</v>
      </c>
      <c r="AA4" s="133">
        <v>1</v>
      </c>
      <c r="AB4" s="133">
        <v>116.7</v>
      </c>
      <c r="AC4" s="133"/>
      <c r="AD4" s="133">
        <v>2988.1186699999998</v>
      </c>
      <c r="AE4" s="135"/>
      <c r="AF4" s="135"/>
      <c r="AG4"/>
      <c r="AH4" s="136">
        <v>8.4900000000000004E-4</v>
      </c>
      <c r="AI4" s="136">
        <v>1.3317000000000001E-2</v>
      </c>
      <c r="AJ4" s="136">
        <v>1.76E-4</v>
      </c>
    </row>
    <row r="5" spans="1:36" x14ac:dyDescent="0.2">
      <c r="A5">
        <v>332</v>
      </c>
      <c r="B5">
        <v>332</v>
      </c>
      <c r="C5" t="s">
        <v>1255</v>
      </c>
      <c r="D5">
        <v>520000472</v>
      </c>
      <c r="E5" t="s">
        <v>429</v>
      </c>
      <c r="F5" t="s">
        <v>1256</v>
      </c>
      <c r="G5" t="s">
        <v>1257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156</v>
      </c>
      <c r="O5" t="s">
        <v>62</v>
      </c>
      <c r="P5" t="s">
        <v>1217</v>
      </c>
      <c r="Q5" t="s">
        <v>65</v>
      </c>
      <c r="R5" t="s">
        <v>57</v>
      </c>
      <c r="S5" t="s">
        <v>1218</v>
      </c>
      <c r="T5" s="133">
        <v>2.57</v>
      </c>
      <c r="U5" s="138">
        <v>47220</v>
      </c>
      <c r="V5" s="136">
        <v>3.85E-2</v>
      </c>
      <c r="W5" s="136">
        <v>2.58E-2</v>
      </c>
      <c r="X5" t="s">
        <v>620</v>
      </c>
      <c r="Y5"/>
      <c r="Z5" s="133">
        <v>5675518.6500000004</v>
      </c>
      <c r="AA5" s="133">
        <v>1</v>
      </c>
      <c r="AB5" s="133">
        <v>123.26</v>
      </c>
      <c r="AC5" s="133">
        <v>130.5078</v>
      </c>
      <c r="AD5" s="133">
        <v>7126.1520899999996</v>
      </c>
      <c r="AE5" s="135"/>
      <c r="AF5" s="135"/>
      <c r="AG5"/>
      <c r="AH5" s="136">
        <v>2.245E-3</v>
      </c>
      <c r="AI5" s="136">
        <v>3.1759999999999997E-2</v>
      </c>
      <c r="AJ5" s="136">
        <v>4.1899999999999999E-4</v>
      </c>
    </row>
    <row r="6" spans="1:36" x14ac:dyDescent="0.2">
      <c r="A6">
        <v>332</v>
      </c>
      <c r="B6">
        <v>332</v>
      </c>
      <c r="C6" t="s">
        <v>1215</v>
      </c>
      <c r="D6">
        <v>520000118</v>
      </c>
      <c r="E6" t="s">
        <v>429</v>
      </c>
      <c r="F6" t="s">
        <v>1258</v>
      </c>
      <c r="G6" t="s">
        <v>1259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1260</v>
      </c>
      <c r="Q6" t="s">
        <v>65</v>
      </c>
      <c r="R6" t="s">
        <v>57</v>
      </c>
      <c r="S6" t="s">
        <v>1218</v>
      </c>
      <c r="T6" s="133">
        <v>2.99</v>
      </c>
      <c r="U6" s="138">
        <v>47086</v>
      </c>
      <c r="V6" s="136">
        <v>3.09E-2</v>
      </c>
      <c r="W6" s="136">
        <v>2.8899999999999999E-2</v>
      </c>
      <c r="X6" t="s">
        <v>620</v>
      </c>
      <c r="Y6"/>
      <c r="Z6" s="133">
        <v>2350000</v>
      </c>
      <c r="AA6" s="133">
        <v>1</v>
      </c>
      <c r="AB6" s="133">
        <v>113.64</v>
      </c>
      <c r="AC6" s="135"/>
      <c r="AD6" s="133">
        <v>2670.54</v>
      </c>
      <c r="AE6" s="135"/>
      <c r="AF6" s="135"/>
      <c r="AG6"/>
      <c r="AH6" s="136">
        <v>2.4729999999999999E-3</v>
      </c>
      <c r="AI6" s="136">
        <v>1.1901999999999999E-2</v>
      </c>
      <c r="AJ6" s="136">
        <v>1.5699999999999999E-4</v>
      </c>
    </row>
    <row r="7" spans="1:36" x14ac:dyDescent="0.2">
      <c r="A7">
        <v>332</v>
      </c>
      <c r="B7">
        <v>332</v>
      </c>
      <c r="C7" t="s">
        <v>1252</v>
      </c>
      <c r="D7">
        <v>520032046</v>
      </c>
      <c r="E7" t="s">
        <v>429</v>
      </c>
      <c r="F7" t="s">
        <v>1261</v>
      </c>
      <c r="G7" t="s">
        <v>1262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1217</v>
      </c>
      <c r="Q7" t="s">
        <v>65</v>
      </c>
      <c r="R7" t="s">
        <v>57</v>
      </c>
      <c r="S7" t="s">
        <v>1218</v>
      </c>
      <c r="T7" s="133">
        <v>4.7300000000000004</v>
      </c>
      <c r="U7" s="138">
        <v>47665</v>
      </c>
      <c r="V7" s="136">
        <v>2E-3</v>
      </c>
      <c r="W7" s="136">
        <v>2.5600000000000001E-2</v>
      </c>
      <c r="X7" t="s">
        <v>620</v>
      </c>
      <c r="Y7"/>
      <c r="Z7" s="133">
        <v>16375500</v>
      </c>
      <c r="AA7" s="133">
        <v>1</v>
      </c>
      <c r="AB7" s="133">
        <v>106.44</v>
      </c>
      <c r="AC7" s="135"/>
      <c r="AD7" s="133">
        <v>17430.082200000001</v>
      </c>
      <c r="AE7" s="135"/>
      <c r="AF7" s="135"/>
      <c r="AG7"/>
      <c r="AH7" s="136">
        <v>4.7340000000000004E-3</v>
      </c>
      <c r="AI7" s="136">
        <v>7.7685000000000004E-2</v>
      </c>
      <c r="AJ7" s="136">
        <v>1.0280000000000001E-3</v>
      </c>
    </row>
    <row r="8" spans="1:36" x14ac:dyDescent="0.2">
      <c r="A8">
        <v>332</v>
      </c>
      <c r="B8">
        <v>332</v>
      </c>
      <c r="C8" t="s">
        <v>1255</v>
      </c>
      <c r="D8">
        <v>520000472</v>
      </c>
      <c r="E8" t="s">
        <v>429</v>
      </c>
      <c r="F8" t="s">
        <v>1263</v>
      </c>
      <c r="G8" t="s">
        <v>1264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156</v>
      </c>
      <c r="O8" t="s">
        <v>62</v>
      </c>
      <c r="P8" t="s">
        <v>1217</v>
      </c>
      <c r="Q8" t="s">
        <v>65</v>
      </c>
      <c r="R8" t="s">
        <v>57</v>
      </c>
      <c r="S8" t="s">
        <v>1218</v>
      </c>
      <c r="T8" s="133">
        <v>9.9499999999999993</v>
      </c>
      <c r="U8" s="138">
        <v>49825</v>
      </c>
      <c r="V8" s="136">
        <v>1.2500000000000001E-2</v>
      </c>
      <c r="W8" s="136">
        <v>2.7799999999999998E-2</v>
      </c>
      <c r="X8" t="s">
        <v>620</v>
      </c>
      <c r="Y8"/>
      <c r="Z8" s="133">
        <v>4957600</v>
      </c>
      <c r="AA8" s="133">
        <v>1</v>
      </c>
      <c r="AB8" s="133">
        <v>101.02</v>
      </c>
      <c r="AC8" s="135"/>
      <c r="AD8" s="133">
        <v>5008.16752</v>
      </c>
      <c r="AE8" s="135"/>
      <c r="AF8" s="135"/>
      <c r="AG8"/>
      <c r="AH8" s="136">
        <v>1.155E-3</v>
      </c>
      <c r="AI8" s="136">
        <v>2.2321000000000001E-2</v>
      </c>
      <c r="AJ8" s="136">
        <v>2.9500000000000001E-4</v>
      </c>
    </row>
    <row r="9" spans="1:36" x14ac:dyDescent="0.2">
      <c r="A9">
        <v>332</v>
      </c>
      <c r="B9">
        <v>332</v>
      </c>
      <c r="C9" t="s">
        <v>1252</v>
      </c>
      <c r="D9">
        <v>520032046</v>
      </c>
      <c r="E9" t="s">
        <v>429</v>
      </c>
      <c r="F9" t="s">
        <v>1265</v>
      </c>
      <c r="G9" t="s">
        <v>1266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1217</v>
      </c>
      <c r="Q9" t="s">
        <v>65</v>
      </c>
      <c r="R9" t="s">
        <v>57</v>
      </c>
      <c r="S9" t="s">
        <v>1218</v>
      </c>
      <c r="T9" s="133">
        <v>3.95</v>
      </c>
      <c r="U9" s="138">
        <v>48938</v>
      </c>
      <c r="V9" s="136">
        <v>1.9900000000000001E-2</v>
      </c>
      <c r="W9" s="136">
        <v>2.5399999999999999E-2</v>
      </c>
      <c r="X9" t="s">
        <v>620</v>
      </c>
      <c r="Y9"/>
      <c r="Z9" s="133">
        <v>16460651</v>
      </c>
      <c r="AA9" s="133">
        <v>1</v>
      </c>
      <c r="AB9" s="133">
        <v>105.83</v>
      </c>
      <c r="AC9" s="135"/>
      <c r="AD9" s="133">
        <v>17420.306949999998</v>
      </c>
      <c r="AE9" s="135"/>
      <c r="AF9" s="135"/>
      <c r="AG9"/>
      <c r="AH9" s="136">
        <v>6.7730000000000004E-3</v>
      </c>
      <c r="AI9" s="136">
        <v>7.7641000000000002E-2</v>
      </c>
      <c r="AJ9" s="136">
        <v>1.0280000000000001E-3</v>
      </c>
    </row>
    <row r="10" spans="1:36" x14ac:dyDescent="0.2">
      <c r="A10">
        <v>332</v>
      </c>
      <c r="B10">
        <v>332</v>
      </c>
      <c r="C10" t="s">
        <v>1252</v>
      </c>
      <c r="D10">
        <v>520032046</v>
      </c>
      <c r="E10" t="s">
        <v>429</v>
      </c>
      <c r="F10" t="s">
        <v>1267</v>
      </c>
      <c r="G10" t="s">
        <v>1268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1217</v>
      </c>
      <c r="Q10" t="s">
        <v>65</v>
      </c>
      <c r="R10" t="s">
        <v>57</v>
      </c>
      <c r="S10" t="s">
        <v>1218</v>
      </c>
      <c r="T10" s="133">
        <v>3.02</v>
      </c>
      <c r="U10" s="138">
        <v>48190</v>
      </c>
      <c r="V10" s="136">
        <v>1.6400000000000001E-2</v>
      </c>
      <c r="W10" s="136">
        <v>2.5899999999999999E-2</v>
      </c>
      <c r="X10" t="s">
        <v>620</v>
      </c>
      <c r="Y10"/>
      <c r="Z10" s="133">
        <v>4088116.8</v>
      </c>
      <c r="AA10" s="133">
        <v>1</v>
      </c>
      <c r="AB10" s="133">
        <v>108.49</v>
      </c>
      <c r="AC10" s="135"/>
      <c r="AD10" s="133">
        <v>4435.1979199999996</v>
      </c>
      <c r="AE10" s="135"/>
      <c r="AF10" s="135"/>
      <c r="AG10"/>
      <c r="AH10" s="136">
        <v>4.3429999999999996E-3</v>
      </c>
      <c r="AI10" s="136">
        <v>1.9767E-2</v>
      </c>
      <c r="AJ10" s="136">
        <v>2.61E-4</v>
      </c>
    </row>
    <row r="11" spans="1:36" x14ac:dyDescent="0.2">
      <c r="A11">
        <v>332</v>
      </c>
      <c r="B11">
        <v>332</v>
      </c>
      <c r="C11" t="s">
        <v>1269</v>
      </c>
      <c r="D11">
        <v>520029935</v>
      </c>
      <c r="E11" t="s">
        <v>429</v>
      </c>
      <c r="F11" t="s">
        <v>1270</v>
      </c>
      <c r="G11" t="s">
        <v>1271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1217</v>
      </c>
      <c r="Q11" t="s">
        <v>65</v>
      </c>
      <c r="R11" t="s">
        <v>57</v>
      </c>
      <c r="S11" t="s">
        <v>1218</v>
      </c>
      <c r="T11" s="133">
        <v>3.52</v>
      </c>
      <c r="U11" s="138">
        <v>48441</v>
      </c>
      <c r="V11" s="136">
        <v>2E-3</v>
      </c>
      <c r="W11" s="136">
        <v>2.5399999999999999E-2</v>
      </c>
      <c r="X11" t="s">
        <v>620</v>
      </c>
      <c r="Y11"/>
      <c r="Z11" s="133">
        <v>5565098.0099999998</v>
      </c>
      <c r="AA11" s="133">
        <v>1</v>
      </c>
      <c r="AB11" s="133">
        <v>106.62</v>
      </c>
      <c r="AC11" s="135"/>
      <c r="AD11" s="133">
        <v>5933.5074999999997</v>
      </c>
      <c r="AE11" s="135"/>
      <c r="AF11" s="135"/>
      <c r="AG11"/>
      <c r="AH11" s="136">
        <v>1.7489999999999999E-3</v>
      </c>
      <c r="AI11" s="136">
        <v>2.6445E-2</v>
      </c>
      <c r="AJ11" s="136">
        <v>3.5E-4</v>
      </c>
    </row>
    <row r="12" spans="1:36" x14ac:dyDescent="0.2">
      <c r="A12">
        <v>332</v>
      </c>
      <c r="B12">
        <v>332</v>
      </c>
      <c r="C12" t="s">
        <v>1272</v>
      </c>
      <c r="D12">
        <v>513893123</v>
      </c>
      <c r="E12" t="s">
        <v>429</v>
      </c>
      <c r="F12" t="s">
        <v>1273</v>
      </c>
      <c r="G12" t="s">
        <v>1274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633</v>
      </c>
      <c r="O12" t="s">
        <v>62</v>
      </c>
      <c r="P12" t="s">
        <v>1275</v>
      </c>
      <c r="Q12" t="s">
        <v>70</v>
      </c>
      <c r="R12" t="s">
        <v>57</v>
      </c>
      <c r="S12" t="s">
        <v>1218</v>
      </c>
      <c r="T12" s="133">
        <v>0.98</v>
      </c>
      <c r="U12" s="138">
        <v>46477</v>
      </c>
      <c r="V12" s="136">
        <v>3.5400000000000001E-2</v>
      </c>
      <c r="W12" s="136">
        <v>4.0800000000000003E-2</v>
      </c>
      <c r="X12" t="s">
        <v>620</v>
      </c>
      <c r="Y12"/>
      <c r="Z12" s="133">
        <v>2388004.5</v>
      </c>
      <c r="AA12" s="133">
        <v>1</v>
      </c>
      <c r="AB12" s="133">
        <v>109.63</v>
      </c>
      <c r="AC12" s="135"/>
      <c r="AD12" s="133">
        <v>2617.9693299999999</v>
      </c>
      <c r="AE12" s="135"/>
      <c r="AF12" s="135"/>
      <c r="AG12"/>
      <c r="AH12" s="136">
        <v>2.8500000000000001E-3</v>
      </c>
      <c r="AI12" s="136">
        <v>1.1668E-2</v>
      </c>
      <c r="AJ12" s="136">
        <v>1.54E-4</v>
      </c>
    </row>
    <row r="13" spans="1:36" x14ac:dyDescent="0.2">
      <c r="A13">
        <v>332</v>
      </c>
      <c r="B13">
        <v>332</v>
      </c>
      <c r="C13" t="s">
        <v>1245</v>
      </c>
      <c r="D13">
        <v>520018078</v>
      </c>
      <c r="E13" t="s">
        <v>429</v>
      </c>
      <c r="F13" t="s">
        <v>1276</v>
      </c>
      <c r="G13" t="s">
        <v>1277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1248</v>
      </c>
      <c r="Q13" t="s">
        <v>70</v>
      </c>
      <c r="R13" t="s">
        <v>57</v>
      </c>
      <c r="S13" t="s">
        <v>1218</v>
      </c>
      <c r="T13" s="133">
        <v>2.15</v>
      </c>
      <c r="U13" s="138">
        <v>46716</v>
      </c>
      <c r="V13" s="136">
        <v>1E-3</v>
      </c>
      <c r="W13" s="136">
        <v>2.52E-2</v>
      </c>
      <c r="X13" t="s">
        <v>620</v>
      </c>
      <c r="Y13"/>
      <c r="Z13" s="133">
        <v>7275577</v>
      </c>
      <c r="AA13" s="133">
        <v>1</v>
      </c>
      <c r="AB13" s="133">
        <v>110.05</v>
      </c>
      <c r="AC13" s="135"/>
      <c r="AD13" s="133">
        <v>8006.7724900000003</v>
      </c>
      <c r="AE13" s="135"/>
      <c r="AF13" s="135"/>
      <c r="AG13"/>
      <c r="AH13" s="136">
        <v>2.3189999999999999E-3</v>
      </c>
      <c r="AI13" s="136">
        <v>3.5685000000000001E-2</v>
      </c>
      <c r="AJ13" s="136">
        <v>4.7199999999999998E-4</v>
      </c>
    </row>
    <row r="14" spans="1:36" x14ac:dyDescent="0.2">
      <c r="A14">
        <v>332</v>
      </c>
      <c r="B14">
        <v>332</v>
      </c>
      <c r="C14" t="s">
        <v>1255</v>
      </c>
      <c r="D14">
        <v>520000472</v>
      </c>
      <c r="E14" t="s">
        <v>429</v>
      </c>
      <c r="F14" t="s">
        <v>1278</v>
      </c>
      <c r="G14" t="s">
        <v>1279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156</v>
      </c>
      <c r="O14" t="s">
        <v>62</v>
      </c>
      <c r="P14" t="s">
        <v>1217</v>
      </c>
      <c r="Q14" t="s">
        <v>65</v>
      </c>
      <c r="R14" t="s">
        <v>57</v>
      </c>
      <c r="S14" t="s">
        <v>1218</v>
      </c>
      <c r="T14" s="133">
        <v>4.93</v>
      </c>
      <c r="U14" s="138">
        <v>48112</v>
      </c>
      <c r="V14" s="136">
        <v>2.3900000000000001E-2</v>
      </c>
      <c r="W14" s="136">
        <v>2.5999999999999999E-2</v>
      </c>
      <c r="X14" t="s">
        <v>620</v>
      </c>
      <c r="Y14"/>
      <c r="Z14" s="133">
        <v>19925751</v>
      </c>
      <c r="AA14" s="133">
        <v>1</v>
      </c>
      <c r="AB14" s="133">
        <v>117.27</v>
      </c>
      <c r="AC14" s="135"/>
      <c r="AD14" s="133">
        <v>23366.928199999998</v>
      </c>
      <c r="AE14" s="135"/>
      <c r="AF14" s="135"/>
      <c r="AG14"/>
      <c r="AH14" s="136">
        <v>5.1229999999999999E-3</v>
      </c>
      <c r="AI14" s="136">
        <v>0.104145</v>
      </c>
      <c r="AJ14" s="136">
        <v>1.379E-3</v>
      </c>
    </row>
    <row r="15" spans="1:36" x14ac:dyDescent="0.2">
      <c r="A15">
        <v>332</v>
      </c>
      <c r="B15">
        <v>332</v>
      </c>
      <c r="C15" t="s">
        <v>1215</v>
      </c>
      <c r="D15">
        <v>520000118</v>
      </c>
      <c r="E15" t="s">
        <v>429</v>
      </c>
      <c r="F15" t="s">
        <v>1280</v>
      </c>
      <c r="G15" t="s">
        <v>1281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1248</v>
      </c>
      <c r="Q15" t="s">
        <v>70</v>
      </c>
      <c r="R15" t="s">
        <v>57</v>
      </c>
      <c r="S15" t="s">
        <v>1218</v>
      </c>
      <c r="T15" s="133">
        <v>3.47</v>
      </c>
      <c r="U15" s="138">
        <v>48547</v>
      </c>
      <c r="V15" s="136">
        <v>1.3899999999999999E-2</v>
      </c>
      <c r="W15" s="136">
        <v>2.5100000000000001E-2</v>
      </c>
      <c r="X15" t="s">
        <v>620</v>
      </c>
      <c r="Y15"/>
      <c r="Z15" s="133">
        <v>1140800</v>
      </c>
      <c r="AA15" s="133">
        <v>1</v>
      </c>
      <c r="AB15" s="133">
        <v>107.22</v>
      </c>
      <c r="AC15" s="135"/>
      <c r="AD15" s="133">
        <v>1223.1657600000001</v>
      </c>
      <c r="AE15" s="135"/>
      <c r="AF15" s="135"/>
      <c r="AG15"/>
      <c r="AH15" s="136">
        <v>7.1299999999999998E-4</v>
      </c>
      <c r="AI15" s="136">
        <v>5.4510000000000001E-3</v>
      </c>
      <c r="AJ15" s="136">
        <v>7.2000000000000002E-5</v>
      </c>
    </row>
    <row r="16" spans="1:36" x14ac:dyDescent="0.2">
      <c r="A16">
        <v>332</v>
      </c>
      <c r="B16">
        <v>332</v>
      </c>
      <c r="C16" t="s">
        <v>1245</v>
      </c>
      <c r="D16">
        <v>520018078</v>
      </c>
      <c r="E16" t="s">
        <v>429</v>
      </c>
      <c r="F16" t="s">
        <v>1282</v>
      </c>
      <c r="G16" t="s">
        <v>1283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1248</v>
      </c>
      <c r="Q16" t="s">
        <v>70</v>
      </c>
      <c r="R16" t="s">
        <v>57</v>
      </c>
      <c r="S16" t="s">
        <v>1218</v>
      </c>
      <c r="T16" s="133">
        <v>4.1399999999999997</v>
      </c>
      <c r="U16" s="138">
        <v>47447</v>
      </c>
      <c r="V16" s="136">
        <v>1E-3</v>
      </c>
      <c r="W16" s="136">
        <v>2.53E-2</v>
      </c>
      <c r="X16" t="s">
        <v>620</v>
      </c>
      <c r="Y16"/>
      <c r="Z16" s="133">
        <v>4529614</v>
      </c>
      <c r="AA16" s="133">
        <v>1</v>
      </c>
      <c r="AB16" s="133">
        <v>104.89</v>
      </c>
      <c r="AC16" s="135"/>
      <c r="AD16" s="133">
        <v>4751.1121199999998</v>
      </c>
      <c r="AE16" s="135"/>
      <c r="AF16" s="135"/>
      <c r="AG16"/>
      <c r="AH16" s="136">
        <v>1.0560000000000001E-3</v>
      </c>
      <c r="AI16" s="136">
        <v>2.1174999999999999E-2</v>
      </c>
      <c r="AJ16" s="136">
        <v>2.7999999999999998E-4</v>
      </c>
    </row>
    <row r="17" spans="1:36" x14ac:dyDescent="0.2">
      <c r="A17">
        <v>332</v>
      </c>
      <c r="B17">
        <v>332</v>
      </c>
      <c r="C17" t="s">
        <v>1284</v>
      </c>
      <c r="D17">
        <v>513436394</v>
      </c>
      <c r="E17" t="s">
        <v>429</v>
      </c>
      <c r="F17" t="s">
        <v>1285</v>
      </c>
      <c r="G17" t="s">
        <v>1286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258</v>
      </c>
      <c r="O17" t="s">
        <v>62</v>
      </c>
      <c r="P17" t="s">
        <v>1248</v>
      </c>
      <c r="Q17" t="s">
        <v>70</v>
      </c>
      <c r="R17" t="s">
        <v>57</v>
      </c>
      <c r="S17" t="s">
        <v>1218</v>
      </c>
      <c r="T17" s="133">
        <v>4.79</v>
      </c>
      <c r="U17" s="138">
        <v>48760</v>
      </c>
      <c r="V17" s="136">
        <v>2.9499999999999998E-2</v>
      </c>
      <c r="W17" s="136">
        <v>2.5100000000000001E-2</v>
      </c>
      <c r="X17" t="s">
        <v>620</v>
      </c>
      <c r="Y17"/>
      <c r="Z17" s="133">
        <v>17517261.59</v>
      </c>
      <c r="AA17" s="133">
        <v>1</v>
      </c>
      <c r="AB17" s="133">
        <v>121.01</v>
      </c>
      <c r="AC17" s="135"/>
      <c r="AD17" s="133">
        <v>21197.63825</v>
      </c>
      <c r="AE17" s="135"/>
      <c r="AF17" s="135"/>
      <c r="AG17"/>
      <c r="AH17" s="136">
        <v>1.2328E-2</v>
      </c>
      <c r="AI17" s="136">
        <v>9.4477000000000005E-2</v>
      </c>
      <c r="AJ17" s="136">
        <v>1.2509999999999999E-3</v>
      </c>
    </row>
    <row r="18" spans="1:36" x14ac:dyDescent="0.2">
      <c r="A18">
        <v>332</v>
      </c>
      <c r="B18">
        <v>332</v>
      </c>
      <c r="C18" t="s">
        <v>1215</v>
      </c>
      <c r="D18">
        <v>520000118</v>
      </c>
      <c r="E18" t="s">
        <v>429</v>
      </c>
      <c r="F18" t="s">
        <v>1287</v>
      </c>
      <c r="G18" t="s">
        <v>1288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1248</v>
      </c>
      <c r="Q18" t="s">
        <v>70</v>
      </c>
      <c r="R18" t="s">
        <v>57</v>
      </c>
      <c r="S18" t="s">
        <v>1218</v>
      </c>
      <c r="T18" s="133">
        <v>2.5499999999999998</v>
      </c>
      <c r="U18" s="138">
        <v>47819</v>
      </c>
      <c r="V18" s="136">
        <v>1.7500000000000002E-2</v>
      </c>
      <c r="W18" s="136">
        <v>2.5700000000000001E-2</v>
      </c>
      <c r="X18" t="s">
        <v>620</v>
      </c>
      <c r="Y18"/>
      <c r="Z18" s="133">
        <v>1466082.94</v>
      </c>
      <c r="AA18" s="133">
        <v>1</v>
      </c>
      <c r="AB18" s="133">
        <v>117.2</v>
      </c>
      <c r="AC18" s="135"/>
      <c r="AD18" s="133">
        <v>1718.2492099999999</v>
      </c>
      <c r="AE18" s="135"/>
      <c r="AF18" s="135"/>
      <c r="AG18"/>
      <c r="AH18" s="136">
        <v>6.5700000000000003E-4</v>
      </c>
      <c r="AI18" s="136">
        <v>7.6579999999999999E-3</v>
      </c>
      <c r="AJ18" s="136">
        <v>1.01E-4</v>
      </c>
    </row>
    <row r="19" spans="1:36" x14ac:dyDescent="0.2">
      <c r="A19">
        <v>332</v>
      </c>
      <c r="B19">
        <v>332</v>
      </c>
      <c r="C19" t="s">
        <v>1215</v>
      </c>
      <c r="D19">
        <v>520000118</v>
      </c>
      <c r="E19" t="s">
        <v>429</v>
      </c>
      <c r="F19" t="s">
        <v>1289</v>
      </c>
      <c r="G19" t="s">
        <v>1290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1248</v>
      </c>
      <c r="Q19" t="s">
        <v>70</v>
      </c>
      <c r="R19" t="s">
        <v>57</v>
      </c>
      <c r="S19" t="s">
        <v>1218</v>
      </c>
      <c r="T19" s="133">
        <v>3.09</v>
      </c>
      <c r="U19" s="138">
        <v>48191</v>
      </c>
      <c r="V19" s="136">
        <v>1E-3</v>
      </c>
      <c r="W19" s="136">
        <v>2.53E-2</v>
      </c>
      <c r="X19" t="s">
        <v>620</v>
      </c>
      <c r="Y19"/>
      <c r="Z19" s="133">
        <v>13124326.779999999</v>
      </c>
      <c r="AA19" s="133">
        <v>1</v>
      </c>
      <c r="AB19" s="133">
        <v>107.45</v>
      </c>
      <c r="AC19" s="135"/>
      <c r="AD19" s="133">
        <v>14102.08913</v>
      </c>
      <c r="AE19" s="135"/>
      <c r="AF19" s="135"/>
      <c r="AG19"/>
      <c r="AH19" s="136">
        <v>1.3335E-2</v>
      </c>
      <c r="AI19" s="136">
        <v>6.2852000000000005E-2</v>
      </c>
      <c r="AJ19" s="136">
        <v>8.3199999999999995E-4</v>
      </c>
    </row>
    <row r="20" spans="1:36" x14ac:dyDescent="0.2">
      <c r="A20">
        <v>332</v>
      </c>
      <c r="B20">
        <v>332</v>
      </c>
      <c r="C20" t="s">
        <v>1252</v>
      </c>
      <c r="D20">
        <v>520032046</v>
      </c>
      <c r="E20" t="s">
        <v>429</v>
      </c>
      <c r="F20" t="s">
        <v>1291</v>
      </c>
      <c r="G20" t="s">
        <v>1292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256</v>
      </c>
      <c r="O20" t="s">
        <v>62</v>
      </c>
      <c r="P20" t="s">
        <v>1217</v>
      </c>
      <c r="Q20" t="s">
        <v>65</v>
      </c>
      <c r="R20" t="s">
        <v>57</v>
      </c>
      <c r="S20" t="s">
        <v>1218</v>
      </c>
      <c r="T20" s="133">
        <v>3.05</v>
      </c>
      <c r="U20" s="138">
        <v>47048</v>
      </c>
      <c r="V20" s="136">
        <v>1E-3</v>
      </c>
      <c r="W20" s="136">
        <v>2.53E-2</v>
      </c>
      <c r="X20" t="s">
        <v>620</v>
      </c>
      <c r="Y20"/>
      <c r="Z20" s="133">
        <v>9855259</v>
      </c>
      <c r="AA20" s="133">
        <v>1</v>
      </c>
      <c r="AB20" s="133">
        <v>107.76</v>
      </c>
      <c r="AC20" s="135"/>
      <c r="AD20" s="133">
        <v>10620.027099999999</v>
      </c>
      <c r="AE20" s="135"/>
      <c r="AF20" s="135"/>
      <c r="AG20"/>
      <c r="AH20" s="136">
        <v>2.918E-3</v>
      </c>
      <c r="AI20" s="136">
        <v>4.7333E-2</v>
      </c>
      <c r="AJ20" s="136">
        <v>6.2600000000000004E-4</v>
      </c>
    </row>
    <row r="21" spans="1:36" x14ac:dyDescent="0.2">
      <c r="A21">
        <v>332</v>
      </c>
      <c r="B21">
        <v>332</v>
      </c>
      <c r="C21" t="s">
        <v>1252</v>
      </c>
      <c r="D21">
        <v>520032046</v>
      </c>
      <c r="E21" t="s">
        <v>429</v>
      </c>
      <c r="F21" t="s">
        <v>1293</v>
      </c>
      <c r="G21" t="s">
        <v>1294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1217</v>
      </c>
      <c r="Q21" t="s">
        <v>65</v>
      </c>
      <c r="R21" t="s">
        <v>57</v>
      </c>
      <c r="S21" t="s">
        <v>1218</v>
      </c>
      <c r="T21" s="133">
        <v>2.95</v>
      </c>
      <c r="U21" s="138">
        <v>47950</v>
      </c>
      <c r="V21" s="136">
        <v>1E-3</v>
      </c>
      <c r="W21" s="136">
        <v>2.5499999999999998E-2</v>
      </c>
      <c r="X21" t="s">
        <v>620</v>
      </c>
      <c r="Y21"/>
      <c r="Z21" s="133">
        <v>1746754</v>
      </c>
      <c r="AA21" s="133">
        <v>1</v>
      </c>
      <c r="AB21" s="133">
        <v>106.57</v>
      </c>
      <c r="AC21" s="135"/>
      <c r="AD21" s="133">
        <v>1861.5157400000001</v>
      </c>
      <c r="AE21" s="135"/>
      <c r="AF21" s="135"/>
      <c r="AG21"/>
      <c r="AH21" s="136">
        <v>7.8200000000000003E-4</v>
      </c>
      <c r="AI21" s="136">
        <v>8.2959999999999996E-3</v>
      </c>
      <c r="AJ21" s="136">
        <v>1.0900000000000001E-4</v>
      </c>
    </row>
    <row r="22" spans="1:36" x14ac:dyDescent="0.2">
      <c r="A22">
        <v>332</v>
      </c>
      <c r="B22">
        <v>332</v>
      </c>
      <c r="C22" t="s">
        <v>1272</v>
      </c>
      <c r="D22">
        <v>513893123</v>
      </c>
      <c r="E22" t="s">
        <v>429</v>
      </c>
      <c r="F22" t="s">
        <v>1295</v>
      </c>
      <c r="G22" t="s">
        <v>1296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633</v>
      </c>
      <c r="O22" t="s">
        <v>62</v>
      </c>
      <c r="P22" t="s">
        <v>1275</v>
      </c>
      <c r="Q22" t="s">
        <v>70</v>
      </c>
      <c r="R22" t="s">
        <v>57</v>
      </c>
      <c r="S22" t="s">
        <v>1218</v>
      </c>
      <c r="T22" s="133">
        <v>0.34</v>
      </c>
      <c r="U22" s="138">
        <v>46054</v>
      </c>
      <c r="V22" s="136">
        <v>0.01</v>
      </c>
      <c r="W22" s="136">
        <v>5.5899999999999998E-2</v>
      </c>
      <c r="X22" t="s">
        <v>620</v>
      </c>
      <c r="Y22"/>
      <c r="Z22" s="133">
        <v>210113.76</v>
      </c>
      <c r="AA22" s="133">
        <v>1</v>
      </c>
      <c r="AB22" s="133">
        <v>115.9</v>
      </c>
      <c r="AC22" s="135"/>
      <c r="AD22" s="133">
        <v>243.52185</v>
      </c>
      <c r="AE22" s="135"/>
      <c r="AF22" s="135"/>
      <c r="AG22"/>
      <c r="AH22" s="136">
        <v>6.2110000000000004E-3</v>
      </c>
      <c r="AI22" s="136">
        <v>1.085E-3</v>
      </c>
      <c r="AJ22" s="136">
        <v>1.4E-5</v>
      </c>
    </row>
    <row r="23" spans="1:36" x14ac:dyDescent="0.2">
      <c r="H23" s="4"/>
      <c r="L23"/>
    </row>
    <row r="24" spans="1:36" x14ac:dyDescent="0.2">
      <c r="L24"/>
    </row>
    <row r="25" spans="1:36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2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2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7.75" style="4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938</v>
      </c>
      <c r="U1" s="132" t="s">
        <v>1153</v>
      </c>
      <c r="V1" s="140" t="s">
        <v>18</v>
      </c>
      <c r="W1" s="140" t="s">
        <v>19</v>
      </c>
      <c r="X1" s="140" t="s">
        <v>30</v>
      </c>
    </row>
    <row r="2" spans="1:24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3"/>
      <c r="R2" s="133"/>
      <c r="S2" s="133"/>
      <c r="T2" s="133"/>
      <c r="U2" s="133"/>
      <c r="V2" s="136"/>
      <c r="W2" s="136"/>
      <c r="X2" s="136"/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75" style="2" bestFit="1" customWidth="1"/>
    <col min="5" max="5" width="9.125" style="4" bestFit="1" customWidth="1"/>
    <col min="6" max="6" width="33.8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42.875" style="145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2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2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332</v>
      </c>
      <c r="B2">
        <v>332</v>
      </c>
      <c r="C2" t="s">
        <v>1297</v>
      </c>
      <c r="D2">
        <v>511776783</v>
      </c>
      <c r="E2" t="s">
        <v>429</v>
      </c>
      <c r="F2" t="s">
        <v>1298</v>
      </c>
      <c r="G2" t="s">
        <v>1299</v>
      </c>
      <c r="H2" t="s">
        <v>76</v>
      </c>
      <c r="I2" t="s">
        <v>234</v>
      </c>
      <c r="J2" t="s">
        <v>53</v>
      </c>
      <c r="K2" t="s">
        <v>53</v>
      </c>
      <c r="L2" t="s">
        <v>311</v>
      </c>
      <c r="M2" s="143" t="s">
        <v>1044</v>
      </c>
      <c r="N2" t="s">
        <v>62</v>
      </c>
      <c r="O2" t="s">
        <v>1218</v>
      </c>
      <c r="P2" s="133">
        <v>234781</v>
      </c>
      <c r="Q2" s="133">
        <v>1</v>
      </c>
      <c r="R2" s="133">
        <v>3163</v>
      </c>
      <c r="S2" s="133"/>
      <c r="T2" s="133">
        <v>7426.1230299999997</v>
      </c>
      <c r="U2" s="136">
        <v>2.7550000000000001E-3</v>
      </c>
      <c r="V2" s="136">
        <v>6.9699999999999996E-3</v>
      </c>
      <c r="W2" s="136">
        <v>4.3800000000000002E-4</v>
      </c>
    </row>
    <row r="3" spans="1:23" x14ac:dyDescent="0.2">
      <c r="A3">
        <v>332</v>
      </c>
      <c r="B3">
        <v>332</v>
      </c>
      <c r="C3" t="s">
        <v>1300</v>
      </c>
      <c r="D3">
        <v>510938608</v>
      </c>
      <c r="E3" t="s">
        <v>429</v>
      </c>
      <c r="F3" t="s">
        <v>1301</v>
      </c>
      <c r="G3" t="s">
        <v>1302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3" t="s">
        <v>964</v>
      </c>
      <c r="N3" t="s">
        <v>62</v>
      </c>
      <c r="O3" t="s">
        <v>1218</v>
      </c>
      <c r="P3" s="133">
        <v>313071</v>
      </c>
      <c r="Q3" s="133">
        <v>1</v>
      </c>
      <c r="R3" s="133">
        <v>3786.01</v>
      </c>
      <c r="S3" s="135"/>
      <c r="T3" s="133">
        <v>11852.899369999999</v>
      </c>
      <c r="U3" s="136">
        <v>1.4227999999999999E-2</v>
      </c>
      <c r="V3" s="136">
        <v>1.1124999999999999E-2</v>
      </c>
      <c r="W3" s="136">
        <v>6.9899999999999997E-4</v>
      </c>
    </row>
    <row r="4" spans="1:23" x14ac:dyDescent="0.2">
      <c r="A4">
        <v>332</v>
      </c>
      <c r="B4">
        <v>332</v>
      </c>
      <c r="C4" t="s">
        <v>1303</v>
      </c>
      <c r="D4">
        <v>513534974</v>
      </c>
      <c r="E4" t="s">
        <v>429</v>
      </c>
      <c r="F4" t="s">
        <v>1304</v>
      </c>
      <c r="G4" t="s">
        <v>1305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3" t="s">
        <v>964</v>
      </c>
      <c r="N4" t="s">
        <v>62</v>
      </c>
      <c r="O4" t="s">
        <v>1218</v>
      </c>
      <c r="P4" s="133">
        <v>517738</v>
      </c>
      <c r="Q4" s="133">
        <v>1</v>
      </c>
      <c r="R4" s="133">
        <v>380.93</v>
      </c>
      <c r="S4" s="135"/>
      <c r="T4" s="133">
        <v>1972.2193600000001</v>
      </c>
      <c r="U4" s="136">
        <v>9.01E-4</v>
      </c>
      <c r="V4" s="136">
        <v>1.851E-3</v>
      </c>
      <c r="W4" s="136">
        <v>1.16E-4</v>
      </c>
    </row>
    <row r="5" spans="1:23" x14ac:dyDescent="0.2">
      <c r="A5">
        <v>332</v>
      </c>
      <c r="B5">
        <v>332</v>
      </c>
      <c r="C5" t="s">
        <v>1297</v>
      </c>
      <c r="D5">
        <v>511776783</v>
      </c>
      <c r="E5" t="s">
        <v>429</v>
      </c>
      <c r="F5" t="s">
        <v>1306</v>
      </c>
      <c r="G5" t="s">
        <v>1307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3" t="s">
        <v>963</v>
      </c>
      <c r="N5" t="s">
        <v>62</v>
      </c>
      <c r="O5" t="s">
        <v>1218</v>
      </c>
      <c r="P5" s="133">
        <v>4845640</v>
      </c>
      <c r="Q5" s="133">
        <v>1</v>
      </c>
      <c r="R5" s="133">
        <v>401.77</v>
      </c>
      <c r="S5" s="135"/>
      <c r="T5" s="133">
        <v>19468.327829999998</v>
      </c>
      <c r="U5" s="136">
        <v>1.9875E-2</v>
      </c>
      <c r="V5" s="136">
        <v>1.8273999999999999E-2</v>
      </c>
      <c r="W5" s="136">
        <v>1.1490000000000001E-3</v>
      </c>
    </row>
    <row r="6" spans="1:23" x14ac:dyDescent="0.2">
      <c r="A6">
        <v>332</v>
      </c>
      <c r="B6">
        <v>332</v>
      </c>
      <c r="C6" t="s">
        <v>1308</v>
      </c>
      <c r="D6">
        <v>511303661</v>
      </c>
      <c r="E6" t="s">
        <v>429</v>
      </c>
      <c r="F6" t="s">
        <v>1309</v>
      </c>
      <c r="G6" t="s">
        <v>1310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3" t="s">
        <v>1044</v>
      </c>
      <c r="N6" t="s">
        <v>62</v>
      </c>
      <c r="O6" t="s">
        <v>1218</v>
      </c>
      <c r="P6" s="133">
        <v>1394109</v>
      </c>
      <c r="Q6" s="133">
        <v>1</v>
      </c>
      <c r="R6" s="133">
        <v>4301</v>
      </c>
      <c r="S6" s="135"/>
      <c r="T6" s="133">
        <v>59960.628089999998</v>
      </c>
      <c r="U6" s="136">
        <v>1.9914999999999999E-2</v>
      </c>
      <c r="V6" s="136">
        <v>5.6281999999999999E-2</v>
      </c>
      <c r="W6" s="136">
        <v>3.539E-3</v>
      </c>
    </row>
    <row r="7" spans="1:23" x14ac:dyDescent="0.2">
      <c r="A7">
        <v>332</v>
      </c>
      <c r="B7">
        <v>332</v>
      </c>
      <c r="C7" t="s">
        <v>1300</v>
      </c>
      <c r="D7">
        <v>510938608</v>
      </c>
      <c r="E7" t="s">
        <v>429</v>
      </c>
      <c r="F7" t="s">
        <v>1311</v>
      </c>
      <c r="G7" t="s">
        <v>1312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3" t="s">
        <v>1044</v>
      </c>
      <c r="N7" t="s">
        <v>62</v>
      </c>
      <c r="O7" t="s">
        <v>1218</v>
      </c>
      <c r="P7" s="133">
        <v>217682.29</v>
      </c>
      <c r="Q7" s="133">
        <v>1</v>
      </c>
      <c r="R7" s="133">
        <v>31380</v>
      </c>
      <c r="S7" s="135"/>
      <c r="T7" s="133">
        <v>68308.702600000004</v>
      </c>
      <c r="U7" s="136">
        <v>1.1251000000000001E-2</v>
      </c>
      <c r="V7" s="136">
        <v>6.4117999999999994E-2</v>
      </c>
      <c r="W7" s="136">
        <v>4.0309999999999999E-3</v>
      </c>
    </row>
    <row r="8" spans="1:23" x14ac:dyDescent="0.2">
      <c r="A8">
        <v>332</v>
      </c>
      <c r="B8">
        <v>332</v>
      </c>
      <c r="C8" t="s">
        <v>1313</v>
      </c>
      <c r="D8">
        <v>513765339</v>
      </c>
      <c r="E8" t="s">
        <v>429</v>
      </c>
      <c r="F8" t="s">
        <v>1314</v>
      </c>
      <c r="G8" t="s">
        <v>1315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3" t="s">
        <v>964</v>
      </c>
      <c r="N8" t="s">
        <v>62</v>
      </c>
      <c r="O8" t="s">
        <v>1218</v>
      </c>
      <c r="P8" s="133">
        <v>3177180</v>
      </c>
      <c r="Q8" s="133">
        <v>1</v>
      </c>
      <c r="R8" s="133">
        <v>381.77</v>
      </c>
      <c r="S8" s="135"/>
      <c r="T8" s="133">
        <v>12129.52009</v>
      </c>
      <c r="U8" s="136">
        <v>3.3310000000000002E-3</v>
      </c>
      <c r="V8" s="136">
        <v>1.1384999999999999E-2</v>
      </c>
      <c r="W8" s="136">
        <v>7.1500000000000003E-4</v>
      </c>
    </row>
    <row r="9" spans="1:23" x14ac:dyDescent="0.2">
      <c r="A9">
        <v>332</v>
      </c>
      <c r="B9">
        <v>332</v>
      </c>
      <c r="C9" t="s">
        <v>1303</v>
      </c>
      <c r="D9">
        <v>513534974</v>
      </c>
      <c r="E9" t="s">
        <v>429</v>
      </c>
      <c r="F9" t="s">
        <v>1316</v>
      </c>
      <c r="G9" t="s">
        <v>1317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3" t="s">
        <v>1044</v>
      </c>
      <c r="N9" t="s">
        <v>62</v>
      </c>
      <c r="O9" t="s">
        <v>1218</v>
      </c>
      <c r="P9" s="133">
        <v>2295854</v>
      </c>
      <c r="Q9" s="133">
        <v>1</v>
      </c>
      <c r="R9" s="133">
        <v>3151</v>
      </c>
      <c r="S9" s="135"/>
      <c r="T9" s="133">
        <v>72342.359540000005</v>
      </c>
      <c r="U9" s="136">
        <v>8.9529999999999992E-3</v>
      </c>
      <c r="V9" s="136">
        <v>6.7904000000000006E-2</v>
      </c>
      <c r="W9" s="136">
        <v>4.2690000000000002E-3</v>
      </c>
    </row>
    <row r="10" spans="1:23" x14ac:dyDescent="0.2">
      <c r="A10">
        <v>332</v>
      </c>
      <c r="B10">
        <v>332</v>
      </c>
      <c r="C10" t="s">
        <v>1297</v>
      </c>
      <c r="D10">
        <v>511776783</v>
      </c>
      <c r="E10" t="s">
        <v>429</v>
      </c>
      <c r="F10" t="s">
        <v>1318</v>
      </c>
      <c r="G10" t="s">
        <v>1319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43" t="s">
        <v>964</v>
      </c>
      <c r="N10" t="s">
        <v>62</v>
      </c>
      <c r="O10" t="s">
        <v>1218</v>
      </c>
      <c r="P10" s="133">
        <v>2238580</v>
      </c>
      <c r="Q10" s="133">
        <v>1</v>
      </c>
      <c r="R10" s="133">
        <v>380.94</v>
      </c>
      <c r="S10" s="135"/>
      <c r="T10" s="133">
        <v>8527.6466500000006</v>
      </c>
      <c r="U10" s="136">
        <v>1.5448999999999999E-2</v>
      </c>
      <c r="V10" s="136">
        <v>8.0040000000000007E-3</v>
      </c>
      <c r="W10" s="136">
        <v>5.0299999999999997E-4</v>
      </c>
    </row>
    <row r="11" spans="1:23" x14ac:dyDescent="0.2">
      <c r="A11">
        <v>332</v>
      </c>
      <c r="B11">
        <v>332</v>
      </c>
      <c r="C11" t="s">
        <v>1300</v>
      </c>
      <c r="D11">
        <v>510938608</v>
      </c>
      <c r="E11" t="s">
        <v>429</v>
      </c>
      <c r="F11" t="s">
        <v>1320</v>
      </c>
      <c r="G11" t="s">
        <v>1321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3" t="s">
        <v>963</v>
      </c>
      <c r="N11" t="s">
        <v>62</v>
      </c>
      <c r="O11" t="s">
        <v>1218</v>
      </c>
      <c r="P11" s="133">
        <v>832723.37</v>
      </c>
      <c r="Q11" s="133">
        <v>1</v>
      </c>
      <c r="R11" s="133">
        <v>3977.99</v>
      </c>
      <c r="S11" s="135"/>
      <c r="T11" s="133">
        <v>33125.652390000003</v>
      </c>
      <c r="U11" s="136">
        <v>1.5959999999999998E-2</v>
      </c>
      <c r="V11" s="136">
        <v>3.1092999999999999E-2</v>
      </c>
      <c r="W11" s="136">
        <v>1.9550000000000001E-3</v>
      </c>
    </row>
    <row r="12" spans="1:23" x14ac:dyDescent="0.2">
      <c r="A12">
        <v>332</v>
      </c>
      <c r="B12">
        <v>332</v>
      </c>
      <c r="C12" t="s">
        <v>1322</v>
      </c>
      <c r="D12" t="s">
        <v>1323</v>
      </c>
      <c r="E12" t="s">
        <v>430</v>
      </c>
      <c r="F12" t="s">
        <v>1324</v>
      </c>
      <c r="G12" t="s">
        <v>1325</v>
      </c>
      <c r="H12" t="s">
        <v>76</v>
      </c>
      <c r="I12" t="s">
        <v>235</v>
      </c>
      <c r="J12" t="s">
        <v>61</v>
      </c>
      <c r="K12" t="s">
        <v>316</v>
      </c>
      <c r="L12" t="s">
        <v>494</v>
      </c>
      <c r="M12" s="143" t="s">
        <v>759</v>
      </c>
      <c r="N12" t="s">
        <v>62</v>
      </c>
      <c r="O12" t="s">
        <v>1224</v>
      </c>
      <c r="P12" s="133">
        <v>390491</v>
      </c>
      <c r="Q12" s="133">
        <v>3.306</v>
      </c>
      <c r="R12" s="133">
        <v>4596</v>
      </c>
      <c r="S12" s="135"/>
      <c r="T12" s="133">
        <v>59332.670789999996</v>
      </c>
      <c r="U12" s="136">
        <v>1.206E-3</v>
      </c>
      <c r="V12" s="136">
        <v>5.5691999999999998E-2</v>
      </c>
      <c r="W12" s="136">
        <v>3.5019999999999999E-3</v>
      </c>
    </row>
    <row r="13" spans="1:23" x14ac:dyDescent="0.2">
      <c r="A13">
        <v>332</v>
      </c>
      <c r="B13">
        <v>332</v>
      </c>
      <c r="C13" t="s">
        <v>1326</v>
      </c>
      <c r="D13" t="s">
        <v>1327</v>
      </c>
      <c r="E13" t="s">
        <v>430</v>
      </c>
      <c r="F13" t="s">
        <v>1328</v>
      </c>
      <c r="G13" t="s">
        <v>1329</v>
      </c>
      <c r="H13" t="s">
        <v>76</v>
      </c>
      <c r="I13" t="s">
        <v>235</v>
      </c>
      <c r="J13" t="s">
        <v>61</v>
      </c>
      <c r="K13" t="s">
        <v>316</v>
      </c>
      <c r="L13" t="s">
        <v>494</v>
      </c>
      <c r="M13" s="143" t="s">
        <v>759</v>
      </c>
      <c r="N13" t="s">
        <v>62</v>
      </c>
      <c r="O13" t="s">
        <v>1224</v>
      </c>
      <c r="P13" s="133">
        <v>442630</v>
      </c>
      <c r="Q13" s="133">
        <v>3.306</v>
      </c>
      <c r="R13" s="133">
        <v>12580</v>
      </c>
      <c r="S13" s="135"/>
      <c r="T13" s="133">
        <v>184087.51532000001</v>
      </c>
      <c r="U13" s="136">
        <v>4.6500000000000003E-4</v>
      </c>
      <c r="V13" s="136">
        <v>0.172794</v>
      </c>
      <c r="W13" s="136">
        <v>1.0865E-2</v>
      </c>
    </row>
    <row r="14" spans="1:23" x14ac:dyDescent="0.2">
      <c r="A14">
        <v>332</v>
      </c>
      <c r="B14">
        <v>332</v>
      </c>
      <c r="C14" t="s">
        <v>1330</v>
      </c>
      <c r="D14" t="s">
        <v>1331</v>
      </c>
      <c r="E14" t="s">
        <v>430</v>
      </c>
      <c r="F14" t="s">
        <v>1332</v>
      </c>
      <c r="G14" t="s">
        <v>1333</v>
      </c>
      <c r="H14" t="s">
        <v>76</v>
      </c>
      <c r="I14" t="s">
        <v>235</v>
      </c>
      <c r="J14" t="s">
        <v>61</v>
      </c>
      <c r="K14" t="s">
        <v>316</v>
      </c>
      <c r="L14" t="s">
        <v>494</v>
      </c>
      <c r="M14" s="143" t="s">
        <v>759</v>
      </c>
      <c r="N14" t="s">
        <v>62</v>
      </c>
      <c r="O14" t="s">
        <v>1224</v>
      </c>
      <c r="P14" s="133">
        <v>825000</v>
      </c>
      <c r="Q14" s="133">
        <v>3.306</v>
      </c>
      <c r="R14" s="133">
        <v>13492</v>
      </c>
      <c r="S14" s="135"/>
      <c r="T14" s="133">
        <v>367987.554</v>
      </c>
      <c r="U14" s="136">
        <v>1.5924000000000001E-2</v>
      </c>
      <c r="V14" s="136">
        <v>0.34541300000000003</v>
      </c>
      <c r="W14" s="136">
        <v>2.172E-2</v>
      </c>
    </row>
    <row r="15" spans="1:23" x14ac:dyDescent="0.2">
      <c r="A15">
        <v>332</v>
      </c>
      <c r="B15">
        <v>332</v>
      </c>
      <c r="C15" t="s">
        <v>1334</v>
      </c>
      <c r="D15" t="s">
        <v>1335</v>
      </c>
      <c r="E15" t="s">
        <v>430</v>
      </c>
      <c r="F15" t="s">
        <v>1336</v>
      </c>
      <c r="G15" t="s">
        <v>1337</v>
      </c>
      <c r="H15" t="s">
        <v>76</v>
      </c>
      <c r="I15" t="s">
        <v>235</v>
      </c>
      <c r="J15" t="s">
        <v>61</v>
      </c>
      <c r="K15" t="s">
        <v>317</v>
      </c>
      <c r="L15" t="s">
        <v>494</v>
      </c>
      <c r="M15" s="143" t="s">
        <v>759</v>
      </c>
      <c r="N15" t="s">
        <v>62</v>
      </c>
      <c r="O15" t="s">
        <v>1224</v>
      </c>
      <c r="P15" s="133">
        <v>420854</v>
      </c>
      <c r="Q15" s="133">
        <v>3.306</v>
      </c>
      <c r="R15" s="133">
        <v>5994</v>
      </c>
      <c r="S15" s="135"/>
      <c r="T15" s="133">
        <v>83397.118839999996</v>
      </c>
      <c r="U15" s="136">
        <v>6.973E-3</v>
      </c>
      <c r="V15" s="136">
        <v>7.8281000000000003E-2</v>
      </c>
      <c r="W15" s="136">
        <v>4.9220000000000002E-3</v>
      </c>
    </row>
    <row r="16" spans="1:23" x14ac:dyDescent="0.2">
      <c r="A16">
        <v>332</v>
      </c>
      <c r="B16">
        <v>332</v>
      </c>
      <c r="C16" t="s">
        <v>1338</v>
      </c>
      <c r="D16" t="s">
        <v>1339</v>
      </c>
      <c r="E16" t="s">
        <v>430</v>
      </c>
      <c r="F16" t="s">
        <v>1340</v>
      </c>
      <c r="G16" t="s">
        <v>1341</v>
      </c>
      <c r="H16" t="s">
        <v>76</v>
      </c>
      <c r="I16" t="s">
        <v>235</v>
      </c>
      <c r="J16" t="s">
        <v>61</v>
      </c>
      <c r="K16" t="s">
        <v>316</v>
      </c>
      <c r="L16" t="s">
        <v>494</v>
      </c>
      <c r="M16" s="143" t="s">
        <v>759</v>
      </c>
      <c r="N16" t="s">
        <v>62</v>
      </c>
      <c r="O16" t="s">
        <v>1224</v>
      </c>
      <c r="P16" s="133">
        <v>165924</v>
      </c>
      <c r="Q16" s="133">
        <v>3.306</v>
      </c>
      <c r="R16" s="133">
        <v>13752</v>
      </c>
      <c r="S16" s="135"/>
      <c r="T16" s="133">
        <v>75435.873189999998</v>
      </c>
      <c r="U16" s="136">
        <v>1.2359999999999999E-3</v>
      </c>
      <c r="V16" s="136">
        <v>7.0807999999999996E-2</v>
      </c>
      <c r="W16" s="136">
        <v>4.4520000000000002E-3</v>
      </c>
    </row>
    <row r="17" spans="1:2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44"/>
      <c r="N17" s="19"/>
      <c r="O17" s="17"/>
      <c r="P17" s="17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44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44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44"/>
      <c r="N20" s="19"/>
      <c r="P20" s="17"/>
    </row>
    <row r="21" spans="1:23" x14ac:dyDescent="0.2">
      <c r="H21" s="4"/>
      <c r="L21" s="4"/>
      <c r="M21" s="143"/>
    </row>
    <row r="22" spans="1:23" x14ac:dyDescent="0.2">
      <c r="L22" s="4"/>
      <c r="M22" s="143"/>
    </row>
    <row r="23" spans="1:23" x14ac:dyDescent="0.2">
      <c r="M23" s="143"/>
    </row>
    <row r="24" spans="1:23" x14ac:dyDescent="0.2">
      <c r="M24" s="143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6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2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40" t="s">
        <v>18</v>
      </c>
      <c r="V1" s="140" t="s">
        <v>19</v>
      </c>
      <c r="W1" s="140" t="s">
        <v>30</v>
      </c>
    </row>
    <row r="2" spans="1:23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43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9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40" t="s">
        <v>19</v>
      </c>
      <c r="Y1" s="140" t="s">
        <v>30</v>
      </c>
    </row>
    <row r="2" spans="1:25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9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40" t="s">
        <v>19</v>
      </c>
      <c r="X1" s="140" t="s">
        <v>30</v>
      </c>
    </row>
    <row r="2" spans="1:24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40" t="s">
        <v>19</v>
      </c>
      <c r="T1" s="140" t="s">
        <v>30</v>
      </c>
    </row>
    <row r="2" spans="1:20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40" t="s">
        <v>14</v>
      </c>
      <c r="R1" s="140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40" t="s">
        <v>19</v>
      </c>
      <c r="AB1" s="140" t="s">
        <v>30</v>
      </c>
    </row>
    <row r="2" spans="1:28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9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9" t="s">
        <v>421</v>
      </c>
      <c r="P1" s="140" t="s">
        <v>14</v>
      </c>
      <c r="Q1" s="140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40" t="s">
        <v>19</v>
      </c>
      <c r="Y1" s="140" t="s">
        <v>30</v>
      </c>
    </row>
    <row r="2" spans="1:25" x14ac:dyDescent="0.2">
      <c r="A2">
        <v>332</v>
      </c>
      <c r="B2">
        <v>332</v>
      </c>
      <c r="I2"/>
      <c r="J2" s="138"/>
      <c r="N2" s="133"/>
      <c r="O2" s="138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1.625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2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332</v>
      </c>
      <c r="B2">
        <v>332</v>
      </c>
      <c r="C2" t="s">
        <v>649</v>
      </c>
      <c r="D2" t="s">
        <v>1342</v>
      </c>
      <c r="E2">
        <v>8287989</v>
      </c>
      <c r="F2" s="138">
        <v>41275</v>
      </c>
      <c r="G2" s="133">
        <v>2.15</v>
      </c>
      <c r="H2" t="s">
        <v>229</v>
      </c>
      <c r="I2" s="138">
        <v>46754</v>
      </c>
      <c r="J2" s="136">
        <v>4.8000000000000001E-2</v>
      </c>
      <c r="K2" s="136">
        <v>2.01E-2</v>
      </c>
      <c r="L2" s="133">
        <v>57618000</v>
      </c>
      <c r="M2" s="133">
        <v>129.62450000000001</v>
      </c>
      <c r="N2" s="133">
        <v>74687.017559999993</v>
      </c>
      <c r="O2" s="133"/>
      <c r="Q2" s="136">
        <v>5.9334999999999999E-2</v>
      </c>
      <c r="R2" s="136">
        <v>4.4079999999999996E-3</v>
      </c>
    </row>
    <row r="3" spans="1:18" x14ac:dyDescent="0.2">
      <c r="A3">
        <v>332</v>
      </c>
      <c r="B3">
        <v>332</v>
      </c>
      <c r="C3" t="s">
        <v>649</v>
      </c>
      <c r="D3" t="s">
        <v>1343</v>
      </c>
      <c r="E3">
        <v>8288359</v>
      </c>
      <c r="F3" s="138">
        <v>42401</v>
      </c>
      <c r="G3" s="133">
        <v>4.79</v>
      </c>
      <c r="H3" t="s">
        <v>229</v>
      </c>
      <c r="I3" s="138">
        <v>47880</v>
      </c>
      <c r="J3" s="136">
        <v>4.8000000000000001E-2</v>
      </c>
      <c r="K3" s="136">
        <v>1.9300000000000001E-2</v>
      </c>
      <c r="L3" s="133">
        <v>17243000</v>
      </c>
      <c r="M3" s="133">
        <v>138.1909</v>
      </c>
      <c r="N3" s="133">
        <v>23828.261760000001</v>
      </c>
      <c r="O3" s="135"/>
      <c r="Q3" s="136">
        <v>1.8929999999999999E-2</v>
      </c>
      <c r="R3" s="136">
        <v>1.4059999999999999E-3</v>
      </c>
    </row>
    <row r="4" spans="1:18" x14ac:dyDescent="0.2">
      <c r="A4">
        <v>332</v>
      </c>
      <c r="B4">
        <v>332</v>
      </c>
      <c r="C4" t="s">
        <v>649</v>
      </c>
      <c r="D4" t="s">
        <v>1344</v>
      </c>
      <c r="E4">
        <v>8288599</v>
      </c>
      <c r="F4" s="138">
        <v>43132</v>
      </c>
      <c r="G4" s="133">
        <v>6.35</v>
      </c>
      <c r="H4" t="s">
        <v>229</v>
      </c>
      <c r="I4" s="138">
        <v>48611</v>
      </c>
      <c r="J4" s="136">
        <v>4.8000000000000001E-2</v>
      </c>
      <c r="K4" s="136">
        <v>1.9199999999999998E-2</v>
      </c>
      <c r="L4" s="133">
        <v>47201000</v>
      </c>
      <c r="M4" s="133">
        <v>144.04040000000001</v>
      </c>
      <c r="N4" s="133">
        <v>67988.514209999994</v>
      </c>
      <c r="O4" s="135"/>
      <c r="Q4" s="136">
        <v>5.4014E-2</v>
      </c>
      <c r="R4" s="136">
        <v>4.0119999999999999E-3</v>
      </c>
    </row>
    <row r="5" spans="1:18" x14ac:dyDescent="0.2">
      <c r="A5">
        <v>332</v>
      </c>
      <c r="B5">
        <v>332</v>
      </c>
      <c r="C5" t="s">
        <v>649</v>
      </c>
      <c r="D5" t="s">
        <v>1345</v>
      </c>
      <c r="E5">
        <v>8288078</v>
      </c>
      <c r="F5" s="138">
        <v>41548</v>
      </c>
      <c r="G5" s="133">
        <v>2.78</v>
      </c>
      <c r="H5" t="s">
        <v>229</v>
      </c>
      <c r="I5" s="138">
        <v>47027</v>
      </c>
      <c r="J5" s="136">
        <v>4.8000000000000001E-2</v>
      </c>
      <c r="K5" s="136">
        <v>1.9699999999999999E-2</v>
      </c>
      <c r="L5" s="133">
        <v>126456000</v>
      </c>
      <c r="M5" s="133">
        <v>130.97559999999999</v>
      </c>
      <c r="N5" s="133">
        <v>165626.47872000001</v>
      </c>
      <c r="O5" s="135"/>
      <c r="Q5" s="136">
        <v>0.13158300000000001</v>
      </c>
      <c r="R5" s="136">
        <v>9.7750000000000007E-3</v>
      </c>
    </row>
    <row r="6" spans="1:18" x14ac:dyDescent="0.2">
      <c r="A6">
        <v>332</v>
      </c>
      <c r="B6">
        <v>332</v>
      </c>
      <c r="C6" t="s">
        <v>649</v>
      </c>
      <c r="D6" t="s">
        <v>1346</v>
      </c>
      <c r="E6">
        <v>8288839</v>
      </c>
      <c r="F6" s="138">
        <v>43863</v>
      </c>
      <c r="G6" s="133">
        <v>7.8</v>
      </c>
      <c r="H6" t="s">
        <v>229</v>
      </c>
      <c r="I6" s="138">
        <v>49342</v>
      </c>
      <c r="J6" s="136">
        <v>4.8000000000000001E-2</v>
      </c>
      <c r="K6" s="136">
        <v>1.9199999999999998E-2</v>
      </c>
      <c r="L6" s="133">
        <v>28080000</v>
      </c>
      <c r="M6" s="133">
        <v>147.78890000000001</v>
      </c>
      <c r="N6" s="133">
        <v>41499.130640000003</v>
      </c>
      <c r="O6" s="135"/>
      <c r="Q6" s="136">
        <v>3.2968999999999998E-2</v>
      </c>
      <c r="R6" s="136">
        <v>2.4489999999999998E-3</v>
      </c>
    </row>
    <row r="7" spans="1:18" x14ac:dyDescent="0.2">
      <c r="A7">
        <v>332</v>
      </c>
      <c r="B7">
        <v>332</v>
      </c>
      <c r="C7" t="s">
        <v>649</v>
      </c>
      <c r="D7" t="s">
        <v>1347</v>
      </c>
      <c r="E7">
        <v>8288227</v>
      </c>
      <c r="F7" s="138">
        <v>42005</v>
      </c>
      <c r="G7" s="133">
        <v>3.88</v>
      </c>
      <c r="H7" t="s">
        <v>229</v>
      </c>
      <c r="I7" s="138">
        <v>47484</v>
      </c>
      <c r="J7" s="136">
        <v>4.8000000000000001E-2</v>
      </c>
      <c r="K7" s="136">
        <v>1.9400000000000001E-2</v>
      </c>
      <c r="L7" s="133">
        <v>9850000</v>
      </c>
      <c r="M7" s="133">
        <v>133.8629</v>
      </c>
      <c r="N7" s="133">
        <v>13185.492609999999</v>
      </c>
      <c r="O7" s="135"/>
      <c r="Q7" s="136">
        <v>1.0475E-2</v>
      </c>
      <c r="R7" s="136">
        <v>7.7800000000000005E-4</v>
      </c>
    </row>
    <row r="8" spans="1:18" x14ac:dyDescent="0.2">
      <c r="A8">
        <v>332</v>
      </c>
      <c r="B8">
        <v>332</v>
      </c>
      <c r="C8" t="s">
        <v>649</v>
      </c>
      <c r="D8" t="s">
        <v>1348</v>
      </c>
      <c r="E8">
        <v>8288474</v>
      </c>
      <c r="F8" s="138">
        <v>42767</v>
      </c>
      <c r="G8" s="133">
        <v>5.58</v>
      </c>
      <c r="H8" t="s">
        <v>229</v>
      </c>
      <c r="I8" s="138">
        <v>48245</v>
      </c>
      <c r="J8" s="136">
        <v>4.8000000000000001E-2</v>
      </c>
      <c r="K8" s="136">
        <v>1.9199999999999998E-2</v>
      </c>
      <c r="L8" s="133">
        <v>71372000</v>
      </c>
      <c r="M8" s="133">
        <v>141.58109999999999</v>
      </c>
      <c r="N8" s="133">
        <v>101049.28428000001</v>
      </c>
      <c r="O8" s="135"/>
      <c r="Q8" s="136">
        <v>8.0279000000000003E-2</v>
      </c>
      <c r="R8" s="136">
        <v>5.9639999999999997E-3</v>
      </c>
    </row>
    <row r="9" spans="1:18" x14ac:dyDescent="0.2">
      <c r="A9">
        <v>332</v>
      </c>
      <c r="B9">
        <v>332</v>
      </c>
      <c r="C9" t="s">
        <v>649</v>
      </c>
      <c r="D9" t="s">
        <v>1349</v>
      </c>
      <c r="E9">
        <v>8288979</v>
      </c>
      <c r="F9" s="138">
        <v>44318</v>
      </c>
      <c r="G9" s="133">
        <v>8.59</v>
      </c>
      <c r="H9" t="s">
        <v>229</v>
      </c>
      <c r="I9" s="138">
        <v>49797</v>
      </c>
      <c r="J9" s="136">
        <v>4.8000000000000001E-2</v>
      </c>
      <c r="K9" s="136">
        <v>1.9300000000000001E-2</v>
      </c>
      <c r="L9" s="133">
        <v>51909000</v>
      </c>
      <c r="M9" s="133">
        <v>152.50190000000001</v>
      </c>
      <c r="N9" s="133">
        <v>79162.206640000004</v>
      </c>
      <c r="O9" s="135"/>
      <c r="Q9" s="136">
        <v>6.2891000000000002E-2</v>
      </c>
      <c r="R9" s="136">
        <v>4.6719999999999999E-3</v>
      </c>
    </row>
    <row r="10" spans="1:18" x14ac:dyDescent="0.2">
      <c r="A10">
        <v>332</v>
      </c>
      <c r="B10">
        <v>332</v>
      </c>
      <c r="C10" t="s">
        <v>649</v>
      </c>
      <c r="D10" t="s">
        <v>1350</v>
      </c>
      <c r="E10">
        <v>8287740</v>
      </c>
      <c r="F10" s="138">
        <v>40545</v>
      </c>
      <c r="G10" s="133">
        <v>0.26</v>
      </c>
      <c r="H10" t="s">
        <v>229</v>
      </c>
      <c r="I10" s="138">
        <v>46024</v>
      </c>
      <c r="J10" s="136">
        <v>4.8000000000000001E-2</v>
      </c>
      <c r="K10" s="136">
        <v>2.1499999999999998E-2</v>
      </c>
      <c r="L10" s="133">
        <v>188571000</v>
      </c>
      <c r="M10" s="133">
        <v>127.94670000000001</v>
      </c>
      <c r="N10" s="133">
        <v>241270.44084</v>
      </c>
      <c r="O10" s="135"/>
      <c r="Q10" s="136">
        <v>0.19167899999999999</v>
      </c>
      <c r="R10" s="136">
        <v>1.4239999999999999E-2</v>
      </c>
    </row>
    <row r="11" spans="1:18" x14ac:dyDescent="0.2">
      <c r="A11">
        <v>332</v>
      </c>
      <c r="B11">
        <v>332</v>
      </c>
      <c r="C11" t="s">
        <v>649</v>
      </c>
      <c r="D11" t="s">
        <v>1351</v>
      </c>
      <c r="E11">
        <v>8288714</v>
      </c>
      <c r="F11" s="138">
        <v>43497</v>
      </c>
      <c r="G11" s="133">
        <v>7.09</v>
      </c>
      <c r="H11" t="s">
        <v>229</v>
      </c>
      <c r="I11" s="138">
        <v>48976</v>
      </c>
      <c r="J11" s="136">
        <v>4.8000000000000001E-2</v>
      </c>
      <c r="K11" s="136">
        <v>1.9199999999999998E-2</v>
      </c>
      <c r="L11" s="133">
        <v>51977000</v>
      </c>
      <c r="M11" s="133">
        <v>145.83070000000001</v>
      </c>
      <c r="N11" s="133">
        <v>75798.421820000003</v>
      </c>
      <c r="O11" s="135"/>
      <c r="Q11" s="136">
        <v>6.0218000000000001E-2</v>
      </c>
      <c r="R11" s="136">
        <v>4.4730000000000004E-3</v>
      </c>
    </row>
    <row r="12" spans="1:18" x14ac:dyDescent="0.2">
      <c r="A12">
        <v>332</v>
      </c>
      <c r="B12">
        <v>332</v>
      </c>
      <c r="C12" t="s">
        <v>649</v>
      </c>
      <c r="D12" t="s">
        <v>1352</v>
      </c>
      <c r="E12">
        <v>8288987</v>
      </c>
      <c r="F12" s="138">
        <v>44348</v>
      </c>
      <c r="G12" s="133">
        <v>8.67</v>
      </c>
      <c r="H12" t="s">
        <v>229</v>
      </c>
      <c r="I12" s="138">
        <v>49827</v>
      </c>
      <c r="J12" s="136">
        <v>4.8000000000000001E-2</v>
      </c>
      <c r="K12" s="136">
        <v>1.9300000000000001E-2</v>
      </c>
      <c r="L12" s="133">
        <v>163872000</v>
      </c>
      <c r="M12" s="133">
        <v>151.80619999999999</v>
      </c>
      <c r="N12" s="133">
        <v>248767.78083999999</v>
      </c>
      <c r="O12" s="135"/>
      <c r="Q12" s="136">
        <v>0.19763600000000001</v>
      </c>
      <c r="R12" s="136">
        <v>1.4683E-2</v>
      </c>
    </row>
    <row r="13" spans="1:18" x14ac:dyDescent="0.2">
      <c r="A13">
        <v>332</v>
      </c>
      <c r="B13">
        <v>332</v>
      </c>
      <c r="C13" t="s">
        <v>649</v>
      </c>
      <c r="D13" t="s">
        <v>1353</v>
      </c>
      <c r="E13">
        <v>8288938</v>
      </c>
      <c r="F13" s="138">
        <v>44197</v>
      </c>
      <c r="G13" s="133">
        <v>8.41</v>
      </c>
      <c r="H13" t="s">
        <v>229</v>
      </c>
      <c r="I13" s="138">
        <v>49675</v>
      </c>
      <c r="J13" s="136">
        <v>4.8000000000000001E-2</v>
      </c>
      <c r="K13" s="136">
        <v>1.9300000000000001E-2</v>
      </c>
      <c r="L13" s="133">
        <v>8142000</v>
      </c>
      <c r="M13" s="133">
        <v>151.7097</v>
      </c>
      <c r="N13" s="133">
        <v>12352.201789999999</v>
      </c>
      <c r="O13" s="135"/>
      <c r="Q13" s="136">
        <v>9.8130000000000005E-3</v>
      </c>
      <c r="R13" s="136">
        <v>7.2900000000000005E-4</v>
      </c>
    </row>
    <row r="14" spans="1:18" x14ac:dyDescent="0.2">
      <c r="A14">
        <v>332</v>
      </c>
      <c r="B14">
        <v>332</v>
      </c>
      <c r="C14" t="s">
        <v>649</v>
      </c>
      <c r="D14" t="s">
        <v>1354</v>
      </c>
      <c r="E14">
        <v>8288946</v>
      </c>
      <c r="F14" s="138">
        <v>44228</v>
      </c>
      <c r="G14" s="133">
        <v>8.5</v>
      </c>
      <c r="H14" t="s">
        <v>229</v>
      </c>
      <c r="I14" s="138">
        <v>49706</v>
      </c>
      <c r="J14" s="136">
        <v>4.8000000000000001E-2</v>
      </c>
      <c r="K14" s="136">
        <v>1.9300000000000001E-2</v>
      </c>
      <c r="L14" s="133">
        <v>74862000</v>
      </c>
      <c r="M14" s="133">
        <v>151.6139</v>
      </c>
      <c r="N14" s="133">
        <v>113501.19064</v>
      </c>
      <c r="O14" s="135"/>
      <c r="Q14" s="136">
        <v>9.0172000000000002E-2</v>
      </c>
      <c r="R14" s="136">
        <v>6.6990000000000001E-3</v>
      </c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39.1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9" t="s">
        <v>758</v>
      </c>
      <c r="E1" s="139" t="s">
        <v>757</v>
      </c>
      <c r="F1" s="18" t="s">
        <v>1161</v>
      </c>
      <c r="G1" s="18" t="s">
        <v>30</v>
      </c>
    </row>
    <row r="2" spans="1:7" x14ac:dyDescent="0.2">
      <c r="A2">
        <v>332</v>
      </c>
      <c r="B2">
        <v>332</v>
      </c>
      <c r="C2" t="s">
        <v>672</v>
      </c>
      <c r="D2" s="138"/>
      <c r="E2" s="138"/>
      <c r="F2" s="133">
        <v>55493.439189999997</v>
      </c>
      <c r="G2" s="136">
        <v>3.2759999999999998E-3</v>
      </c>
    </row>
    <row r="3" spans="1:7" x14ac:dyDescent="0.2">
      <c r="A3">
        <v>332</v>
      </c>
      <c r="B3">
        <v>332</v>
      </c>
      <c r="C3" t="s">
        <v>1355</v>
      </c>
      <c r="D3" s="137"/>
      <c r="E3" s="137"/>
      <c r="F3" s="133">
        <v>-3373.4370199999998</v>
      </c>
      <c r="G3" s="136">
        <v>-1.9900000000000001E-4</v>
      </c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9" t="s">
        <v>421</v>
      </c>
      <c r="W1" s="140" t="s">
        <v>14</v>
      </c>
      <c r="X1" s="140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9" t="s">
        <v>16</v>
      </c>
      <c r="AE1" s="139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40" t="s">
        <v>19</v>
      </c>
      <c r="AN1" s="140" t="s">
        <v>30</v>
      </c>
    </row>
    <row r="2" spans="1:40" x14ac:dyDescent="0.2">
      <c r="A2">
        <v>332</v>
      </c>
      <c r="B2">
        <v>332</v>
      </c>
      <c r="E2"/>
      <c r="L2"/>
      <c r="N2" s="138"/>
      <c r="S2" s="133"/>
      <c r="V2" s="138"/>
      <c r="W2" s="136"/>
      <c r="X2" s="136"/>
      <c r="Y2"/>
      <c r="Z2"/>
      <c r="AD2" s="138"/>
      <c r="AE2" s="138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13.5" style="2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4.5" style="2" bestFit="1" customWidth="1"/>
    <col min="31" max="31" width="8.625" style="2" bestFit="1" customWidth="1"/>
    <col min="32" max="32" width="11" style="2" bestFit="1" customWidth="1"/>
    <col min="33" max="33" width="10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39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2" t="s">
        <v>1154</v>
      </c>
      <c r="AI1" s="132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332</v>
      </c>
      <c r="B2">
        <v>332</v>
      </c>
      <c r="C2" t="s">
        <v>1249</v>
      </c>
      <c r="D2">
        <v>520010869</v>
      </c>
      <c r="E2" t="s">
        <v>429</v>
      </c>
      <c r="F2" t="s">
        <v>1356</v>
      </c>
      <c r="G2" t="s">
        <v>1357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8">
        <v>39076</v>
      </c>
      <c r="P2" t="s">
        <v>1217</v>
      </c>
      <c r="Q2" t="s">
        <v>65</v>
      </c>
      <c r="R2" t="s">
        <v>57</v>
      </c>
      <c r="S2" t="s">
        <v>1218</v>
      </c>
      <c r="T2" s="133">
        <v>4.9800000000000004</v>
      </c>
      <c r="U2" s="138">
        <v>50034</v>
      </c>
      <c r="V2" s="136">
        <v>2.7199999999999998E-2</v>
      </c>
      <c r="W2" s="136">
        <v>4.9000000000000002E-2</v>
      </c>
      <c r="X2" t="s">
        <v>620</v>
      </c>
      <c r="Y2"/>
      <c r="Z2" t="s">
        <v>775</v>
      </c>
      <c r="AA2" t="s">
        <v>305</v>
      </c>
      <c r="AB2" s="138">
        <v>45930</v>
      </c>
      <c r="AC2" s="138"/>
      <c r="AD2" s="133">
        <v>1972800.57</v>
      </c>
      <c r="AE2" s="133">
        <v>1</v>
      </c>
      <c r="AF2" s="133">
        <v>164.64</v>
      </c>
      <c r="AG2" s="133">
        <v>3248.0188600000001</v>
      </c>
      <c r="AH2" s="133"/>
      <c r="AI2" s="133"/>
      <c r="AJ2"/>
      <c r="AK2" s="136">
        <v>0.12629899999999999</v>
      </c>
      <c r="AL2" s="136">
        <v>1.9100000000000001E-4</v>
      </c>
    </row>
    <row r="3" spans="1:38" x14ac:dyDescent="0.2">
      <c r="A3">
        <v>332</v>
      </c>
      <c r="B3">
        <v>332</v>
      </c>
      <c r="C3" t="s">
        <v>1249</v>
      </c>
      <c r="D3">
        <v>520010869</v>
      </c>
      <c r="E3" t="s">
        <v>429</v>
      </c>
      <c r="F3" t="s">
        <v>1358</v>
      </c>
      <c r="G3" t="s">
        <v>1359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8">
        <v>40738</v>
      </c>
      <c r="P3" t="s">
        <v>1217</v>
      </c>
      <c r="Q3" t="s">
        <v>65</v>
      </c>
      <c r="R3" t="s">
        <v>57</v>
      </c>
      <c r="S3" t="s">
        <v>1218</v>
      </c>
      <c r="T3" s="133">
        <v>9.4499999999999993</v>
      </c>
      <c r="U3" s="138">
        <v>54253</v>
      </c>
      <c r="V3" s="136">
        <v>2.7699999999999999E-2</v>
      </c>
      <c r="W3" s="136">
        <v>4.1000000000000002E-2</v>
      </c>
      <c r="X3" t="s">
        <v>620</v>
      </c>
      <c r="Y3"/>
      <c r="Z3" t="s">
        <v>775</v>
      </c>
      <c r="AA3" t="s">
        <v>305</v>
      </c>
      <c r="AB3" s="138">
        <v>45930</v>
      </c>
      <c r="AC3" s="137"/>
      <c r="AD3" s="133">
        <v>13269232.98</v>
      </c>
      <c r="AE3" s="133">
        <v>1</v>
      </c>
      <c r="AF3" s="133">
        <v>139.55000000000001</v>
      </c>
      <c r="AG3" s="133">
        <v>18517.214619999999</v>
      </c>
      <c r="AH3" s="135"/>
      <c r="AI3" s="135"/>
      <c r="AJ3"/>
      <c r="AK3" s="136">
        <v>0.72004000000000001</v>
      </c>
      <c r="AL3" s="136">
        <v>1.0920000000000001E-3</v>
      </c>
    </row>
    <row r="4" spans="1:38" x14ac:dyDescent="0.2">
      <c r="A4">
        <v>332</v>
      </c>
      <c r="B4">
        <v>332</v>
      </c>
      <c r="C4" t="s">
        <v>1284</v>
      </c>
      <c r="D4">
        <v>513436394</v>
      </c>
      <c r="E4" t="s">
        <v>429</v>
      </c>
      <c r="F4" t="s">
        <v>1360</v>
      </c>
      <c r="G4" t="s">
        <v>1361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8">
        <v>40910</v>
      </c>
      <c r="P4" t="s">
        <v>1248</v>
      </c>
      <c r="Q4" t="s">
        <v>70</v>
      </c>
      <c r="R4" t="s">
        <v>57</v>
      </c>
      <c r="S4" t="s">
        <v>1218</v>
      </c>
      <c r="T4" s="133">
        <v>3.04</v>
      </c>
      <c r="U4" s="138">
        <v>48213</v>
      </c>
      <c r="V4" s="136">
        <v>2.8400000000000002E-2</v>
      </c>
      <c r="W4" s="136">
        <v>4.8000000000000001E-2</v>
      </c>
      <c r="X4" t="s">
        <v>620</v>
      </c>
      <c r="Y4"/>
      <c r="Z4" t="s">
        <v>775</v>
      </c>
      <c r="AA4" t="s">
        <v>305</v>
      </c>
      <c r="AB4" s="138">
        <v>45930</v>
      </c>
      <c r="AC4" s="137"/>
      <c r="AD4" s="133">
        <v>3005981.32</v>
      </c>
      <c r="AE4" s="133">
        <v>1</v>
      </c>
      <c r="AF4" s="133">
        <v>131.46</v>
      </c>
      <c r="AG4" s="133">
        <v>3951.6630399999999</v>
      </c>
      <c r="AH4" s="135"/>
      <c r="AI4" s="135"/>
      <c r="AJ4"/>
      <c r="AK4" s="136">
        <v>0.15365999999999999</v>
      </c>
      <c r="AL4" s="136">
        <v>2.33E-4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875" style="2" bestFit="1" customWidth="1"/>
    <col min="5" max="5" width="9.125" style="4" bestFit="1" customWidth="1"/>
    <col min="6" max="6" width="25.6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9.87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39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332</v>
      </c>
      <c r="B2">
        <v>332</v>
      </c>
      <c r="C2" t="s">
        <v>102</v>
      </c>
      <c r="D2">
        <v>510905847</v>
      </c>
      <c r="E2" t="s">
        <v>429</v>
      </c>
      <c r="F2" t="s">
        <v>1362</v>
      </c>
      <c r="G2">
        <v>31000359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/>
      <c r="N2" t="s">
        <v>62</v>
      </c>
      <c r="O2" s="138">
        <v>24473</v>
      </c>
      <c r="P2" t="s">
        <v>1218</v>
      </c>
      <c r="Q2"/>
      <c r="R2" t="s">
        <v>305</v>
      </c>
      <c r="S2" s="138">
        <v>45657</v>
      </c>
      <c r="T2" s="138"/>
      <c r="U2" s="133">
        <v>9405.1200000000008</v>
      </c>
      <c r="V2" s="133">
        <v>1</v>
      </c>
      <c r="W2" s="133">
        <v>1.0000000000000001E-5</v>
      </c>
      <c r="X2" s="133">
        <v>1.0000000000000001E-5</v>
      </c>
      <c r="Y2" s="136">
        <v>0</v>
      </c>
      <c r="Z2" s="136">
        <v>0</v>
      </c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1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11</v>
      </c>
      <c r="V1" s="98" t="s">
        <v>936</v>
      </c>
      <c r="W1" s="132" t="s">
        <v>1153</v>
      </c>
      <c r="X1" s="140" t="s">
        <v>736</v>
      </c>
      <c r="Y1" s="140" t="s">
        <v>19</v>
      </c>
      <c r="Z1" s="140" t="s">
        <v>30</v>
      </c>
    </row>
    <row r="2" spans="1:26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 s="138"/>
      <c r="Q2"/>
      <c r="R2"/>
      <c r="S2"/>
      <c r="T2" s="138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40" t="s">
        <v>19</v>
      </c>
      <c r="AB1" s="140" t="s">
        <v>30</v>
      </c>
    </row>
    <row r="2" spans="1:28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40" t="s">
        <v>19</v>
      </c>
      <c r="AB1" s="140" t="s">
        <v>30</v>
      </c>
    </row>
    <row r="2" spans="1:28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9.625" style="7" bestFit="1" customWidth="1"/>
    <col min="4" max="4" width="9.875" style="7" bestFit="1" customWidth="1"/>
    <col min="5" max="5" width="10.375" style="7" bestFit="1" customWidth="1"/>
    <col min="6" max="6" width="8.625" style="7" bestFit="1" customWidth="1"/>
    <col min="7" max="7" width="15.5" style="7" bestFit="1" customWidth="1"/>
    <col min="8" max="8" width="11.875" style="7" bestFit="1" customWidth="1"/>
    <col min="9" max="9" width="10" style="7" bestFit="1" customWidth="1"/>
    <col min="10" max="10" width="8.75" style="7" bestFit="1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6.125" style="7" bestFit="1" customWidth="1"/>
    <col min="15" max="15" width="12.5" style="7" bestFit="1" customWidth="1"/>
    <col min="16" max="16" width="10.625" style="7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11" style="7" customWidth="1"/>
    <col min="22" max="22" width="9.375" style="7" bestFit="1" customWidth="1"/>
    <col min="23" max="23" width="8.875" style="7" bestFit="1" customWidth="1"/>
    <col min="24" max="24" width="13" style="7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13.75" style="7" customWidth="1"/>
    <col min="30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39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40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332</v>
      </c>
      <c r="B2">
        <v>332</v>
      </c>
      <c r="C2" t="s">
        <v>1126</v>
      </c>
      <c r="D2">
        <v>117222097</v>
      </c>
      <c r="E2" t="s">
        <v>1218</v>
      </c>
      <c r="F2" s="133">
        <v>1</v>
      </c>
      <c r="G2" s="133">
        <v>180000000</v>
      </c>
      <c r="H2" s="133">
        <v>163006.20000000001</v>
      </c>
      <c r="I2" s="136">
        <v>0.73381394067407479</v>
      </c>
      <c r="J2" s="136">
        <v>9.6212932609177626E-3</v>
      </c>
      <c r="K2">
        <v>117222098</v>
      </c>
      <c r="L2" t="s">
        <v>1218</v>
      </c>
      <c r="M2" s="133">
        <v>1</v>
      </c>
      <c r="N2" s="133">
        <v>-180000000</v>
      </c>
      <c r="O2" s="133">
        <v>-161315.85782</v>
      </c>
      <c r="P2" s="136">
        <v>-9.5215223453017986E-3</v>
      </c>
      <c r="Q2" s="136">
        <v>0.73335923080144449</v>
      </c>
      <c r="R2" s="133">
        <v>1690.3421800000001</v>
      </c>
      <c r="S2" t="s">
        <v>53</v>
      </c>
      <c r="T2" t="s">
        <v>53</v>
      </c>
      <c r="U2" t="s">
        <v>382</v>
      </c>
      <c r="V2" t="s">
        <v>102</v>
      </c>
      <c r="W2" t="s">
        <v>689</v>
      </c>
      <c r="X2" t="s">
        <v>1371</v>
      </c>
      <c r="Y2" t="s">
        <v>62</v>
      </c>
      <c r="Z2" s="138">
        <v>45925</v>
      </c>
      <c r="AA2" s="138">
        <v>45964</v>
      </c>
      <c r="AB2" t="s">
        <v>362</v>
      </c>
      <c r="AC2" t="s">
        <v>370</v>
      </c>
      <c r="AD2" t="s">
        <v>62</v>
      </c>
      <c r="AE2" t="s">
        <v>341</v>
      </c>
      <c r="AF2" t="s">
        <v>362</v>
      </c>
      <c r="AG2" t="s">
        <v>362</v>
      </c>
      <c r="AH2" s="136"/>
      <c r="AI2" s="133">
        <v>100</v>
      </c>
      <c r="AJ2" s="133"/>
      <c r="AK2"/>
      <c r="AL2" s="136"/>
      <c r="AM2" t="s">
        <v>1372</v>
      </c>
      <c r="AN2" s="136">
        <v>0.77996652424577084</v>
      </c>
      <c r="AO2" s="136">
        <v>9.9770915615964546E-5</v>
      </c>
    </row>
    <row r="3" spans="1:41" x14ac:dyDescent="0.2">
      <c r="A3">
        <v>332</v>
      </c>
      <c r="B3">
        <v>332</v>
      </c>
      <c r="C3" t="s">
        <v>1126</v>
      </c>
      <c r="D3">
        <v>120437997</v>
      </c>
      <c r="E3" t="s">
        <v>1218</v>
      </c>
      <c r="F3" s="133">
        <v>1</v>
      </c>
      <c r="G3" s="133">
        <v>66000000</v>
      </c>
      <c r="H3" s="133">
        <v>59129.4</v>
      </c>
      <c r="I3" s="136">
        <v>0.26618605932592526</v>
      </c>
      <c r="J3" s="136">
        <v>3.4900592599674783E-3</v>
      </c>
      <c r="K3">
        <v>120437998</v>
      </c>
      <c r="L3" t="s">
        <v>1218</v>
      </c>
      <c r="M3" s="133">
        <v>1</v>
      </c>
      <c r="N3" s="133">
        <v>-66000000</v>
      </c>
      <c r="O3" s="133">
        <v>-58652.543810000003</v>
      </c>
      <c r="P3" s="136">
        <v>-3.4619132554150507E-3</v>
      </c>
      <c r="Q3" s="136">
        <v>0.26664076919855556</v>
      </c>
      <c r="R3" s="133">
        <v>476.85619000000003</v>
      </c>
      <c r="S3" t="s">
        <v>53</v>
      </c>
      <c r="T3" t="s">
        <v>53</v>
      </c>
      <c r="U3" t="s">
        <v>382</v>
      </c>
      <c r="V3" t="s">
        <v>102</v>
      </c>
      <c r="W3" t="s">
        <v>689</v>
      </c>
      <c r="X3" t="s">
        <v>1371</v>
      </c>
      <c r="Y3" t="s">
        <v>62</v>
      </c>
      <c r="Z3" s="138">
        <v>45925</v>
      </c>
      <c r="AA3" s="138">
        <v>45964</v>
      </c>
      <c r="AB3" t="s">
        <v>362</v>
      </c>
      <c r="AC3" t="s">
        <v>370</v>
      </c>
      <c r="AD3" t="s">
        <v>62</v>
      </c>
      <c r="AE3" t="s">
        <v>341</v>
      </c>
      <c r="AF3" t="s">
        <v>362</v>
      </c>
      <c r="AG3" t="s">
        <v>362</v>
      </c>
      <c r="AH3" s="136"/>
      <c r="AI3" s="133">
        <v>100</v>
      </c>
      <c r="AJ3" s="133"/>
      <c r="AK3"/>
      <c r="AL3" s="136"/>
      <c r="AM3" t="s">
        <v>1372</v>
      </c>
      <c r="AN3" s="136">
        <v>0.22003347575422919</v>
      </c>
      <c r="AO3" s="136">
        <v>2.8146004552427579E-5</v>
      </c>
    </row>
    <row r="4" spans="1:41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 s="133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 s="133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L22:AL1048576 Y2:Y20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D2:D19 M2:N19 P2:R19 I2:K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4:AE20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AE2:AE3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9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40" t="s">
        <v>14</v>
      </c>
      <c r="W1" s="18" t="s">
        <v>282</v>
      </c>
      <c r="X1" s="18" t="s">
        <v>309</v>
      </c>
      <c r="Y1" s="140" t="s">
        <v>673</v>
      </c>
      <c r="Z1" s="140" t="s">
        <v>621</v>
      </c>
      <c r="AA1" s="139" t="s">
        <v>421</v>
      </c>
      <c r="AB1" s="18" t="s">
        <v>925</v>
      </c>
      <c r="AC1" s="18" t="s">
        <v>20</v>
      </c>
      <c r="AD1" s="132" t="s">
        <v>768</v>
      </c>
      <c r="AE1" s="140" t="s">
        <v>658</v>
      </c>
      <c r="AF1" s="139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9" t="s">
        <v>16</v>
      </c>
      <c r="AO1" s="139" t="s">
        <v>1147</v>
      </c>
      <c r="AP1" s="140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40" t="s">
        <v>19</v>
      </c>
      <c r="BA1" s="140" t="s">
        <v>30</v>
      </c>
    </row>
    <row r="2" spans="1:53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/>
      <c r="S2"/>
      <c r="T2" s="133"/>
      <c r="U2"/>
      <c r="V2" s="136"/>
      <c r="W2"/>
      <c r="X2"/>
      <c r="Y2" s="136"/>
      <c r="Z2" s="136"/>
      <c r="AA2" s="138"/>
      <c r="AB2"/>
      <c r="AC2"/>
      <c r="AD2" s="133"/>
      <c r="AE2" s="136"/>
      <c r="AF2" s="138"/>
      <c r="AG2"/>
      <c r="AH2"/>
      <c r="AI2"/>
      <c r="AJ2"/>
      <c r="AK2"/>
      <c r="AL2"/>
      <c r="AM2"/>
      <c r="AN2" s="138"/>
      <c r="AO2" s="138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40" t="s">
        <v>14</v>
      </c>
      <c r="U1" s="140" t="s">
        <v>621</v>
      </c>
      <c r="V1" s="18" t="s">
        <v>917</v>
      </c>
      <c r="W1" s="18" t="s">
        <v>372</v>
      </c>
      <c r="X1" s="139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40" t="s">
        <v>19</v>
      </c>
      <c r="AD1" s="140" t="s">
        <v>30</v>
      </c>
    </row>
    <row r="2" spans="1:30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 s="138"/>
      <c r="O2"/>
      <c r="P2"/>
      <c r="Q2"/>
      <c r="R2"/>
      <c r="S2" s="133"/>
      <c r="T2" s="136"/>
      <c r="U2" s="136"/>
      <c r="V2"/>
      <c r="W2"/>
      <c r="X2" s="138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9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40" t="s">
        <v>14</v>
      </c>
      <c r="P1" s="140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40" t="s">
        <v>19</v>
      </c>
      <c r="V1" s="140" t="s">
        <v>30</v>
      </c>
    </row>
    <row r="2" spans="1:22" x14ac:dyDescent="0.2">
      <c r="A2">
        <v>332</v>
      </c>
      <c r="B2">
        <v>332</v>
      </c>
      <c r="C2"/>
      <c r="D2"/>
      <c r="E2"/>
      <c r="F2"/>
      <c r="G2" s="138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75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7" width="10.125" style="2" bestFit="1" customWidth="1"/>
    <col min="8" max="8" width="17.625" style="2" customWidth="1"/>
    <col min="9" max="9" width="11.25" style="2" bestFit="1" customWidth="1"/>
    <col min="10" max="10" width="27" style="2" bestFit="1" customWidth="1"/>
    <col min="11" max="11" width="10.75" style="2" bestFit="1" customWidth="1"/>
    <col min="12" max="12" width="14.5" style="2" customWidth="1"/>
    <col min="13" max="13" width="14.375" style="2" customWidth="1"/>
    <col min="14" max="14" width="18.87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9" width="11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32" t="s">
        <v>1154</v>
      </c>
      <c r="U1" s="132" t="s">
        <v>788</v>
      </c>
      <c r="V1" s="18" t="s">
        <v>26</v>
      </c>
      <c r="W1" s="18" t="s">
        <v>19</v>
      </c>
      <c r="X1" s="18" t="s">
        <v>30</v>
      </c>
    </row>
    <row r="2" spans="1:24" x14ac:dyDescent="0.2">
      <c r="A2">
        <v>332</v>
      </c>
      <c r="B2">
        <v>332</v>
      </c>
      <c r="C2" t="s">
        <v>1363</v>
      </c>
      <c r="D2" t="s">
        <v>734</v>
      </c>
      <c r="E2" t="s">
        <v>53</v>
      </c>
      <c r="F2" t="s">
        <v>62</v>
      </c>
      <c r="G2" s="138">
        <v>21976</v>
      </c>
      <c r="H2" t="s">
        <v>397</v>
      </c>
      <c r="I2" t="s">
        <v>284</v>
      </c>
      <c r="J2" t="s">
        <v>1364</v>
      </c>
      <c r="K2" s="136">
        <v>0</v>
      </c>
      <c r="L2"/>
      <c r="M2" t="s">
        <v>301</v>
      </c>
      <c r="N2"/>
      <c r="O2" t="s">
        <v>305</v>
      </c>
      <c r="P2" s="138">
        <v>45657</v>
      </c>
      <c r="Q2" t="s">
        <v>1218</v>
      </c>
      <c r="R2" s="133">
        <v>102000</v>
      </c>
      <c r="S2" s="133">
        <v>102000</v>
      </c>
      <c r="T2" s="133"/>
      <c r="U2" s="133"/>
      <c r="V2"/>
      <c r="W2" s="136">
        <v>1</v>
      </c>
      <c r="X2" s="136">
        <v>6.0200000000000002E-3</v>
      </c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9" t="s">
        <v>16</v>
      </c>
      <c r="R1" s="139" t="s">
        <v>1147</v>
      </c>
      <c r="S1" s="140" t="s">
        <v>618</v>
      </c>
      <c r="T1" s="132" t="s">
        <v>1156</v>
      </c>
      <c r="U1" s="132" t="s">
        <v>1153</v>
      </c>
      <c r="V1" s="140" t="s">
        <v>19</v>
      </c>
      <c r="W1" s="140" t="s">
        <v>30</v>
      </c>
    </row>
    <row r="2" spans="1:23" x14ac:dyDescent="0.2">
      <c r="A2">
        <v>332</v>
      </c>
      <c r="B2">
        <v>332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8"/>
      <c r="R2" s="138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C31" sqref="C31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4.375" style="2" bestFit="1" customWidth="1"/>
    <col min="4" max="4" width="9.87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4.5" style="2" bestFit="1" customWidth="1"/>
    <col min="13" max="13" width="8.625" style="2" bestFit="1" customWidth="1"/>
    <col min="14" max="14" width="14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332</v>
      </c>
      <c r="B2">
        <v>332</v>
      </c>
      <c r="C2" s="147" t="s">
        <v>1373</v>
      </c>
      <c r="D2">
        <v>117222095</v>
      </c>
      <c r="E2" t="s">
        <v>102</v>
      </c>
      <c r="F2" t="s">
        <v>53</v>
      </c>
      <c r="G2" t="s">
        <v>53</v>
      </c>
      <c r="H2" t="s">
        <v>62</v>
      </c>
      <c r="I2" s="138">
        <v>45925</v>
      </c>
      <c r="J2" t="s">
        <v>1218</v>
      </c>
      <c r="K2" s="138">
        <v>45930</v>
      </c>
      <c r="L2" s="133">
        <v>-161315.85782</v>
      </c>
      <c r="M2" s="133">
        <v>1</v>
      </c>
      <c r="N2" s="133">
        <v>-161315.85782</v>
      </c>
      <c r="O2" s="133"/>
      <c r="P2"/>
      <c r="Q2" s="136">
        <v>-1.3256E-2</v>
      </c>
      <c r="R2" s="136">
        <v>-9.5209999999999999E-3</v>
      </c>
    </row>
    <row r="3" spans="1:18" x14ac:dyDescent="0.2">
      <c r="A3">
        <v>332</v>
      </c>
      <c r="B3">
        <v>332</v>
      </c>
      <c r="C3" s="147" t="s">
        <v>1374</v>
      </c>
      <c r="D3">
        <v>120437995</v>
      </c>
      <c r="E3" t="s">
        <v>102</v>
      </c>
      <c r="F3" t="s">
        <v>53</v>
      </c>
      <c r="G3" t="s">
        <v>53</v>
      </c>
      <c r="H3" t="s">
        <v>62</v>
      </c>
      <c r="I3" s="138">
        <v>45925</v>
      </c>
      <c r="J3" t="s">
        <v>1218</v>
      </c>
      <c r="K3" s="138">
        <v>45930</v>
      </c>
      <c r="L3" s="133">
        <v>-58652.543810000003</v>
      </c>
      <c r="M3" s="133">
        <v>1</v>
      </c>
      <c r="N3" s="133">
        <v>-58652.543810000003</v>
      </c>
      <c r="O3" s="133"/>
      <c r="P3"/>
      <c r="Q3" s="136">
        <v>-4.8199999999999996E-3</v>
      </c>
      <c r="R3" s="136">
        <v>-3.4610000000000001E-3</v>
      </c>
    </row>
    <row r="4" spans="1:18" x14ac:dyDescent="0.2">
      <c r="A4">
        <v>332</v>
      </c>
      <c r="B4">
        <v>332</v>
      </c>
      <c r="C4" t="s">
        <v>1365</v>
      </c>
      <c r="D4">
        <v>7893877</v>
      </c>
      <c r="E4" t="s">
        <v>694</v>
      </c>
      <c r="F4" t="s">
        <v>53</v>
      </c>
      <c r="G4" t="s">
        <v>53</v>
      </c>
      <c r="H4" t="s">
        <v>62</v>
      </c>
      <c r="I4" s="138">
        <v>37668</v>
      </c>
      <c r="J4" t="s">
        <v>1218</v>
      </c>
      <c r="K4" s="138">
        <v>45930</v>
      </c>
      <c r="L4" s="133">
        <v>12317404.327749999</v>
      </c>
      <c r="M4" s="133">
        <v>1</v>
      </c>
      <c r="N4" s="133">
        <v>12317404.327749999</v>
      </c>
      <c r="O4" s="133"/>
      <c r="P4"/>
      <c r="Q4" s="136">
        <v>1.0122420000000001</v>
      </c>
      <c r="R4" s="136">
        <v>0.72702299999999997</v>
      </c>
    </row>
    <row r="5" spans="1:18" x14ac:dyDescent="0.2">
      <c r="A5">
        <v>332</v>
      </c>
      <c r="B5">
        <v>332</v>
      </c>
      <c r="C5" t="s">
        <v>1366</v>
      </c>
      <c r="D5">
        <v>7900000</v>
      </c>
      <c r="E5" t="s">
        <v>693</v>
      </c>
      <c r="F5" t="s">
        <v>53</v>
      </c>
      <c r="G5" t="s">
        <v>53</v>
      </c>
      <c r="H5" t="s">
        <v>62</v>
      </c>
      <c r="I5" s="138">
        <v>39658</v>
      </c>
      <c r="J5" t="s">
        <v>1218</v>
      </c>
      <c r="K5" s="138">
        <v>45930</v>
      </c>
      <c r="L5" s="133">
        <v>71000</v>
      </c>
      <c r="M5" s="133">
        <v>1</v>
      </c>
      <c r="N5" s="133">
        <v>71000</v>
      </c>
      <c r="O5" s="133"/>
      <c r="P5"/>
      <c r="Q5" s="136">
        <v>5.8339999999999998E-3</v>
      </c>
      <c r="R5" s="136">
        <v>4.1900000000000001E-3</v>
      </c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9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40" t="s">
        <v>14</v>
      </c>
      <c r="Q1" s="18" t="s">
        <v>440</v>
      </c>
      <c r="R1" s="132" t="s">
        <v>796</v>
      </c>
      <c r="S1" s="132" t="s">
        <v>1157</v>
      </c>
      <c r="T1" s="140" t="s">
        <v>748</v>
      </c>
    </row>
    <row r="2" spans="1:20" ht="14.1" customHeight="1" x14ac:dyDescent="0.2">
      <c r="A2">
        <v>332</v>
      </c>
      <c r="B2">
        <v>332</v>
      </c>
      <c r="C2"/>
      <c r="D2"/>
      <c r="E2"/>
      <c r="F2"/>
      <c r="G2" s="138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9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40" t="s">
        <v>22</v>
      </c>
      <c r="Q1" s="139" t="s">
        <v>797</v>
      </c>
    </row>
    <row r="2" spans="1:17" ht="14.1" customHeight="1" x14ac:dyDescent="0.2">
      <c r="A2">
        <v>332</v>
      </c>
      <c r="B2">
        <v>332</v>
      </c>
      <c r="C2"/>
      <c r="D2"/>
      <c r="E2"/>
      <c r="F2"/>
      <c r="G2"/>
      <c r="H2"/>
      <c r="I2"/>
      <c r="J2"/>
      <c r="K2" s="138"/>
      <c r="L2" s="133"/>
      <c r="M2" s="133"/>
      <c r="N2" s="133"/>
      <c r="O2" s="133"/>
      <c r="P2" s="136"/>
      <c r="Q2" s="138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2025-11-12T07:34:22Z</dcterms:modified>
</cp:coreProperties>
</file>