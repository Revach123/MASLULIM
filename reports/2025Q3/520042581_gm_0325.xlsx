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‏‏אקסל רשימות ניע 092025\Ami_gemel\שודר\"/>
    </mc:Choice>
  </mc:AlternateContent>
  <xr:revisionPtr revIDLastSave="0" documentId="8_{494E5609-48EC-465D-98B9-E7489BE4635D}" xr6:coauthVersionLast="47" xr6:coauthVersionMax="47" xr10:uidLastSave="{00000000-0000-0000-0000-000000000000}"/>
  <bookViews>
    <workbookView xWindow="19080" yWindow="-120" windowWidth="19440" windowHeight="1500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5" hidden="1">'איגרות חוב'!$A$1:$AJ$499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9" i="2" s="1"/>
  <c r="E27" i="2"/>
  <c r="E23" i="2"/>
  <c r="E19" i="2"/>
  <c r="E15" i="2"/>
  <c r="E11" i="2"/>
  <c r="E7" i="2"/>
  <c r="E3" i="2"/>
  <c r="E26" i="2"/>
  <c r="E22" i="2"/>
  <c r="E18" i="2"/>
  <c r="E14" i="2"/>
  <c r="E10" i="2"/>
  <c r="E6" i="2"/>
  <c r="E4" i="2" l="1"/>
  <c r="E30" i="2" s="1"/>
  <c r="E8" i="2"/>
  <c r="E12" i="2"/>
  <c r="E16" i="2"/>
  <c r="E20" i="2"/>
  <c r="E24" i="2"/>
  <c r="E28" i="2"/>
  <c r="E5" i="2"/>
  <c r="E9" i="2"/>
  <c r="E13" i="2"/>
  <c r="E17" i="2"/>
  <c r="E21" i="2"/>
  <c r="E25" i="2"/>
</calcChain>
</file>

<file path=xl/sharedStrings.xml><?xml version="1.0" encoding="utf-8"?>
<sst xmlns="http://schemas.openxmlformats.org/spreadsheetml/2006/main" count="27802" uniqueCount="3343">
  <si>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</si>
  <si>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</si>
  <si>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</si>
  <si>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</si>
  <si>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</si>
  <si>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</si>
  <si>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</si>
  <si>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</si>
  <si>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</si>
  <si>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</si>
  <si>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</si>
  <si>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</si>
  <si>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</si>
  <si>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</si>
  <si>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</si>
  <si>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</si>
  <si>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</si>
  <si>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</si>
  <si>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</si>
  <si>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</si>
  <si>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</si>
  <si>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</si>
  <si>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</si>
  <si>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</si>
  <si>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</si>
  <si>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</si>
  <si>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גליל</t>
  </si>
  <si>
    <t>ממשל צמודה 1131</t>
  </si>
  <si>
    <t>IL0011722209</t>
  </si>
  <si>
    <t>צמוד למדד המחירים לצרכן בריבית קבועה</t>
  </si>
  <si>
    <t>ישראל</t>
  </si>
  <si>
    <t>TASE</t>
  </si>
  <si>
    <t>RF</t>
  </si>
  <si>
    <t>פנימי</t>
  </si>
  <si>
    <t>ILS</t>
  </si>
  <si>
    <t>30/11/2031</t>
  </si>
  <si>
    <t>שווי הוגן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</si>
  <si>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</si>
  <si>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</si>
  <si>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</si>
  <si>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</si>
  <si>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</si>
  <si>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</si>
  <si>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שחר</t>
  </si>
  <si>
    <t>ממשלתית שקלית 1.3% 04/32</t>
  </si>
  <si>
    <t>IL0011806606</t>
  </si>
  <si>
    <t>לא צמוד למדד המחירים לצרכן ריבית קבועה</t>
  </si>
  <si>
    <t>30/04/2032</t>
  </si>
  <si>
    <t>ממשל שיקלית 0928</t>
  </si>
  <si>
    <t>IL0011508798</t>
  </si>
  <si>
    <t>28/09/2028</t>
  </si>
  <si>
    <t>ממשלתית צמודה 1.10% 1028</t>
  </si>
  <si>
    <t>IL0011973265</t>
  </si>
  <si>
    <t>31/10/2028</t>
  </si>
  <si>
    <t>בנק ישראל- מק"מ</t>
  </si>
  <si>
    <t>מ.ק.מ. 1215</t>
  </si>
  <si>
    <t>IL0082512174</t>
  </si>
  <si>
    <t>מק"מ קצר משנים עשר חודשים</t>
  </si>
  <si>
    <t>03/12/2025</t>
  </si>
  <si>
    <t>מלווה קצר מועד 1115</t>
  </si>
  <si>
    <t>IL0082511184</t>
  </si>
  <si>
    <t>05/11/2025</t>
  </si>
  <si>
    <t>ממשל שקלית 0335</t>
  </si>
  <si>
    <t>IL0012023326</t>
  </si>
  <si>
    <t>30/03/2035</t>
  </si>
  <si>
    <t>ממשלתי צמוד 841</t>
  </si>
  <si>
    <t>IL0011205833</t>
  </si>
  <si>
    <t>30/08/2041</t>
  </si>
  <si>
    <t>ממשלתי שקלית 0142</t>
  </si>
  <si>
    <t>IL0011254005</t>
  </si>
  <si>
    <t>31/01/2042</t>
  </si>
  <si>
    <t>ממשלתית שקלית 1.00% 03/30</t>
  </si>
  <si>
    <t>IL0011609851</t>
  </si>
  <si>
    <t>31/03/2030</t>
  </si>
  <si>
    <t>מקמ       216</t>
  </si>
  <si>
    <t>IL0082602181</t>
  </si>
  <si>
    <t>04/02/2026</t>
  </si>
  <si>
    <t>US TREASURY Bills</t>
  </si>
  <si>
    <t>T 3 3/8 05/15/33</t>
  </si>
  <si>
    <t>US91282CHC82</t>
  </si>
  <si>
    <t>צמוד מט"ח בריבית קבועה</t>
  </si>
  <si>
    <t>חו"ל</t>
  </si>
  <si>
    <t>ארה"ב</t>
  </si>
  <si>
    <t>FOREIGN_GOV_SEC</t>
  </si>
  <si>
    <t>Aa1</t>
  </si>
  <si>
    <t>Moodys</t>
  </si>
  <si>
    <t>USD</t>
  </si>
  <si>
    <t>15/05/2033</t>
  </si>
  <si>
    <t>US Govt</t>
  </si>
  <si>
    <t>T 4 5/8 02/15/35</t>
  </si>
  <si>
    <t>US91282CMM00</t>
  </si>
  <si>
    <t>15/02/2035</t>
  </si>
  <si>
    <t>מלווה קצר מועד 116</t>
  </si>
  <si>
    <t>IL0082601191</t>
  </si>
  <si>
    <t>07/01/2026</t>
  </si>
  <si>
    <t>ממשל שקלית 0347</t>
  </si>
  <si>
    <t>IL0011401937</t>
  </si>
  <si>
    <t>31/03/2047</t>
  </si>
  <si>
    <t>ממשלתי שקלי  1026</t>
  </si>
  <si>
    <t>IL0010994569</t>
  </si>
  <si>
    <t>30/10/2026</t>
  </si>
  <si>
    <t>ממשלתית צמודה 1.6% 1033</t>
  </si>
  <si>
    <t>IL0012043795</t>
  </si>
  <si>
    <t>31/10/2033</t>
  </si>
  <si>
    <t>מקמ       316</t>
  </si>
  <si>
    <t>IL0082603171</t>
  </si>
  <si>
    <t>04/03/2026</t>
  </si>
  <si>
    <t>T 3 7/8 08/15/34</t>
  </si>
  <si>
    <t>US91282CLF67</t>
  </si>
  <si>
    <t>15/08/2034</t>
  </si>
  <si>
    <t>ממשל צמודה 0545</t>
  </si>
  <si>
    <t>IL0011348658</t>
  </si>
  <si>
    <t>31/05/2045</t>
  </si>
  <si>
    <t>ממשלתית שקלית 0537</t>
  </si>
  <si>
    <t>IL0011661803</t>
  </si>
  <si>
    <t>31/05/2037</t>
  </si>
  <si>
    <t>ממשל צמודה 0527</t>
  </si>
  <si>
    <t>IL0011408478</t>
  </si>
  <si>
    <t>31/05/2027</t>
  </si>
  <si>
    <t>ממשל צמודה 1025</t>
  </si>
  <si>
    <t>IL0011359127</t>
  </si>
  <si>
    <t>31/10/2025</t>
  </si>
  <si>
    <t>ממשל שקלית 0327</t>
  </si>
  <si>
    <t>IL0011393449</t>
  </si>
  <si>
    <t>31/03/2027</t>
  </si>
  <si>
    <t>ממשלתי צמודה 0536</t>
  </si>
  <si>
    <t>IL0010977085</t>
  </si>
  <si>
    <t>30/05/2036</t>
  </si>
  <si>
    <t>מדינת ישראל</t>
  </si>
  <si>
    <t>ISRAEL 5 1/2 03/12/34</t>
  </si>
  <si>
    <t>US46514BRL35</t>
  </si>
  <si>
    <t>אחר</t>
  </si>
  <si>
    <t>Baa1</t>
  </si>
  <si>
    <t>12/03/2034</t>
  </si>
  <si>
    <t>T 4 7/8 10/31/28</t>
  </si>
  <si>
    <t>US91282CJF95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</si>
  <si>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</si>
  <si>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</si>
  <si>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</si>
  <si>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</si>
  <si>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</si>
  <si>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</si>
  <si>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</si>
  <si>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</si>
  <si>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</si>
  <si>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</si>
  <si>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</si>
  <si>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איי.די.איי. הנפקות (2010) בע"מ</t>
  </si>
  <si>
    <t>514486042</t>
  </si>
  <si>
    <t>ח.פ.</t>
  </si>
  <si>
    <t>איידיאיי הנ הת ז</t>
  </si>
  <si>
    <t>IL0012293507</t>
  </si>
  <si>
    <t>ISIN</t>
  </si>
  <si>
    <t>לא צמוד למדד המחירים לצרכן</t>
  </si>
  <si>
    <t>סחיר</t>
  </si>
  <si>
    <t>ביטוח</t>
  </si>
  <si>
    <t>לא</t>
  </si>
  <si>
    <t>A2</t>
  </si>
  <si>
    <t>מידרוג Moodys</t>
  </si>
  <si>
    <t>נייר ערך</t>
  </si>
  <si>
    <t>22/09/2035</t>
  </si>
  <si>
    <t>החוב לא נחות</t>
  </si>
  <si>
    <t>איירפורט סיטי בע"מ</t>
  </si>
  <si>
    <t>511659401</t>
  </si>
  <si>
    <t>איירפורט אגח ה</t>
  </si>
  <si>
    <t>IL0011334872</t>
  </si>
  <si>
    <t>צמוד למדד המחירים לצרכן</t>
  </si>
  <si>
    <t>נדל"ן מניב בישראל</t>
  </si>
  <si>
    <t>AA</t>
  </si>
  <si>
    <t>S&amp;P מעלות</t>
  </si>
  <si>
    <t>28/02/2029</t>
  </si>
  <si>
    <t>איירפורט אגח י</t>
  </si>
  <si>
    <t>IL0011959819</t>
  </si>
  <si>
    <t>30/04/2029</t>
  </si>
  <si>
    <t>אלבר שירותי מימונית בע"מ</t>
  </si>
  <si>
    <t>512025891</t>
  </si>
  <si>
    <t>אלבר אגח כ</t>
  </si>
  <si>
    <t>IL0011918328</t>
  </si>
  <si>
    <t>שירותים</t>
  </si>
  <si>
    <t>A+</t>
  </si>
  <si>
    <t>20/06/2028</t>
  </si>
  <si>
    <t>אלוני-חץ נכסים והשקעות בע"מ</t>
  </si>
  <si>
    <t>520038506</t>
  </si>
  <si>
    <t>אלוני חץ אגח טו</t>
  </si>
  <si>
    <t>IL0011894149</t>
  </si>
  <si>
    <t>AA-</t>
  </si>
  <si>
    <t>01/03/2037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</si>
  <si>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</si>
  <si>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</si>
  <si>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</si>
  <si>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</si>
  <si>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</si>
  <si>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</si>
  <si>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</si>
  <si>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השקעה ואחזקות</t>
  </si>
  <si>
    <t>10/01/2031</t>
  </si>
  <si>
    <t>אמות השקעות בע"מ</t>
  </si>
  <si>
    <t>520026683</t>
  </si>
  <si>
    <t>אמות אגח ו</t>
  </si>
  <si>
    <t>IL0011586091</t>
  </si>
  <si>
    <t>03/10/2029</t>
  </si>
  <si>
    <t>אמות אגח ז</t>
  </si>
  <si>
    <t>IL0011628661</t>
  </si>
  <si>
    <t>05/01/2032</t>
  </si>
  <si>
    <t>אמות אגח ח</t>
  </si>
  <si>
    <t>IL0011727828</t>
  </si>
  <si>
    <t>אנלייט אנרגיה מתחדשת בע"מ</t>
  </si>
  <si>
    <t>520041146</t>
  </si>
  <si>
    <t>אנלייט אנר אגח ו</t>
  </si>
  <si>
    <t>IL0072001733</t>
  </si>
  <si>
    <t>אנרגיה מתחדשת</t>
  </si>
  <si>
    <t>01/09/2026</t>
  </si>
  <si>
    <t>אנלייט אנרגיה אגח ד</t>
  </si>
  <si>
    <t>IL0072002566</t>
  </si>
  <si>
    <t>02/09/2029</t>
  </si>
  <si>
    <t>ארפורט אגח ט</t>
  </si>
  <si>
    <t>IL0011609448</t>
  </si>
  <si>
    <t>30/08/2035</t>
  </si>
  <si>
    <t>ביג מרכזי קניות (2004) בע"מ</t>
  </si>
  <si>
    <t>513623314</t>
  </si>
  <si>
    <t>ביג אגח טו</t>
  </si>
  <si>
    <t>IL0011622219</t>
  </si>
  <si>
    <t>Aa3</t>
  </si>
  <si>
    <t>31/01/2030</t>
  </si>
  <si>
    <t>ביג אגח כ</t>
  </si>
  <si>
    <t>IL0011861882</t>
  </si>
  <si>
    <t>01/05/2033</t>
  </si>
  <si>
    <t>פז בית זיקוק לנפט-אשדוד בע"מ</t>
  </si>
  <si>
    <t>513775163</t>
  </si>
  <si>
    <t>בית זיקוק אשדוד אגח 2</t>
  </si>
  <si>
    <t>IL0011994881</t>
  </si>
  <si>
    <t>אנרגיה</t>
  </si>
  <si>
    <t>A3</t>
  </si>
  <si>
    <t>ג'י סיטי בע"מ</t>
  </si>
  <si>
    <t>520033234</t>
  </si>
  <si>
    <t>ג'י סיטי  אגח יג</t>
  </si>
  <si>
    <t>IL0012606526</t>
  </si>
  <si>
    <t>גלובלי</t>
  </si>
  <si>
    <t>נדל"ן מניב בחו"ל</t>
  </si>
  <si>
    <t>A-</t>
  </si>
  <si>
    <t>30/06/2028</t>
  </si>
  <si>
    <t>דיסקונט מנפיקים בע"מ</t>
  </si>
  <si>
    <t>520029935</t>
  </si>
  <si>
    <t>דיסק מנ אגח טו</t>
  </si>
  <si>
    <t>IL0074803045</t>
  </si>
  <si>
    <t>בנקים</t>
  </si>
  <si>
    <t>AAA</t>
  </si>
  <si>
    <t>15/08/2032</t>
  </si>
  <si>
    <t>דיסקונט אגח יד</t>
  </si>
  <si>
    <t>IL0074801635</t>
  </si>
  <si>
    <t>05/12/2030</t>
  </si>
  <si>
    <t>דיסקונט מנ נד י</t>
  </si>
  <si>
    <t>IL0012110693</t>
  </si>
  <si>
    <t>30/11/2030</t>
  </si>
  <si>
    <t>חברת הכשרת הישוב בישראל בע"מ</t>
  </si>
  <si>
    <t>520020116</t>
  </si>
  <si>
    <t>הכשרת הישוב אגח 25</t>
  </si>
  <si>
    <t>IL0011915274</t>
  </si>
  <si>
    <t>A</t>
  </si>
  <si>
    <t>31/12/2029</t>
  </si>
  <si>
    <t>הכשרת ישוב אגח 21</t>
  </si>
  <si>
    <t>IL0061202243</t>
  </si>
  <si>
    <t>31/12/2027</t>
  </si>
  <si>
    <t>הפניקס אחזקות בע"מ</t>
  </si>
  <si>
    <t>520017450</t>
  </si>
  <si>
    <t>הפניקס אגח 5</t>
  </si>
  <si>
    <t>IL0076702849</t>
  </si>
  <si>
    <t>01/05/2030</t>
  </si>
  <si>
    <t>הראל השקעות בביטוח ושרותים פיננסים בע"מ</t>
  </si>
  <si>
    <t>520033986</t>
  </si>
  <si>
    <t>הראל השקעות אגח א</t>
  </si>
  <si>
    <t>IL0058501102</t>
  </si>
  <si>
    <t>Aa2</t>
  </si>
  <si>
    <t>31/12/2035</t>
  </si>
  <si>
    <t>החברה לישראל בע"מ</t>
  </si>
  <si>
    <t>520028010</t>
  </si>
  <si>
    <t>חברה לישראל אגח 14</t>
  </si>
  <si>
    <t>IL0057603016</t>
  </si>
  <si>
    <t xml:space="preserve">קבוצת חג'ג' ייזום נדל"ן בע"מ </t>
  </si>
  <si>
    <t>520033309</t>
  </si>
  <si>
    <t>חג'ג' אגח יד 01/01/2028</t>
  </si>
  <si>
    <t>IL0012066069</t>
  </si>
  <si>
    <t>בנייה</t>
  </si>
  <si>
    <t>NR</t>
  </si>
  <si>
    <t>01/01/2028</t>
  </si>
  <si>
    <t>חברת החשמל לישראל בע"מ</t>
  </si>
  <si>
    <t>520000472</t>
  </si>
  <si>
    <t>חשמל     אגח 29</t>
  </si>
  <si>
    <t>IL0060002362</t>
  </si>
  <si>
    <t>01/03/2026</t>
  </si>
  <si>
    <t>חשמל אגח 27</t>
  </si>
  <si>
    <t>IL0060002107</t>
  </si>
  <si>
    <t>12/04/2029</t>
  </si>
  <si>
    <t>חשמל אגח 31</t>
  </si>
  <si>
    <t>IL0060002859</t>
  </si>
  <si>
    <t>21/09/2031</t>
  </si>
  <si>
    <t>חשמל אגח 34</t>
  </si>
  <si>
    <t>IL0011967812</t>
  </si>
  <si>
    <t>12/06/2033</t>
  </si>
  <si>
    <t>יוניברסל מוטורס  ישראל בע"מ</t>
  </si>
  <si>
    <t>511809071</t>
  </si>
  <si>
    <t>יוניברסל  אגח ג</t>
  </si>
  <si>
    <t>IL0011606709</t>
  </si>
  <si>
    <t>מסחר</t>
  </si>
  <si>
    <t>10/08/2027</t>
  </si>
  <si>
    <t>יוניברסל אגח ד</t>
  </si>
  <si>
    <t>IL0011722530</t>
  </si>
  <si>
    <t>11/02/2029</t>
  </si>
  <si>
    <t>ישרס חברה להשקעות בע"מ</t>
  </si>
  <si>
    <t>520017807</t>
  </si>
  <si>
    <t>ישרס אגח טו</t>
  </si>
  <si>
    <t>IL0061302076</t>
  </si>
  <si>
    <t>16/05/2027</t>
  </si>
  <si>
    <t>ישרס אגח יח</t>
  </si>
  <si>
    <t>IL0061302803</t>
  </si>
  <si>
    <t>10/04/2030</t>
  </si>
  <si>
    <t>כללביט מימון בע"מ</t>
  </si>
  <si>
    <t>513754069</t>
  </si>
  <si>
    <t>כלל מימון אגח יב</t>
  </si>
  <si>
    <t>IL0011799280</t>
  </si>
  <si>
    <t>31/03/2032</t>
  </si>
  <si>
    <t>בנק לאומי לישראל בע"מ</t>
  </si>
  <si>
    <t>520018078</t>
  </si>
  <si>
    <t>לאומי אגח  185</t>
  </si>
  <si>
    <t>IL0012018219</t>
  </si>
  <si>
    <t>31/08/2029</t>
  </si>
  <si>
    <t>לאומי אגח 179</t>
  </si>
  <si>
    <t>IL0060403727</t>
  </si>
  <si>
    <t>30/06/2026</t>
  </si>
  <si>
    <t>לאומי אגח 182</t>
  </si>
  <si>
    <t>IL0060405391</t>
  </si>
  <si>
    <t>25/11/2027</t>
  </si>
  <si>
    <t>לאומי אגח 184</t>
  </si>
  <si>
    <t>IL0060406043</t>
  </si>
  <si>
    <t>05/05/2030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</si>
  <si>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</si>
  <si>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</si>
  <si>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</si>
  <si>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</si>
  <si>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</si>
  <si>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</si>
  <si>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אגח סד' 187</t>
  </si>
  <si>
    <t>IL0012286592</t>
  </si>
  <si>
    <t>Aaa</t>
  </si>
  <si>
    <t>01/05/2034</t>
  </si>
  <si>
    <t>לאומי אגח סד' 188</t>
  </si>
  <si>
    <t>IL0012286675</t>
  </si>
  <si>
    <t>01/08/2036</t>
  </si>
  <si>
    <t>לאומי התח נדח' סד' 406</t>
  </si>
  <si>
    <t>IL0012164237</t>
  </si>
  <si>
    <t>28/02/2036</t>
  </si>
  <si>
    <t>מבנה נדל"ן (כ.ד)  בע"מ</t>
  </si>
  <si>
    <t>520024126</t>
  </si>
  <si>
    <t>מבני תעשיה  אגח כ</t>
  </si>
  <si>
    <t>IL0022604958</t>
  </si>
  <si>
    <t>מגדל ביטוח גיוס הון בע"מ</t>
  </si>
  <si>
    <t>513230029</t>
  </si>
  <si>
    <t>מגדל הון אגח ז</t>
  </si>
  <si>
    <t>IL0011560419</t>
  </si>
  <si>
    <t>A1</t>
  </si>
  <si>
    <t>31/12/2026</t>
  </si>
  <si>
    <t>מגה אור החזקות בע"מ</t>
  </si>
  <si>
    <t>513257873</t>
  </si>
  <si>
    <t>מגה אור אגח ז</t>
  </si>
  <si>
    <t>IL0011416968</t>
  </si>
  <si>
    <t>30/08/2027</t>
  </si>
  <si>
    <t>מגה אור אגח ט</t>
  </si>
  <si>
    <t>IL0011651416</t>
  </si>
  <si>
    <t>28/02/2030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</si>
  <si>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</si>
  <si>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</si>
  <si>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</si>
  <si>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</si>
  <si>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</si>
  <si>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</si>
  <si>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</si>
  <si>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</si>
  <si>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 טפ הנפ אגח61</t>
  </si>
  <si>
    <t>IL0023104644</t>
  </si>
  <si>
    <t>04/12/2026</t>
  </si>
  <si>
    <t>מז טפ הנפק 52</t>
  </si>
  <si>
    <t>IL0023103810</t>
  </si>
  <si>
    <t>01/07/2030</t>
  </si>
  <si>
    <t>מזרחי טפחות הנפק 49</t>
  </si>
  <si>
    <t>IL0023102820</t>
  </si>
  <si>
    <t>23/06/2026</t>
  </si>
  <si>
    <t>מזרחי טפחות הנפק אגח 64</t>
  </si>
  <si>
    <t>IL0023105559</t>
  </si>
  <si>
    <t xml:space="preserve">מימון ישיר מקבוצת ישיר 2006 בע"מ </t>
  </si>
  <si>
    <t>513893123</t>
  </si>
  <si>
    <t>מימון ישיר אגח ה</t>
  </si>
  <si>
    <t>IL0011828311</t>
  </si>
  <si>
    <t>אשראי חוץ בנקאי</t>
  </si>
  <si>
    <t>31/07/2031</t>
  </si>
  <si>
    <t>מימון ישיר אגח ו</t>
  </si>
  <si>
    <t>IL0011916595</t>
  </si>
  <si>
    <t>מליסרון בע"מ</t>
  </si>
  <si>
    <t>520037789</t>
  </si>
  <si>
    <t>מליסרון  אגח יט</t>
  </si>
  <si>
    <t>IL0032303989</t>
  </si>
  <si>
    <t>01/07/2029</t>
  </si>
  <si>
    <t>מליסרון  אגח כא</t>
  </si>
  <si>
    <t>IL0011946386</t>
  </si>
  <si>
    <t>01/01/2037</t>
  </si>
  <si>
    <t>מליסרון אגח יד</t>
  </si>
  <si>
    <t>IL0032302320</t>
  </si>
  <si>
    <t>27/04/2026</t>
  </si>
  <si>
    <t>מליסרון אגח יז</t>
  </si>
  <si>
    <t>IL0032302734</t>
  </si>
  <si>
    <t>01/01/2032</t>
  </si>
  <si>
    <t>מליסרון אגח כ</t>
  </si>
  <si>
    <t>IL0032304227</t>
  </si>
  <si>
    <t>מנורה מבטחים גיוס הון בע"מ</t>
  </si>
  <si>
    <t>513937714</t>
  </si>
  <si>
    <t>מנורה הון אגח ז</t>
  </si>
  <si>
    <t>IL0011841918</t>
  </si>
  <si>
    <t>31/12/2030</t>
  </si>
  <si>
    <t>מנורה הון התח סד' י</t>
  </si>
  <si>
    <t>IL0012290040</t>
  </si>
  <si>
    <t>30/11/2035</t>
  </si>
  <si>
    <t>קבוצת עזריאלי בע"מ (לשעבר קנית מימון)</t>
  </si>
  <si>
    <t>510960719</t>
  </si>
  <si>
    <t>עזריאלי אגח ד</t>
  </si>
  <si>
    <t>IL0011386500</t>
  </si>
  <si>
    <t>AA+</t>
  </si>
  <si>
    <t>05/07/2030</t>
  </si>
  <si>
    <t>עזריאלי אגח ז</t>
  </si>
  <si>
    <t>IL0011786725</t>
  </si>
  <si>
    <t>02/07/2036</t>
  </si>
  <si>
    <t>בנק הפועלים בע"מ</t>
  </si>
  <si>
    <t>520000118</t>
  </si>
  <si>
    <t>פועלים אגח 100</t>
  </si>
  <si>
    <t>IL0066204889</t>
  </si>
  <si>
    <t>09/12/2031</t>
  </si>
  <si>
    <t>פועלים אגח 200</t>
  </si>
  <si>
    <t>IL0066204962</t>
  </si>
  <si>
    <t>פועלים אגח 201</t>
  </si>
  <si>
    <t>IL0011913451</t>
  </si>
  <si>
    <t>29/11/2032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</si>
  <si>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</si>
  <si>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</si>
  <si>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</si>
  <si>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</si>
  <si>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</si>
  <si>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</si>
  <si>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אגח 204</t>
  </si>
  <si>
    <t>IL0012274531</t>
  </si>
  <si>
    <t>21/08/2035</t>
  </si>
  <si>
    <t>פועלים התח נד יב</t>
  </si>
  <si>
    <t>IL0012141219</t>
  </si>
  <si>
    <t>28/11/2032</t>
  </si>
  <si>
    <t>פורמולה מערכות (1985)בע"מ</t>
  </si>
  <si>
    <t>520036690</t>
  </si>
  <si>
    <t>פורמולה אג"ח ג</t>
  </si>
  <si>
    <t>IL0025602090</t>
  </si>
  <si>
    <t>שירותי מידע</t>
  </si>
  <si>
    <t>01/12/2026</t>
  </si>
  <si>
    <t>פז קמעונאות ואנרגיה בע"מ</t>
  </si>
  <si>
    <t>510216054</t>
  </si>
  <si>
    <t>פז נפט  ו</t>
  </si>
  <si>
    <t>IL0011395428</t>
  </si>
  <si>
    <t>30/11/2028</t>
  </si>
  <si>
    <t>קרסו מוטורס בע"מ</t>
  </si>
  <si>
    <t>514065283</t>
  </si>
  <si>
    <t>קרסו מוטורס אגח ד</t>
  </si>
  <si>
    <t>IL0011735664</t>
  </si>
  <si>
    <t>01/10/2028</t>
  </si>
  <si>
    <t>ריט 1 בע"מ</t>
  </si>
  <si>
    <t>513821488</t>
  </si>
  <si>
    <t>ריט 1 אגח ז</t>
  </si>
  <si>
    <t>IL0011712713</t>
  </si>
  <si>
    <t>20/09/2034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</si>
  <si>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</si>
  <si>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</si>
  <si>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</si>
  <si>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</si>
  <si>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</si>
  <si>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ש.שלמה החזקות בע"מ</t>
  </si>
  <si>
    <t>520034372</t>
  </si>
  <si>
    <t>שלמה החז אגח כ</t>
  </si>
  <si>
    <t>IL0011927493</t>
  </si>
  <si>
    <t>21/12/2031</t>
  </si>
  <si>
    <t>תמר פטרוליום בעמ</t>
  </si>
  <si>
    <t>515334662</t>
  </si>
  <si>
    <t>תמר פטרו אגח ב</t>
  </si>
  <si>
    <t>IL0011435935</t>
  </si>
  <si>
    <t>צמוד למט"ח</t>
  </si>
  <si>
    <t>חיפושי נפט וגז</t>
  </si>
  <si>
    <t>30/08/2028</t>
  </si>
  <si>
    <t>LUMIIT 3.275 01/29/3</t>
  </si>
  <si>
    <t>IL0060404899</t>
  </si>
  <si>
    <t>Banks</t>
  </si>
  <si>
    <t>BBB-</t>
  </si>
  <si>
    <t>S&amp;P</t>
  </si>
  <si>
    <t>29/01/2031</t>
  </si>
  <si>
    <t>בנק מזרחי טפחות בע"מ</t>
  </si>
  <si>
    <t>520000522</t>
  </si>
  <si>
    <t>MZRHIT 3.077 04/07/3</t>
  </si>
  <si>
    <t>IL0069508369</t>
  </si>
  <si>
    <t>07/04/2031</t>
  </si>
  <si>
    <t>אלבר אגח יט</t>
  </si>
  <si>
    <t>IL0011918245</t>
  </si>
  <si>
    <t>15/05/2028</t>
  </si>
  <si>
    <t>אלדן תחבורה בע"מ</t>
  </si>
  <si>
    <t>510454333</t>
  </si>
  <si>
    <t>אלדן תחבורה אגח ח</t>
  </si>
  <si>
    <t>IL0011924425</t>
  </si>
  <si>
    <t>30/09/2029</t>
  </si>
  <si>
    <t>אמות אגח י</t>
  </si>
  <si>
    <t>IL0012050048</t>
  </si>
  <si>
    <t>05/01/2037</t>
  </si>
  <si>
    <t>אנרג'יקס אנרגיות מתחדשות בע"מ</t>
  </si>
  <si>
    <t>513901371</t>
  </si>
  <si>
    <t>אנרג'יקס אגח א</t>
  </si>
  <si>
    <t>IL0011617516</t>
  </si>
  <si>
    <t>01/08/2030</t>
  </si>
  <si>
    <t>חברת גב-ים לקרקעות בע"מ</t>
  </si>
  <si>
    <t>520001736</t>
  </si>
  <si>
    <t>גב ים אגח ח</t>
  </si>
  <si>
    <t>IL0075901517</t>
  </si>
  <si>
    <t>גב ים אגח ט</t>
  </si>
  <si>
    <t>IL0075902192</t>
  </si>
  <si>
    <t>30/06/2033</t>
  </si>
  <si>
    <t>גב ים אגח יא</t>
  </si>
  <si>
    <t>IL0012083395</t>
  </si>
  <si>
    <t>ג'נריישן קפיטל בע"מ</t>
  </si>
  <si>
    <t>515846558</t>
  </si>
  <si>
    <t>ג'נריישן קפיטל אגח ב</t>
  </si>
  <si>
    <t>IL0011775264</t>
  </si>
  <si>
    <t>30/06/2031</t>
  </si>
  <si>
    <t>דיסק מנ אגח יז</t>
  </si>
  <si>
    <t>IL0012159534</t>
  </si>
  <si>
    <t>20/03/2035</t>
  </si>
  <si>
    <t>יוניברסל אגח ו</t>
  </si>
  <si>
    <t>IL0011926164</t>
  </si>
  <si>
    <t>10/02/2031</t>
  </si>
  <si>
    <t>כלל החזקות עסקי ביטוח בע"מ</t>
  </si>
  <si>
    <t>520036120</t>
  </si>
  <si>
    <t>כלל ביטוח אגח א</t>
  </si>
  <si>
    <t>IL0011934812</t>
  </si>
  <si>
    <t>28/02/2028</t>
  </si>
  <si>
    <t>כלל הון  אגח יד</t>
  </si>
  <si>
    <t>IL0012205246</t>
  </si>
  <si>
    <t>30/09/2039</t>
  </si>
  <si>
    <t>מבנה אגח כה</t>
  </si>
  <si>
    <t>IL0022606367</t>
  </si>
  <si>
    <t>30/09/2033</t>
  </si>
  <si>
    <t>מבני תעשיה אגח יז</t>
  </si>
  <si>
    <t>IL0022604461</t>
  </si>
  <si>
    <t>מזרחי טפ הנפק התח 69</t>
  </si>
  <si>
    <t>IL0012021593</t>
  </si>
  <si>
    <t>25/06/2029</t>
  </si>
  <si>
    <t>פועלים התחייבות נדחים ה'</t>
  </si>
  <si>
    <t>IL0066204624</t>
  </si>
  <si>
    <t>17/08/2026</t>
  </si>
  <si>
    <t>הפניקס גיוסי הון (2009) בע"מ</t>
  </si>
  <si>
    <t>514290345</t>
  </si>
  <si>
    <t>פניקס הון אגח ה</t>
  </si>
  <si>
    <t>IL0011354177</t>
  </si>
  <si>
    <t>01/11/2026</t>
  </si>
  <si>
    <t>דיסק מנ אגח טז</t>
  </si>
  <si>
    <t>IL0012031576</t>
  </si>
  <si>
    <t>אמות אגח ד</t>
  </si>
  <si>
    <t>IL0011331498</t>
  </si>
  <si>
    <t>02/07/2028</t>
  </si>
  <si>
    <t>ג'י סיטי אגח יב</t>
  </si>
  <si>
    <t>IL0012606039</t>
  </si>
  <si>
    <t>30/06/2027</t>
  </si>
  <si>
    <t>ג'י סיטי אגח יד</t>
  </si>
  <si>
    <t>IL0012607367</t>
  </si>
  <si>
    <t>30/09/2031</t>
  </si>
  <si>
    <t>הכשרת ישוב אגח 22</t>
  </si>
  <si>
    <t>IL0061202409</t>
  </si>
  <si>
    <t>הראל ביטוח מימון והנפקות בע"מ</t>
  </si>
  <si>
    <t>513834200</t>
  </si>
  <si>
    <t>הראל הנפ אגח טז</t>
  </si>
  <si>
    <t>IL0011576019</t>
  </si>
  <si>
    <t>חשמל אגח 33</t>
  </si>
  <si>
    <t>IL0060003923</t>
  </si>
  <si>
    <t>לאומי התח נדח' סד' 405</t>
  </si>
  <si>
    <t>IL0060406209</t>
  </si>
  <si>
    <t>27/03/2028</t>
  </si>
  <si>
    <t>מבני תעש אגח כג</t>
  </si>
  <si>
    <t>IL0022605450</t>
  </si>
  <si>
    <t>30/09/2026</t>
  </si>
  <si>
    <t>מבני תעשיה אגח טז</t>
  </si>
  <si>
    <t>IL0022604388</t>
  </si>
  <si>
    <t>מז טפ הנ אגח 67</t>
  </si>
  <si>
    <t>IL0011968075</t>
  </si>
  <si>
    <t>מז טפ הנ אגח 68</t>
  </si>
  <si>
    <t>IL0012021429</t>
  </si>
  <si>
    <t>25/12/2033</t>
  </si>
  <si>
    <t>מז טפ הנ אגח 70</t>
  </si>
  <si>
    <t>IL0012138835</t>
  </si>
  <si>
    <t>28/11/2036</t>
  </si>
  <si>
    <t>מיטב דש השקעות בע"מ</t>
  </si>
  <si>
    <t>520043795</t>
  </si>
  <si>
    <t>מיטב השקעות אג3</t>
  </si>
  <si>
    <t>IL0011217630</t>
  </si>
  <si>
    <t>שירותים פיננסיים</t>
  </si>
  <si>
    <t>10/12/2025</t>
  </si>
  <si>
    <t>מליסרון  אגח יח</t>
  </si>
  <si>
    <t>IL0032303724</t>
  </si>
  <si>
    <t>מנורה מבטחים החזקות בע"מ</t>
  </si>
  <si>
    <t>520007469</t>
  </si>
  <si>
    <t>מנורה מב  אגח ג</t>
  </si>
  <si>
    <t>IL0056600633</t>
  </si>
  <si>
    <t>רבוע כחול נדל"ן בע"מ</t>
  </si>
  <si>
    <t>513765859</t>
  </si>
  <si>
    <t>רבוע נדלן אגח ו</t>
  </si>
  <si>
    <t>IL0011406076</t>
  </si>
  <si>
    <t>30/11/2026</t>
  </si>
  <si>
    <t>רבוע נדלן אגח ז</t>
  </si>
  <si>
    <t>IL0011406159</t>
  </si>
  <si>
    <t>שיכון ובינוי בע"מ</t>
  </si>
  <si>
    <t>520036104</t>
  </si>
  <si>
    <t>שיכון ובינוי אגח 8</t>
  </si>
  <si>
    <t>IL0011358889</t>
  </si>
  <si>
    <t>01/05/2029</t>
  </si>
  <si>
    <t>אאורה השקעות בע"מ</t>
  </si>
  <si>
    <t>520038274</t>
  </si>
  <si>
    <t>אאורה אגח טז</t>
  </si>
  <si>
    <t>IL0037305799</t>
  </si>
  <si>
    <t>30/09/2027</t>
  </si>
  <si>
    <t>אאורה אגח יז %3.85 31/01/2029</t>
  </si>
  <si>
    <t>IL0011935801</t>
  </si>
  <si>
    <t>31/01/2029</t>
  </si>
  <si>
    <t>אאורה אגח יט</t>
  </si>
  <si>
    <t>IL0012232968</t>
  </si>
  <si>
    <t>30/08/2032</t>
  </si>
  <si>
    <t>אב-גד החזקות בע"מ</t>
  </si>
  <si>
    <t>514091685</t>
  </si>
  <si>
    <t>אבגד אגח ג</t>
  </si>
  <si>
    <t>IL0012117706</t>
  </si>
  <si>
    <t>31/12/2028</t>
  </si>
  <si>
    <t>אדגר השקעות ופיתוח בע"מ</t>
  </si>
  <si>
    <t>520035171</t>
  </si>
  <si>
    <t>אדגר אגח י</t>
  </si>
  <si>
    <t>IL0018202080</t>
  </si>
  <si>
    <t>01/09/2027</t>
  </si>
  <si>
    <t>אדגר אגח יב</t>
  </si>
  <si>
    <t>IL0018203310</t>
  </si>
  <si>
    <t>31/03/2031</t>
  </si>
  <si>
    <t>אדגר אגח סד יא</t>
  </si>
  <si>
    <t>IL0018202817</t>
  </si>
  <si>
    <t>אזורים-חברה להשקעות בפתוח ובבנין בע"מ</t>
  </si>
  <si>
    <t>520025990</t>
  </si>
  <si>
    <t>אזורים סדרה 14</t>
  </si>
  <si>
    <t>IL0071504448</t>
  </si>
  <si>
    <t>איי.סי.אל גרופ בע"מ (דואלי)</t>
  </si>
  <si>
    <t>520027830</t>
  </si>
  <si>
    <t>אייסיאל   אגח ז</t>
  </si>
  <si>
    <t>IL0028103724</t>
  </si>
  <si>
    <t>כימיה, גומי ופלסטיק</t>
  </si>
  <si>
    <t>30/12/2034</t>
  </si>
  <si>
    <t>אלומיי קפיטל בע"מ</t>
  </si>
  <si>
    <t>520039868</t>
  </si>
  <si>
    <t>אלומיי אגח ו</t>
  </si>
  <si>
    <t>IL0012030743</t>
  </si>
  <si>
    <t>אלוני חץ אגח יג</t>
  </si>
  <si>
    <t>IL0011894065</t>
  </si>
  <si>
    <t>אפי נכסים בע"מ</t>
  </si>
  <si>
    <t>510560188</t>
  </si>
  <si>
    <t>אפי נכסים אגח 8</t>
  </si>
  <si>
    <t>IL0011422313</t>
  </si>
  <si>
    <t>15/10/2026</t>
  </si>
  <si>
    <t>אפי נכסים אגח יג</t>
  </si>
  <si>
    <t>IL0011782922</t>
  </si>
  <si>
    <t>אפי קפיטל נדל"ן בע"מ</t>
  </si>
  <si>
    <t>513948216</t>
  </si>
  <si>
    <t>אפי קפיטל אגח ג</t>
  </si>
  <si>
    <t>IL0011997447</t>
  </si>
  <si>
    <t>אפקון החזקות בע"מ</t>
  </si>
  <si>
    <t>520033473</t>
  </si>
  <si>
    <t>אפקון החזקות אגח ד</t>
  </si>
  <si>
    <t>IL0057801685</t>
  </si>
  <si>
    <t>01/04/2029</t>
  </si>
  <si>
    <t>אקויטל בע"מ</t>
  </si>
  <si>
    <t>520030859</t>
  </si>
  <si>
    <t>אקויטל אגח 3</t>
  </si>
  <si>
    <t>IL0075501481</t>
  </si>
  <si>
    <t>25/07/2034</t>
  </si>
  <si>
    <t>אשטרום נכסים בע"מ</t>
  </si>
  <si>
    <t>520036617</t>
  </si>
  <si>
    <t>אשטרום נכ אגח 12</t>
  </si>
  <si>
    <t>IL0025102794</t>
  </si>
  <si>
    <t>קבוצת אשטרום</t>
  </si>
  <si>
    <t>510381601</t>
  </si>
  <si>
    <t>אשטרום קבוצה אגח ד</t>
  </si>
  <si>
    <t>IL0011829897</t>
  </si>
  <si>
    <t>אשטרום קבוצה אגח ה</t>
  </si>
  <si>
    <t>IL0011995797</t>
  </si>
  <si>
    <t>31/12/2032</t>
  </si>
  <si>
    <t>בזק החברה הישראלית לתקשורת בע"מ</t>
  </si>
  <si>
    <t>520031931</t>
  </si>
  <si>
    <t>בזק אגח 13</t>
  </si>
  <si>
    <t>IL0023003093</t>
  </si>
  <si>
    <t>תקשורת ומדיה</t>
  </si>
  <si>
    <t>02/12/2035</t>
  </si>
  <si>
    <t>בזק אגח 14</t>
  </si>
  <si>
    <t>IL0023003176</t>
  </si>
  <si>
    <t>01/06/2035</t>
  </si>
  <si>
    <t>ביג אג"ח ט'</t>
  </si>
  <si>
    <t>IL0011410508</t>
  </si>
  <si>
    <t>20/12/2026</t>
  </si>
  <si>
    <t>ביג אגח יח</t>
  </si>
  <si>
    <t>IL0011742264</t>
  </si>
  <si>
    <t>30/03/2031</t>
  </si>
  <si>
    <t>בית בכפר בע"מ</t>
  </si>
  <si>
    <t>511605719</t>
  </si>
  <si>
    <t>בית בכפר א</t>
  </si>
  <si>
    <t>IL0012212747</t>
  </si>
  <si>
    <t>בתי זקוק לנפט בע"מ</t>
  </si>
  <si>
    <t>520036658</t>
  </si>
  <si>
    <t>בתי זיקוק אגח יג</t>
  </si>
  <si>
    <t>IL0011953465</t>
  </si>
  <si>
    <t>26/09/2032</t>
  </si>
  <si>
    <t>גב ים אגח י</t>
  </si>
  <si>
    <t>IL0075902846</t>
  </si>
  <si>
    <t>01/07/2035</t>
  </si>
  <si>
    <t>גב ים סד' ו'</t>
  </si>
  <si>
    <t>IL0075901285</t>
  </si>
  <si>
    <t>31/03/2026</t>
  </si>
  <si>
    <t>דיסקונט מנפיקים הת ד</t>
  </si>
  <si>
    <t>IL0074800496</t>
  </si>
  <si>
    <t>30/10/2022</t>
  </si>
  <si>
    <t>דליה חברות אנרגיה בע"מ</t>
  </si>
  <si>
    <t>516269248</t>
  </si>
  <si>
    <t>דליה אגח א</t>
  </si>
  <si>
    <t>IL0011849515</t>
  </si>
  <si>
    <t>דליה אנרגיה אגח ב</t>
  </si>
  <si>
    <t>IL0011935983</t>
  </si>
  <si>
    <t>01/10/2034</t>
  </si>
  <si>
    <t>קבוצת דלק בע"מ</t>
  </si>
  <si>
    <t>520044322</t>
  </si>
  <si>
    <t>דלק קבוצה    אגח מ</t>
  </si>
  <si>
    <t>IL0012173899</t>
  </si>
  <si>
    <t>דלק קבוצה אגח לט</t>
  </si>
  <si>
    <t>IL0012057720</t>
  </si>
  <si>
    <t>דלתא-גליל תעשיות בע"מ</t>
  </si>
  <si>
    <t>520025602</t>
  </si>
  <si>
    <t>דלתא אגח א</t>
  </si>
  <si>
    <t>IL0062701441</t>
  </si>
  <si>
    <t>אופנה והלבשה</t>
  </si>
  <si>
    <t>31/08/2028</t>
  </si>
  <si>
    <t>דלתא גליל אגח ו</t>
  </si>
  <si>
    <t>IL0062701938</t>
  </si>
  <si>
    <t>הכשרה חברה לביטוח בע"מ</t>
  </si>
  <si>
    <t>520042177</t>
  </si>
  <si>
    <t>הכשרה חברה לביטוח ד</t>
  </si>
  <si>
    <t>IL0011560252</t>
  </si>
  <si>
    <t>Baa2</t>
  </si>
  <si>
    <t>02/01/2028</t>
  </si>
  <si>
    <t>הראל הנפק אגח יח</t>
  </si>
  <si>
    <t>IL0011826661</t>
  </si>
  <si>
    <t>הראל הנפק אגח כ 31/12/2036</t>
  </si>
  <si>
    <t>IL0012079849</t>
  </si>
  <si>
    <t>01/01/2034</t>
  </si>
  <si>
    <t>חג'ג' אגח יב</t>
  </si>
  <si>
    <t>IL0082303772</t>
  </si>
  <si>
    <t>חשמל אגח 35</t>
  </si>
  <si>
    <t>IL0011967994</t>
  </si>
  <si>
    <t>12/06/2037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</si>
  <si>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</si>
  <si>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</si>
  <si>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</si>
  <si>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</si>
  <si>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</si>
  <si>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ישראל קנדה (ט.ר) בעמ</t>
  </si>
  <si>
    <t>520039298</t>
  </si>
  <si>
    <t>ישראל קנדה אגח ז</t>
  </si>
  <si>
    <t>IL0043402127</t>
  </si>
  <si>
    <t>מגדל ביטוח הון אגח יד</t>
  </si>
  <si>
    <t>IL0012075219</t>
  </si>
  <si>
    <t>מגדל הון אגח יב</t>
  </si>
  <si>
    <t>IL0011975732</t>
  </si>
  <si>
    <t>31/12/2031</t>
  </si>
  <si>
    <t>מגדל הון אגח יג 31/12/2032</t>
  </si>
  <si>
    <t>IL0012075136</t>
  </si>
  <si>
    <t>מגה אור אגח י</t>
  </si>
  <si>
    <t>IL0011783672</t>
  </si>
  <si>
    <t>מגה אור אגח יא</t>
  </si>
  <si>
    <t>IL0011783755</t>
  </si>
  <si>
    <t>מגה אור אגח יב</t>
  </si>
  <si>
    <t>IL0012112830</t>
  </si>
  <si>
    <t>30/04/2033</t>
  </si>
  <si>
    <t>מז  הנפק    46 1.22% 9/2027</t>
  </si>
  <si>
    <t>IL0023102259</t>
  </si>
  <si>
    <t>28/09/2027</t>
  </si>
  <si>
    <t>מזרחי טפ הנפק התח 71</t>
  </si>
  <si>
    <t>IL0012138918</t>
  </si>
  <si>
    <t>25/11/2035</t>
  </si>
  <si>
    <t>מימון ישיר ד</t>
  </si>
  <si>
    <t>IL0011756603</t>
  </si>
  <si>
    <t>01/02/2026</t>
  </si>
  <si>
    <t>מישורים השקעות נדלן בעמ</t>
  </si>
  <si>
    <t>511491839</t>
  </si>
  <si>
    <t>מישורים אגח ט</t>
  </si>
  <si>
    <t>IL0011787970</t>
  </si>
  <si>
    <t>מנורה הון התחייבות ו'2030</t>
  </si>
  <si>
    <t>IL0011602419</t>
  </si>
  <si>
    <t xml:space="preserve">מניף - שירותים פיננסים בע"מ </t>
  </si>
  <si>
    <t>512764408</t>
  </si>
  <si>
    <t>מניף אגח א</t>
  </si>
  <si>
    <t>IL0011858839</t>
  </si>
  <si>
    <t>קבוצת מנרב  בע"מ</t>
  </si>
  <si>
    <t>520034505</t>
  </si>
  <si>
    <t>מנרב אגח ד</t>
  </si>
  <si>
    <t>IL0015501690</t>
  </si>
  <si>
    <t>15/04/2032</t>
  </si>
  <si>
    <t>מקורות חברת מים בע"מ</t>
  </si>
  <si>
    <t>520010869</t>
  </si>
  <si>
    <t>מקורות אגח 11</t>
  </si>
  <si>
    <t>IL0011584765</t>
  </si>
  <si>
    <t>31/12/2053</t>
  </si>
  <si>
    <t>נאוויטס פטרוליום, שותפות מוגבלת</t>
  </si>
  <si>
    <t>550263107</t>
  </si>
  <si>
    <t>מספר שותפות</t>
  </si>
  <si>
    <t>נאוויטס פטרו אגח ג</t>
  </si>
  <si>
    <t>IL0011815938</t>
  </si>
  <si>
    <t>15/10/2028</t>
  </si>
  <si>
    <t>נאוויטס פטרו אגח ה</t>
  </si>
  <si>
    <t>IL0011979122</t>
  </si>
  <si>
    <t>נאוויטס פטרו אגח ו</t>
  </si>
  <si>
    <t>IL0012048257</t>
  </si>
  <si>
    <t>נורסטאר החזקות אינק  לשעבר גזית אינק</t>
  </si>
  <si>
    <t>511865008</t>
  </si>
  <si>
    <t>נורסטאר   יד</t>
  </si>
  <si>
    <t>IL0012235854</t>
  </si>
  <si>
    <t>חברה לנכסים ולבנין בע"מ</t>
  </si>
  <si>
    <t>520025438</t>
  </si>
  <si>
    <t>נכסים ובניין  אגח ט</t>
  </si>
  <si>
    <t>IL0069902125</t>
  </si>
  <si>
    <t>נכסים ובנין אגח י</t>
  </si>
  <si>
    <t>IL0011936304</t>
  </si>
  <si>
    <t>סלקום ישראל בע"מ</t>
  </si>
  <si>
    <t>511930125</t>
  </si>
  <si>
    <t>סלקום אגח יב</t>
  </si>
  <si>
    <t>IL0011430803</t>
  </si>
  <si>
    <t>05/01/2028</t>
  </si>
  <si>
    <t>עזריאלי אגח ה</t>
  </si>
  <si>
    <t>IL0011566036</t>
  </si>
  <si>
    <t>עמרם אברהם חברה לבנין בע"מ</t>
  </si>
  <si>
    <t>513201582</t>
  </si>
  <si>
    <t>עמרם אברהם אגח א</t>
  </si>
  <si>
    <t>IL0011880445</t>
  </si>
  <si>
    <t>פניקס הון אגח טז</t>
  </si>
  <si>
    <t>IL0012203340</t>
  </si>
  <si>
    <t>01/11/2034</t>
  </si>
  <si>
    <t>פניקס הון אגח יא</t>
  </si>
  <si>
    <t>IL0011593592</t>
  </si>
  <si>
    <t>פניקס הון אגח יב</t>
  </si>
  <si>
    <t>IL0011955858</t>
  </si>
  <si>
    <t>05/02/2032</t>
  </si>
  <si>
    <t>פרשקובסקי השקעות ובניין בע"מ</t>
  </si>
  <si>
    <t>513817817</t>
  </si>
  <si>
    <t>פרשקובסקי אגח טז</t>
  </si>
  <si>
    <t>IL0012234113</t>
  </si>
  <si>
    <t>פתאל החזקות 1998 בע"מ</t>
  </si>
  <si>
    <t>512607888</t>
  </si>
  <si>
    <t>פתאל החזקות אגח ג</t>
  </si>
  <si>
    <t>IL0011617854</t>
  </si>
  <si>
    <t>מלונאות ותיירות</t>
  </si>
  <si>
    <t>31/08/2031</t>
  </si>
  <si>
    <t>פתאל החזקות אגח ד</t>
  </si>
  <si>
    <t>IL0011881922</t>
  </si>
  <si>
    <t>צור שמיר אחזקות בע"מ</t>
  </si>
  <si>
    <t>520025586</t>
  </si>
  <si>
    <t>צור אגח י</t>
  </si>
  <si>
    <t>IL0073001716</t>
  </si>
  <si>
    <t>צבי צרפתי השקעות ובנין (1992) בע"מ</t>
  </si>
  <si>
    <t>520039090</t>
  </si>
  <si>
    <t>צרּפתי אגח יב</t>
  </si>
  <si>
    <t>IL0042502703</t>
  </si>
  <si>
    <t>קיסטון אינפרא בע"מ</t>
  </si>
  <si>
    <t>515983476</t>
  </si>
  <si>
    <t>קיסטון ריט אגח א</t>
  </si>
  <si>
    <t>IL0011821878</t>
  </si>
  <si>
    <t>קרסו מוט' אגח ו'</t>
  </si>
  <si>
    <t>IL0012262247</t>
  </si>
  <si>
    <t>28/01/2033</t>
  </si>
  <si>
    <t>קרסו מוטורס   אגח ג</t>
  </si>
  <si>
    <t>IL0011418295</t>
  </si>
  <si>
    <t>קרסו נדלן</t>
  </si>
  <si>
    <t>510488190</t>
  </si>
  <si>
    <t>קרסו נדלן אגח א</t>
  </si>
  <si>
    <t>IL0011900086</t>
  </si>
  <si>
    <t>30/11/2029</t>
  </si>
  <si>
    <t>קרסו נדלן אגח ב</t>
  </si>
  <si>
    <t>IL0012162330</t>
  </si>
  <si>
    <t>ריבוע נדלן אגח ט</t>
  </si>
  <si>
    <t>IL0011745564</t>
  </si>
  <si>
    <t>רני צים מרכזי קניות בע"מ</t>
  </si>
  <si>
    <t>514353671</t>
  </si>
  <si>
    <t>רני צים ג</t>
  </si>
  <si>
    <t>IL0011831935</t>
  </si>
  <si>
    <t>BBB+</t>
  </si>
  <si>
    <t>שיכון ובינוי אגח 10</t>
  </si>
  <si>
    <t>IL0011751323</t>
  </si>
  <si>
    <t>30/04/2030</t>
  </si>
  <si>
    <t>שכון ובי אגח 9</t>
  </si>
  <si>
    <t>IL0011673865</t>
  </si>
  <si>
    <t>שפיר הנדסה ותעשיה בע"מ</t>
  </si>
  <si>
    <t>514892801</t>
  </si>
  <si>
    <t>שפיר הנדס אגח ג</t>
  </si>
  <si>
    <t>IL0011784175</t>
  </si>
  <si>
    <t>מתכת ומוצרי בניה</t>
  </si>
  <si>
    <t>30/11/2037</t>
  </si>
  <si>
    <t>HAPOAL 3.255 01/21/32</t>
  </si>
  <si>
    <t>IL0066204707</t>
  </si>
  <si>
    <t>21/01/2032</t>
  </si>
  <si>
    <t xml:space="preserve">אול-יר  הולדינגס לימיטד </t>
  </si>
  <si>
    <t>1841580</t>
  </si>
  <si>
    <t>מספר תאגיד או שותפות בחו"ל</t>
  </si>
  <si>
    <t>אול-יר אגח ה בהשעיה - עמי גמל</t>
  </si>
  <si>
    <t>IL0011433047</t>
  </si>
  <si>
    <t>R/S</t>
  </si>
  <si>
    <t>31/07/2024</t>
  </si>
  <si>
    <t>החוב נחות</t>
  </si>
  <si>
    <t>סאפיינס אינטרנשיונל קורפוריישן N.V</t>
  </si>
  <si>
    <t>53368</t>
  </si>
  <si>
    <t>סאפיינס אגח ב</t>
  </si>
  <si>
    <t>IL0011419368</t>
  </si>
  <si>
    <t>תוכנה ואינטרנט</t>
  </si>
  <si>
    <t>01/01/2026</t>
  </si>
  <si>
    <t>נכסים ובנין ד</t>
  </si>
  <si>
    <t>IL0069901549</t>
  </si>
  <si>
    <t>31/12/2025</t>
  </si>
  <si>
    <t>לאומי</t>
  </si>
  <si>
    <t>IL0006046119</t>
  </si>
  <si>
    <t>מניות</t>
  </si>
  <si>
    <t>פועלים</t>
  </si>
  <si>
    <t>IL0006625771</t>
  </si>
  <si>
    <t xml:space="preserve">אורמת טכנולגיות אינק </t>
  </si>
  <si>
    <t>5493000TSHHWY24VHM09</t>
  </si>
  <si>
    <t>LEI</t>
  </si>
  <si>
    <t>אורמת טכנולוגיות</t>
  </si>
  <si>
    <t>US6866881021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</si>
  <si>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</si>
  <si>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</si>
  <si>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</si>
  <si>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</si>
  <si>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</si>
  <si>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</si>
  <si>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</si>
  <si>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</si>
  <si>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ביטחוניות</t>
  </si>
  <si>
    <t>אלוני חץ</t>
  </si>
  <si>
    <t>IL0003900136</t>
  </si>
  <si>
    <t>אמות</t>
  </si>
  <si>
    <t>IL0010972789</t>
  </si>
  <si>
    <t>אנלייט אנרגיה</t>
  </si>
  <si>
    <t>IL0007200111</t>
  </si>
  <si>
    <t>אנרג'יקס</t>
  </si>
  <si>
    <t>IL0011233553</t>
  </si>
  <si>
    <t>בזק</t>
  </si>
  <si>
    <t>IL0002300114</t>
  </si>
  <si>
    <t>אחים דוניץ בע"מ</t>
  </si>
  <si>
    <t>520038605</t>
  </si>
  <si>
    <t>דוניץ</t>
  </si>
  <si>
    <t>IL0004000100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</si>
  <si>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</si>
  <si>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</si>
  <si>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</si>
  <si>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</si>
  <si>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</si>
  <si>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</si>
  <si>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</si>
  <si>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</si>
  <si>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</si>
  <si>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</si>
  <si>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</si>
  <si>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</si>
  <si>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</si>
  <si>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</si>
  <si>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פארמה</t>
  </si>
  <si>
    <t>ישראל קנדה</t>
  </si>
  <si>
    <t>IL0004340191</t>
  </si>
  <si>
    <t>כלל ביטוח</t>
  </si>
  <si>
    <t>IL0002240146</t>
  </si>
  <si>
    <t>מזרחי טפחות</t>
  </si>
  <si>
    <t>IL0006954379</t>
  </si>
  <si>
    <t>מליסרון</t>
  </si>
  <si>
    <t>IL0003230146</t>
  </si>
  <si>
    <t>מנורה מבטחים החזקות</t>
  </si>
  <si>
    <t>IL0005660183</t>
  </si>
  <si>
    <t>נאוויטס פט יהש</t>
  </si>
  <si>
    <t>IL0011419699</t>
  </si>
  <si>
    <t>נובה  בע"מ</t>
  </si>
  <si>
    <t>511812463</t>
  </si>
  <si>
    <t>נובה</t>
  </si>
  <si>
    <t>IL0010845571</t>
  </si>
  <si>
    <t>מוליכים למחצה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</si>
  <si>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</si>
  <si>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</si>
  <si>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</si>
  <si>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</si>
  <si>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</si>
  <si>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</si>
  <si>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</si>
  <si>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</si>
  <si>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</si>
  <si>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</si>
  <si>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</si>
  <si>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אלקטרוניקה ואופטיקה</t>
  </si>
  <si>
    <t>עזריאלי קבוצה</t>
  </si>
  <si>
    <t>IL0011194789</t>
  </si>
  <si>
    <t>פוקס-ויזל בע"מ</t>
  </si>
  <si>
    <t>512157603</t>
  </si>
  <si>
    <t>פוקס- ויזל</t>
  </si>
  <si>
    <t>IL0010870223</t>
  </si>
  <si>
    <t>רשתות שיווק</t>
  </si>
  <si>
    <t>קבוצת אקרשטיין בע"מ</t>
  </si>
  <si>
    <t>512714494</t>
  </si>
  <si>
    <t>קבוצת אקרשטיין</t>
  </si>
  <si>
    <t>IL0011762056</t>
  </si>
  <si>
    <t>קמטק בע"מ</t>
  </si>
  <si>
    <t>511235434</t>
  </si>
  <si>
    <t>קמטק</t>
  </si>
  <si>
    <t>IL0010952641</t>
  </si>
  <si>
    <t>רציו חיפושי נפט (1992) - שותפות מוגבלת</t>
  </si>
  <si>
    <t>550012777</t>
  </si>
  <si>
    <t>רציו יהש</t>
  </si>
  <si>
    <t>IL0003940157</t>
  </si>
  <si>
    <t>Advanced Micro Devices inc</t>
  </si>
  <si>
    <t>R2I72C950HOYXII45366</t>
  </si>
  <si>
    <t>Advanced Micro Devices</t>
  </si>
  <si>
    <t>US0079031078</t>
  </si>
  <si>
    <t>אסיה</t>
  </si>
  <si>
    <t>NASDAQ</t>
  </si>
  <si>
    <t>Semiconductors &amp; Semiconductor Equipment</t>
  </si>
  <si>
    <t>ALPHABET INC</t>
  </si>
  <si>
    <t>5493006MHB84DD0ZWV18</t>
  </si>
  <si>
    <t>ALPHABET  INC  CL C ׂ</t>
  </si>
  <si>
    <t>US02079K1079</t>
  </si>
  <si>
    <t>Diversified Telecommunication Services</t>
  </si>
  <si>
    <t>amazon.com</t>
  </si>
  <si>
    <t>ZXTILKJKG63JELOEG630</t>
  </si>
  <si>
    <t>Amazon inc</t>
  </si>
  <si>
    <t>US0231351067</t>
  </si>
  <si>
    <t>Commercial Services &amp; Supplies</t>
  </si>
  <si>
    <t>ASML HOLDING NV-NY</t>
  </si>
  <si>
    <t>724500Y6DUVHQD6OXN27</t>
  </si>
  <si>
    <t>asml holding nv-ny</t>
  </si>
  <si>
    <t>USN070592100</t>
  </si>
  <si>
    <t>Broadcom Inc</t>
  </si>
  <si>
    <t>549300WV6GIDOZJTV909</t>
  </si>
  <si>
    <t>BROADCOM INC</t>
  </si>
  <si>
    <t>US11135F1012</t>
  </si>
  <si>
    <t>JP MORGAN ASSET MANAGEMENT</t>
  </si>
  <si>
    <t>8I5DZWZKVSZI1NUHU748</t>
  </si>
  <si>
    <t>JPmorgan Chase</t>
  </si>
  <si>
    <t>US46625H1005</t>
  </si>
  <si>
    <t>NYSE</t>
  </si>
  <si>
    <t>MASTERCARD INC</t>
  </si>
  <si>
    <t>AR5L2ODV9HN37376R084</t>
  </si>
  <si>
    <t>Mastercard inc-cla</t>
  </si>
  <si>
    <t>US57636Q1040</t>
  </si>
  <si>
    <t>Consumer Finance </t>
  </si>
  <si>
    <t>MICROSOFT CORP</t>
  </si>
  <si>
    <t>INR2EJN1ERAN0W5ZP974</t>
  </si>
  <si>
    <t>Microsoft corp</t>
  </si>
  <si>
    <t>US5949181045</t>
  </si>
  <si>
    <t>Software</t>
  </si>
  <si>
    <t>Nice Sys Adr</t>
  </si>
  <si>
    <t>US6536561086</t>
  </si>
  <si>
    <t>NVIDIA CORP</t>
  </si>
  <si>
    <t>549300S4KLFTLO7GSQ80</t>
  </si>
  <si>
    <t>Nvidia crop</t>
  </si>
  <si>
    <t>US67066G1040</t>
  </si>
  <si>
    <t>Ormat Technologies</t>
  </si>
  <si>
    <t>Water Utilities</t>
  </si>
  <si>
    <t>TAIWAN Semiconductor</t>
  </si>
  <si>
    <t>549300KB6NK5SBD14S87</t>
  </si>
  <si>
    <t>Taiwan Semiconductor Adr</t>
  </si>
  <si>
    <t>US8740391003</t>
  </si>
  <si>
    <t>טיוואן</t>
  </si>
  <si>
    <t>י.ד. מור השקעות בע"מ</t>
  </si>
  <si>
    <t>513834606</t>
  </si>
  <si>
    <t>מור השקעות</t>
  </si>
  <si>
    <t>IL0011414641</t>
  </si>
  <si>
    <t>מניבים קרן הריט החדשה בע"מ</t>
  </si>
  <si>
    <t>515327120</t>
  </si>
  <si>
    <t>מניבים ריט</t>
  </si>
  <si>
    <t>IL0011405730</t>
  </si>
  <si>
    <t>אאורה</t>
  </si>
  <si>
    <t>IL0003730194</t>
  </si>
  <si>
    <t>אב-גד</t>
  </si>
  <si>
    <t>IL0011718181</t>
  </si>
  <si>
    <t>טכנופלס ונצ'רס בע"מ</t>
  </si>
  <si>
    <t>520044298</t>
  </si>
  <si>
    <t>אוטונומוס גארד בע"מ</t>
  </si>
  <si>
    <t>IL0010834195</t>
  </si>
  <si>
    <t>השקעות בהייטק</t>
  </si>
  <si>
    <t>אטראו שוקי הון בע"מ לשעבר לידר</t>
  </si>
  <si>
    <t>513773564</t>
  </si>
  <si>
    <t>אטראו שוקי הון</t>
  </si>
  <si>
    <t>IL0010961063</t>
  </si>
  <si>
    <t>אימאג'סט אינטרנשיונל(אי.אס.איי)בע"מ</t>
  </si>
  <si>
    <t>512737560</t>
  </si>
  <si>
    <t>אימאג'סט</t>
  </si>
  <si>
    <t>IL0011838138</t>
  </si>
  <si>
    <t>אלקטרה מוצרי צריכה בע"מ</t>
  </si>
  <si>
    <t>520039967</t>
  </si>
  <si>
    <t>אלקטרה צריכה</t>
  </si>
  <si>
    <t>IL0050101299</t>
  </si>
  <si>
    <t>ארית תעשיות בע"מ</t>
  </si>
  <si>
    <t>520033358</t>
  </si>
  <si>
    <t>ארית</t>
  </si>
  <si>
    <t>IL0005870147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</si>
  <si>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</si>
  <si>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</si>
  <si>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</si>
  <si>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</si>
  <si>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</si>
  <si>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</si>
  <si>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</si>
  <si>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</si>
  <si>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ג'נריישן קפיטל</t>
  </si>
  <si>
    <t>IL0011569261</t>
  </si>
  <si>
    <t>הבורסה לניירות ערך בתל-אביב בע"מ</t>
  </si>
  <si>
    <t>520020033</t>
  </si>
  <si>
    <t>הבורסה לניע בתא</t>
  </si>
  <si>
    <t>IL0011590291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</si>
  <si>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</si>
  <si>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</si>
  <si>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</si>
  <si>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</si>
  <si>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</si>
  <si>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</si>
  <si>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טאואר סמיקונדקטור בע"מ</t>
  </si>
  <si>
    <t>520041997</t>
  </si>
  <si>
    <t>טאואר</t>
  </si>
  <si>
    <t>IL0010823792</t>
  </si>
  <si>
    <t>ישרס</t>
  </si>
  <si>
    <t>IL0006130343</t>
  </si>
  <si>
    <t>יוחננוף</t>
  </si>
  <si>
    <t>511344186</t>
  </si>
  <si>
    <t>מ. יוחננוף</t>
  </si>
  <si>
    <t>IL0011612640</t>
  </si>
  <si>
    <t>מגדל אחזקות ביטוח ופיננסים בע"מ</t>
  </si>
  <si>
    <t>520029984</t>
  </si>
  <si>
    <t>מגדל ביטוח</t>
  </si>
  <si>
    <t>IL0010811656</t>
  </si>
  <si>
    <t>מור גמל ופנסיה בע"מ</t>
  </si>
  <si>
    <t>514956465</t>
  </si>
  <si>
    <t>מור גמל ופנסיה</t>
  </si>
  <si>
    <t>IL0011843815</t>
  </si>
  <si>
    <t>פלסאון תעשיות בע"מ</t>
  </si>
  <si>
    <t>520042912</t>
  </si>
  <si>
    <t>פלסאון תעשיות</t>
  </si>
  <si>
    <t>IL0010816036</t>
  </si>
  <si>
    <t>פריורטק בע"מ</t>
  </si>
  <si>
    <t>520037797</t>
  </si>
  <si>
    <t>פריורטק</t>
  </si>
  <si>
    <t>IL0003280133</t>
  </si>
  <si>
    <t>צרפתי</t>
  </si>
  <si>
    <t>IL0004250176</t>
  </si>
  <si>
    <t>קווליטאו בע"מ</t>
  </si>
  <si>
    <t>511896540</t>
  </si>
  <si>
    <t>קווליטאו</t>
  </si>
  <si>
    <t>IL0010839558</t>
  </si>
  <si>
    <t>קליל תעשיות בע"מ</t>
  </si>
  <si>
    <t>520032442</t>
  </si>
  <si>
    <t>קליל</t>
  </si>
  <si>
    <t>IL0007970358</t>
  </si>
  <si>
    <t>קרסו מוטורס</t>
  </si>
  <si>
    <t>IL0011238503</t>
  </si>
  <si>
    <t>רוטשטיין נדל"ן  בע"מ</t>
  </si>
  <si>
    <t>520039959</t>
  </si>
  <si>
    <t>רוטשטיין</t>
  </si>
  <si>
    <t>IL0005390153</t>
  </si>
  <si>
    <t>שופר-סל בע"מ</t>
  </si>
  <si>
    <t>520022732</t>
  </si>
  <si>
    <t>שופרסל</t>
  </si>
  <si>
    <t>IL0007770378</t>
  </si>
  <si>
    <t>Camtek Ltd</t>
  </si>
  <si>
    <t>COSTCO WHOLESAL</t>
  </si>
  <si>
    <t>29DX7H14B9S6O3FD6V18</t>
  </si>
  <si>
    <t>COSTCO WHOLESALE CORP</t>
  </si>
  <si>
    <t>US22160K1051</t>
  </si>
  <si>
    <t>Consumer Staples Distribution &amp; Retail</t>
  </si>
  <si>
    <t>JD.com Inc</t>
  </si>
  <si>
    <t>549300HVTWB0GJZ16V92</t>
  </si>
  <si>
    <t>JD.COM INC-CL A</t>
  </si>
  <si>
    <t>KYG8208B1014</t>
  </si>
  <si>
    <t>סין</t>
  </si>
  <si>
    <t>HKSE</t>
  </si>
  <si>
    <t>Textiles, Apparel &amp; Luxury Goods</t>
  </si>
  <si>
    <t>HKD</t>
  </si>
  <si>
    <t>Nova measuring inst</t>
  </si>
  <si>
    <t>Samsung Electronics co ltd</t>
  </si>
  <si>
    <t>9884007ER46L6N7EI764</t>
  </si>
  <si>
    <t>Samsung electronics</t>
  </si>
  <si>
    <t>US7960508882</t>
  </si>
  <si>
    <t>LSE</t>
  </si>
  <si>
    <t>Technology Hardware, Storage &amp; Peripherals</t>
  </si>
  <si>
    <t>TESLA MOTORS INC</t>
  </si>
  <si>
    <t>54930043XZGB27CTOV49</t>
  </si>
  <si>
    <t>US88160R1014</t>
  </si>
  <si>
    <t>Automobiles</t>
  </si>
  <si>
    <t>VISA  Inc - CLASS  A</t>
  </si>
  <si>
    <t>549300JZ4OKEHW3DPJ59</t>
  </si>
  <si>
    <t>VISA inc-class a</t>
  </si>
  <si>
    <t>US92826C8394</t>
  </si>
  <si>
    <t>Diversified Financial Services Financial Services</t>
  </si>
  <si>
    <t>ALPHABET INC-A</t>
  </si>
  <si>
    <t>US02079K3059</t>
  </si>
  <si>
    <t>APPLE COMPUTER INC</t>
  </si>
  <si>
    <t>HWUPKR0MPOU8FGXBT394</t>
  </si>
  <si>
    <t>Apple computer inc</t>
  </si>
  <si>
    <t>US0378331005</t>
  </si>
  <si>
    <t>Bank of America</t>
  </si>
  <si>
    <t>9DJT3UXIJIZJI4WXO774</t>
  </si>
  <si>
    <t>BANK OF AMERICA</t>
  </si>
  <si>
    <t>US0605051046</t>
  </si>
  <si>
    <t>Meta Platforms Inc</t>
  </si>
  <si>
    <t>BQ4BKCS1HXDV9HN80Z93</t>
  </si>
  <si>
    <t>Meta Platforms, Inc</t>
  </si>
  <si>
    <t>US30303M1027</t>
  </si>
  <si>
    <t>PPHE HOTEL GROUP LTD</t>
  </si>
  <si>
    <t>2138003H1BZGR6KM5823</t>
  </si>
  <si>
    <t>PARK PLAZA HOTELS</t>
  </si>
  <si>
    <t>GG00B1Z5FH87</t>
  </si>
  <si>
    <t>בריטניה</t>
  </si>
  <si>
    <t>Diversified Consumer Services</t>
  </si>
  <si>
    <t>GBP</t>
  </si>
  <si>
    <t>SHL TELEMEDICINE LTD</t>
  </si>
  <si>
    <t>512527383</t>
  </si>
  <si>
    <t>SHL Telemedicine Ltd</t>
  </si>
  <si>
    <t>IL0010855885</t>
  </si>
  <si>
    <t>שוויץ</t>
  </si>
  <si>
    <t>SIX</t>
  </si>
  <si>
    <t>Health Care Equipment &amp; Supplies</t>
  </si>
  <si>
    <t>CHF</t>
  </si>
  <si>
    <t>Teva Pharm</t>
  </si>
  <si>
    <t>US8816242098</t>
  </si>
  <si>
    <t>Tower semiconductor</t>
  </si>
  <si>
    <t>Vbare Iberian Properties SOCIM</t>
  </si>
  <si>
    <t>959800X1MGWGZZW5ZS47</t>
  </si>
  <si>
    <t>VBARE IBERIAN PR</t>
  </si>
  <si>
    <t>ES0105196002</t>
  </si>
  <si>
    <t>ספרד</t>
  </si>
  <si>
    <t>BME</t>
  </si>
  <si>
    <t>Real Estate Management &amp; Development</t>
  </si>
  <si>
    <t>EUR</t>
  </si>
  <si>
    <t>חג'ג' נדלן</t>
  </si>
  <si>
    <t>IL0008230133</t>
  </si>
  <si>
    <t>סיווג הקרן</t>
  </si>
  <si>
    <t>מגדל קרנות נאמנות בע"מ</t>
  </si>
  <si>
    <t>511303661</t>
  </si>
  <si>
    <t>MTF סל תא 125</t>
  </si>
  <si>
    <t>IL0011502833</t>
  </si>
  <si>
    <t>עוקב אחר מדדי מניות בישראל</t>
  </si>
  <si>
    <t>125 מניות בארץ - מניות כללי-ת"א</t>
  </si>
  <si>
    <t>MTF סל תלבונד 60</t>
  </si>
  <si>
    <t>IL0011499964</t>
  </si>
  <si>
    <t>עוקב אחר מדדים אחרים בישראל</t>
  </si>
  <si>
    <t>60 אג"ח בארץ - חברות והמרה-תל בונד צמוד מדד-תל בונד</t>
  </si>
  <si>
    <t>MTF500SP ממ</t>
  </si>
  <si>
    <t>IL0011505729</t>
  </si>
  <si>
    <t>עוקב אחר מדדי מניות בחו"ל</t>
  </si>
  <si>
    <t>S&amp;P 500 - מניות בחו"ל - מניות גיאוגרפי - חשופת מט"ח-ארה"ב</t>
  </si>
  <si>
    <t>הראל קרנות נאמנות בע"מ</t>
  </si>
  <si>
    <t>511776783</t>
  </si>
  <si>
    <t>הראל סל תא 90</t>
  </si>
  <si>
    <t>IL0011489312</t>
  </si>
  <si>
    <t>90 מניות בארץ - מניות כללי-ת"א</t>
  </si>
  <si>
    <t>הראל סל תא נדלן</t>
  </si>
  <si>
    <t>IL0011489643</t>
  </si>
  <si>
    <t>מניות בארץ - מניות לפי ענפים-ת"א נדל"ן</t>
  </si>
  <si>
    <t>הראל סל תל בונד שקלי</t>
  </si>
  <si>
    <t>IL0011505232</t>
  </si>
  <si>
    <t>אג"ח בארץ - חברות והמרה-תל בונד שקלי-תל בונד שקלי- אחר</t>
  </si>
  <si>
    <t>הראל קרן סל תא 125</t>
  </si>
  <si>
    <t>IL0011488991</t>
  </si>
  <si>
    <t xml:space="preserve">מור ניהול קרנות נאמנות בע"מ </t>
  </si>
  <si>
    <t>514884485</t>
  </si>
  <si>
    <t>מור סל (A4) ת"א -125</t>
  </si>
  <si>
    <t>IL0011961534</t>
  </si>
  <si>
    <t>מור סל )4A( ת"א35-</t>
  </si>
  <si>
    <t>IL0011943805</t>
  </si>
  <si>
    <t>35 מניות בארץ - מניות כללי-ת"א</t>
  </si>
  <si>
    <t>מור סל S&amp;P 500 ממ</t>
  </si>
  <si>
    <t>IL0011658288</t>
  </si>
  <si>
    <t>מור סל אי.בנקים מש</t>
  </si>
  <si>
    <t>IL0011877649</t>
  </si>
  <si>
    <t>מניות בארץ - מניות לפי ענפים-ת"א בנקים</t>
  </si>
  <si>
    <t>קסם קרנות נאמנות בע"מ</t>
  </si>
  <si>
    <t>510938608</t>
  </si>
  <si>
    <t>קסם קרן סל תל בונד 60</t>
  </si>
  <si>
    <t>IL0011462327</t>
  </si>
  <si>
    <t>קסם תל בונד שקלי</t>
  </si>
  <si>
    <t>IL0011464141</t>
  </si>
  <si>
    <t>אג"ח בארץ - חברות והמרה-תל בונד שקלי-תל בונד- שקלי</t>
  </si>
  <si>
    <t>מיטב קרנות נאמנות בע"מ</t>
  </si>
  <si>
    <t>513534974</t>
  </si>
  <si>
    <t>תכלית תל בונד 60</t>
  </si>
  <si>
    <t>IL0011451015</t>
  </si>
  <si>
    <t>תכלית תל בונד שקלי סד-2</t>
  </si>
  <si>
    <t>IL0011451841</t>
  </si>
  <si>
    <t>State Street Corp</t>
  </si>
  <si>
    <t>07F5H7W3ET8ZLWNMFP29</t>
  </si>
  <si>
    <t>Amex tech sel indx</t>
  </si>
  <si>
    <t>US81369Y8030</t>
  </si>
  <si>
    <t>Technology מניות בחו"ל - מניות לפי ענפים בחו"ל - חשופת מט"ח-ארה"ב- מניות</t>
  </si>
  <si>
    <t xml:space="preserve">BlackRock  Asset Managment </t>
  </si>
  <si>
    <t>97ZR60BLU36N5VJMH054</t>
  </si>
  <si>
    <t>ISH CORE ERSTX50</t>
  </si>
  <si>
    <t>DE0005933956</t>
  </si>
  <si>
    <t>אירופה</t>
  </si>
  <si>
    <t>FWB</t>
  </si>
  <si>
    <t>מניות בחו"ל - מניות בחו"ל משולבת</t>
  </si>
  <si>
    <t>Ishares core s&amp;p 500 etf</t>
  </si>
  <si>
    <t>US4642872000</t>
  </si>
  <si>
    <t>SPDR PORT SP 500</t>
  </si>
  <si>
    <t>US78464A8541</t>
  </si>
  <si>
    <t>SPDR US FINCLS</t>
  </si>
  <si>
    <t>IE00BWBXM500</t>
  </si>
  <si>
    <t>Vanguard Group</t>
  </si>
  <si>
    <t>549300Y88GQ3VLJIBX57</t>
  </si>
  <si>
    <t>Vanguard S&amp;P 500 etf</t>
  </si>
  <si>
    <t>US9229083632</t>
  </si>
  <si>
    <t>MTF.תלבונדשקלי</t>
  </si>
  <si>
    <t>IL0011500027</t>
  </si>
  <si>
    <t>איישרס חוץ S&amp;P500 INDEX</t>
  </si>
  <si>
    <t>IE00B5BMR087</t>
  </si>
  <si>
    <t>הראל סל תל בונד 60</t>
  </si>
  <si>
    <t>IL0011504730</t>
  </si>
  <si>
    <t>מור סל )4D(י NASDAQ 100</t>
  </si>
  <si>
    <t>IL0011658361</t>
  </si>
  <si>
    <t>NASDAQ 100 - מניות בחו"ל - מניות גיאוגרפי - חשופת מט"ח-ארה"ב</t>
  </si>
  <si>
    <t>Invesco investment management limited</t>
  </si>
  <si>
    <t>635400TLFJSNHVSOFH59</t>
  </si>
  <si>
    <t>INVESCO S&amp;P 500 UCITS ETF</t>
  </si>
  <si>
    <t>IE00B3YCGJ38</t>
  </si>
  <si>
    <t>MSCI Emerging Markets (4D) ETF קסם</t>
  </si>
  <si>
    <t>IL0011458127</t>
  </si>
  <si>
    <t>שווקים מתעוררים</t>
  </si>
  <si>
    <t>MSCI EMERGING MARKETS - מניות בחו"ל - מניות גיאוגרפי - חשופת מט"ח-שווקים מתעוררים כללי</t>
  </si>
  <si>
    <t>הראל סל 4A S&amp;P 500 מנוטרלת</t>
  </si>
  <si>
    <t>IL0011491375</t>
  </si>
  <si>
    <t xml:space="preserve">ילין לפידות קרנות נאמנות בע"מ </t>
  </si>
  <si>
    <t>513846808</t>
  </si>
  <si>
    <t>ילין לפידות סל )4A(י S&amp;P 500 מ</t>
  </si>
  <si>
    <t>IL0012016643</t>
  </si>
  <si>
    <t>מור סל )4D(י S&amp;P 500</t>
  </si>
  <si>
    <t>IL0011658106</t>
  </si>
  <si>
    <t>קסם DAX30 ETF ממ</t>
  </si>
  <si>
    <t>IL0011467037</t>
  </si>
  <si>
    <t>גרמניה</t>
  </si>
  <si>
    <t>DAX 30 - מניות בחו"ל - מניות גיאוגרפי - חשופת מט"ח-אירופה גרמניה</t>
  </si>
  <si>
    <t>קסם קרן סל תא 125</t>
  </si>
  <si>
    <t>IL0011463564</t>
  </si>
  <si>
    <t>תכלית סל (A‏4)י 500 S&amp;P מנוטרלת מטח</t>
  </si>
  <si>
    <t>IL0011438178</t>
  </si>
  <si>
    <t>תכלית סל תא 90</t>
  </si>
  <si>
    <t>IL0011437832</t>
  </si>
  <si>
    <t>תכלית קרן סל תא 35</t>
  </si>
  <si>
    <t>IL0011437006</t>
  </si>
  <si>
    <t>CEF ishares russell</t>
  </si>
  <si>
    <t>US4642876555</t>
  </si>
  <si>
    <t>RUSSELL 2000 - מניות בחו"ל - מניות גיאוגרפי - מנוטרלת מט"ח-ארה"ב</t>
  </si>
  <si>
    <t>Invesco QQQ  trust NAS1</t>
  </si>
  <si>
    <t>US46090E1038</t>
  </si>
  <si>
    <t>INVESCO S&amp;P 500 EQUITY</t>
  </si>
  <si>
    <t>LYXOR ETF</t>
  </si>
  <si>
    <t>213800VZW861M5FHMD50</t>
  </si>
  <si>
    <t>LYXETF S&amp;P500</t>
  </si>
  <si>
    <t>LU1135865084</t>
  </si>
  <si>
    <t>SPDR S&amp;P 500 UCITS</t>
  </si>
  <si>
    <t>IE000XZSV718</t>
  </si>
  <si>
    <t>Van Eck ETF</t>
  </si>
  <si>
    <t>549300ZLFKNTXC51ZN76</t>
  </si>
  <si>
    <t>VANECK VECTORS SEMICONDUCTOR</t>
  </si>
  <si>
    <t>US92189F6768</t>
  </si>
  <si>
    <t>MTF סל (S&amp;P 500 (4D</t>
  </si>
  <si>
    <t>IL0011503336</t>
  </si>
  <si>
    <t>הראל סל SP500</t>
  </si>
  <si>
    <t>IL0011490203</t>
  </si>
  <si>
    <t>י.ל סל S&amp;P</t>
  </si>
  <si>
    <t>IL0012016569</t>
  </si>
  <si>
    <t>קסם S&amp;P 500 (4D) ETF</t>
  </si>
  <si>
    <t>IL0011464711</t>
  </si>
  <si>
    <t>תכלית 500 PR P&amp;S</t>
  </si>
  <si>
    <t>IL0011443855</t>
  </si>
  <si>
    <t>קסם 500 P&amp;S PR מנוטרלת מטבע</t>
  </si>
  <si>
    <t>IL0011466047</t>
  </si>
  <si>
    <t>קסם תא 90</t>
  </si>
  <si>
    <t>IL0011463317</t>
  </si>
  <si>
    <t>AMUNDI</t>
  </si>
  <si>
    <t>2138007M6OEXDENVTF82</t>
  </si>
  <si>
    <t>AMUNDI DAX III-ETF</t>
  </si>
  <si>
    <t>LU0252633754</t>
  </si>
  <si>
    <t>Equity Funds</t>
  </si>
  <si>
    <t>Financial sel sector spdr</t>
  </si>
  <si>
    <t>US81369Y6059</t>
  </si>
  <si>
    <t>Financial מניות בחו"ל - מניות לפי ענפים בחו"ל - חשופת מט"ח-ארה"ב- מניות</t>
  </si>
  <si>
    <t>ISH $ CORP BD $A</t>
  </si>
  <si>
    <t>IE00BYXYYJ35</t>
  </si>
  <si>
    <t>עוקב אחר מדדים אחרים בחו"ל</t>
  </si>
  <si>
    <t>אג"ח בחו"ל - אג"ח חשופת מט"ח</t>
  </si>
  <si>
    <t>ISH S&amp;P US BANKS</t>
  </si>
  <si>
    <t>IE00BD3V0B10</t>
  </si>
  <si>
    <t>Regional Banks מניות בחו"ל - מניות לפי ענפים בחו"ל - חשופת מט"ח-ארה"ב- מניות</t>
  </si>
  <si>
    <t>Ishares $ Short Duration Corp Bond</t>
  </si>
  <si>
    <t>IE00BYXYYP94</t>
  </si>
  <si>
    <t>Ishares DJ construction</t>
  </si>
  <si>
    <t>US4642887529</t>
  </si>
  <si>
    <t>ISHARES NASDAQ100 ETF USD</t>
  </si>
  <si>
    <t>IE00B53SZB19</t>
  </si>
  <si>
    <t>KRANESHARES</t>
  </si>
  <si>
    <t>549300VLDRC0RUX0E553</t>
  </si>
  <si>
    <t>KraneShares Csi China Internet Etf</t>
  </si>
  <si>
    <t>US5007673065</t>
  </si>
  <si>
    <t>FTSE China 50 - מניות בחו"ל - מניות גיאוגרפי - חשופת מט"ח-אסיה סין</t>
  </si>
  <si>
    <t>LYX CORE EURSTX</t>
  </si>
  <si>
    <t>LU0908500753</t>
  </si>
  <si>
    <t>EURONEXT</t>
  </si>
  <si>
    <t>SPDR US TECH</t>
  </si>
  <si>
    <t>IE00BWBXM948</t>
  </si>
  <si>
    <t>VANG $CORPBD $A</t>
  </si>
  <si>
    <t>IE00BGYWFK87</t>
  </si>
  <si>
    <t>VANG FTSE EM $A</t>
  </si>
  <si>
    <t>IE00BK5BR733</t>
  </si>
  <si>
    <t>WisdomTree Europe ltd</t>
  </si>
  <si>
    <t>213800B789JS6Y4H8936</t>
  </si>
  <si>
    <t>Wisdomtree Japan</t>
  </si>
  <si>
    <t>US97717W8516</t>
  </si>
  <si>
    <t>יפן</t>
  </si>
  <si>
    <t>NIKKEI 225 - מניות בחו"ל - מניות גיאוגרפי - חשופת מט"ח-אסיה יפן</t>
  </si>
  <si>
    <t>MTF סל תא 90</t>
  </si>
  <si>
    <t>IL0011502593</t>
  </si>
  <si>
    <t>)4D( אינדקס שבבים ארה"ב Top10</t>
  </si>
  <si>
    <t>IL0012079013</t>
  </si>
  <si>
    <t>Bloomberg US Analyst Recommen(</t>
  </si>
  <si>
    <t>IL0012056573</t>
  </si>
  <si>
    <t>Indxx Top 10 Europ( מנוטרלת אי</t>
  </si>
  <si>
    <t>IL0012224395</t>
  </si>
  <si>
    <t>מניות בחו"ל - מניות כללי בחו"ל - חשופת מט"ח-מניות כללי בחו"ל - מדד אחר</t>
  </si>
  <si>
    <t>Indxx Top 10 US Oil Industry(</t>
  </si>
  <si>
    <t>IL0012216706</t>
  </si>
  <si>
    <t>MTF סל )00( תל בונד - צמודות A</t>
  </si>
  <si>
    <t>IL0011715948</t>
  </si>
  <si>
    <t>אג"ח בארץ - חברות והמרה-תל בונד צמוד מדד-תל בונד צמודות</t>
  </si>
  <si>
    <t>MTF סל )4D( אינדקס Top10 Tech</t>
  </si>
  <si>
    <t>IL0012001959</t>
  </si>
  <si>
    <t>MTF סל Nasdaq 100 (4A) מנוטרלת</t>
  </si>
  <si>
    <t>IL0011814451</t>
  </si>
  <si>
    <t>MTF סל P Israel 100 (ILS) (4A)</t>
  </si>
  <si>
    <t>IL0012127945</t>
  </si>
  <si>
    <t>MTF סל תל בונד שקלי 50</t>
  </si>
  <si>
    <t>IL0011501686</t>
  </si>
  <si>
    <t>מור סל )4A(י NASDAQ 100 מנוטרל</t>
  </si>
  <si>
    <t>IL0011658445</t>
  </si>
  <si>
    <t>ס US Top10 Pure Cyber Security</t>
  </si>
  <si>
    <t>IL0012175613</t>
  </si>
  <si>
    <t>קסם ETF תא בנקים</t>
  </si>
  <si>
    <t>IL0011464307</t>
  </si>
  <si>
    <t>קסם.NDX100ממ</t>
  </si>
  <si>
    <t>IL0011466120</t>
  </si>
  <si>
    <t>קסם.תלבונד ש 50</t>
  </si>
  <si>
    <t>IL0011507626</t>
  </si>
  <si>
    <t>תכ.תאEMS06</t>
  </si>
  <si>
    <t>IL0011450447</t>
  </si>
  <si>
    <t>SME60 מניות בארץ - מניות כללי-ת"א</t>
  </si>
  <si>
    <t>תכלית סל תל בונד שקלי 50</t>
  </si>
  <si>
    <t>IL0011693335</t>
  </si>
  <si>
    <t>תכלית סל תלבונד תשו</t>
  </si>
  <si>
    <t>IL0011452591</t>
  </si>
  <si>
    <t>אג"ח בארץ - חברות והמרה-תל בונד צמוד מדד-תל בונד- תשואות</t>
  </si>
  <si>
    <t>SPDR BLOOMBERG SASB</t>
  </si>
  <si>
    <t>IE0004TYCC17</t>
  </si>
  <si>
    <t>EUREX</t>
  </si>
  <si>
    <t>SPDR SASB US CORP</t>
  </si>
  <si>
    <t>IE00BLF7VX27</t>
  </si>
  <si>
    <t>SPDR US ENERGY</t>
  </si>
  <si>
    <t>IE00BWBXM492</t>
  </si>
  <si>
    <t>VANG FTSE EM USDA</t>
  </si>
  <si>
    <t>Ishares phlx sox semicon</t>
  </si>
  <si>
    <t>US4642875235</t>
  </si>
  <si>
    <t>Lyxor STOXX Europe 600 Basic R</t>
  </si>
  <si>
    <t>529900KKTR2O8XKSJV77</t>
  </si>
  <si>
    <t>SELECT STOXX EUR</t>
  </si>
  <si>
    <t>US84858T7726</t>
  </si>
  <si>
    <t>SPDR BBG 0-3 $CP</t>
  </si>
  <si>
    <t>IE00BC7GZX26</t>
  </si>
  <si>
    <t>Spdr s&amp;p 500 etf trust</t>
  </si>
  <si>
    <t>US78462F1030</t>
  </si>
  <si>
    <t>הראל סל תא בנקים</t>
  </si>
  <si>
    <t>IL0011489494</t>
  </si>
  <si>
    <t xml:space="preserve">שם נייר ערך </t>
  </si>
  <si>
    <t>MTF ת"א 100 קרן נאמנות</t>
  </si>
  <si>
    <t>IL0051098890</t>
  </si>
  <si>
    <t>Artemis Funds Lux - US Smaller</t>
  </si>
  <si>
    <t>213800SJ3IH3EXMXSJ47</t>
  </si>
  <si>
    <t>ARTEMIS SMARTGA</t>
  </si>
  <si>
    <t>GB00B2PLJD73</t>
  </si>
  <si>
    <t>APS Fund SICAV - APS China A S</t>
  </si>
  <si>
    <t>549300045D2ZRM2NYN79</t>
  </si>
  <si>
    <t>$APS-CHINA A S-F</t>
  </si>
  <si>
    <t>LU1987754873</t>
  </si>
  <si>
    <t>CIFC Senior Secured Corporate</t>
  </si>
  <si>
    <t>3912000TN89ESDWHS93</t>
  </si>
  <si>
    <t>CIFC SEN.SEC.COR</t>
  </si>
  <si>
    <t>KYG2139S1194</t>
  </si>
  <si>
    <t>אג"ח קונצרני</t>
  </si>
  <si>
    <t>INV-US SEN-G</t>
  </si>
  <si>
    <t>LU0564079282</t>
  </si>
  <si>
    <t>CREDIT SUISSE</t>
  </si>
  <si>
    <t>EXD7DEVFDH4HOFFQ7349</t>
  </si>
  <si>
    <t>CS NOVA LUX GLB SEN</t>
  </si>
  <si>
    <t>LU0635707705</t>
  </si>
  <si>
    <t>נכס בסיס (כתב אופציה)</t>
  </si>
  <si>
    <t>תאריך פקיעה</t>
  </si>
  <si>
    <t>שער מימוש</t>
  </si>
  <si>
    <t>יחס המרה</t>
  </si>
  <si>
    <t>אלומיי אופ 2</t>
  </si>
  <si>
    <t>IL0012030826</t>
  </si>
  <si>
    <t>IL0010826357</t>
  </si>
  <si>
    <t>ביג אפ 7</t>
  </si>
  <si>
    <t>IL0012143454</t>
  </si>
  <si>
    <t>IL0010972607</t>
  </si>
  <si>
    <t>01/06/2026</t>
  </si>
  <si>
    <t>נכס בסיס</t>
  </si>
  <si>
    <t>חוזים עתידיים בחול</t>
  </si>
  <si>
    <t>10527</t>
  </si>
  <si>
    <t>ESZ5_S&amp;P500 EMINI FUT  DEC 25</t>
  </si>
  <si>
    <t>ESZ5</t>
  </si>
  <si>
    <t>CME</t>
  </si>
  <si>
    <t>מניות לרבות מדדי מניות</t>
  </si>
  <si>
    <t>HWBZ5_NASD100 MICRO EMIN  DEC 25</t>
  </si>
  <si>
    <t>HWBZ5</t>
  </si>
  <si>
    <t>HWAZ5_SP500 MIC EMINI  DEC 25</t>
  </si>
  <si>
    <t>HWAZ5</t>
  </si>
  <si>
    <t>MESZ5_mini MSCI Emg Mkt  DEC 25</t>
  </si>
  <si>
    <t>MESZ5</t>
  </si>
  <si>
    <t>אלה פקדונות בע"מ</t>
  </si>
  <si>
    <t>515666881</t>
  </si>
  <si>
    <t>אלה פקדון אגח ה</t>
  </si>
  <si>
    <t>IL0011625774</t>
  </si>
  <si>
    <t>קרן מובטחת</t>
  </si>
  <si>
    <t>מדד המחירים לצרכן</t>
  </si>
  <si>
    <t>אלה פקדון אגח ד</t>
  </si>
  <si>
    <t>IL0011623043</t>
  </si>
  <si>
    <t>מט"ח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</si>
  <si>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</si>
  <si>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</si>
  <si>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</si>
  <si>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</si>
  <si>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</si>
  <si>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</si>
  <si>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</si>
  <si>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</si>
  <si>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</si>
  <si>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</si>
  <si>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</si>
  <si>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אלביט מערכות נעמ1-ל</t>
  </si>
  <si>
    <t>IL0011991572</t>
  </si>
  <si>
    <t>31/08/2023</t>
  </si>
  <si>
    <t>צמוד למדד אחר</t>
  </si>
  <si>
    <t>SOFR</t>
  </si>
  <si>
    <t>04/08/2028</t>
  </si>
  <si>
    <t>חברת ציטוט</t>
  </si>
  <si>
    <t>אי-תלות</t>
  </si>
  <si>
    <t>מרווח הוגן</t>
  </si>
  <si>
    <t>30/09/2025</t>
  </si>
  <si>
    <t>גב-ים נגב בע"מ</t>
  </si>
  <si>
    <t>514189596</t>
  </si>
  <si>
    <t>גב-ים נגב אגח ב-רמ</t>
  </si>
  <si>
    <t>IL0012084534</t>
  </si>
  <si>
    <t>לא סחיר</t>
  </si>
  <si>
    <t>11/07/2024</t>
  </si>
  <si>
    <t xml:space="preserve">י.ח.ק להשקעות שותפות מוגבלת </t>
  </si>
  <si>
    <t>550016091</t>
  </si>
  <si>
    <t>י.ח.ק.  אגח ב רמ</t>
  </si>
  <si>
    <t>IL0011817835</t>
  </si>
  <si>
    <t>16/11/2021</t>
  </si>
  <si>
    <t>כלל תעשיות בע"מ</t>
  </si>
  <si>
    <t>520021874</t>
  </si>
  <si>
    <t>כלל תעש אגח טז-רמ</t>
  </si>
  <si>
    <t>IL0060802381</t>
  </si>
  <si>
    <t>22/11/2021</t>
  </si>
  <si>
    <t>לידר החזקות והשקעות בע"מ</t>
  </si>
  <si>
    <t>520037664</t>
  </si>
  <si>
    <t>לידר אגח ח - רמ</t>
  </si>
  <si>
    <t>IL0031803617</t>
  </si>
  <si>
    <t>28/02/2021</t>
  </si>
  <si>
    <t>15/02/2028</t>
  </si>
  <si>
    <t>מימון ישיר נדל"ן ומשכנתאות בעמ</t>
  </si>
  <si>
    <t>516100153</t>
  </si>
  <si>
    <t>מימוןמשכ אגא-רמ</t>
  </si>
  <si>
    <t>IL0012088188</t>
  </si>
  <si>
    <t>15/07/2024</t>
  </si>
  <si>
    <t>מת"ם - מרכז תעשיות מדע חיפה בע"מ</t>
  </si>
  <si>
    <t>510687403</t>
  </si>
  <si>
    <t>מתם מרכז תעשיות מדע חיפה אגח א ר.מ</t>
  </si>
  <si>
    <t>IL0011389991</t>
  </si>
  <si>
    <t>05/12/2018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</si>
  <si>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</si>
  <si>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</si>
  <si>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</si>
  <si>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</si>
  <si>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</si>
  <si>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</si>
  <si>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</si>
  <si>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</si>
  <si>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</si>
  <si>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</si>
  <si>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</si>
  <si>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15/09/2034</t>
  </si>
  <si>
    <t>רפאל אגח סדרה ה 2020/2026</t>
  </si>
  <si>
    <t>IL0011402927</t>
  </si>
  <si>
    <t>04/05/2021</t>
  </si>
  <si>
    <t>רפאל סד' ד 2020/2034</t>
  </si>
  <si>
    <t>IL0011402844</t>
  </si>
  <si>
    <t>לוויתן בונד בע"מ</t>
  </si>
  <si>
    <t>516223864</t>
  </si>
  <si>
    <t>LVIATH 6 1/2 30/06/2027</t>
  </si>
  <si>
    <t>IL0011677825</t>
  </si>
  <si>
    <t>Energy Equipment &amp; Services</t>
  </si>
  <si>
    <t>18/10/2023</t>
  </si>
  <si>
    <t>Ba3</t>
  </si>
  <si>
    <t>26/10/2021</t>
  </si>
  <si>
    <t>Energean plc</t>
  </si>
  <si>
    <t>549300RVMKU0CYUZBB05</t>
  </si>
  <si>
    <t>ENOIGA 5 3/8 03/30/28</t>
  </si>
  <si>
    <t>IL0011736738</t>
  </si>
  <si>
    <t>17/03/2021</t>
  </si>
  <si>
    <t>BB-</t>
  </si>
  <si>
    <t>30/03/2028</t>
  </si>
  <si>
    <t>NEON CAPITAL LTD</t>
  </si>
  <si>
    <t>549300K1NZTY5QS1NO76</t>
  </si>
  <si>
    <t>NEONCA 0 01/04/41</t>
  </si>
  <si>
    <t>XS0207404343</t>
  </si>
  <si>
    <t>איי קיימן</t>
  </si>
  <si>
    <t>Food &amp; Staples Retailing Consumer Staples Distribution &amp; Retail</t>
  </si>
  <si>
    <t>01/08/2019</t>
  </si>
  <si>
    <t>04/01/2041</t>
  </si>
  <si>
    <t>08/08/2019</t>
  </si>
  <si>
    <t>31/05/2025</t>
  </si>
  <si>
    <t>אלון חברת הדלק לישראל בע"מ</t>
  </si>
  <si>
    <t>520041690</t>
  </si>
  <si>
    <t>אלון חברת הדלק אגח סד' א - עמי גמל</t>
  </si>
  <si>
    <t>IL0011015679</t>
  </si>
  <si>
    <t>08/12/2020</t>
  </si>
  <si>
    <t>גורם תלוי/פנימי</t>
  </si>
  <si>
    <t>קיימת תלות</t>
  </si>
  <si>
    <t>אמפל-אמריקן ישראל קורפוריישן</t>
  </si>
  <si>
    <t>130435685</t>
  </si>
  <si>
    <t>אמפל אמריקן אגח א</t>
  </si>
  <si>
    <t>IL0011008336</t>
  </si>
  <si>
    <t>31/12/2013</t>
  </si>
  <si>
    <t>20/11/2015</t>
  </si>
  <si>
    <t>כן</t>
  </si>
  <si>
    <t>19/12/2023</t>
  </si>
  <si>
    <t>חפציבה חופים בע"מ</t>
  </si>
  <si>
    <t>513718734</t>
  </si>
  <si>
    <t>חפציבה חופים אג"ח א' חש 2/09</t>
  </si>
  <si>
    <t>IL0011135626</t>
  </si>
  <si>
    <t>28/02/2012</t>
  </si>
  <si>
    <t>חפציבה חופים אגח 1</t>
  </si>
  <si>
    <t>IL0010959422</t>
  </si>
  <si>
    <t>לאומי ש"ה 2008/2027 6.6%</t>
  </si>
  <si>
    <t>6401954</t>
  </si>
  <si>
    <t>24/01/2027</t>
  </si>
  <si>
    <t>לאומי שטר הון 6.60% 01/2027</t>
  </si>
  <si>
    <t>6401764</t>
  </si>
  <si>
    <t>מפעלי פלדה מאוחדים בע"מ</t>
  </si>
  <si>
    <t>520022492</t>
  </si>
  <si>
    <t>מ.פלדה אג-1 מפ1/00</t>
  </si>
  <si>
    <t>IL0039800425</t>
  </si>
  <si>
    <t>31/01/2001</t>
  </si>
  <si>
    <t>10/12/2018</t>
  </si>
  <si>
    <t>30/06/2025</t>
  </si>
  <si>
    <t>מפעלי פלדה אג1</t>
  </si>
  <si>
    <t>IL0039800185</t>
  </si>
  <si>
    <t>נתיבי הגז הטבעי לישראל בע"מ</t>
  </si>
  <si>
    <t>513436394</t>
  </si>
  <si>
    <t>נתיבי גז אג"ח א - רמ</t>
  </si>
  <si>
    <t>IL0011030843</t>
  </si>
  <si>
    <t>29/12/2026</t>
  </si>
  <si>
    <t>וויו (veev) גרופ</t>
  </si>
  <si>
    <t>832652993</t>
  </si>
  <si>
    <t>C  וויו גרופ</t>
  </si>
  <si>
    <t>US9224741010</t>
  </si>
  <si>
    <t>מניות לא סחירות</t>
  </si>
  <si>
    <t>השקעות בהיי-טק</t>
  </si>
  <si>
    <t>08/03/2021</t>
  </si>
  <si>
    <t>PROSPECT CAPITAL CORP</t>
  </si>
  <si>
    <t>549300FSD8T39P5Q0O47</t>
  </si>
  <si>
    <t>PROSPECT CAPITAL</t>
  </si>
  <si>
    <t>US74348T5083</t>
  </si>
  <si>
    <t>27/04/2021</t>
  </si>
  <si>
    <t>VERTEX</t>
  </si>
  <si>
    <t>540308541</t>
  </si>
  <si>
    <t>VERTEX VENTURES OB LIMITED PARTNERSHIP</t>
  </si>
  <si>
    <t>27970024</t>
  </si>
  <si>
    <t>20/07/2021</t>
  </si>
  <si>
    <t>25/09/2024</t>
  </si>
  <si>
    <t>25/03/2025</t>
  </si>
  <si>
    <t>מניות לא סחירות אלון דלק</t>
  </si>
  <si>
    <t>44867</t>
  </si>
  <si>
    <t>07/11/2017</t>
  </si>
  <si>
    <t>18/08/2019</t>
  </si>
  <si>
    <t>ALESCO PREF FUNDING IX</t>
  </si>
  <si>
    <t>549300FP1ZNOHOUNLV32</t>
  </si>
  <si>
    <t>ALESC 0 06/23/36</t>
  </si>
  <si>
    <t>KYG0158U1067</t>
  </si>
  <si>
    <t>25/12/2023</t>
  </si>
  <si>
    <t>ALESC 7X INC</t>
  </si>
  <si>
    <t>USG0158NAA03</t>
  </si>
  <si>
    <t>07/08/2019</t>
  </si>
  <si>
    <t>ALESCO PFD V</t>
  </si>
  <si>
    <t>KYG0158H1056</t>
  </si>
  <si>
    <t>Construction Materials</t>
  </si>
  <si>
    <t>08/09/2020</t>
  </si>
  <si>
    <t>07/08/2024</t>
  </si>
  <si>
    <t>Verbit Inc</t>
  </si>
  <si>
    <t>28460</t>
  </si>
  <si>
    <t>27970019</t>
  </si>
  <si>
    <t>13/05/2021</t>
  </si>
  <si>
    <t>07/08/2025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</si>
  <si>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</si>
  <si>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</si>
  <si>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</si>
  <si>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</si>
  <si>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</si>
  <si>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</si>
  <si>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</si>
  <si>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</si>
  <si>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</si>
  <si>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</si>
  <si>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</si>
  <si>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Vertex Venturs Partners LTD</t>
  </si>
  <si>
    <t>Vertex Israel Opportunity II Fund</t>
  </si>
  <si>
    <t>פרייבט אקוויטי</t>
  </si>
  <si>
    <t>Growth Venture Capital</t>
  </si>
  <si>
    <t>19/08/2021</t>
  </si>
  <si>
    <t>דיווח מנהל הקרן</t>
  </si>
  <si>
    <t>Coller Credit Opportunities I General Partner, L.P.</t>
  </si>
  <si>
    <t>89525</t>
  </si>
  <si>
    <t>Coller Credit Opportunities</t>
  </si>
  <si>
    <t>Secondaries</t>
  </si>
  <si>
    <t>ג'רנסי</t>
  </si>
  <si>
    <t>02/09/2021</t>
  </si>
  <si>
    <t>29/09/2025</t>
  </si>
  <si>
    <t>ECP GP V, LP</t>
  </si>
  <si>
    <t>213800P4S1KTTPIB9T76</t>
  </si>
  <si>
    <t>Harel Alternative Credit Co-Invest</t>
  </si>
  <si>
    <t>Venture Debt</t>
  </si>
  <si>
    <t>כתובת: החילזון 12 , רמת גן</t>
  </si>
  <si>
    <t>01/05/2023</t>
  </si>
  <si>
    <t>17/09/2025</t>
  </si>
  <si>
    <t>Kedma Capital</t>
  </si>
  <si>
    <t>540286333</t>
  </si>
  <si>
    <t>KEDMA CAPITAL IV</t>
  </si>
  <si>
    <t>Other</t>
  </si>
  <si>
    <t>מנחם בגין 132, מגדלי עזריאלי, תל אביב</t>
  </si>
  <si>
    <t>31/10/2024</t>
  </si>
  <si>
    <t>18/09/2025</t>
  </si>
  <si>
    <t>נוקד</t>
  </si>
  <si>
    <t>515419356</t>
  </si>
  <si>
    <t>קרן נוקד אגח</t>
  </si>
  <si>
    <t>קרן גידור (Hedge Fund)</t>
  </si>
  <si>
    <t>Buyout</t>
  </si>
  <si>
    <t>כתובת:  הארבעה 30 תל אביב</t>
  </si>
  <si>
    <t>26/07/2022</t>
  </si>
  <si>
    <t>קרן נוקד אופורטוניטי</t>
  </si>
  <si>
    <t>17/07/2025</t>
  </si>
  <si>
    <t>אלפא</t>
  </si>
  <si>
    <t>27512</t>
  </si>
  <si>
    <t>ALPHA OPPORTUNITIES LP</t>
  </si>
  <si>
    <t>27/07/2022</t>
  </si>
  <si>
    <t>מומחה בלתי תלוי</t>
  </si>
  <si>
    <t>12/05/2025</t>
  </si>
  <si>
    <t>אי.בי.אי IBI</t>
  </si>
  <si>
    <t>550270045</t>
  </si>
  <si>
    <t>איבו קרן מלונאות ש.מ - עמי גמל 30.08.2032</t>
  </si>
  <si>
    <t>אחד העם 9 תל אביב ישראל</t>
  </si>
  <si>
    <t>05/02/2023</t>
  </si>
  <si>
    <t>08/05/2025</t>
  </si>
  <si>
    <t>פורמה</t>
  </si>
  <si>
    <t>530278654</t>
  </si>
  <si>
    <t>Forma Fund I</t>
  </si>
  <si>
    <t>קרן נדל"ן</t>
  </si>
  <si>
    <t>Value Added Real Estate</t>
  </si>
  <si>
    <t>Address: 20 Raul Valenberg , Tel Aviv, Israel</t>
  </si>
  <si>
    <t>03/04/2019</t>
  </si>
  <si>
    <t>18/08/2025</t>
  </si>
  <si>
    <t>פורטיסימו</t>
  </si>
  <si>
    <t>530278498</t>
  </si>
  <si>
    <t>FORTISSIMO 2</t>
  </si>
  <si>
    <t>Co-Investment/Direct</t>
  </si>
  <si>
    <t>כתובת: הארבעה 30 , תל אביב, ישראל</t>
  </si>
  <si>
    <t xml:space="preserve">Klirmark Opportunity Fund </t>
  </si>
  <si>
    <t>CO-101523</t>
  </si>
  <si>
    <t>Klirmark Fund IV- More</t>
  </si>
  <si>
    <t>ז'בוטינסקי 2 רמת גן ישראל</t>
  </si>
  <si>
    <t>24/04/2023</t>
  </si>
  <si>
    <t>26/08/2025</t>
  </si>
  <si>
    <t>Klirmark</t>
  </si>
  <si>
    <t>KLIRMARK OPPOTUNITY III</t>
  </si>
  <si>
    <t>Special Situations Debt</t>
  </si>
  <si>
    <t>כתובת: ז'בוטינסקי 2 , רמת גן , ישראל</t>
  </si>
  <si>
    <t>13/11/2019</t>
  </si>
  <si>
    <t>Liquidity Capital</t>
  </si>
  <si>
    <t>28352</t>
  </si>
  <si>
    <t>Liquidity Capital II</t>
  </si>
  <si>
    <t>כתובת: דרך ששת הימים 30 , בני ברק</t>
  </si>
  <si>
    <t>17/02/2021</t>
  </si>
  <si>
    <t>Qumra Opportunity Fund GP, L.P.</t>
  </si>
  <si>
    <t>873792462</t>
  </si>
  <si>
    <t>Qumra Opportunity Fund</t>
  </si>
  <si>
    <t>הנביאים 4 תל אביב ישראל</t>
  </si>
  <si>
    <t>10/05/2021</t>
  </si>
  <si>
    <t>04/02/2025</t>
  </si>
  <si>
    <t>Vintage</t>
  </si>
  <si>
    <t>7836236</t>
  </si>
  <si>
    <t>Vintage Fund of Funds IV</t>
  </si>
  <si>
    <t>Value Added Infrastructure</t>
  </si>
  <si>
    <t>כתובת: אבא אבן 12 , הרצליה פיתוח , ישראל</t>
  </si>
  <si>
    <t>30/04/2019</t>
  </si>
  <si>
    <t>514517267</t>
  </si>
  <si>
    <t>אלפא קרן גידור</t>
  </si>
  <si>
    <t>כתובת: אבא אבן 10 , הרצליה</t>
  </si>
  <si>
    <t>יסודות נדלן</t>
  </si>
  <si>
    <t>550257125</t>
  </si>
  <si>
    <t>יסודות הנדל"ן ב</t>
  </si>
  <si>
    <t>כתובת: בר כוכבא 23, בני ברק, ישראל</t>
  </si>
  <si>
    <t>31/01/2018</t>
  </si>
  <si>
    <t>31/08/2025</t>
  </si>
  <si>
    <t>540290103</t>
  </si>
  <si>
    <t>יסודות נדלן ג'</t>
  </si>
  <si>
    <t>04/12/2019</t>
  </si>
  <si>
    <t>10/09/2025</t>
  </si>
  <si>
    <t>נוקד בונדס</t>
  </si>
  <si>
    <t>31/05/2020</t>
  </si>
  <si>
    <t>Fimi Israel Opportunity</t>
  </si>
  <si>
    <t>540279767</t>
  </si>
  <si>
    <t>פימי 6- עמ"י</t>
  </si>
  <si>
    <t>כתובת: יגאל אלון 94 , תל אביב</t>
  </si>
  <si>
    <t>23/12/2019</t>
  </si>
  <si>
    <t>17/08/2025</t>
  </si>
  <si>
    <t>קוגיטו קפיטל פאנד 2 שותף כללי בע"מ</t>
  </si>
  <si>
    <t>550270912</t>
  </si>
  <si>
    <t>קוגיטו קפיטל 2</t>
  </si>
  <si>
    <t>06/02/2022</t>
  </si>
  <si>
    <t>530278514</t>
  </si>
  <si>
    <t>קרן בלקסטון</t>
  </si>
  <si>
    <t>20/04/2020</t>
  </si>
  <si>
    <t>קרן גידור נוקד</t>
  </si>
  <si>
    <t>29/10/2015</t>
  </si>
  <si>
    <t>19/08/2025</t>
  </si>
  <si>
    <t>נוי</t>
  </si>
  <si>
    <t>550241467</t>
  </si>
  <si>
    <t>קרן נוי 2 השקעה בתשתיות</t>
  </si>
  <si>
    <t>כתובת: דרך מנחם בגין 132,  תל אביב</t>
  </si>
  <si>
    <t>27/10/2015</t>
  </si>
  <si>
    <t>21/08/2025</t>
  </si>
  <si>
    <t>נוקד אקוויטי השקעות בע"מ</t>
  </si>
  <si>
    <t>קרן נוקד אקוויטי</t>
  </si>
  <si>
    <t>הארבעה 30 תל אביב ישראל</t>
  </si>
  <si>
    <t>03/03/2024</t>
  </si>
  <si>
    <t>Brookfield global</t>
  </si>
  <si>
    <t>254900YTMKBFJAKUBO55</t>
  </si>
  <si>
    <t xml:space="preserve">Brookfield Strategic Real Estate Partners V
</t>
  </si>
  <si>
    <t>לוקסמבורג</t>
  </si>
  <si>
    <t>Level 25, One Canada Square, Canary Wharf, London, E14 5AA, United Kingdom</t>
  </si>
  <si>
    <t>Cheyne European</t>
  </si>
  <si>
    <t>12342</t>
  </si>
  <si>
    <t>Cheyne European Strategic II</t>
  </si>
  <si>
    <t>Address: Stornoway House, 13 Cleveland Row, London</t>
  </si>
  <si>
    <t>23/08/2021</t>
  </si>
  <si>
    <t>Coller International</t>
  </si>
  <si>
    <t>10087</t>
  </si>
  <si>
    <t>Coller IX-B</t>
  </si>
  <si>
    <t>Trafalgar Court, Les Banques, st Peter Port, Guernsey</t>
  </si>
  <si>
    <t>03/03/2025</t>
  </si>
  <si>
    <t>CVC EUDL IV</t>
  </si>
  <si>
    <t>B278095</t>
  </si>
  <si>
    <t>3, rue Gabriel Lippmann, L - 5365 Munsbach, Grand-Duché de Luxembourg</t>
  </si>
  <si>
    <t>12/12/2024</t>
  </si>
  <si>
    <t>HarbourVest GP LLC</t>
  </si>
  <si>
    <t>Electra Capital PM II Feeder</t>
  </si>
  <si>
    <t>Address: 4890 West Kennedy blvd. Tampa, FL 33609 USA</t>
  </si>
  <si>
    <t>15/05/2023</t>
  </si>
  <si>
    <t>11/09/2025</t>
  </si>
  <si>
    <t>EQT</t>
  </si>
  <si>
    <t>2020 2423 842</t>
  </si>
  <si>
    <t>EQT Infrastructure V</t>
  </si>
  <si>
    <t>Address: 51A Boulevard Royal, L-2449 , Luxembourg</t>
  </si>
  <si>
    <t>12/08/2021</t>
  </si>
  <si>
    <t>FRG-X GP,LP</t>
  </si>
  <si>
    <t>86-2034928</t>
  </si>
  <si>
    <t>Faro Point FIVF III (F-5)</t>
  </si>
  <si>
    <t>5 Marine View Plz. , Hoboken, NJ 07030, USA</t>
  </si>
  <si>
    <t>17/06/2024</t>
  </si>
  <si>
    <t>Insight Partners</t>
  </si>
  <si>
    <t>851058800</t>
  </si>
  <si>
    <t>INSIGHT PARTNERS XII</t>
  </si>
  <si>
    <t>Address: 1114 Avenue of the Americas , New York , NY</t>
  </si>
  <si>
    <t>12/07/2021</t>
  </si>
  <si>
    <t>invesco</t>
  </si>
  <si>
    <t>549300FEA3DT84FOZ304</t>
  </si>
  <si>
    <t>Invesco Direct Lending II</t>
  </si>
  <si>
    <t>קרן חוב</t>
  </si>
  <si>
    <t>לוכסמבורג</t>
  </si>
  <si>
    <t>225 Liberty st. , New York, NY , 10281</t>
  </si>
  <si>
    <t>08/04/2024</t>
  </si>
  <si>
    <t>Klirmark Fund IV</t>
  </si>
  <si>
    <t>מור</t>
  </si>
  <si>
    <t>13364</t>
  </si>
  <si>
    <t>More Alternative Credit CLO</t>
  </si>
  <si>
    <t>כתובת: דרך דוד בן גוריון 2 , רמת גן</t>
  </si>
  <si>
    <t>31/07/2023</t>
  </si>
  <si>
    <t>PHOENIX CO INVEST</t>
  </si>
  <si>
    <t>13139</t>
  </si>
  <si>
    <t>The Phoenix Anchor Fund</t>
  </si>
  <si>
    <t>דרך השלום 53 , גבעתיים ישראל</t>
  </si>
  <si>
    <t>16/09/2024</t>
  </si>
  <si>
    <t>23/07/2025</t>
  </si>
  <si>
    <t>Viola Credit GL II, Limited Partnership</t>
  </si>
  <si>
    <t>89968</t>
  </si>
  <si>
    <t>Viola Credit ALF III</t>
  </si>
  <si>
    <t>12 Aba Even, Herzelia Pituach, Israel</t>
  </si>
  <si>
    <t>13/02/2025</t>
  </si>
  <si>
    <t>פונטיפקס 5  ג'י.פי ש.מ</t>
  </si>
  <si>
    <t>232962336</t>
  </si>
  <si>
    <t>פנתאון PGCO VI</t>
  </si>
  <si>
    <t>10 Finsbury Square, London</t>
  </si>
  <si>
    <t>30/10/2024</t>
  </si>
  <si>
    <t>01/07/2025</t>
  </si>
  <si>
    <t>23/10/2023</t>
  </si>
  <si>
    <t>IBI</t>
  </si>
  <si>
    <t>IBI Consumer</t>
  </si>
  <si>
    <t>כתובת:  אחד העם 9 תל אביב</t>
  </si>
  <si>
    <t>29/08/2019</t>
  </si>
  <si>
    <t>Alto</t>
  </si>
  <si>
    <t>27092</t>
  </si>
  <si>
    <t>ALTO 3</t>
  </si>
  <si>
    <t>Address: 8 Raul Valenberg , Tel Aviv , Israel</t>
  </si>
  <si>
    <t>25/09/2017</t>
  </si>
  <si>
    <t>Alto II</t>
  </si>
  <si>
    <t>ALTO FUND</t>
  </si>
  <si>
    <t>05/07/2015</t>
  </si>
  <si>
    <t>27/08/2025</t>
  </si>
  <si>
    <t>Ami Opportunities</t>
  </si>
  <si>
    <t>512712548</t>
  </si>
  <si>
    <t>AMI OPPORTUNITY</t>
  </si>
  <si>
    <t>Address: 1 Glategny Esplanade , St Peter Port , Guernsey , GY12HJ</t>
  </si>
  <si>
    <t>20/12/2015</t>
  </si>
  <si>
    <t>15/09/2025</t>
  </si>
  <si>
    <t>Ares  LIII CLO Ltd</t>
  </si>
  <si>
    <t>WEQ82666OJYSI5GUAB47</t>
  </si>
  <si>
    <t>Ares Climate Infrastructure Partners II</t>
  </si>
  <si>
    <t>1800 AVENUE OF THE STARS, SUITE 1400, LOS ANGELES, CA 90067</t>
  </si>
  <si>
    <t>21/01/2025</t>
  </si>
  <si>
    <t>25/08/2025</t>
  </si>
  <si>
    <t>Avenue Europe</t>
  </si>
  <si>
    <t>12151</t>
  </si>
  <si>
    <t>Avenue Europe III</t>
  </si>
  <si>
    <t>Address: 11 West 42 st. , New York , NY 10036</t>
  </si>
  <si>
    <t>26/10/2016</t>
  </si>
  <si>
    <t>AP Fund III GP, LLC</t>
  </si>
  <si>
    <t>84-2057868</t>
  </si>
  <si>
    <t>Blue Atlantic</t>
  </si>
  <si>
    <t>2875 NE 191st Street, Aventura, Florida 33180</t>
  </si>
  <si>
    <t>21/06/2016</t>
  </si>
  <si>
    <t>28/08/2025</t>
  </si>
  <si>
    <t>Oak Street Real Estate Capital Fund VI, LP</t>
  </si>
  <si>
    <t>9492</t>
  </si>
  <si>
    <t>Blue Owl RE Fund VI</t>
  </si>
  <si>
    <t>30 N. LaSalle st., Chicago, IL 60602</t>
  </si>
  <si>
    <t>16/05/2023</t>
  </si>
  <si>
    <t>בראק קפיטל</t>
  </si>
  <si>
    <t>724500GB8DLC6CHUX916</t>
  </si>
  <si>
    <t>BRACK CAPITAL</t>
  </si>
  <si>
    <t>קפריסין</t>
  </si>
  <si>
    <t>Address: Lophitis Business Centre, 28th October Street, CY-3035 Limassol, Cyprus</t>
  </si>
  <si>
    <t>25/10/2020</t>
  </si>
  <si>
    <t>20/06/2024</t>
  </si>
  <si>
    <t>SDL Management III Ltd</t>
  </si>
  <si>
    <t>28110</t>
  </si>
  <si>
    <t>Dover Street XI L.P</t>
  </si>
  <si>
    <t>One Financial Center, Boston, Massachusetts 02111</t>
  </si>
  <si>
    <t>22/06/2023</t>
  </si>
  <si>
    <t>ECP Fund V</t>
  </si>
  <si>
    <t>WC-115592</t>
  </si>
  <si>
    <t>ECP Infrastructure V</t>
  </si>
  <si>
    <t>40 Beechwood Road, Summit, NJ 07901, United States</t>
  </si>
  <si>
    <t>07/06/2023</t>
  </si>
  <si>
    <t>20/08/2025</t>
  </si>
  <si>
    <t>Electra America Hospitality AKA LLC</t>
  </si>
  <si>
    <t>89834</t>
  </si>
  <si>
    <t>Electra America Principal Hospitality</t>
  </si>
  <si>
    <t>Opportunistic Real Estate</t>
  </si>
  <si>
    <t>15/03/2022</t>
  </si>
  <si>
    <t>Electra Capital Advisors LLC</t>
  </si>
  <si>
    <t>87-4404526</t>
  </si>
  <si>
    <t>electra capital Pm fund Lp</t>
  </si>
  <si>
    <t>Debt Infrastructure</t>
  </si>
  <si>
    <t>07/06/2021</t>
  </si>
  <si>
    <t>Electra</t>
  </si>
  <si>
    <t>510607328</t>
  </si>
  <si>
    <t>ELECTRA NADLAN 2</t>
  </si>
  <si>
    <t>Address: 1331 South Killian Drive, Suite A, Lake Park, FL 33403</t>
  </si>
  <si>
    <t>14/05/2019</t>
  </si>
  <si>
    <t>Hamilton</t>
  </si>
  <si>
    <t xml:space="preserve">98-1588386 </t>
  </si>
  <si>
    <t>HAMILTON LANECI  IV</t>
  </si>
  <si>
    <t>Address: 610 Fifth Avenue , New York , NY 10020</t>
  </si>
  <si>
    <t>29/05/2019</t>
  </si>
  <si>
    <t>Hanaco II GP, L.P.</t>
  </si>
  <si>
    <t>89458</t>
  </si>
  <si>
    <t>hanaco II L.P</t>
  </si>
  <si>
    <t>22/07/2021</t>
  </si>
  <si>
    <t>HarbourVest</t>
  </si>
  <si>
    <t>27330</t>
  </si>
  <si>
    <t>Harbourvest Dover 10</t>
  </si>
  <si>
    <t>Address: One Financial Center, Boston, Massachusetts 02111</t>
  </si>
  <si>
    <t>13/01/2020</t>
  </si>
  <si>
    <t>ICG Europe</t>
  </si>
  <si>
    <t>12787</t>
  </si>
  <si>
    <t>ICG EUROPE 7</t>
  </si>
  <si>
    <t>Address: 60 Avenue J.F Kennedy L-1855, Luxembourg</t>
  </si>
  <si>
    <t>23/08/2018</t>
  </si>
  <si>
    <t>21/09/2025</t>
  </si>
  <si>
    <t>ICG NA</t>
  </si>
  <si>
    <t>ICG NORTH AMERICAN DEBT FUND</t>
  </si>
  <si>
    <t>Address: 600 Lexington Avenue, New York, NY 10022</t>
  </si>
  <si>
    <t>19/03/2019</t>
  </si>
  <si>
    <t>Madison Realty Capital Debt Fund VI GP LLC</t>
  </si>
  <si>
    <t>30-0963117</t>
  </si>
  <si>
    <t>Madison Realty Capital Debt Fund VI LP</t>
  </si>
  <si>
    <t>22/11/2022</t>
  </si>
  <si>
    <t>Pagaya RE Management GP LLC</t>
  </si>
  <si>
    <t>89415</t>
  </si>
  <si>
    <t>Pagaya Smartresi F1</t>
  </si>
  <si>
    <t>01/07/2021</t>
  </si>
  <si>
    <t>פנתאון</t>
  </si>
  <si>
    <t>B 201.101</t>
  </si>
  <si>
    <t>PANTHEON ACCESS</t>
  </si>
  <si>
    <t>Address: 10 Finsbury Square, London</t>
  </si>
  <si>
    <t>10/05/2018</t>
  </si>
  <si>
    <t>25/09/2025</t>
  </si>
  <si>
    <t>Pantheon Global Infrastructure Fund IV (Luxembourg</t>
  </si>
  <si>
    <t>90278</t>
  </si>
  <si>
    <t>25/07/2023</t>
  </si>
  <si>
    <t>PEREGRINE VENTURES GROWTH GENERAL PARTNER, LIMITED PARTNERSHIP</t>
  </si>
  <si>
    <t>27323</t>
  </si>
  <si>
    <t>Peregrine Ventures Growth General Partner LP Limit</t>
  </si>
  <si>
    <t>08/07/2021</t>
  </si>
  <si>
    <t>Starlight Bond FP I GP LIMITED</t>
  </si>
  <si>
    <t>90109</t>
  </si>
  <si>
    <t>Starlight Bond FP I LP</t>
  </si>
  <si>
    <t>אנגליה</t>
  </si>
  <si>
    <t>24/01/2023</t>
  </si>
  <si>
    <t>Target Global Growth II GP S.à r.l.</t>
  </si>
  <si>
    <t>89655</t>
  </si>
  <si>
    <t>Target Global Growth Fund II</t>
  </si>
  <si>
    <t>08/11/2021</t>
  </si>
  <si>
    <t>Vintage Growth Fund III</t>
  </si>
  <si>
    <t>09/01/2020</t>
  </si>
  <si>
    <t>Vintage Secondary Fund IV</t>
  </si>
  <si>
    <t>30/05/2018</t>
  </si>
  <si>
    <t>31/07/2025</t>
  </si>
  <si>
    <t>Viola Credit GL II General</t>
  </si>
  <si>
    <t>89851</t>
  </si>
  <si>
    <t>Viola Credit GL II Limited Partnership</t>
  </si>
  <si>
    <t>24/10/2022</t>
  </si>
  <si>
    <t>דוניץ אופציה לא סחירה</t>
  </si>
  <si>
    <t>4000101</t>
  </si>
  <si>
    <t>24/02/2025</t>
  </si>
  <si>
    <t>שגריר רכב</t>
  </si>
  <si>
    <t>515158665</t>
  </si>
  <si>
    <t>שגריר כתב אופציה ל.ס</t>
  </si>
  <si>
    <t>IL0011383796</t>
  </si>
  <si>
    <t>חסום</t>
  </si>
  <si>
    <t>08/06/2025</t>
  </si>
  <si>
    <t>29/06/2022</t>
  </si>
  <si>
    <t>06/08/2024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</si>
  <si>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</si>
  <si>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</si>
  <si>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</si>
  <si>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</si>
  <si>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</si>
  <si>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</si>
  <si>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</si>
  <si>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</si>
  <si>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</si>
  <si>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</si>
  <si>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</si>
  <si>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</si>
  <si>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</si>
  <si>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</si>
  <si>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</si>
  <si>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</si>
  <si>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</si>
  <si>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</si>
  <si>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</si>
  <si>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</si>
  <si>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</si>
  <si>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</si>
  <si>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</si>
  <si>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</si>
  <si>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</si>
  <si>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</si>
  <si>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</si>
  <si>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</si>
  <si>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</si>
  <si>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</si>
  <si>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</si>
  <si>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161</t>
  </si>
  <si>
    <t>1434</t>
  </si>
  <si>
    <t>Funded Forward</t>
  </si>
  <si>
    <t>90026506</t>
  </si>
  <si>
    <t>מדינה/איזור גאוגרפי</t>
  </si>
  <si>
    <t>מט"ח/₪</t>
  </si>
  <si>
    <t>USD ILS</t>
  </si>
  <si>
    <t>03/10/2025</t>
  </si>
  <si>
    <t>ללא</t>
  </si>
  <si>
    <t>Delivery</t>
  </si>
  <si>
    <t>הצד הנגדי</t>
  </si>
  <si>
    <t>0</t>
  </si>
  <si>
    <t>NA</t>
  </si>
  <si>
    <t>LUMILIT</t>
  </si>
  <si>
    <t>9938</t>
  </si>
  <si>
    <t>90025783</t>
  </si>
  <si>
    <t>02/07/2025</t>
  </si>
  <si>
    <t>23/10/2025</t>
  </si>
  <si>
    <t>90025781</t>
  </si>
  <si>
    <t>EUR ILS</t>
  </si>
  <si>
    <t>9942</t>
  </si>
  <si>
    <t>9943</t>
  </si>
  <si>
    <t>90026333</t>
  </si>
  <si>
    <t>03/09/2025</t>
  </si>
  <si>
    <t>17/12/2025</t>
  </si>
  <si>
    <t>90026516</t>
  </si>
  <si>
    <t>30/10/2025</t>
  </si>
  <si>
    <t>12468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</si>
  <si>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</si>
  <si>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</si>
  <si>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</si>
  <si>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</si>
  <si>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</si>
  <si>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</si>
  <si>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</si>
  <si>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</si>
  <si>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</si>
  <si>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</si>
  <si>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</si>
  <si>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</si>
  <si>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</si>
  <si>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</si>
  <si>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</si>
  <si>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</si>
  <si>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</si>
  <si>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</si>
  <si>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</si>
  <si>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</si>
  <si>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</si>
  <si>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</si>
  <si>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</si>
  <si>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510960586</t>
  </si>
  <si>
    <t>הלוואות לחברים עמי גמל להשקעה (ריבית צמוד פריים)</t>
  </si>
  <si>
    <t>29994020</t>
  </si>
  <si>
    <t>עמית/מבוטח</t>
  </si>
  <si>
    <t>הלוואה</t>
  </si>
  <si>
    <t>משתנה</t>
  </si>
  <si>
    <t>other</t>
  </si>
  <si>
    <t>30/12/2028</t>
  </si>
  <si>
    <t>הלוואות לחברים עמי גמל (ריבית צמוד פריים)</t>
  </si>
  <si>
    <t>29994013</t>
  </si>
  <si>
    <t>03/11/2016</t>
  </si>
  <si>
    <t>בולט (Bullet)</t>
  </si>
  <si>
    <t xml:space="preserve">הלוואות עמיתים </t>
  </si>
  <si>
    <t>514874155</t>
  </si>
  <si>
    <t>כביש 6 צפון  הגדלת מינוף</t>
  </si>
  <si>
    <t>25032021</t>
  </si>
  <si>
    <t>תאגיד</t>
  </si>
  <si>
    <t>512475203</t>
  </si>
  <si>
    <t>25/03/2021</t>
  </si>
  <si>
    <t>קבועה</t>
  </si>
  <si>
    <t>30/06/2048</t>
  </si>
  <si>
    <t>קרן שווה</t>
  </si>
  <si>
    <t>כביש 6 צפון  הלוואה לזמן ארוך</t>
  </si>
  <si>
    <t>24032021</t>
  </si>
  <si>
    <t>ALESCO PFD VI</t>
  </si>
  <si>
    <t>KYG015912085</t>
  </si>
  <si>
    <t>06/08/2019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</si>
  <si>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</si>
  <si>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</si>
  <si>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</si>
  <si>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</si>
  <si>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</si>
  <si>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</si>
  <si>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</si>
  <si>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</si>
  <si>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</si>
  <si>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</si>
  <si>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</si>
  <si>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</si>
  <si>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</si>
  <si>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</si>
  <si>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מקרקעין</t>
  </si>
  <si>
    <t>נדל"ן מניב</t>
  </si>
  <si>
    <t>חירות, מועצה אזורית - לב השרון</t>
  </si>
  <si>
    <t>שיטה השוואתית</t>
  </si>
  <si>
    <t>קמיל טרשנסקי שרותי נדלן</t>
  </si>
  <si>
    <t>30/12/2024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</si>
  <si>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</si>
  <si>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</si>
  <si>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</si>
  <si>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</si>
  <si>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</si>
  <si>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</si>
  <si>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</si>
  <si>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</si>
  <si>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זכאים מס עמיתים</t>
  </si>
  <si>
    <t>28200000</t>
  </si>
  <si>
    <t>חייבים וזכאים מס</t>
  </si>
  <si>
    <t>חייבים</t>
  </si>
  <si>
    <t>27960000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</si>
  <si>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</si>
  <si>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</si>
  <si>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</si>
  <si>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</si>
  <si>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</si>
  <si>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</si>
  <si>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</si>
  <si>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</si>
  <si>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</si>
  <si>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</si>
  <si>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</si>
  <si>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</si>
  <si>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</si>
  <si>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</si>
  <si>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</si>
  <si>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</si>
  <si>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</si>
  <si>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</si>
  <si>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</si>
  <si>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</si>
  <si>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</si>
  <si>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</si>
  <si>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</si>
  <si>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</si>
  <si>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</si>
  <si>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</si>
  <si>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</si>
  <si>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</si>
  <si>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</si>
  <si>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</si>
  <si>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</si>
  <si>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</si>
  <si>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</si>
  <si>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</si>
  <si>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</si>
  <si>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</si>
  <si>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</si>
  <si>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</si>
  <si>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</si>
  <si>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</si>
  <si>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</si>
  <si>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</si>
  <si>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</si>
  <si>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</si>
  <si>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</si>
  <si>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</si>
  <si>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</si>
  <si>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</si>
  <si>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</si>
  <si>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</si>
  <si>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</si>
  <si>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</si>
  <si>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</si>
  <si>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</si>
  <si>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</si>
  <si>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</si>
  <si>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</si>
  <si>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</si>
  <si>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</si>
  <si>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</si>
  <si>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</si>
  <si>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</si>
  <si>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</si>
  <si>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</si>
  <si>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</si>
  <si>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</si>
  <si>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</si>
  <si>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</si>
  <si>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</si>
  <si>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</si>
  <si>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</si>
  <si>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</si>
  <si>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</si>
  <si>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</si>
  <si>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</si>
  <si>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</si>
  <si>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</si>
  <si>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</si>
  <si>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</si>
  <si>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</si>
  <si>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</si>
  <si>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</si>
  <si>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</si>
  <si>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</si>
  <si>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</si>
  <si>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רומניה</t>
  </si>
  <si>
    <t>רוסיה</t>
  </si>
  <si>
    <t>שוודיה</t>
  </si>
  <si>
    <t>תורכיה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</si>
  <si>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</si>
  <si>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</si>
  <si>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</si>
  <si>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</si>
  <si>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</si>
  <si>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</si>
  <si>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</si>
  <si>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</si>
  <si>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</si>
  <si>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</si>
  <si>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</si>
  <si>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</si>
  <si>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</si>
  <si>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</si>
  <si>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</si>
  <si>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</si>
  <si>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</si>
  <si>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</si>
  <si>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</si>
  <si>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</si>
  <si>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</si>
  <si>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</si>
  <si>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</si>
  <si>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</si>
  <si>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</si>
  <si>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</si>
  <si>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</si>
  <si>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</si>
  <si>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</si>
  <si>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</si>
  <si>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</si>
  <si>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</si>
  <si>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</si>
  <si>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</si>
  <si>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</si>
  <si>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</si>
  <si>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</si>
  <si>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</si>
  <si>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</si>
  <si>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</si>
  <si>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</si>
  <si>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</si>
  <si>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</si>
  <si>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</si>
  <si>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</si>
  <si>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</si>
  <si>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</si>
  <si>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</si>
  <si>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</si>
  <si>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</si>
  <si>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</si>
  <si>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</si>
  <si>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</si>
  <si>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</si>
  <si>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</si>
  <si>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</si>
  <si>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 - Euronext Group Stock Exchange</t>
  </si>
  <si>
    <t>EUREX - Eurex Exchange</t>
  </si>
  <si>
    <t>FWB - Frankfurt Stock Exchange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</si>
  <si>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</si>
  <si>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</si>
  <si>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</si>
  <si>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</si>
  <si>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</si>
  <si>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</si>
  <si>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</si>
  <si>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</si>
  <si>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</si>
  <si>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</si>
  <si>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</si>
  <si>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</si>
  <si>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</si>
  <si>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</si>
  <si>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</si>
  <si>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</si>
  <si>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</si>
  <si>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</si>
  <si>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</si>
  <si>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</si>
  <si>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</si>
  <si>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</si>
  <si>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</si>
  <si>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</si>
  <si>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</si>
  <si>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</si>
  <si>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</si>
  <si>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</si>
  <si>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</si>
  <si>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</si>
  <si>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</si>
  <si>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</si>
  <si>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</si>
  <si>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</si>
  <si>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</si>
  <si>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</si>
  <si>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</si>
  <si>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</si>
  <si>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</si>
  <si>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</si>
  <si>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</si>
  <si>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</si>
  <si>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</si>
  <si>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</si>
  <si>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</si>
  <si>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</si>
  <si>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</si>
  <si>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</si>
  <si>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</si>
  <si>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</si>
  <si>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</si>
  <si>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</si>
  <si>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</si>
  <si>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</si>
  <si>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</si>
  <si>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</si>
  <si>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במדעי החיים</t>
  </si>
  <si>
    <t>חברות ללא פעילות ומעטפת</t>
  </si>
  <si>
    <t>חברות מעטפת</t>
  </si>
  <si>
    <t>חשמל</t>
  </si>
  <si>
    <t>ליסינג</t>
  </si>
  <si>
    <t>מזון</t>
  </si>
  <si>
    <t>מכשור רפואי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</si>
  <si>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</si>
  <si>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</si>
  <si>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</si>
  <si>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</si>
  <si>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</si>
  <si>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</si>
  <si>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</si>
  <si>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</si>
  <si>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</si>
  <si>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שירותים ציבוריים</t>
  </si>
  <si>
    <t>תחבורה</t>
  </si>
  <si>
    <t>תעופה</t>
  </si>
  <si>
    <t>תעשיה</t>
  </si>
  <si>
    <t>תשתיות</t>
  </si>
  <si>
    <t>Oil, Gas &amp; Consumable Fuels</t>
  </si>
  <si>
    <t>Chemicals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</si>
  <si>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</si>
  <si>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</si>
  <si>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</si>
  <si>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</si>
  <si>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</si>
  <si>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</si>
  <si>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</si>
  <si>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</si>
  <si>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</si>
  <si>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</si>
  <si>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</si>
  <si>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</si>
  <si>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</si>
  <si>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</si>
  <si>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</si>
  <si>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</si>
  <si>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</si>
  <si>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</si>
  <si>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</si>
  <si>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</si>
  <si>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</si>
  <si>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</si>
  <si>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</si>
  <si>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</si>
  <si>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</si>
  <si>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</si>
  <si>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</si>
  <si>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</si>
  <si>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</si>
  <si>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</si>
  <si>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</si>
  <si>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</si>
  <si>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</si>
  <si>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</si>
  <si>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</si>
  <si>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Providers &amp; Services</t>
  </si>
  <si>
    <t>Health Care Technology</t>
  </si>
  <si>
    <t>Biotechnology</t>
  </si>
  <si>
    <t>Pharmaceuticals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</si>
  <si>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</si>
  <si>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</si>
  <si>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</si>
  <si>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</si>
  <si>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</si>
  <si>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</si>
  <si>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</si>
  <si>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</si>
  <si>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</si>
  <si>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</si>
  <si>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</si>
  <si>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</si>
  <si>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</si>
  <si>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</si>
  <si>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</si>
  <si>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</si>
  <si>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</si>
  <si>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</si>
  <si>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</si>
  <si>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</si>
  <si>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</si>
  <si>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</si>
  <si>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</si>
  <si>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</si>
  <si>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</si>
  <si>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</si>
  <si>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</si>
  <si>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</si>
  <si>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</si>
  <si>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20 אג"ח בארץ - חברות והמרה-תל בונד צמוד מדד-תל בונד</t>
  </si>
  <si>
    <t>40 אג"ח בארץ - חברות והמרה-תל בונד צמוד מדד-תל בונד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</si>
  <si>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</si>
  <si>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</si>
  <si>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</si>
  <si>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</si>
  <si>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</si>
  <si>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</si>
  <si>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</si>
  <si>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FTSE 250 INDEX - מניות בחו"ל - מניות גיאוגרפי - מנוטרלת מט"ח-אירופה אנגליה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</si>
  <si>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</si>
  <si>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</si>
  <si>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</si>
  <si>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</si>
  <si>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</si>
  <si>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</si>
  <si>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</si>
  <si>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NASDAQ 100 - מניות בחו"ל - מניות גיאוגרפי - מנוטרלת מט"ח-ארה"ב</t>
  </si>
  <si>
    <t>NIKKEI 225 - מניות בחו"ל - מניות גיאוגרפי - מנוטרלת מט"ח-אסיה יפן</t>
  </si>
  <si>
    <t>RUSSELL 2000 -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</si>
  <si>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</si>
  <si>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</si>
  <si>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</si>
  <si>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</si>
  <si>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</si>
  <si>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</si>
  <si>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</si>
  <si>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</si>
  <si>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</si>
  <si>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</si>
  <si>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</si>
  <si>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</si>
  <si>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</si>
  <si>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</si>
  <si>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</si>
  <si>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</si>
  <si>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</si>
  <si>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</si>
  <si>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 צמוד מדד- אחר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</si>
  <si>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</si>
  <si>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</si>
  <si>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</si>
  <si>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</si>
  <si>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</si>
  <si>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</si>
  <si>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</si>
  <si>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</si>
  <si>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</si>
  <si>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</si>
  <si>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</si>
  <si>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</si>
  <si>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</si>
  <si>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</si>
  <si>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</si>
  <si>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</si>
  <si>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</si>
  <si>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</si>
  <si>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</si>
  <si>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</si>
  <si>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</si>
  <si>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</si>
  <si>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</si>
  <si>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</si>
  <si>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</si>
  <si>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</si>
  <si>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</si>
  <si>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</si>
  <si>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</si>
  <si>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</si>
  <si>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</si>
  <si>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</si>
  <si>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</si>
  <si>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</si>
  <si>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</si>
  <si>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</si>
  <si>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</si>
  <si>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</si>
  <si>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</si>
  <si>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</si>
  <si>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</si>
  <si>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</si>
  <si>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</si>
  <si>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</si>
  <si>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</si>
  <si>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</si>
  <si>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</si>
  <si>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</si>
  <si>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</si>
  <si>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</si>
  <si>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</si>
  <si>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</si>
  <si>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</si>
  <si>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</si>
  <si>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</si>
  <si>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</si>
  <si>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</si>
  <si>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</si>
  <si>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</si>
  <si>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</si>
  <si>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</si>
  <si>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</si>
  <si>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</si>
  <si>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</si>
  <si>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</si>
  <si>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</si>
  <si>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גלובל- בלוטק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</si>
  <si>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</si>
  <si>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</si>
  <si>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</si>
  <si>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</si>
  <si>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</si>
  <si>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</si>
  <si>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</si>
  <si>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</si>
  <si>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</si>
  <si>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</si>
  <si>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</si>
  <si>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</si>
  <si>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</si>
  <si>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</si>
  <si>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</si>
  <si>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</si>
  <si>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</si>
  <si>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</si>
  <si>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</si>
  <si>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</si>
  <si>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</si>
  <si>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</si>
  <si>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</si>
  <si>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</si>
  <si>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</si>
  <si>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</si>
  <si>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</si>
  <si>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</si>
  <si>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</si>
  <si>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</si>
  <si>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</si>
  <si>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</si>
  <si>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</si>
  <si>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</si>
  <si>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</si>
  <si>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</si>
  <si>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</si>
  <si>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</si>
  <si>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</si>
  <si>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</si>
  <si>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</si>
  <si>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</si>
  <si>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</si>
  <si>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</si>
  <si>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</si>
  <si>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</si>
  <si>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</si>
  <si>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</si>
  <si>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</si>
  <si>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</si>
  <si>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</si>
  <si>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</si>
  <si>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</si>
  <si>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</si>
  <si>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</si>
  <si>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</si>
  <si>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</si>
  <si>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</si>
  <si>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</si>
  <si>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</si>
  <si>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</si>
  <si>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</si>
  <si>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</si>
  <si>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</si>
  <si>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</si>
  <si>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</si>
  <si>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</si>
  <si>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</si>
  <si>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</si>
  <si>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בלון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</si>
  <si>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</si>
  <si>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</si>
  <si>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</si>
  <si>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</si>
  <si>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</si>
  <si>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</si>
  <si>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</si>
  <si>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</si>
  <si>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</si>
  <si>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</si>
  <si>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</si>
  <si>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</si>
  <si>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</si>
  <si>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</si>
  <si>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</si>
  <si>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</si>
  <si>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</si>
  <si>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</si>
  <si>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</si>
  <si>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</si>
  <si>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</si>
  <si>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</si>
  <si>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</si>
  <si>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</si>
  <si>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</si>
  <si>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</si>
  <si>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</si>
  <si>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</si>
  <si>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</si>
  <si>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</si>
  <si>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</si>
  <si>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</si>
  <si>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</si>
  <si>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</si>
  <si>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</si>
  <si>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</si>
  <si>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</si>
  <si>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</si>
  <si>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</si>
  <si>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</si>
  <si>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</si>
  <si>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</si>
  <si>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</si>
  <si>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</si>
  <si>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Core</t>
  </si>
  <si>
    <t>Core-Plus</t>
  </si>
  <si>
    <t>Opportunistic Infrastructure</t>
  </si>
  <si>
    <t>Direct Real Estate</t>
  </si>
  <si>
    <t>Distressed Real Estate</t>
  </si>
  <si>
    <t>Direct Lending Debt</t>
  </si>
  <si>
    <t>Mezzanine Debt</t>
  </si>
  <si>
    <t>Distressed Debt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</si>
  <si>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</si>
  <si>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</si>
  <si>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</si>
  <si>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</si>
  <si>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</si>
  <si>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</si>
  <si>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</si>
  <si>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</si>
  <si>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</si>
  <si>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</si>
  <si>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</si>
  <si>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</si>
  <si>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</si>
  <si>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</si>
  <si>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</si>
  <si>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</si>
  <si>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</si>
  <si>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</si>
  <si>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</si>
  <si>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</si>
  <si>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</si>
  <si>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</si>
  <si>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</si>
  <si>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</si>
  <si>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</si>
  <si>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</si>
  <si>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</si>
  <si>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</si>
  <si>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</si>
  <si>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</si>
  <si>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</si>
  <si>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</si>
  <si>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</si>
  <si>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</si>
  <si>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</si>
  <si>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</si>
  <si>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</si>
  <si>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</si>
  <si>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</si>
  <si>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</si>
  <si>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עלות מופחתת</t>
  </si>
  <si>
    <t>יומי</t>
  </si>
  <si>
    <t>שבועי</t>
  </si>
  <si>
    <t>חודשי</t>
  </si>
  <si>
    <t>רבעוני</t>
  </si>
  <si>
    <t>חצי-שנתי</t>
  </si>
  <si>
    <t>שנתי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</si>
  <si>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</si>
  <si>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</si>
  <si>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</si>
  <si>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</si>
  <si>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</si>
  <si>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</si>
  <si>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</si>
  <si>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</si>
  <si>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</si>
  <si>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</si>
  <si>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</si>
  <si>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</si>
  <si>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</si>
  <si>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</si>
  <si>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מדדי מניות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</si>
  <si>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</si>
  <si>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</si>
  <si>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</si>
  <si>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</si>
  <si>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</si>
  <si>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</si>
  <si>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</si>
  <si>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</si>
  <si>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</si>
  <si>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</si>
  <si>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</si>
  <si>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</si>
  <si>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</si>
  <si>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</si>
  <si>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</si>
  <si>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</si>
  <si>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</si>
  <si>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</si>
  <si>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</si>
  <si>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</si>
  <si>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</si>
  <si>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</si>
  <si>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</si>
  <si>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</si>
  <si>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</si>
  <si>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</si>
  <si>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</si>
  <si>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</si>
  <si>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</si>
  <si>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</si>
  <si>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</si>
  <si>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</si>
  <si>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</si>
  <si>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</si>
  <si>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</si>
  <si>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</si>
  <si>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</si>
  <si>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</si>
  <si>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</si>
  <si>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</si>
  <si>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</si>
  <si>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</si>
  <si>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</si>
  <si>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</si>
  <si>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</si>
  <si>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</si>
  <si>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</si>
  <si>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קרנות נאמנות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</si>
  <si>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</si>
  <si>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</si>
  <si>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</si>
  <si>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</si>
  <si>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</si>
  <si>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</si>
  <si>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</si>
  <si>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</si>
  <si>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</si>
  <si>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</si>
  <si>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</si>
  <si>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</si>
  <si>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</si>
  <si>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</si>
  <si>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</si>
  <si>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</si>
  <si>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</si>
  <si>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</si>
  <si>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</si>
  <si>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</si>
  <si>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</si>
  <si>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</si>
  <si>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</si>
  <si>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</si>
  <si>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</si>
  <si>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</si>
  <si>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</si>
  <si>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</si>
  <si>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</si>
  <si>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</si>
  <si>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</si>
  <si>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</si>
  <si>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</si>
  <si>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</si>
  <si>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</si>
  <si>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</si>
  <si>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</si>
  <si>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</si>
  <si>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</si>
  <si>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</si>
  <si>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</si>
  <si>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</si>
  <si>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</si>
  <si>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</si>
  <si>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</si>
  <si>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</si>
  <si>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</si>
  <si>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</si>
  <si>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</si>
  <si>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</si>
  <si>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</si>
  <si>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</si>
  <si>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</si>
  <si>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</si>
  <si>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</si>
  <si>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</si>
  <si>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</si>
  <si>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</si>
  <si>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</si>
  <si>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</si>
  <si>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</si>
  <si>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</si>
  <si>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</si>
  <si>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</si>
  <si>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</si>
  <si>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</si>
  <si>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</si>
  <si>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</si>
  <si>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</si>
  <si>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</si>
  <si>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</si>
  <si>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</si>
  <si>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</si>
  <si>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</si>
  <si>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</si>
  <si>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</si>
  <si>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</si>
  <si>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</si>
  <si>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</si>
  <si>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</si>
  <si>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</si>
  <si>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</si>
  <si>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</si>
  <si>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</si>
  <si>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</si>
  <si>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</si>
  <si>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</si>
  <si>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</si>
  <si>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</si>
  <si>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</si>
  <si>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</si>
  <si>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</si>
  <si>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</si>
  <si>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</si>
  <si>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</si>
  <si>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</si>
  <si>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</si>
  <si>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</si>
  <si>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</si>
  <si>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</si>
  <si>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</si>
  <si>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</si>
  <si>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</si>
  <si>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</si>
  <si>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</si>
  <si>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</si>
  <si>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</si>
  <si>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</si>
  <si>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</si>
  <si>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</si>
  <si>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</si>
  <si>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</si>
  <si>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</si>
  <si>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</si>
  <si>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</si>
  <si>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</si>
  <si>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</si>
  <si>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</si>
  <si>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</si>
  <si>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</si>
  <si>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</si>
  <si>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</si>
  <si>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</si>
  <si>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</si>
  <si>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</si>
  <si>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</si>
  <si>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</si>
  <si>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</si>
  <si>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</si>
  <si>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</si>
  <si>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</si>
  <si>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</si>
  <si>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</si>
  <si>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</si>
  <si>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</si>
  <si>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</si>
  <si>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</si>
  <si>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</si>
  <si>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</si>
  <si>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</si>
  <si>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</si>
  <si>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</si>
  <si>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</si>
  <si>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</si>
  <si>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</si>
  <si>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</si>
  <si>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</si>
  <si>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</si>
  <si>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</si>
  <si>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</si>
  <si>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</si>
  <si>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</si>
  <si>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</si>
  <si>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</si>
  <si>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</si>
  <si>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</si>
  <si>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</si>
  <si>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</si>
  <si>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</si>
  <si>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</si>
  <si>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</si>
  <si>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</si>
  <si>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</si>
  <si>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</si>
  <si>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</si>
  <si>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</si>
  <si>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</si>
  <si>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</si>
  <si>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</si>
  <si>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</si>
  <si>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</si>
  <si>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</si>
  <si>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</si>
  <si>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</si>
  <si>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</si>
  <si>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</si>
  <si>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</si>
  <si>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</si>
  <si>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</si>
  <si>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</si>
  <si>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</si>
  <si>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</si>
  <si>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</si>
  <si>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</si>
  <si>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</si>
  <si>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</si>
  <si>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</si>
  <si>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</si>
  <si>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</si>
  <si>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</si>
  <si>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</si>
  <si>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</si>
  <si>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</si>
  <si>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</si>
  <si>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</si>
  <si>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</si>
  <si>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</si>
  <si>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</si>
  <si>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</si>
  <si>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</si>
  <si>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</si>
  <si>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</si>
  <si>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</si>
  <si>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</si>
  <si>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</si>
  <si>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</si>
  <si>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</si>
  <si>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</si>
  <si>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</si>
  <si>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</si>
  <si>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</si>
  <si>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</si>
  <si>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</si>
  <si>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</si>
  <si>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</si>
  <si>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</si>
  <si>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</si>
  <si>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</si>
  <si>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</si>
  <si>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</si>
  <si>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</si>
  <si>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</si>
  <si>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</si>
  <si>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</si>
  <si>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</si>
  <si>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</si>
  <si>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</si>
  <si>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</si>
  <si>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</si>
  <si>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</si>
  <si>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</si>
  <si>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</si>
  <si>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</si>
  <si>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</si>
  <si>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</si>
  <si>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</si>
  <si>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</si>
  <si>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</si>
  <si>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</si>
  <si>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</si>
  <si>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</si>
  <si>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</si>
  <si>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</si>
  <si>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</si>
  <si>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</si>
  <si>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</si>
  <si>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</si>
  <si>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</si>
  <si>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</si>
  <si>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</si>
  <si>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</si>
  <si>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</si>
  <si>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</si>
  <si>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</si>
  <si>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</si>
  <si>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</si>
  <si>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</si>
  <si>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</si>
  <si>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</si>
  <si>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</si>
  <si>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</si>
  <si>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</si>
  <si>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</si>
  <si>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</si>
  <si>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</si>
  <si>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</si>
  <si>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</si>
  <si>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10-800</t>
  </si>
  <si>
    <t>SGD</t>
  </si>
  <si>
    <t>DKK</t>
  </si>
  <si>
    <t>Blue Owl RE Fund</t>
  </si>
  <si>
    <t>שותפות</t>
  </si>
  <si>
    <t>Blue Owl Real Estate Fund VII</t>
  </si>
  <si>
    <t>100.00%</t>
  </si>
  <si>
    <t>Brookfield Strategic Real Estate Partners V</t>
  </si>
  <si>
    <t>0001981081</t>
  </si>
  <si>
    <t>27970057</t>
  </si>
  <si>
    <t>83.70%</t>
  </si>
  <si>
    <t>Private Equity</t>
  </si>
  <si>
    <t>Coller International General Partner</t>
  </si>
  <si>
    <t>4310</t>
  </si>
  <si>
    <t>27970056</t>
  </si>
  <si>
    <t>76.81%</t>
  </si>
  <si>
    <t>862034928</t>
  </si>
  <si>
    <t>EQT Infrastructure V (יורו)</t>
  </si>
  <si>
    <t>27970026</t>
  </si>
  <si>
    <t>18.08%</t>
  </si>
  <si>
    <t>נדל"ן</t>
  </si>
  <si>
    <t>Faro Point</t>
  </si>
  <si>
    <t>27970049</t>
  </si>
  <si>
    <t>5.00%</t>
  </si>
  <si>
    <t>Venture Capital</t>
  </si>
  <si>
    <t>Insight Partners XII</t>
  </si>
  <si>
    <t>27970023</t>
  </si>
  <si>
    <t>6.40%</t>
  </si>
  <si>
    <t>12902</t>
  </si>
  <si>
    <t>PGCO VI  פנתאון</t>
  </si>
  <si>
    <t>27970051</t>
  </si>
  <si>
    <t>92.80%</t>
  </si>
  <si>
    <t>חוב</t>
  </si>
  <si>
    <t>Phoenix</t>
  </si>
  <si>
    <t>774764930</t>
  </si>
  <si>
    <t>27970050</t>
  </si>
  <si>
    <t>0.00%</t>
  </si>
  <si>
    <t>10948</t>
  </si>
  <si>
    <t>פורטיסימו VI</t>
  </si>
  <si>
    <t>27970046</t>
  </si>
  <si>
    <t>56.50%</t>
  </si>
  <si>
    <t>קדמה</t>
  </si>
  <si>
    <t>540328218</t>
  </si>
  <si>
    <t>ח.פ</t>
  </si>
  <si>
    <t>קדמה 4</t>
  </si>
  <si>
    <t>27970052</t>
  </si>
  <si>
    <t>69.63%</t>
  </si>
  <si>
    <t>27970053</t>
  </si>
  <si>
    <t>75.00%</t>
  </si>
  <si>
    <t>27970028</t>
  </si>
  <si>
    <t>24.71%</t>
  </si>
  <si>
    <t>87-4615747</t>
  </si>
  <si>
    <t>Electra Capital PM II  Feeder 3</t>
  </si>
  <si>
    <t>27970040</t>
  </si>
  <si>
    <t>10.00%</t>
  </si>
  <si>
    <t>הראל אלטרנטיב</t>
  </si>
  <si>
    <t>788117505</t>
  </si>
  <si>
    <t>27970039</t>
  </si>
  <si>
    <t>49.01%</t>
  </si>
  <si>
    <t>Invesco Direct Lending</t>
  </si>
  <si>
    <t>949417</t>
  </si>
  <si>
    <t>27970048</t>
  </si>
  <si>
    <t>67.23%</t>
  </si>
  <si>
    <t>500473707</t>
  </si>
  <si>
    <t>27970038</t>
  </si>
  <si>
    <t>53.00%</t>
  </si>
  <si>
    <t>516194685</t>
  </si>
  <si>
    <t>More Alternative Credit  CLO</t>
  </si>
  <si>
    <t>27970045</t>
  </si>
  <si>
    <t>Viola</t>
  </si>
  <si>
    <t>12169</t>
  </si>
  <si>
    <t>27970055</t>
  </si>
  <si>
    <t>45.00%</t>
  </si>
  <si>
    <t>גידור</t>
  </si>
  <si>
    <t>550251409</t>
  </si>
  <si>
    <t>נוקד אגח</t>
  </si>
  <si>
    <t>27970034</t>
  </si>
  <si>
    <t>נוקד אופורטוניטי</t>
  </si>
  <si>
    <t>27970033</t>
  </si>
  <si>
    <t>60390077</t>
  </si>
  <si>
    <t>Alto III</t>
  </si>
  <si>
    <t>62000074</t>
  </si>
  <si>
    <t>550254411</t>
  </si>
  <si>
    <t>60398484</t>
  </si>
  <si>
    <t>25.39%</t>
  </si>
  <si>
    <t>ARES CIP Management II</t>
  </si>
  <si>
    <t>92-0923619</t>
  </si>
  <si>
    <t>27970054</t>
  </si>
  <si>
    <t>56.22%</t>
  </si>
  <si>
    <t>Blue Atlantic PTNR</t>
  </si>
  <si>
    <t>811259854</t>
  </si>
  <si>
    <t>60408978</t>
  </si>
  <si>
    <t>27970041</t>
  </si>
  <si>
    <t>47.85%</t>
  </si>
  <si>
    <t>34250659</t>
  </si>
  <si>
    <t>Brack Capital</t>
  </si>
  <si>
    <t>98405711</t>
  </si>
  <si>
    <t>6.16%</t>
  </si>
  <si>
    <t>27970042</t>
  </si>
  <si>
    <t>18.70%</t>
  </si>
  <si>
    <t>89961</t>
  </si>
  <si>
    <t>27970032</t>
  </si>
  <si>
    <t>30.00%</t>
  </si>
  <si>
    <t>Fimi Israel Opportunity 6</t>
  </si>
  <si>
    <t>604008921</t>
  </si>
  <si>
    <t>10.73%</t>
  </si>
  <si>
    <t>Hamilton Co-invest IV</t>
  </si>
  <si>
    <t>62012828</t>
  </si>
  <si>
    <t>21.39%</t>
  </si>
  <si>
    <t>Hanaco II</t>
  </si>
  <si>
    <t>104909</t>
  </si>
  <si>
    <t>27970025</t>
  </si>
  <si>
    <t>20.00%</t>
  </si>
  <si>
    <t>27949</t>
  </si>
  <si>
    <t>HarbourVest Dover  X</t>
  </si>
  <si>
    <t>27970005</t>
  </si>
  <si>
    <t>19.00%</t>
  </si>
  <si>
    <t>HarbourVest Dover XI</t>
  </si>
  <si>
    <t>27970043</t>
  </si>
  <si>
    <t>59.00%</t>
  </si>
  <si>
    <t>Madison Realty Capital Debt VI</t>
  </si>
  <si>
    <t>27905</t>
  </si>
  <si>
    <t>27970036</t>
  </si>
  <si>
    <t>47.43%</t>
  </si>
  <si>
    <t>PGIF IV  פנתאון</t>
  </si>
  <si>
    <t>27970044</t>
  </si>
  <si>
    <t>30.45%</t>
  </si>
  <si>
    <t>4926301</t>
  </si>
  <si>
    <t>27970021</t>
  </si>
  <si>
    <t>Pantheon Access Feeder 2017</t>
  </si>
  <si>
    <t>62007091</t>
  </si>
  <si>
    <t>14.95%</t>
  </si>
  <si>
    <t>Peregrine Ventures Growth</t>
  </si>
  <si>
    <t>540297413</t>
  </si>
  <si>
    <t>27970022</t>
  </si>
  <si>
    <t>24.98%</t>
  </si>
  <si>
    <t>Starlight Bond</t>
  </si>
  <si>
    <t>Starlight Bond FP I</t>
  </si>
  <si>
    <t>27970037</t>
  </si>
  <si>
    <t>80.35%</t>
  </si>
  <si>
    <t>Target Global Growth Fund</t>
  </si>
  <si>
    <t>B241115</t>
  </si>
  <si>
    <t>27970030</t>
  </si>
  <si>
    <t>17.48%</t>
  </si>
  <si>
    <t>Vertex Israel Opportunity II</t>
  </si>
  <si>
    <t>107746</t>
  </si>
  <si>
    <t>27970027</t>
  </si>
  <si>
    <t>12.00%</t>
  </si>
  <si>
    <t>364800114</t>
  </si>
  <si>
    <t>27970004</t>
  </si>
  <si>
    <t>21.50%</t>
  </si>
  <si>
    <t>Vintage IV</t>
  </si>
  <si>
    <t>604066001</t>
  </si>
  <si>
    <t>7.00%</t>
  </si>
  <si>
    <t>Vintage Secondary IV</t>
  </si>
  <si>
    <t>62007406</t>
  </si>
  <si>
    <t>Viola Credit GL II</t>
  </si>
  <si>
    <t>27970035</t>
  </si>
  <si>
    <t>34.67%</t>
  </si>
  <si>
    <t>אלקטרה II</t>
  </si>
  <si>
    <t>62012539</t>
  </si>
  <si>
    <t>550257596</t>
  </si>
  <si>
    <t>נוי 2</t>
  </si>
  <si>
    <t>47845</t>
  </si>
  <si>
    <t>9.86%</t>
  </si>
  <si>
    <t>פורטיסימו 2</t>
  </si>
  <si>
    <t>9840783</t>
  </si>
  <si>
    <t>6.00%</t>
  </si>
  <si>
    <t>פורטיסימו V</t>
  </si>
  <si>
    <t>27970010</t>
  </si>
  <si>
    <t>3.00%</t>
  </si>
  <si>
    <t>62011879</t>
  </si>
  <si>
    <t>1.54%</t>
  </si>
  <si>
    <t>SO307155</t>
  </si>
  <si>
    <t>קומרה אופורטוניטי</t>
  </si>
  <si>
    <t>27970018</t>
  </si>
  <si>
    <t>774258386</t>
  </si>
  <si>
    <t>60416385</t>
  </si>
  <si>
    <t>Coller Credit Opportunities I</t>
  </si>
  <si>
    <t>27970029</t>
  </si>
  <si>
    <t>26.45%</t>
  </si>
  <si>
    <t>98-1506678</t>
  </si>
  <si>
    <t>Electra Capital PM I  Feeder 4</t>
  </si>
  <si>
    <t>27970020</t>
  </si>
  <si>
    <t>ICG Europe VII</t>
  </si>
  <si>
    <t>62007695</t>
  </si>
  <si>
    <t>17.05%</t>
  </si>
  <si>
    <t>ICG North American Private Debt II</t>
  </si>
  <si>
    <t>62011416</t>
  </si>
  <si>
    <t>24.95%</t>
  </si>
  <si>
    <t>500462056</t>
  </si>
  <si>
    <t>Klirmark Fund III</t>
  </si>
  <si>
    <t>27970001</t>
  </si>
  <si>
    <t>18.65%</t>
  </si>
  <si>
    <t>27971038</t>
  </si>
  <si>
    <t>530278415</t>
  </si>
  <si>
    <t>Liquidity Capital  II</t>
  </si>
  <si>
    <t>27970016</t>
  </si>
  <si>
    <t>58.04%</t>
  </si>
  <si>
    <t>יסודות נדלן ב</t>
  </si>
  <si>
    <t>78923</t>
  </si>
  <si>
    <t>8.06%</t>
  </si>
  <si>
    <t>יסודות נדלן ג</t>
  </si>
  <si>
    <t>27970003</t>
  </si>
  <si>
    <t>29.66%</t>
  </si>
  <si>
    <t>קוגיטו קפיטל</t>
  </si>
  <si>
    <t>27970031</t>
  </si>
  <si>
    <t>63.49%</t>
  </si>
  <si>
    <t>530278803</t>
  </si>
  <si>
    <t>35196</t>
  </si>
  <si>
    <t>27970014</t>
  </si>
  <si>
    <t>36434</t>
  </si>
  <si>
    <t>550258947</t>
  </si>
  <si>
    <t>נוקד אקוויטי</t>
  </si>
  <si>
    <t>27970047</t>
  </si>
  <si>
    <r>
      <t>מטח/ ₪</t>
    </r>
    <r>
      <rPr>
        <sz val="11"/>
        <color theme="1"/>
        <rFont val="Arial"/>
        <family val="2"/>
        <scheme val="minor"/>
      </rPr>
      <t xml:space="preserve"> </t>
    </r>
  </si>
  <si>
    <t>מירב מגן</t>
  </si>
  <si>
    <t>03-7286343</t>
  </si>
  <si>
    <t>merav@ami2.co.il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</si>
</sst>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dd/mm/yyyy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Arial"/>
      <family val="2"/>
      <scheme val="minor"/>
    </font>
    <font>
      <sz val="11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9" fillId="0" borderId="0"/>
    <xf numFmtId="0" fontId="9" fillId="0" borderId="0"/>
    <xf numFmtId="0" fontId="24" fillId="0" borderId="2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11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3" fillId="0" borderId="0" xfId="0" applyNumberFormat="1" applyFont="1" applyFill="1" applyBorder="1" applyProtection="1">
      <protection locked="0"/>
    </xf>
    <xf numFmtId="0" fontId="13" fillId="0" borderId="0" xfId="0" applyNumberFormat="1" applyFont="1" applyFill="1" applyBorder="1" applyProtection="1">
      <protection locked="0"/>
    </xf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2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5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2" fillId="6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0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/>
    <xf numFmtId="167" fontId="3" fillId="0" borderId="0" xfId="0" applyNumberFormat="1" applyFont="1" applyFill="1" applyBorder="1"/>
    <xf numFmtId="166" fontId="3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7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68" fontId="7" fillId="3" borderId="2" xfId="0" applyNumberFormat="1" applyFont="1" applyFill="1" applyBorder="1" applyAlignment="1">
      <alignment horizontal="center" vertical="center" wrapText="1"/>
    </xf>
    <xf numFmtId="168" fontId="4" fillId="0" borderId="0" xfId="0" applyNumberFormat="1" applyFont="1" applyFill="1" applyBorder="1" applyProtection="1">
      <protection locked="0"/>
    </xf>
    <xf numFmtId="168" fontId="0" fillId="0" borderId="0" xfId="0" applyNumberFormat="1" applyFont="1" applyFill="1" applyBorder="1"/>
    <xf numFmtId="167" fontId="0" fillId="0" borderId="0" xfId="0" applyNumberFormat="1" applyFont="1" applyFill="1" applyBorder="1"/>
    <xf numFmtId="168" fontId="4" fillId="0" borderId="0" xfId="0" applyNumberFormat="1" applyFont="1" applyFill="1" applyBorder="1"/>
    <xf numFmtId="168" fontId="7" fillId="3" borderId="8" xfId="0" applyNumberFormat="1" applyFont="1" applyFill="1" applyBorder="1" applyAlignment="1">
      <alignment horizontal="center" vertical="center" wrapText="1"/>
    </xf>
    <xf numFmtId="168" fontId="2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2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center"/>
    </xf>
    <xf numFmtId="167" fontId="2" fillId="0" borderId="0" xfId="0" applyNumberFormat="1" applyFont="1" applyFill="1" applyBorder="1"/>
    <xf numFmtId="167" fontId="0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/>
    <xf numFmtId="10" fontId="8" fillId="0" borderId="10" xfId="5" applyNumberFormat="1" applyFont="1" applyFill="1" applyBorder="1" applyAlignment="1">
      <alignment horizontal="center" vertical="center" wrapText="1"/>
    </xf>
    <xf numFmtId="10" fontId="8" fillId="0" borderId="21" xfId="5" applyNumberFormat="1" applyFont="1" applyFill="1" applyBorder="1" applyAlignment="1">
      <alignment horizontal="center" vertical="center" wrapText="1"/>
    </xf>
    <xf numFmtId="10" fontId="24" fillId="0" borderId="20" xfId="5" applyNumberFormat="1" applyFont="1" applyFill="1" applyBorder="1" applyAlignment="1">
      <alignment horizontal="center" vertical="center" wrapText="1"/>
    </xf>
    <xf numFmtId="43" fontId="8" fillId="0" borderId="10" xfId="4" applyFont="1" applyFill="1" applyBorder="1" applyAlignment="1">
      <alignment horizontal="center" vertical="center" wrapText="1"/>
    </xf>
    <xf numFmtId="43" fontId="8" fillId="0" borderId="21" xfId="4" applyFont="1" applyFill="1" applyBorder="1" applyAlignment="1">
      <alignment horizontal="center" vertical="center" wrapText="1"/>
    </xf>
    <xf numFmtId="43" fontId="24" fillId="0" borderId="20" xfId="4" applyFont="1" applyFill="1" applyBorder="1" applyAlignment="1">
      <alignment horizontal="center" vertical="center" wrapText="1"/>
    </xf>
    <xf numFmtId="4" fontId="0" fillId="0" borderId="0" xfId="0" applyNumberFormat="1" applyFont="1" applyFill="1" applyBorder="1" applyAlignment="1">
      <alignment horizontal="right"/>
    </xf>
    <xf numFmtId="167" fontId="26" fillId="0" borderId="0" xfId="0" applyNumberFormat="1" applyFont="1" applyFill="1" applyBorder="1" applyAlignment="1">
      <alignment horizontal="right"/>
    </xf>
    <xf numFmtId="49" fontId="0" fillId="0" borderId="22" xfId="0" applyNumberFormat="1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2" xfId="0" applyBorder="1" applyAlignment="1">
      <alignment horizontal="right"/>
    </xf>
    <xf numFmtId="168" fontId="0" fillId="0" borderId="22" xfId="0" applyNumberFormat="1" applyBorder="1" applyAlignment="1">
      <alignment horizontal="left"/>
    </xf>
    <xf numFmtId="4" fontId="0" fillId="0" borderId="22" xfId="0" applyNumberFormat="1" applyBorder="1" applyAlignment="1">
      <alignment horizontal="left"/>
    </xf>
    <xf numFmtId="0" fontId="0" fillId="0" borderId="0" xfId="0"/>
    <xf numFmtId="10" fontId="0" fillId="0" borderId="22" xfId="0" applyNumberFormat="1" applyBorder="1" applyAlignment="1">
      <alignment horizontal="left"/>
    </xf>
    <xf numFmtId="0" fontId="27" fillId="0" borderId="0" xfId="0" applyNumberFormat="1" applyFont="1" applyFill="1" applyBorder="1"/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Font="1" applyFill="1" applyBorder="1" applyAlignment="1" applyProtection="1">
      <alignment vertical="center" wrapText="1"/>
      <protection locked="0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3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C19" sqref="C19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34" t="s">
        <v>2968</v>
      </c>
      <c r="B1" s="35"/>
      <c r="C1" s="35"/>
      <c r="D1" s="35"/>
    </row>
    <row r="3" spans="1:4">
      <c r="A3" t="s">
        <v>2969</v>
      </c>
      <c r="D3" s="112" t="s">
        <v>2985</v>
      </c>
    </row>
    <row r="5" spans="1:4">
      <c r="A5" t="s">
        <v>2970</v>
      </c>
      <c r="D5" s="112" t="s">
        <v>2997</v>
      </c>
    </row>
    <row r="7" spans="1:4">
      <c r="A7" t="s">
        <v>2971</v>
      </c>
      <c r="D7" s="112" t="s">
        <v>3002</v>
      </c>
    </row>
    <row r="8" spans="1:4">
      <c r="D8" s="33"/>
    </row>
    <row r="9" spans="1:4">
      <c r="A9" t="s">
        <v>2972</v>
      </c>
      <c r="D9" s="112">
        <v>2025</v>
      </c>
    </row>
    <row r="11" spans="1:4">
      <c r="A11" t="s">
        <v>2973</v>
      </c>
      <c r="D11" s="112" t="s">
        <v>3060</v>
      </c>
    </row>
    <row r="13" spans="1:4">
      <c r="A13" t="s">
        <v>2974</v>
      </c>
      <c r="D13" s="113">
        <f>IFERROR(VLOOKUP(D11,'File Name Info'!A35:B130,2,0),"תא מחושב")</f>
        <v>520042581</v>
      </c>
    </row>
    <row r="15" spans="1:4" ht="15">
      <c r="A15" s="20" t="s">
        <v>2975</v>
      </c>
      <c r="D15" s="11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520042581_gm_p_0325.xlsx</v>
      </c>
    </row>
    <row r="16" spans="1:4" ht="15">
      <c r="A16" s="20"/>
      <c r="D16" s="33"/>
    </row>
    <row r="17" spans="1:4" ht="15">
      <c r="A17" s="20" t="s">
        <v>2976</v>
      </c>
      <c r="B17" s="17" t="s">
        <v>2977</v>
      </c>
      <c r="C17" s="17"/>
      <c r="D17" s="209" t="s">
        <v>3340</v>
      </c>
    </row>
    <row r="18" spans="1:4">
      <c r="A18" s="15"/>
      <c r="B18" s="18"/>
      <c r="C18" s="18"/>
      <c r="D18" s="19"/>
    </row>
    <row r="19" spans="1:4">
      <c r="A19" s="15"/>
      <c r="B19" s="17" t="s">
        <v>2978</v>
      </c>
      <c r="C19" s="17"/>
      <c r="D19" s="209" t="s">
        <v>3341</v>
      </c>
    </row>
    <row r="20" spans="1:4">
      <c r="A20" s="15"/>
      <c r="B20" s="18"/>
      <c r="C20" s="18"/>
      <c r="D20" s="19"/>
    </row>
    <row r="21" spans="1:4">
      <c r="A21" s="15"/>
      <c r="B21" s="17" t="s">
        <v>2979</v>
      </c>
      <c r="C21" s="17"/>
      <c r="D21" s="210" t="s">
        <v>3342</v>
      </c>
    </row>
    <row r="22" spans="1:4">
      <c r="A22" s="15"/>
      <c r="B22" s="16"/>
      <c r="C22" s="16"/>
    </row>
    <row r="23" spans="1:4" ht="28.5">
      <c r="A23" s="153" t="s">
        <v>2980</v>
      </c>
      <c r="D23" s="152" t="s">
        <v>2981</v>
      </c>
    </row>
  </sheetData>
  <conditionalFormatting sqref="D16">
    <cfRule type="containsText" dxfId="11" priority="21" operator="containsText" text="Please fill in data">
      <formula>NOT(ISERROR(SEARCH("Please fill in data",D16)))</formula>
    </cfRule>
  </conditionalFormatting>
  <conditionalFormatting sqref="D3">
    <cfRule type="containsText" dxfId="10" priority="16" operator="containsText" text="Please fill in data">
      <formula>NOT(ISERROR(SEARCH("Please fill in data",D3)))</formula>
    </cfRule>
  </conditionalFormatting>
  <conditionalFormatting sqref="D7">
    <cfRule type="containsText" dxfId="9" priority="9" operator="containsText" text="Please fill in data">
      <formula>NOT(ISERROR(SEARCH("Please fill in data",D7)))</formula>
    </cfRule>
  </conditionalFormatting>
  <conditionalFormatting sqref="D8">
    <cfRule type="containsText" dxfId="8" priority="14" operator="containsText" text="Please fill in data">
      <formula>NOT(ISERROR(SEARCH("Please fill in data",D8)))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9">
    <cfRule type="containsText" dxfId="6" priority="8" operator="containsText" text="Please fill in data">
      <formula>NOT(ISERROR(SEARCH("Please fill in data",D9)))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A28" sqref="A28"/>
    </sheetView>
  </sheetViews>
  <sheetFormatPr defaultColWidth="0" defaultRowHeight="12.75" zeroHeight="1"/>
  <cols>
    <col min="1" max="1" width="42.75" style="7" customWidth="1"/>
    <col min="2" max="4" width="13" style="8" customWidth="1"/>
    <col min="5" max="5" width="14" style="8" customWidth="1"/>
    <col min="6" max="6" width="2.375" style="7" hidden="1" customWidth="1"/>
    <col min="7" max="16384" width="2.375" style="7" hidden="1"/>
  </cols>
  <sheetData>
    <row r="1" spans="1:5" ht="18.75" customHeight="1">
      <c r="A1" s="53"/>
      <c r="B1" s="54"/>
      <c r="C1" s="115" t="s">
        <v>3120</v>
      </c>
      <c r="D1" s="114"/>
      <c r="E1" s="54"/>
    </row>
    <row r="2" spans="1:5" ht="25.5">
      <c r="A2" s="53"/>
      <c r="B2" s="54" t="s">
        <v>36</v>
      </c>
      <c r="C2" s="54" t="s">
        <v>2787</v>
      </c>
      <c r="D2" s="54" t="s">
        <v>22</v>
      </c>
      <c r="E2" s="54" t="s">
        <v>3121</v>
      </c>
    </row>
    <row r="3" spans="1:5">
      <c r="A3" s="56" t="s">
        <v>2825</v>
      </c>
      <c r="B3" s="196">
        <f>SUM('מזומנים ושווי מזומנים'!O:O)</f>
        <v>135446.405</v>
      </c>
      <c r="C3" s="57"/>
      <c r="D3" s="57"/>
      <c r="E3" s="193">
        <f>SUM('מזומנים ושווי מזומנים'!O:O)/B30</f>
        <v>6.0729773253464334E-2</v>
      </c>
    </row>
    <row r="4" spans="1:5">
      <c r="A4" s="56" t="s">
        <v>2835</v>
      </c>
      <c r="B4" s="196">
        <f>SUM('איגרות חוב ממשלתיות'!U:U)</f>
        <v>446994.70500000002</v>
      </c>
      <c r="C4" s="57"/>
      <c r="D4" s="57"/>
      <c r="E4" s="193">
        <f>SUM('איגרות חוב ממשלתיות'!U:U)/B30</f>
        <v>0.20041792235201208</v>
      </c>
    </row>
    <row r="5" spans="1:5">
      <c r="A5" s="56" t="s">
        <v>2840</v>
      </c>
      <c r="B5" s="196">
        <f>SUM('ניירות ערך מסחריים'!AD:AD)</f>
        <v>0</v>
      </c>
      <c r="C5" s="57"/>
      <c r="D5" s="57"/>
      <c r="E5" s="193">
        <f>SUM('ניירות ערך מסחריים'!AD:AD)/B30</f>
        <v>0</v>
      </c>
    </row>
    <row r="6" spans="1:5">
      <c r="A6" s="56" t="s">
        <v>2841</v>
      </c>
      <c r="B6" s="196">
        <f>SUM('איגרות חוב'!AD:AD)</f>
        <v>347321.25799999974</v>
      </c>
      <c r="C6" s="57"/>
      <c r="D6" s="57"/>
      <c r="E6" s="193">
        <f>SUM('איגרות חוב'!AD:AD)/B30</f>
        <v>0.15572758276196383</v>
      </c>
    </row>
    <row r="7" spans="1:5">
      <c r="A7" s="56" t="s">
        <v>2847</v>
      </c>
      <c r="B7" s="196">
        <f>SUM('מניות מבכ ויהש'!U:U)</f>
        <v>414887.2089999998</v>
      </c>
      <c r="C7" s="57"/>
      <c r="D7" s="57"/>
      <c r="E7" s="193">
        <f>SUM('מניות מבכ ויהש'!U:U)/B30</f>
        <v>0.18602196291834144</v>
      </c>
    </row>
    <row r="8" spans="1:5">
      <c r="A8" s="56" t="s">
        <v>2441</v>
      </c>
      <c r="B8" s="196">
        <f>SUM('קרנות סל'!T:T)</f>
        <v>525841.16499999992</v>
      </c>
      <c r="C8" s="57"/>
      <c r="D8" s="57"/>
      <c r="E8" s="193">
        <f>SUM('קרנות סל'!T:T)/B30</f>
        <v>0.23577011673205739</v>
      </c>
    </row>
    <row r="9" spans="1:5">
      <c r="A9" s="56" t="s">
        <v>2856</v>
      </c>
      <c r="B9" s="196">
        <f>SUM('קרנות נאמנות'!T:T)</f>
        <v>32458.716999999993</v>
      </c>
      <c r="C9" s="57"/>
      <c r="D9" s="57"/>
      <c r="E9" s="193">
        <f>SUM('קרנות נאמנות'!T:T)/B30</f>
        <v>1.4553435534212723E-2</v>
      </c>
    </row>
    <row r="10" spans="1:5">
      <c r="A10" s="56" t="s">
        <v>3108</v>
      </c>
      <c r="B10" s="196">
        <f>SUM('כתבי אופציה'!W:W)</f>
        <v>350.50700000000001</v>
      </c>
      <c r="C10" s="57"/>
      <c r="D10" s="57"/>
      <c r="E10" s="193">
        <f>SUM('כתבי אופציה'!W:W)/B30</f>
        <v>1.5715596610889763E-4</v>
      </c>
    </row>
    <row r="11" spans="1:5">
      <c r="A11" s="56" t="s">
        <v>2858</v>
      </c>
      <c r="B11" s="196">
        <f>SUM(אופציות!V:V)</f>
        <v>0</v>
      </c>
      <c r="C11" s="57"/>
      <c r="D11" s="57"/>
      <c r="E11" s="193">
        <f>SUM(אופציות!V:V)/B30</f>
        <v>0</v>
      </c>
    </row>
    <row r="12" spans="1:5">
      <c r="A12" s="56" t="s">
        <v>3109</v>
      </c>
      <c r="B12" s="196">
        <f>SUM('חוזים עתידיים'!R:R)</f>
        <v>2632.29</v>
      </c>
      <c r="C12" s="57"/>
      <c r="D12" s="57"/>
      <c r="E12" s="193">
        <f>SUM('חוזים עתידיים'!R:R)/B30</f>
        <v>1.1802334276599046E-3</v>
      </c>
    </row>
    <row r="13" spans="1:5">
      <c r="A13" s="56" t="s">
        <v>2863</v>
      </c>
      <c r="B13" s="196">
        <f>SUM('מוצרים מובנים'!Z:Z)</f>
        <v>4645.027</v>
      </c>
      <c r="C13" s="57"/>
      <c r="D13" s="57"/>
      <c r="E13" s="193">
        <f>SUM('מוצרים מובנים'!Z:Z)/B30</f>
        <v>2.0826793923856427E-3</v>
      </c>
    </row>
    <row r="14" spans="1:5">
      <c r="A14" s="56" t="s">
        <v>2869</v>
      </c>
      <c r="B14" s="196">
        <f>SUM('לא סחיר איגרות חוב ממשלתיות'!U:U)</f>
        <v>0</v>
      </c>
      <c r="C14" s="57"/>
      <c r="D14" s="57"/>
      <c r="E14" s="193">
        <f>SUM('לא סחיר איגרות חוב ממשלתיות'!U:U)/B30</f>
        <v>0</v>
      </c>
    </row>
    <row r="15" spans="1:5">
      <c r="A15" s="56" t="s">
        <v>2870</v>
      </c>
      <c r="B15" s="196">
        <f>SUM('לא סחיר איגרות חוב מיועדות'!N:N)</f>
        <v>0</v>
      </c>
      <c r="C15" s="57"/>
      <c r="D15" s="57"/>
      <c r="E15" s="193">
        <f>SUM('לא סחיר איגרות חוב מיועדות'!N:N)/B30</f>
        <v>0</v>
      </c>
    </row>
    <row r="16" spans="1:5" s="118" customFormat="1">
      <c r="A16" s="58" t="s">
        <v>2876</v>
      </c>
      <c r="B16" s="196">
        <f>SUM('אפיק השקעה מובטח תשואה'!F:F)</f>
        <v>0</v>
      </c>
      <c r="C16" s="59"/>
      <c r="D16" s="59"/>
      <c r="E16" s="193">
        <f>SUM('אפיק השקעה מובטח תשואה'!F:F)/B30</f>
        <v>0</v>
      </c>
    </row>
    <row r="17" spans="1:5">
      <c r="A17" s="58" t="s">
        <v>2880</v>
      </c>
      <c r="B17" s="196">
        <f>SUM('לא סחיר ניירות ערך מסחריים'!AI:AI)</f>
        <v>558.28099999999995</v>
      </c>
      <c r="C17" s="59"/>
      <c r="D17" s="59"/>
      <c r="E17" s="193">
        <f>SUM('לא סחיר ניירות ערך מסחריים'!AI:AI)/B30</f>
        <v>2.503150861901231E-4</v>
      </c>
    </row>
    <row r="18" spans="1:5">
      <c r="A18" s="56" t="s">
        <v>2882</v>
      </c>
      <c r="B18" s="196">
        <f>SUM('לא סחיר איגרות חוב'!AG:AG)</f>
        <v>17580.007999999998</v>
      </c>
      <c r="C18" s="57"/>
      <c r="D18" s="57"/>
      <c r="E18" s="193">
        <f>SUM('לא סחיר איגרות חוב'!AG:AG)/B30</f>
        <v>7.8823051791894281E-3</v>
      </c>
    </row>
    <row r="19" spans="1:5">
      <c r="A19" s="56" t="s">
        <v>2885</v>
      </c>
      <c r="B19" s="196">
        <f>SUM('לא סחיר מניות מבכ ויהש'!X:X)</f>
        <v>1724.0640000000001</v>
      </c>
      <c r="C19" s="57"/>
      <c r="D19" s="57"/>
      <c r="E19" s="193">
        <f>SUM('לא סחיר מניות מבכ ויהש'!X:X)/B30</f>
        <v>7.7301435792600582E-4</v>
      </c>
    </row>
    <row r="20" spans="1:5">
      <c r="A20" s="56" t="s">
        <v>2688</v>
      </c>
      <c r="B20" s="196">
        <f>SUM('קרנות השקעה'!W:W)</f>
        <v>266863.87500000023</v>
      </c>
      <c r="C20" s="57"/>
      <c r="D20" s="57"/>
      <c r="E20" s="193">
        <f>SUM('קרנות השקעה'!W:W)/B30</f>
        <v>0.1196531027773743</v>
      </c>
    </row>
    <row r="21" spans="1:5">
      <c r="A21" s="56" t="s">
        <v>3112</v>
      </c>
      <c r="B21" s="196">
        <f>SUM('לא סחיר כתבי אופציה'!Z:Z)</f>
        <v>2.1640000000000001</v>
      </c>
      <c r="C21" s="57"/>
      <c r="D21" s="57"/>
      <c r="E21" s="193">
        <f>SUM('לא סחיר כתבי אופציה'!Z:Z)/B30</f>
        <v>9.702673859855995E-7</v>
      </c>
    </row>
    <row r="22" spans="1:5">
      <c r="A22" s="56" t="s">
        <v>2896</v>
      </c>
      <c r="B22" s="196">
        <f>SUM('לא סחיר אופציות'!Z:Z)</f>
        <v>0</v>
      </c>
      <c r="C22" s="57"/>
      <c r="D22" s="57"/>
      <c r="E22" s="193">
        <f>SUM('לא סחיר אופציות'!Z:Z)/B30</f>
        <v>0</v>
      </c>
    </row>
    <row r="23" spans="1:5">
      <c r="A23" s="56" t="s">
        <v>2903</v>
      </c>
      <c r="B23" s="196">
        <f>SUM('לא סחיר נגזרים אחרים'!R:R)</f>
        <v>4323.6696499999998</v>
      </c>
      <c r="C23" s="57"/>
      <c r="D23" s="57"/>
      <c r="E23" s="193">
        <f>SUM('לא סחיר נגזרים אחרים'!R:R)/B30</f>
        <v>1.9385931835354765E-3</v>
      </c>
    </row>
    <row r="24" spans="1:5">
      <c r="A24" s="56" t="s">
        <v>2898</v>
      </c>
      <c r="B24" s="196">
        <f>SUM(הלוואות!AT:AT)</f>
        <v>28823.649000000001</v>
      </c>
      <c r="C24" s="57"/>
      <c r="D24" s="57"/>
      <c r="E24" s="193">
        <f>SUM(הלוואות!AT:AT)/B30</f>
        <v>1.2923588987891145E-2</v>
      </c>
    </row>
    <row r="25" spans="1:5">
      <c r="A25" s="56" t="s">
        <v>2914</v>
      </c>
      <c r="B25" s="196">
        <f>SUM('לא סחיר מוצרים מובנים'!AB:AB)</f>
        <v>0</v>
      </c>
      <c r="C25" s="57"/>
      <c r="D25" s="57"/>
      <c r="E25" s="193">
        <f>SUM('לא סחיר מוצרים מובנים'!AB:AB)/B30</f>
        <v>0</v>
      </c>
    </row>
    <row r="26" spans="1:5">
      <c r="A26" s="56" t="s">
        <v>2919</v>
      </c>
      <c r="B26" s="196">
        <f>SUM('פיקדונות מעל 3 חודשים'!T:T)</f>
        <v>0</v>
      </c>
      <c r="C26" s="57"/>
      <c r="D26" s="57"/>
      <c r="E26" s="193">
        <f>SUM('פיקדונות מעל 3 חודשים'!T:T)/B30</f>
        <v>0</v>
      </c>
    </row>
    <row r="27" spans="1:5">
      <c r="A27" s="56" t="s">
        <v>2922</v>
      </c>
      <c r="B27" s="196">
        <f>SUM('זכויות מקרקעין'!S:S)</f>
        <v>567.50400000000002</v>
      </c>
      <c r="C27" s="57"/>
      <c r="D27" s="57"/>
      <c r="E27" s="193">
        <f>SUM('זכויות מקרקעין'!S:S)/B30</f>
        <v>2.5445038013695547E-4</v>
      </c>
    </row>
    <row r="28" spans="1:5">
      <c r="A28" s="56" t="s">
        <v>2956</v>
      </c>
      <c r="B28" s="196">
        <f>SUM('השקעה בחברות מוחזקות'!U:U)</f>
        <v>0</v>
      </c>
      <c r="C28" s="57"/>
      <c r="D28" s="57"/>
      <c r="E28" s="193">
        <f>SUM('השקעה בחברות מוחזקות'!U:U)/B30</f>
        <v>0</v>
      </c>
    </row>
    <row r="29" spans="1:5">
      <c r="A29" s="56" t="s">
        <v>2924</v>
      </c>
      <c r="B29" s="197">
        <f>SUM('נכסים אחרים'!N:N)</f>
        <v>-707.46100000000001</v>
      </c>
      <c r="C29" s="150"/>
      <c r="D29" s="150"/>
      <c r="E29" s="194">
        <f>SUM('נכסים אחרים'!N:N)/B30</f>
        <v>-3.1720255783584017E-4</v>
      </c>
    </row>
    <row r="30" spans="1:5" ht="15">
      <c r="A30" s="55" t="s">
        <v>3122</v>
      </c>
      <c r="B30" s="198">
        <f>IF(SUM(B3:B29)=0,0.0001,SUM(B3:B29))</f>
        <v>2230313.0366500001</v>
      </c>
      <c r="C30" s="151">
        <f t="shared" ref="C30:D30" si="0">SUM(C3:C29)</f>
        <v>0</v>
      </c>
      <c r="D30" s="151">
        <f t="shared" si="0"/>
        <v>0</v>
      </c>
      <c r="E30" s="195">
        <f>SUM(E3:E29)</f>
        <v>0.99999999999999967</v>
      </c>
    </row>
    <row r="31" spans="1:5" s="118" customFormat="1">
      <c r="A31" s="58" t="s">
        <v>3119</v>
      </c>
      <c r="B31" s="59"/>
      <c r="C31" s="59"/>
      <c r="D31" s="59"/>
      <c r="E31" s="59"/>
    </row>
    <row r="32" spans="1:5">
      <c r="A32" s="58" t="s">
        <v>3123</v>
      </c>
      <c r="B32" s="196">
        <f>SUM('יתרות התחייבות להשקעה'!O:O)</f>
        <v>97089.745282094009</v>
      </c>
      <c r="C32" s="59"/>
      <c r="D32" s="59"/>
      <c r="E32" s="196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69"/>
  <sheetViews>
    <sheetView rightToLeft="1" topLeftCell="F1" workbookViewId="0">
      <selection activeCell="K21" sqref="K21"/>
    </sheetView>
  </sheetViews>
  <sheetFormatPr defaultColWidth="0" defaultRowHeight="14.25"/>
  <cols>
    <col min="1" max="4" width="11.625" style="3" customWidth="1"/>
    <col min="5" max="5" width="11.625" style="5" customWidth="1"/>
    <col min="6" max="17" width="11.625" style="3" customWidth="1"/>
    <col min="18" max="18" width="11.625" style="3" hidden="1" customWidth="1"/>
    <col min="19" max="19" width="9" style="3" hidden="1" customWidth="1"/>
    <col min="20" max="16384" width="9" style="3" hidden="1"/>
  </cols>
  <sheetData>
    <row r="1" spans="1:17" s="4" customFormat="1" ht="51">
      <c r="A1" s="22" t="s">
        <v>0</v>
      </c>
      <c r="B1" s="22" t="s">
        <v>1</v>
      </c>
      <c r="C1" s="22" t="s">
        <v>2191</v>
      </c>
      <c r="D1" s="22" t="s">
        <v>2192</v>
      </c>
      <c r="E1" s="22" t="s">
        <v>2193</v>
      </c>
      <c r="F1" s="22" t="s">
        <v>5</v>
      </c>
      <c r="G1" s="22" t="s">
        <v>6</v>
      </c>
      <c r="H1" s="22" t="s">
        <v>140</v>
      </c>
      <c r="I1" s="22" t="s">
        <v>2195</v>
      </c>
      <c r="J1" s="22" t="s">
        <v>10</v>
      </c>
      <c r="K1" s="22" t="s">
        <v>11</v>
      </c>
      <c r="L1" s="22" t="s">
        <v>2196</v>
      </c>
      <c r="M1" s="163" t="s">
        <v>18</v>
      </c>
      <c r="N1" s="165" t="s">
        <v>14</v>
      </c>
      <c r="O1" s="22" t="s">
        <v>20</v>
      </c>
      <c r="P1" s="165" t="s">
        <v>24</v>
      </c>
      <c r="Q1" s="165" t="s">
        <v>25</v>
      </c>
    </row>
    <row r="2" spans="1:17">
      <c r="A2" s="3">
        <v>14076</v>
      </c>
      <c r="B2" s="3">
        <v>14077</v>
      </c>
      <c r="C2" s="3" t="s">
        <v>321</v>
      </c>
      <c r="D2" s="3" t="s">
        <v>3124</v>
      </c>
      <c r="E2" s="5" t="s">
        <v>2330</v>
      </c>
      <c r="F2" s="3" t="s">
        <v>2828</v>
      </c>
      <c r="G2" s="3" t="s">
        <v>30</v>
      </c>
      <c r="H2" s="3" t="s">
        <v>156</v>
      </c>
      <c r="I2" s="3" t="s">
        <v>246</v>
      </c>
      <c r="J2" s="3" t="s">
        <v>169</v>
      </c>
      <c r="K2" s="3" t="s">
        <v>86</v>
      </c>
      <c r="L2" s="199">
        <v>3.32</v>
      </c>
      <c r="M2" s="164">
        <v>3.306</v>
      </c>
      <c r="N2" s="200">
        <v>0</v>
      </c>
      <c r="O2" s="155">
        <v>10.975</v>
      </c>
      <c r="P2" s="166">
        <v>1.2087911590621199E-2</v>
      </c>
      <c r="Q2" s="166">
        <v>5.1205431818883299E-4</v>
      </c>
    </row>
    <row r="3" spans="1:17">
      <c r="A3" s="3">
        <v>14076</v>
      </c>
      <c r="B3" s="3">
        <v>14077</v>
      </c>
      <c r="C3" s="3" t="s">
        <v>321</v>
      </c>
      <c r="D3" s="3" t="s">
        <v>3124</v>
      </c>
      <c r="E3" s="31" t="s">
        <v>2330</v>
      </c>
      <c r="F3" s="3" t="s">
        <v>2828</v>
      </c>
      <c r="G3" s="3" t="s">
        <v>30</v>
      </c>
      <c r="H3" s="3" t="s">
        <v>156</v>
      </c>
      <c r="I3" s="3" t="s">
        <v>246</v>
      </c>
      <c r="J3" s="3" t="s">
        <v>169</v>
      </c>
      <c r="K3" s="3" t="s">
        <v>1245</v>
      </c>
      <c r="L3" s="155">
        <v>1.2090000000000001</v>
      </c>
      <c r="M3" s="164">
        <v>3.8807</v>
      </c>
      <c r="N3" s="166">
        <v>0</v>
      </c>
      <c r="O3" s="155">
        <v>4.6920000000000002</v>
      </c>
      <c r="P3" s="166">
        <v>5.1671722915990898E-3</v>
      </c>
      <c r="Q3" s="166">
        <v>2.1888585674235701E-4</v>
      </c>
    </row>
    <row r="4" spans="1:17">
      <c r="A4" s="3">
        <v>14076</v>
      </c>
      <c r="B4" s="3">
        <v>14077</v>
      </c>
      <c r="C4" s="3" t="s">
        <v>321</v>
      </c>
      <c r="D4" s="3" t="s">
        <v>3124</v>
      </c>
      <c r="E4" s="31" t="s">
        <v>2330</v>
      </c>
      <c r="F4" s="3" t="s">
        <v>2826</v>
      </c>
      <c r="G4" s="3" t="s">
        <v>30</v>
      </c>
      <c r="H4" s="3" t="s">
        <v>156</v>
      </c>
      <c r="I4" s="3" t="s">
        <v>246</v>
      </c>
      <c r="J4" s="3" t="s">
        <v>169</v>
      </c>
      <c r="K4" s="3" t="s">
        <v>34</v>
      </c>
      <c r="L4" s="155">
        <v>892.30499999999995</v>
      </c>
      <c r="M4" s="164">
        <v>1</v>
      </c>
      <c r="N4" s="166">
        <v>3.7999999999999999E-2</v>
      </c>
      <c r="O4" s="155">
        <v>892.30499999999995</v>
      </c>
      <c r="P4" s="166">
        <v>0.98274490510422896</v>
      </c>
      <c r="Q4" s="166">
        <v>4.1629918333215797E-2</v>
      </c>
    </row>
    <row r="5" spans="1:17">
      <c r="A5" s="3">
        <v>14076</v>
      </c>
      <c r="B5" s="3">
        <v>14077</v>
      </c>
      <c r="C5" s="3" t="s">
        <v>321</v>
      </c>
      <c r="D5" s="3" t="s">
        <v>3124</v>
      </c>
      <c r="E5" s="31" t="s">
        <v>2330</v>
      </c>
      <c r="F5" s="3" t="s">
        <v>2826</v>
      </c>
      <c r="G5" s="3" t="s">
        <v>30</v>
      </c>
      <c r="H5" s="3" t="s">
        <v>156</v>
      </c>
      <c r="I5" s="3" t="s">
        <v>246</v>
      </c>
      <c r="J5" s="3" t="s">
        <v>169</v>
      </c>
      <c r="K5" s="3" t="s">
        <v>34</v>
      </c>
      <c r="L5" s="155">
        <v>0</v>
      </c>
      <c r="M5" s="164">
        <v>1</v>
      </c>
      <c r="N5" s="166">
        <v>3.7999999999999999E-2</v>
      </c>
      <c r="O5" s="155">
        <v>0</v>
      </c>
      <c r="P5" s="166">
        <v>1.10135505096566E-8</v>
      </c>
      <c r="Q5" s="166">
        <v>4.6654345995019497E-10</v>
      </c>
    </row>
    <row r="6" spans="1:17">
      <c r="A6" s="3">
        <v>14076</v>
      </c>
      <c r="B6" s="3">
        <v>14078</v>
      </c>
      <c r="C6" s="3" t="s">
        <v>321</v>
      </c>
      <c r="D6" s="3" t="s">
        <v>3124</v>
      </c>
      <c r="E6" s="31" t="s">
        <v>2330</v>
      </c>
      <c r="F6" s="3" t="s">
        <v>2826</v>
      </c>
      <c r="G6" s="3" t="s">
        <v>30</v>
      </c>
      <c r="H6" s="3" t="s">
        <v>156</v>
      </c>
      <c r="I6" s="3" t="s">
        <v>246</v>
      </c>
      <c r="J6" s="3" t="s">
        <v>169</v>
      </c>
      <c r="K6" s="3" t="s">
        <v>34</v>
      </c>
      <c r="L6" s="155">
        <v>175.88200000000001</v>
      </c>
      <c r="M6" s="164">
        <v>1</v>
      </c>
      <c r="N6" s="166">
        <v>3.7999999999999999E-2</v>
      </c>
      <c r="O6" s="155">
        <v>175.88200000000001</v>
      </c>
      <c r="P6" s="166">
        <v>1</v>
      </c>
      <c r="Q6" s="166">
        <v>7.5218815313621304E-2</v>
      </c>
    </row>
    <row r="7" spans="1:17">
      <c r="A7" s="3">
        <v>14076</v>
      </c>
      <c r="B7" s="3">
        <v>14079</v>
      </c>
      <c r="C7" s="3" t="s">
        <v>321</v>
      </c>
      <c r="D7" s="3" t="s">
        <v>3124</v>
      </c>
      <c r="E7" s="31" t="s">
        <v>2330</v>
      </c>
      <c r="F7" s="3" t="s">
        <v>2828</v>
      </c>
      <c r="G7" s="3" t="s">
        <v>30</v>
      </c>
      <c r="H7" s="3" t="s">
        <v>156</v>
      </c>
      <c r="I7" s="3" t="s">
        <v>246</v>
      </c>
      <c r="J7" s="3" t="s">
        <v>169</v>
      </c>
      <c r="K7" s="3" t="s">
        <v>86</v>
      </c>
      <c r="L7" s="155">
        <v>0.193</v>
      </c>
      <c r="M7" s="164">
        <v>3.306</v>
      </c>
      <c r="N7" s="166">
        <v>0</v>
      </c>
      <c r="O7" s="155">
        <v>0.63700000000000001</v>
      </c>
      <c r="P7" s="166">
        <v>2.5209772516018099E-3</v>
      </c>
      <c r="Q7" s="166">
        <v>6.7005784206401205E-5</v>
      </c>
    </row>
    <row r="8" spans="1:17">
      <c r="A8" s="3">
        <v>14076</v>
      </c>
      <c r="B8" s="3">
        <v>14079</v>
      </c>
      <c r="C8" s="3" t="s">
        <v>321</v>
      </c>
      <c r="D8" s="3" t="s">
        <v>3124</v>
      </c>
      <c r="E8" s="31" t="s">
        <v>2330</v>
      </c>
      <c r="F8" s="3" t="s">
        <v>2828</v>
      </c>
      <c r="G8" s="3" t="s">
        <v>30</v>
      </c>
      <c r="H8" s="3" t="s">
        <v>156</v>
      </c>
      <c r="I8" s="3" t="s">
        <v>246</v>
      </c>
      <c r="J8" s="3" t="s">
        <v>169</v>
      </c>
      <c r="K8" s="3" t="s">
        <v>1245</v>
      </c>
      <c r="L8" s="155">
        <v>0.77100000000000002</v>
      </c>
      <c r="M8" s="164">
        <v>3.8807</v>
      </c>
      <c r="N8" s="166">
        <v>0</v>
      </c>
      <c r="O8" s="155">
        <v>2.992</v>
      </c>
      <c r="P8" s="166">
        <v>1.18320922969949E-2</v>
      </c>
      <c r="Q8" s="166">
        <v>3.1448860661432401E-4</v>
      </c>
    </row>
    <row r="9" spans="1:17">
      <c r="A9" s="3">
        <v>14076</v>
      </c>
      <c r="B9" s="3">
        <v>14079</v>
      </c>
      <c r="C9" s="3" t="s">
        <v>321</v>
      </c>
      <c r="D9" s="3" t="s">
        <v>3124</v>
      </c>
      <c r="E9" s="31" t="s">
        <v>2330</v>
      </c>
      <c r="F9" s="3" t="s">
        <v>2826</v>
      </c>
      <c r="G9" s="3" t="s">
        <v>30</v>
      </c>
      <c r="H9" s="3" t="s">
        <v>156</v>
      </c>
      <c r="I9" s="3" t="s">
        <v>246</v>
      </c>
      <c r="J9" s="3" t="s">
        <v>169</v>
      </c>
      <c r="K9" s="3" t="s">
        <v>34</v>
      </c>
      <c r="L9" s="155">
        <v>249.23400000000001</v>
      </c>
      <c r="M9" s="164">
        <v>1</v>
      </c>
      <c r="N9" s="166">
        <v>3.7999999999999999E-2</v>
      </c>
      <c r="O9" s="155">
        <v>249.23400000000001</v>
      </c>
      <c r="P9" s="166">
        <v>0.98564704909252798</v>
      </c>
      <c r="Q9" s="166">
        <v>2.6197798267797199E-2</v>
      </c>
    </row>
    <row r="10" spans="1:17">
      <c r="A10" s="3">
        <v>14076</v>
      </c>
      <c r="B10" s="3">
        <v>14079</v>
      </c>
      <c r="C10" s="3" t="s">
        <v>321</v>
      </c>
      <c r="D10" s="3" t="s">
        <v>3124</v>
      </c>
      <c r="E10" s="31" t="s">
        <v>2330</v>
      </c>
      <c r="F10" s="3" t="s">
        <v>2826</v>
      </c>
      <c r="G10" s="3" t="s">
        <v>30</v>
      </c>
      <c r="H10" s="3" t="s">
        <v>156</v>
      </c>
      <c r="I10" s="3" t="s">
        <v>246</v>
      </c>
      <c r="J10" s="3" t="s">
        <v>169</v>
      </c>
      <c r="K10" s="3" t="s">
        <v>34</v>
      </c>
      <c r="L10" s="155">
        <v>0</v>
      </c>
      <c r="M10" s="164">
        <v>1</v>
      </c>
      <c r="N10" s="166">
        <v>3.7999999999999999E-2</v>
      </c>
      <c r="O10" s="155">
        <v>0</v>
      </c>
      <c r="P10" s="166">
        <v>-1.1864112433089299E-7</v>
      </c>
      <c r="Q10" s="166">
        <v>-3.1533967908157501E-9</v>
      </c>
    </row>
    <row r="11" spans="1:17">
      <c r="A11" s="3">
        <v>14076</v>
      </c>
      <c r="B11" s="3">
        <v>15394</v>
      </c>
      <c r="C11" s="3" t="s">
        <v>321</v>
      </c>
      <c r="D11" s="3" t="s">
        <v>3124</v>
      </c>
      <c r="E11" s="31" t="s">
        <v>2330</v>
      </c>
      <c r="F11" s="3" t="s">
        <v>2826</v>
      </c>
      <c r="G11" s="3" t="s">
        <v>30</v>
      </c>
      <c r="H11" s="3" t="s">
        <v>156</v>
      </c>
      <c r="I11" s="3" t="s">
        <v>246</v>
      </c>
      <c r="J11" s="3" t="s">
        <v>169</v>
      </c>
      <c r="K11" s="3" t="s">
        <v>34</v>
      </c>
      <c r="L11" s="155">
        <v>0</v>
      </c>
      <c r="M11" s="164">
        <v>1</v>
      </c>
      <c r="N11" s="166">
        <v>0</v>
      </c>
      <c r="O11" s="155">
        <v>0</v>
      </c>
      <c r="P11" s="166">
        <v>1.91387120259245E-7</v>
      </c>
      <c r="Q11" s="166">
        <v>1.4992309792142101E-9</v>
      </c>
    </row>
    <row r="12" spans="1:17">
      <c r="A12" s="3">
        <v>14076</v>
      </c>
      <c r="B12" s="3">
        <v>15394</v>
      </c>
      <c r="C12" s="3" t="s">
        <v>321</v>
      </c>
      <c r="D12" s="3" t="s">
        <v>3124</v>
      </c>
      <c r="E12" s="31" t="s">
        <v>2330</v>
      </c>
      <c r="F12" s="3" t="s">
        <v>2826</v>
      </c>
      <c r="G12" s="3" t="s">
        <v>30</v>
      </c>
      <c r="H12" s="3" t="s">
        <v>156</v>
      </c>
      <c r="I12" s="3" t="s">
        <v>246</v>
      </c>
      <c r="J12" s="3" t="s">
        <v>169</v>
      </c>
      <c r="K12" s="3" t="s">
        <v>34</v>
      </c>
      <c r="L12" s="155">
        <v>52.25</v>
      </c>
      <c r="M12" s="164">
        <v>1</v>
      </c>
      <c r="N12" s="166">
        <v>0</v>
      </c>
      <c r="O12" s="155">
        <v>52.25</v>
      </c>
      <c r="P12" s="166">
        <v>0.99999961722576003</v>
      </c>
      <c r="Q12" s="166">
        <v>7.8334968587040598E-3</v>
      </c>
    </row>
    <row r="13" spans="1:17">
      <c r="A13" s="3">
        <v>14076</v>
      </c>
      <c r="B13" s="3">
        <v>15394</v>
      </c>
      <c r="C13" s="3" t="s">
        <v>321</v>
      </c>
      <c r="D13" s="3" t="s">
        <v>3124</v>
      </c>
      <c r="E13" s="31" t="s">
        <v>2330</v>
      </c>
      <c r="F13" s="3" t="s">
        <v>2826</v>
      </c>
      <c r="G13" s="3" t="s">
        <v>30</v>
      </c>
      <c r="H13" s="3" t="s">
        <v>156</v>
      </c>
      <c r="I13" s="3" t="s">
        <v>246</v>
      </c>
      <c r="J13" s="3" t="s">
        <v>169</v>
      </c>
      <c r="K13" s="3" t="s">
        <v>34</v>
      </c>
      <c r="L13" s="155">
        <v>0</v>
      </c>
      <c r="M13" s="164">
        <v>1</v>
      </c>
      <c r="N13" s="166">
        <v>0</v>
      </c>
      <c r="O13" s="155">
        <v>0</v>
      </c>
      <c r="P13" s="166">
        <v>1.91387120259245E-7</v>
      </c>
      <c r="Q13" s="166">
        <v>1.4992309792142101E-9</v>
      </c>
    </row>
    <row r="14" spans="1:17">
      <c r="A14" s="3">
        <v>161</v>
      </c>
      <c r="B14" s="3">
        <v>1434</v>
      </c>
      <c r="C14" s="3" t="s">
        <v>321</v>
      </c>
      <c r="D14" s="3" t="s">
        <v>3124</v>
      </c>
      <c r="E14" s="31" t="s">
        <v>2330</v>
      </c>
      <c r="F14" s="3" t="s">
        <v>2826</v>
      </c>
      <c r="G14" s="3" t="s">
        <v>30</v>
      </c>
      <c r="H14" s="3" t="s">
        <v>156</v>
      </c>
      <c r="I14" s="3" t="s">
        <v>246</v>
      </c>
      <c r="J14" s="3" t="s">
        <v>169</v>
      </c>
      <c r="K14" s="3" t="s">
        <v>34</v>
      </c>
      <c r="L14" s="155">
        <v>0</v>
      </c>
      <c r="M14" s="164">
        <v>1</v>
      </c>
      <c r="N14" s="166">
        <v>3.7999999999999999E-2</v>
      </c>
      <c r="O14" s="155">
        <v>0</v>
      </c>
      <c r="P14" s="166">
        <v>-8.4344082679952506E-8</v>
      </c>
      <c r="Q14" s="166">
        <v>-2.1819777074732001E-9</v>
      </c>
    </row>
    <row r="15" spans="1:17">
      <c r="A15" s="3">
        <v>161</v>
      </c>
      <c r="B15" s="3">
        <v>1434</v>
      </c>
      <c r="C15" s="3" t="s">
        <v>321</v>
      </c>
      <c r="D15" s="3" t="s">
        <v>3124</v>
      </c>
      <c r="E15" s="31" t="s">
        <v>2330</v>
      </c>
      <c r="F15" s="3" t="s">
        <v>2828</v>
      </c>
      <c r="G15" s="3" t="s">
        <v>30</v>
      </c>
      <c r="H15" s="3" t="s">
        <v>156</v>
      </c>
      <c r="I15" s="3" t="s">
        <v>246</v>
      </c>
      <c r="J15" s="3" t="s">
        <v>169</v>
      </c>
      <c r="K15" s="3" t="s">
        <v>86</v>
      </c>
      <c r="L15" s="155">
        <v>44.741</v>
      </c>
      <c r="M15" s="164">
        <v>3.306</v>
      </c>
      <c r="N15" s="166">
        <v>0</v>
      </c>
      <c r="O15" s="155">
        <v>147.91200000000001</v>
      </c>
      <c r="P15" s="166">
        <v>0.249510474868674</v>
      </c>
      <c r="Q15" s="166">
        <v>6.4548250054523503E-3</v>
      </c>
    </row>
    <row r="16" spans="1:17">
      <c r="A16" s="3">
        <v>161</v>
      </c>
      <c r="B16" s="3">
        <v>1434</v>
      </c>
      <c r="C16" s="3" t="s">
        <v>321</v>
      </c>
      <c r="D16" s="3" t="s">
        <v>3124</v>
      </c>
      <c r="E16" s="31" t="s">
        <v>2330</v>
      </c>
      <c r="F16" s="3" t="s">
        <v>2828</v>
      </c>
      <c r="G16" s="3" t="s">
        <v>30</v>
      </c>
      <c r="H16" s="3" t="s">
        <v>156</v>
      </c>
      <c r="I16" s="3" t="s">
        <v>246</v>
      </c>
      <c r="J16" s="3" t="s">
        <v>169</v>
      </c>
      <c r="K16" s="3" t="s">
        <v>1245</v>
      </c>
      <c r="L16" s="155">
        <v>12.358000000000001</v>
      </c>
      <c r="M16" s="164">
        <v>3.8807</v>
      </c>
      <c r="N16" s="166">
        <v>0</v>
      </c>
      <c r="O16" s="155">
        <v>47.957000000000001</v>
      </c>
      <c r="P16" s="166">
        <v>8.0898097405507394E-2</v>
      </c>
      <c r="Q16" s="166">
        <v>2.0928302200596302E-3</v>
      </c>
    </row>
    <row r="17" spans="1:17">
      <c r="A17" s="3">
        <v>161</v>
      </c>
      <c r="B17" s="3">
        <v>1434</v>
      </c>
      <c r="C17" s="3" t="s">
        <v>321</v>
      </c>
      <c r="D17" s="3" t="s">
        <v>3124</v>
      </c>
      <c r="E17" s="31" t="s">
        <v>2330</v>
      </c>
      <c r="F17" s="3" t="s">
        <v>2826</v>
      </c>
      <c r="G17" s="3" t="s">
        <v>30</v>
      </c>
      <c r="H17" s="3" t="s">
        <v>156</v>
      </c>
      <c r="I17" s="3" t="s">
        <v>246</v>
      </c>
      <c r="J17" s="3" t="s">
        <v>169</v>
      </c>
      <c r="K17" s="3" t="s">
        <v>34</v>
      </c>
      <c r="L17" s="155">
        <v>396.94</v>
      </c>
      <c r="M17" s="164">
        <v>1</v>
      </c>
      <c r="N17" s="166">
        <v>3.7999999999999999E-2</v>
      </c>
      <c r="O17" s="155">
        <v>396.94</v>
      </c>
      <c r="P17" s="166">
        <v>0.66959151206990197</v>
      </c>
      <c r="Q17" s="166">
        <v>1.7322302952700999E-2</v>
      </c>
    </row>
    <row r="18" spans="1:17">
      <c r="A18" s="3">
        <v>161</v>
      </c>
      <c r="B18" s="3">
        <v>9938</v>
      </c>
      <c r="C18" s="3" t="s">
        <v>321</v>
      </c>
      <c r="D18" s="3" t="s">
        <v>3124</v>
      </c>
      <c r="E18" s="31" t="s">
        <v>2330</v>
      </c>
      <c r="F18" s="3" t="s">
        <v>2826</v>
      </c>
      <c r="G18" s="3" t="s">
        <v>30</v>
      </c>
      <c r="H18" s="3" t="s">
        <v>156</v>
      </c>
      <c r="I18" s="3" t="s">
        <v>246</v>
      </c>
      <c r="J18" s="3" t="s">
        <v>169</v>
      </c>
      <c r="K18" s="3" t="s">
        <v>34</v>
      </c>
      <c r="L18" s="155">
        <v>0</v>
      </c>
      <c r="M18" s="164">
        <v>1</v>
      </c>
      <c r="N18" s="166">
        <v>3.7999999999999999E-2</v>
      </c>
      <c r="O18" s="155">
        <v>0</v>
      </c>
      <c r="P18" s="166">
        <v>2.0267189690955701E-8</v>
      </c>
      <c r="Q18" s="166">
        <v>1.0752506167805902E-9</v>
      </c>
    </row>
    <row r="19" spans="1:17">
      <c r="A19" s="3">
        <v>161</v>
      </c>
      <c r="B19" s="3">
        <v>9938</v>
      </c>
      <c r="C19" s="3" t="s">
        <v>321</v>
      </c>
      <c r="D19" s="3" t="s">
        <v>3124</v>
      </c>
      <c r="E19" s="31" t="s">
        <v>2330</v>
      </c>
      <c r="F19" s="3" t="s">
        <v>2828</v>
      </c>
      <c r="G19" s="3" t="s">
        <v>30</v>
      </c>
      <c r="H19" s="3" t="s">
        <v>156</v>
      </c>
      <c r="I19" s="3" t="s">
        <v>246</v>
      </c>
      <c r="J19" s="3" t="s">
        <v>169</v>
      </c>
      <c r="K19" s="3" t="s">
        <v>86</v>
      </c>
      <c r="L19" s="155">
        <v>559.72</v>
      </c>
      <c r="M19" s="164">
        <v>3.306</v>
      </c>
      <c r="N19" s="166">
        <v>0</v>
      </c>
      <c r="O19" s="155">
        <v>1850.433</v>
      </c>
      <c r="P19" s="166">
        <v>0.41670094014624998</v>
      </c>
      <c r="Q19" s="166">
        <v>2.2107551650599699E-2</v>
      </c>
    </row>
    <row r="20" spans="1:17">
      <c r="A20" s="3">
        <v>161</v>
      </c>
      <c r="B20" s="3">
        <v>9938</v>
      </c>
      <c r="C20" s="3" t="s">
        <v>321</v>
      </c>
      <c r="D20" s="3" t="s">
        <v>3124</v>
      </c>
      <c r="E20" s="31" t="s">
        <v>2330</v>
      </c>
      <c r="F20" s="3" t="s">
        <v>2828</v>
      </c>
      <c r="G20" s="3" t="s">
        <v>30</v>
      </c>
      <c r="H20" s="3" t="s">
        <v>156</v>
      </c>
      <c r="I20" s="3" t="s">
        <v>246</v>
      </c>
      <c r="J20" s="3" t="s">
        <v>169</v>
      </c>
      <c r="K20" s="3" t="s">
        <v>1189</v>
      </c>
      <c r="L20" s="155">
        <v>5</v>
      </c>
      <c r="M20" s="164">
        <v>0.42420000000000002</v>
      </c>
      <c r="N20" s="166">
        <v>0</v>
      </c>
      <c r="O20" s="155">
        <v>2.121</v>
      </c>
      <c r="P20" s="166">
        <v>4.7763010371685601E-4</v>
      </c>
      <c r="Q20" s="166">
        <v>2.53400728687958E-5</v>
      </c>
    </row>
    <row r="21" spans="1:17" s="42" customFormat="1">
      <c r="A21" s="42">
        <v>161</v>
      </c>
      <c r="B21" s="42">
        <v>9938</v>
      </c>
      <c r="C21" s="42" t="s">
        <v>321</v>
      </c>
      <c r="D21" s="41" t="s">
        <v>3124</v>
      </c>
      <c r="E21" s="45" t="s">
        <v>2330</v>
      </c>
      <c r="F21" s="42" t="s">
        <v>2828</v>
      </c>
      <c r="G21" s="42" t="s">
        <v>30</v>
      </c>
      <c r="H21" s="42" t="s">
        <v>156</v>
      </c>
      <c r="I21" s="42" t="s">
        <v>246</v>
      </c>
      <c r="J21" s="42" t="s">
        <v>169</v>
      </c>
      <c r="K21" s="42" t="s">
        <v>3125</v>
      </c>
      <c r="L21" s="155">
        <v>0.98199999999999998</v>
      </c>
      <c r="M21" s="164">
        <v>2.5581999999999998</v>
      </c>
      <c r="N21" s="166">
        <v>0</v>
      </c>
      <c r="O21" s="155">
        <v>2.5110000000000001</v>
      </c>
      <c r="P21" s="166">
        <v>5.6545486485876995E-4</v>
      </c>
      <c r="Q21" s="166">
        <v>2.9999506664325599E-5</v>
      </c>
    </row>
    <row r="22" spans="1:17">
      <c r="A22" s="3">
        <v>161</v>
      </c>
      <c r="B22" s="3">
        <v>9938</v>
      </c>
      <c r="C22" s="3" t="s">
        <v>321</v>
      </c>
      <c r="D22" s="3" t="s">
        <v>3124</v>
      </c>
      <c r="E22" s="5" t="s">
        <v>2330</v>
      </c>
      <c r="F22" s="3" t="s">
        <v>2828</v>
      </c>
      <c r="G22" s="3" t="s">
        <v>30</v>
      </c>
      <c r="H22" s="3" t="s">
        <v>156</v>
      </c>
      <c r="I22" s="3" t="s">
        <v>246</v>
      </c>
      <c r="J22" s="3" t="s">
        <v>169</v>
      </c>
      <c r="K22" s="3" t="s">
        <v>1245</v>
      </c>
      <c r="L22" s="155">
        <v>10.587999999999999</v>
      </c>
      <c r="M22" s="164">
        <v>3.8807</v>
      </c>
      <c r="N22" s="166">
        <v>0</v>
      </c>
      <c r="O22" s="155">
        <v>41.088000000000001</v>
      </c>
      <c r="P22" s="166">
        <v>9.2525685309665408E-3</v>
      </c>
      <c r="Q22" s="166">
        <v>4.9088354978816401E-4</v>
      </c>
    </row>
    <row r="23" spans="1:17">
      <c r="A23" s="3">
        <v>161</v>
      </c>
      <c r="B23" s="3">
        <v>9938</v>
      </c>
      <c r="C23" s="3" t="s">
        <v>321</v>
      </c>
      <c r="D23" s="3" t="s">
        <v>3124</v>
      </c>
      <c r="E23" s="5" t="s">
        <v>2330</v>
      </c>
      <c r="F23" s="3" t="s">
        <v>2828</v>
      </c>
      <c r="G23" s="3" t="s">
        <v>30</v>
      </c>
      <c r="H23" s="3" t="s">
        <v>156</v>
      </c>
      <c r="I23" s="3" t="s">
        <v>246</v>
      </c>
      <c r="J23" s="3" t="s">
        <v>169</v>
      </c>
      <c r="K23" s="3" t="s">
        <v>3126</v>
      </c>
      <c r="L23" s="155">
        <v>3.3130000000000002</v>
      </c>
      <c r="M23" s="164">
        <v>0.51990000000000003</v>
      </c>
      <c r="N23" s="166">
        <v>0</v>
      </c>
      <c r="O23" s="155">
        <v>1.722</v>
      </c>
      <c r="P23" s="166">
        <v>3.8787894777115401E-4</v>
      </c>
      <c r="Q23" s="166">
        <v>2.0578436585771701E-5</v>
      </c>
    </row>
    <row r="24" spans="1:17">
      <c r="A24" s="3">
        <v>161</v>
      </c>
      <c r="B24" s="3">
        <v>9938</v>
      </c>
      <c r="C24" s="3" t="s">
        <v>321</v>
      </c>
      <c r="D24" s="3" t="s">
        <v>3124</v>
      </c>
      <c r="E24" s="5" t="s">
        <v>2330</v>
      </c>
      <c r="F24" s="3" t="s">
        <v>2828</v>
      </c>
      <c r="G24" s="3" t="s">
        <v>30</v>
      </c>
      <c r="H24" s="3" t="s">
        <v>156</v>
      </c>
      <c r="I24" s="3" t="s">
        <v>246</v>
      </c>
      <c r="J24" s="3" t="s">
        <v>169</v>
      </c>
      <c r="K24" s="3" t="s">
        <v>1226</v>
      </c>
      <c r="L24" s="155">
        <v>22.327000000000002</v>
      </c>
      <c r="M24" s="164">
        <v>4.4409000000000001</v>
      </c>
      <c r="N24" s="166">
        <v>0</v>
      </c>
      <c r="O24" s="155">
        <v>99.150999999999996</v>
      </c>
      <c r="P24" s="166">
        <v>2.2327841889418699E-2</v>
      </c>
      <c r="Q24" s="166">
        <v>1.1845759638639301E-3</v>
      </c>
    </row>
    <row r="25" spans="1:17">
      <c r="A25" s="3">
        <v>161</v>
      </c>
      <c r="B25" s="3">
        <v>9938</v>
      </c>
      <c r="C25" s="3" t="s">
        <v>321</v>
      </c>
      <c r="D25" s="3" t="s">
        <v>3124</v>
      </c>
      <c r="E25" s="5" t="s">
        <v>2330</v>
      </c>
      <c r="F25" s="3" t="s">
        <v>2826</v>
      </c>
      <c r="G25" s="3" t="s">
        <v>30</v>
      </c>
      <c r="H25" s="3" t="s">
        <v>156</v>
      </c>
      <c r="I25" s="3" t="s">
        <v>246</v>
      </c>
      <c r="J25" s="3" t="s">
        <v>169</v>
      </c>
      <c r="K25" s="3" t="s">
        <v>34</v>
      </c>
      <c r="L25" s="155">
        <v>2428.94</v>
      </c>
      <c r="M25" s="164">
        <v>1</v>
      </c>
      <c r="N25" s="166">
        <v>3.7999999999999999E-2</v>
      </c>
      <c r="O25" s="155">
        <v>2428.94</v>
      </c>
      <c r="P25" s="166">
        <v>0.54697546423764298</v>
      </c>
      <c r="Q25" s="166">
        <v>2.9019104979701799E-2</v>
      </c>
    </row>
    <row r="26" spans="1:17">
      <c r="A26" s="3">
        <v>161</v>
      </c>
      <c r="B26" s="3">
        <v>9938</v>
      </c>
      <c r="C26" s="3" t="s">
        <v>321</v>
      </c>
      <c r="D26" s="3" t="s">
        <v>3124</v>
      </c>
      <c r="E26" s="5" t="s">
        <v>2330</v>
      </c>
      <c r="F26" s="3" t="s">
        <v>2828</v>
      </c>
      <c r="G26" s="3" t="s">
        <v>30</v>
      </c>
      <c r="H26" s="3" t="s">
        <v>156</v>
      </c>
      <c r="I26" s="3" t="s">
        <v>246</v>
      </c>
      <c r="J26" s="3" t="s">
        <v>169</v>
      </c>
      <c r="K26" s="3" t="s">
        <v>1234</v>
      </c>
      <c r="L26" s="155">
        <v>3.55</v>
      </c>
      <c r="M26" s="164">
        <v>4.1426999999999996</v>
      </c>
      <c r="N26" s="166">
        <v>0</v>
      </c>
      <c r="O26" s="155">
        <v>14.708</v>
      </c>
      <c r="P26" s="166">
        <v>3.3122010076814001E-3</v>
      </c>
      <c r="Q26" s="166">
        <v>1.7572471717674899E-4</v>
      </c>
    </row>
    <row r="27" spans="1:17">
      <c r="A27" s="3">
        <v>161</v>
      </c>
      <c r="B27" s="3">
        <v>9938</v>
      </c>
      <c r="C27" s="3" t="s">
        <v>321</v>
      </c>
      <c r="D27" s="3" t="s">
        <v>3124</v>
      </c>
      <c r="E27" s="5" t="s">
        <v>2330</v>
      </c>
      <c r="F27" s="3" t="s">
        <v>2826</v>
      </c>
      <c r="G27" s="3" t="s">
        <v>30</v>
      </c>
      <c r="H27" s="3" t="s">
        <v>156</v>
      </c>
      <c r="I27" s="3" t="s">
        <v>246</v>
      </c>
      <c r="J27" s="3" t="s">
        <v>169</v>
      </c>
      <c r="K27" s="3" t="s">
        <v>34</v>
      </c>
      <c r="L27" s="155">
        <v>0</v>
      </c>
      <c r="M27" s="164">
        <v>1</v>
      </c>
      <c r="N27" s="166">
        <v>0</v>
      </c>
      <c r="O27" s="155">
        <v>0</v>
      </c>
      <c r="P27" s="166">
        <v>4.5038199313234901E-12</v>
      </c>
      <c r="Q27" s="166">
        <v>2.3894458150679698E-13</v>
      </c>
    </row>
    <row r="28" spans="1:17">
      <c r="A28" s="3">
        <v>161</v>
      </c>
      <c r="B28" s="3">
        <v>9942</v>
      </c>
      <c r="C28" s="3" t="s">
        <v>321</v>
      </c>
      <c r="D28" s="3" t="s">
        <v>3124</v>
      </c>
      <c r="E28" s="5" t="s">
        <v>2330</v>
      </c>
      <c r="F28" s="3" t="s">
        <v>2826</v>
      </c>
      <c r="G28" s="3" t="s">
        <v>30</v>
      </c>
      <c r="H28" s="3" t="s">
        <v>156</v>
      </c>
      <c r="I28" s="3" t="s">
        <v>246</v>
      </c>
      <c r="J28" s="3" t="s">
        <v>169</v>
      </c>
      <c r="K28" s="3" t="s">
        <v>34</v>
      </c>
      <c r="L28" s="155">
        <v>0</v>
      </c>
      <c r="M28" s="164">
        <v>1</v>
      </c>
      <c r="N28" s="166">
        <v>3.7999999999999999E-2</v>
      </c>
      <c r="O28" s="155">
        <v>0</v>
      </c>
      <c r="P28" s="166">
        <v>-1.45756366349036E-8</v>
      </c>
      <c r="Q28" s="166">
        <v>-1.1132798182562201E-9</v>
      </c>
    </row>
    <row r="29" spans="1:17">
      <c r="A29" s="3">
        <v>161</v>
      </c>
      <c r="B29" s="3">
        <v>9942</v>
      </c>
      <c r="C29" s="3" t="s">
        <v>321</v>
      </c>
      <c r="D29" s="3" t="s">
        <v>3124</v>
      </c>
      <c r="E29" s="5" t="s">
        <v>2330</v>
      </c>
      <c r="F29" s="3" t="s">
        <v>2828</v>
      </c>
      <c r="G29" s="3" t="s">
        <v>30</v>
      </c>
      <c r="H29" s="3" t="s">
        <v>156</v>
      </c>
      <c r="I29" s="3" t="s">
        <v>246</v>
      </c>
      <c r="J29" s="3" t="s">
        <v>169</v>
      </c>
      <c r="K29" s="3" t="s">
        <v>86</v>
      </c>
      <c r="L29" s="155">
        <v>391.14100000000002</v>
      </c>
      <c r="M29" s="164">
        <v>3.306</v>
      </c>
      <c r="N29" s="166">
        <v>0</v>
      </c>
      <c r="O29" s="155">
        <v>1293.1130000000001</v>
      </c>
      <c r="P29" s="166">
        <v>0.17134500981233899</v>
      </c>
      <c r="Q29" s="166">
        <v>1.3087245940681501E-2</v>
      </c>
    </row>
    <row r="30" spans="1:17">
      <c r="A30" s="3">
        <v>161</v>
      </c>
      <c r="B30" s="3">
        <v>9942</v>
      </c>
      <c r="C30" s="3" t="s">
        <v>321</v>
      </c>
      <c r="D30" s="3" t="s">
        <v>3124</v>
      </c>
      <c r="E30" s="5" t="s">
        <v>2330</v>
      </c>
      <c r="F30" s="3" t="s">
        <v>2828</v>
      </c>
      <c r="G30" s="3" t="s">
        <v>30</v>
      </c>
      <c r="H30" s="3" t="s">
        <v>156</v>
      </c>
      <c r="I30" s="3" t="s">
        <v>246</v>
      </c>
      <c r="J30" s="3" t="s">
        <v>169</v>
      </c>
      <c r="K30" s="3" t="s">
        <v>1189</v>
      </c>
      <c r="L30" s="155">
        <v>8.35</v>
      </c>
      <c r="M30" s="164">
        <v>0.42420000000000002</v>
      </c>
      <c r="N30" s="166">
        <v>0</v>
      </c>
      <c r="O30" s="155">
        <v>3.5419999999999998</v>
      </c>
      <c r="P30" s="166">
        <v>4.6934477504902801E-4</v>
      </c>
      <c r="Q30" s="166">
        <v>3.5848318598643899E-5</v>
      </c>
    </row>
    <row r="31" spans="1:17">
      <c r="A31" s="3">
        <v>161</v>
      </c>
      <c r="B31" s="3">
        <v>9942</v>
      </c>
      <c r="C31" s="3" t="s">
        <v>321</v>
      </c>
      <c r="D31" s="3" t="s">
        <v>3124</v>
      </c>
      <c r="E31" s="5" t="s">
        <v>2330</v>
      </c>
      <c r="F31" s="3" t="s">
        <v>2828</v>
      </c>
      <c r="G31" s="3" t="s">
        <v>30</v>
      </c>
      <c r="H31" s="3" t="s">
        <v>156</v>
      </c>
      <c r="I31" s="3" t="s">
        <v>246</v>
      </c>
      <c r="J31" s="3" t="s">
        <v>169</v>
      </c>
      <c r="K31" s="3" t="s">
        <v>3125</v>
      </c>
      <c r="L31" s="155">
        <v>1.9330000000000001</v>
      </c>
      <c r="M31" s="164">
        <v>2.5581999999999998</v>
      </c>
      <c r="N31" s="166">
        <v>0</v>
      </c>
      <c r="O31" s="155">
        <v>4.9450000000000003</v>
      </c>
      <c r="P31" s="166">
        <v>6.5528526605594098E-4</v>
      </c>
      <c r="Q31" s="166">
        <v>5.0050360075099603E-5</v>
      </c>
    </row>
    <row r="32" spans="1:17">
      <c r="A32" s="3">
        <v>161</v>
      </c>
      <c r="B32" s="3">
        <v>9942</v>
      </c>
      <c r="C32" s="3" t="s">
        <v>321</v>
      </c>
      <c r="D32" s="3" t="s">
        <v>3124</v>
      </c>
      <c r="E32" s="5" t="s">
        <v>2330</v>
      </c>
      <c r="F32" s="3" t="s">
        <v>2828</v>
      </c>
      <c r="G32" s="3" t="s">
        <v>30</v>
      </c>
      <c r="H32" s="3" t="s">
        <v>156</v>
      </c>
      <c r="I32" s="3" t="s">
        <v>246</v>
      </c>
      <c r="J32" s="3" t="s">
        <v>169</v>
      </c>
      <c r="K32" s="3" t="s">
        <v>1245</v>
      </c>
      <c r="L32" s="155">
        <v>19.843</v>
      </c>
      <c r="M32" s="164">
        <v>3.8807</v>
      </c>
      <c r="N32" s="166">
        <v>0</v>
      </c>
      <c r="O32" s="155">
        <v>77.006</v>
      </c>
      <c r="P32" s="166">
        <v>1.0203757527534E-2</v>
      </c>
      <c r="Q32" s="166">
        <v>7.7935788400358501E-4</v>
      </c>
    </row>
    <row r="33" spans="1:17">
      <c r="A33" s="3">
        <v>161</v>
      </c>
      <c r="B33" s="3">
        <v>9942</v>
      </c>
      <c r="C33" s="3" t="s">
        <v>321</v>
      </c>
      <c r="D33" s="3" t="s">
        <v>3124</v>
      </c>
      <c r="E33" s="5" t="s">
        <v>2330</v>
      </c>
      <c r="F33" s="3" t="s">
        <v>2828</v>
      </c>
      <c r="G33" s="3" t="s">
        <v>30</v>
      </c>
      <c r="H33" s="3" t="s">
        <v>156</v>
      </c>
      <c r="I33" s="3" t="s">
        <v>246</v>
      </c>
      <c r="J33" s="3" t="s">
        <v>169</v>
      </c>
      <c r="K33" s="3" t="s">
        <v>3126</v>
      </c>
      <c r="L33" s="155">
        <v>6.91</v>
      </c>
      <c r="M33" s="164">
        <v>0.51990000000000003</v>
      </c>
      <c r="N33" s="166">
        <v>0</v>
      </c>
      <c r="O33" s="155">
        <v>3.593</v>
      </c>
      <c r="P33" s="166">
        <v>4.7605854596322798E-4</v>
      </c>
      <c r="Q33" s="166">
        <v>3.6361113054926897E-5</v>
      </c>
    </row>
    <row r="34" spans="1:17">
      <c r="A34" s="3">
        <v>161</v>
      </c>
      <c r="B34" s="3">
        <v>9942</v>
      </c>
      <c r="C34" s="3" t="s">
        <v>321</v>
      </c>
      <c r="D34" s="3" t="s">
        <v>3124</v>
      </c>
      <c r="E34" s="5" t="s">
        <v>2330</v>
      </c>
      <c r="F34" s="3" t="s">
        <v>2828</v>
      </c>
      <c r="G34" s="3" t="s">
        <v>30</v>
      </c>
      <c r="H34" s="3" t="s">
        <v>156</v>
      </c>
      <c r="I34" s="3" t="s">
        <v>246</v>
      </c>
      <c r="J34" s="3" t="s">
        <v>169</v>
      </c>
      <c r="K34" s="3" t="s">
        <v>1226</v>
      </c>
      <c r="L34" s="155">
        <v>42.89</v>
      </c>
      <c r="M34" s="164">
        <v>4.4409000000000001</v>
      </c>
      <c r="N34" s="166">
        <v>0</v>
      </c>
      <c r="O34" s="155">
        <v>190.46899999999999</v>
      </c>
      <c r="P34" s="166">
        <v>2.5238280422497001E-2</v>
      </c>
      <c r="Q34" s="166">
        <v>1.92768720472722E-3</v>
      </c>
    </row>
    <row r="35" spans="1:17">
      <c r="A35" s="3">
        <v>161</v>
      </c>
      <c r="B35" s="3">
        <v>9942</v>
      </c>
      <c r="C35" s="3" t="s">
        <v>321</v>
      </c>
      <c r="D35" s="3" t="s">
        <v>3124</v>
      </c>
      <c r="E35" s="5" t="s">
        <v>2330</v>
      </c>
      <c r="F35" s="3" t="s">
        <v>2826</v>
      </c>
      <c r="G35" s="3" t="s">
        <v>30</v>
      </c>
      <c r="H35" s="3" t="s">
        <v>156</v>
      </c>
      <c r="I35" s="3" t="s">
        <v>246</v>
      </c>
      <c r="J35" s="3" t="s">
        <v>169</v>
      </c>
      <c r="K35" s="3" t="s">
        <v>34</v>
      </c>
      <c r="L35" s="155">
        <v>5763.1570000000002</v>
      </c>
      <c r="M35" s="164">
        <v>1</v>
      </c>
      <c r="N35" s="166">
        <v>3.7999999999999999E-2</v>
      </c>
      <c r="O35" s="155">
        <v>5763.1570000000002</v>
      </c>
      <c r="P35" s="166">
        <v>0.76365169969186397</v>
      </c>
      <c r="Q35" s="166">
        <v>5.8327333943560301E-2</v>
      </c>
    </row>
    <row r="36" spans="1:17">
      <c r="A36" s="3">
        <v>161</v>
      </c>
      <c r="B36" s="3">
        <v>9942</v>
      </c>
      <c r="C36" s="3" t="s">
        <v>321</v>
      </c>
      <c r="D36" s="3" t="s">
        <v>3124</v>
      </c>
      <c r="E36" s="5" t="s">
        <v>2330</v>
      </c>
      <c r="F36" s="3" t="s">
        <v>2828</v>
      </c>
      <c r="G36" s="3" t="s">
        <v>30</v>
      </c>
      <c r="H36" s="3" t="s">
        <v>156</v>
      </c>
      <c r="I36" s="3" t="s">
        <v>246</v>
      </c>
      <c r="J36" s="3" t="s">
        <v>169</v>
      </c>
      <c r="K36" s="3" t="s">
        <v>1234</v>
      </c>
      <c r="L36" s="155">
        <v>50.936</v>
      </c>
      <c r="M36" s="164">
        <v>4.1426999999999996</v>
      </c>
      <c r="N36" s="166">
        <v>0</v>
      </c>
      <c r="O36" s="155">
        <v>211.01400000000001</v>
      </c>
      <c r="P36" s="166">
        <v>2.7960578534334899E-2</v>
      </c>
      <c r="Q36" s="166">
        <v>2.1356149696063801E-3</v>
      </c>
    </row>
    <row r="37" spans="1:17">
      <c r="A37" s="3">
        <v>161</v>
      </c>
      <c r="B37" s="3">
        <v>9943</v>
      </c>
      <c r="C37" s="3" t="s">
        <v>321</v>
      </c>
      <c r="D37" s="3" t="s">
        <v>3124</v>
      </c>
      <c r="E37" s="5" t="s">
        <v>2330</v>
      </c>
      <c r="F37" s="3" t="s">
        <v>2826</v>
      </c>
      <c r="G37" s="3" t="s">
        <v>30</v>
      </c>
      <c r="H37" s="3" t="s">
        <v>156</v>
      </c>
      <c r="I37" s="3" t="s">
        <v>246</v>
      </c>
      <c r="J37" s="3" t="s">
        <v>169</v>
      </c>
      <c r="K37" s="3" t="s">
        <v>34</v>
      </c>
      <c r="L37" s="155">
        <v>0</v>
      </c>
      <c r="M37" s="164">
        <v>1</v>
      </c>
      <c r="N37" s="166">
        <v>3.7999999999999999E-2</v>
      </c>
      <c r="O37" s="155">
        <v>0</v>
      </c>
      <c r="P37" s="166">
        <v>-3.3170346856820201E-10</v>
      </c>
      <c r="Q37" s="166">
        <v>-2.0561548814564098E-11</v>
      </c>
    </row>
    <row r="38" spans="1:17">
      <c r="A38" s="3">
        <v>161</v>
      </c>
      <c r="B38" s="3">
        <v>9943</v>
      </c>
      <c r="C38" s="3" t="s">
        <v>321</v>
      </c>
      <c r="D38" s="3" t="s">
        <v>3124</v>
      </c>
      <c r="E38" s="5" t="s">
        <v>2330</v>
      </c>
      <c r="F38" s="3" t="s">
        <v>2828</v>
      </c>
      <c r="G38" s="3" t="s">
        <v>30</v>
      </c>
      <c r="H38" s="3" t="s">
        <v>156</v>
      </c>
      <c r="I38" s="3" t="s">
        <v>246</v>
      </c>
      <c r="J38" s="3" t="s">
        <v>169</v>
      </c>
      <c r="K38" s="3" t="s">
        <v>86</v>
      </c>
      <c r="L38" s="155">
        <v>3461.39</v>
      </c>
      <c r="M38" s="164">
        <v>3.306</v>
      </c>
      <c r="N38" s="166">
        <v>0</v>
      </c>
      <c r="O38" s="155">
        <v>11443.353999999999</v>
      </c>
      <c r="P38" s="166">
        <v>9.4895006863059406E-2</v>
      </c>
      <c r="Q38" s="166">
        <v>5.8823271408511204E-3</v>
      </c>
    </row>
    <row r="39" spans="1:17">
      <c r="A39" s="3">
        <v>161</v>
      </c>
      <c r="B39" s="3">
        <v>9943</v>
      </c>
      <c r="C39" s="3" t="s">
        <v>321</v>
      </c>
      <c r="D39" s="3" t="s">
        <v>3124</v>
      </c>
      <c r="E39" s="5" t="s">
        <v>2330</v>
      </c>
      <c r="F39" s="3" t="s">
        <v>2828</v>
      </c>
      <c r="G39" s="3" t="s">
        <v>30</v>
      </c>
      <c r="H39" s="3" t="s">
        <v>156</v>
      </c>
      <c r="I39" s="3" t="s">
        <v>246</v>
      </c>
      <c r="J39" s="3" t="s">
        <v>169</v>
      </c>
      <c r="K39" s="3" t="s">
        <v>1189</v>
      </c>
      <c r="L39" s="155">
        <v>19.123000000000001</v>
      </c>
      <c r="M39" s="164">
        <v>0.42420000000000002</v>
      </c>
      <c r="N39" s="166">
        <v>0</v>
      </c>
      <c r="O39" s="155">
        <v>8.1120000000000001</v>
      </c>
      <c r="P39" s="166">
        <v>6.72679326472944E-5</v>
      </c>
      <c r="Q39" s="166">
        <v>4.1697872101019797E-6</v>
      </c>
    </row>
    <row r="40" spans="1:17">
      <c r="A40" s="3">
        <v>161</v>
      </c>
      <c r="B40" s="3">
        <v>9943</v>
      </c>
      <c r="C40" s="3" t="s">
        <v>321</v>
      </c>
      <c r="D40" s="3" t="s">
        <v>3124</v>
      </c>
      <c r="E40" s="5" t="s">
        <v>2330</v>
      </c>
      <c r="F40" s="3" t="s">
        <v>2828</v>
      </c>
      <c r="G40" s="3" t="s">
        <v>30</v>
      </c>
      <c r="H40" s="3" t="s">
        <v>156</v>
      </c>
      <c r="I40" s="3" t="s">
        <v>246</v>
      </c>
      <c r="J40" s="3" t="s">
        <v>169</v>
      </c>
      <c r="K40" s="3" t="s">
        <v>3125</v>
      </c>
      <c r="L40" s="155">
        <v>1.502</v>
      </c>
      <c r="M40" s="164">
        <v>2.5581999999999998</v>
      </c>
      <c r="N40" s="166">
        <v>0</v>
      </c>
      <c r="O40" s="155">
        <v>3.8420000000000001</v>
      </c>
      <c r="P40" s="166">
        <v>3.1863571189083597E-5</v>
      </c>
      <c r="Q40" s="166">
        <v>1.97515080936204E-6</v>
      </c>
    </row>
    <row r="41" spans="1:17">
      <c r="A41" s="3">
        <v>161</v>
      </c>
      <c r="B41" s="3">
        <v>9943</v>
      </c>
      <c r="C41" s="3" t="s">
        <v>321</v>
      </c>
      <c r="D41" s="3" t="s">
        <v>3124</v>
      </c>
      <c r="E41" s="5" t="s">
        <v>2330</v>
      </c>
      <c r="F41" s="3" t="s">
        <v>2828</v>
      </c>
      <c r="G41" s="3" t="s">
        <v>30</v>
      </c>
      <c r="H41" s="3" t="s">
        <v>156</v>
      </c>
      <c r="I41" s="3" t="s">
        <v>246</v>
      </c>
      <c r="J41" s="3" t="s">
        <v>169</v>
      </c>
      <c r="K41" s="3" t="s">
        <v>1245</v>
      </c>
      <c r="L41" s="155">
        <v>269.03500000000003</v>
      </c>
      <c r="M41" s="164">
        <v>3.8807</v>
      </c>
      <c r="N41" s="166">
        <v>0</v>
      </c>
      <c r="O41" s="155">
        <v>1044.0450000000001</v>
      </c>
      <c r="P41" s="166">
        <v>8.6578367338057596E-3</v>
      </c>
      <c r="Q41" s="166">
        <v>5.3667974410726005E-4</v>
      </c>
    </row>
    <row r="42" spans="1:17">
      <c r="A42" s="3">
        <v>161</v>
      </c>
      <c r="B42" s="3">
        <v>9943</v>
      </c>
      <c r="C42" s="3" t="s">
        <v>321</v>
      </c>
      <c r="D42" s="3" t="s">
        <v>3124</v>
      </c>
      <c r="E42" s="5" t="s">
        <v>2330</v>
      </c>
      <c r="F42" s="3" t="s">
        <v>2828</v>
      </c>
      <c r="G42" s="3" t="s">
        <v>30</v>
      </c>
      <c r="H42" s="3" t="s">
        <v>156</v>
      </c>
      <c r="I42" s="3" t="s">
        <v>246</v>
      </c>
      <c r="J42" s="3" t="s">
        <v>169</v>
      </c>
      <c r="K42" s="3" t="s">
        <v>3126</v>
      </c>
      <c r="L42" s="155">
        <v>0.26</v>
      </c>
      <c r="M42" s="164">
        <v>0.51990000000000003</v>
      </c>
      <c r="N42" s="166">
        <v>0</v>
      </c>
      <c r="O42" s="155">
        <v>0.13500000000000001</v>
      </c>
      <c r="P42" s="166">
        <v>1.1209421165059599E-6</v>
      </c>
      <c r="Q42" s="166">
        <v>6.9484669986497194E-8</v>
      </c>
    </row>
    <row r="43" spans="1:17">
      <c r="A43" s="3">
        <v>161</v>
      </c>
      <c r="B43" s="3">
        <v>9943</v>
      </c>
      <c r="C43" s="3" t="s">
        <v>321</v>
      </c>
      <c r="D43" s="3" t="s">
        <v>3124</v>
      </c>
      <c r="E43" s="5" t="s">
        <v>2330</v>
      </c>
      <c r="F43" s="3" t="s">
        <v>2828</v>
      </c>
      <c r="G43" s="3" t="s">
        <v>30</v>
      </c>
      <c r="H43" s="3" t="s">
        <v>156</v>
      </c>
      <c r="I43" s="3" t="s">
        <v>246</v>
      </c>
      <c r="J43" s="3" t="s">
        <v>169</v>
      </c>
      <c r="K43" s="3" t="s">
        <v>1226</v>
      </c>
      <c r="L43" s="155">
        <v>139.905</v>
      </c>
      <c r="M43" s="164">
        <v>4.4409000000000001</v>
      </c>
      <c r="N43" s="166">
        <v>0</v>
      </c>
      <c r="O43" s="155">
        <v>621.30399999999997</v>
      </c>
      <c r="P43" s="166">
        <v>5.1522182453836397E-3</v>
      </c>
      <c r="Q43" s="166">
        <v>3.19374371974532E-4</v>
      </c>
    </row>
    <row r="44" spans="1:17">
      <c r="A44" s="3">
        <v>161</v>
      </c>
      <c r="B44" s="3">
        <v>9943</v>
      </c>
      <c r="C44" s="3" t="s">
        <v>321</v>
      </c>
      <c r="D44" s="3" t="s">
        <v>3124</v>
      </c>
      <c r="E44" s="5" t="s">
        <v>2330</v>
      </c>
      <c r="F44" s="3" t="s">
        <v>2826</v>
      </c>
      <c r="G44" s="3" t="s">
        <v>30</v>
      </c>
      <c r="H44" s="3" t="s">
        <v>156</v>
      </c>
      <c r="I44" s="3" t="s">
        <v>246</v>
      </c>
      <c r="J44" s="3" t="s">
        <v>169</v>
      </c>
      <c r="K44" s="3" t="s">
        <v>34</v>
      </c>
      <c r="L44" s="155">
        <v>37172.061000000002</v>
      </c>
      <c r="M44" s="164">
        <v>1</v>
      </c>
      <c r="N44" s="166">
        <v>3.7999999999999999E-2</v>
      </c>
      <c r="O44" s="155">
        <v>37172.061000000002</v>
      </c>
      <c r="P44" s="166">
        <v>0.30825254300281002</v>
      </c>
      <c r="Q44" s="166">
        <v>1.9107878906194201E-2</v>
      </c>
    </row>
    <row r="45" spans="1:17">
      <c r="A45" s="3">
        <v>161</v>
      </c>
      <c r="B45" s="3">
        <v>9943</v>
      </c>
      <c r="C45" s="3" t="s">
        <v>321</v>
      </c>
      <c r="D45" s="3" t="s">
        <v>3124</v>
      </c>
      <c r="E45" s="5" t="s">
        <v>2330</v>
      </c>
      <c r="F45" s="3" t="s">
        <v>2828</v>
      </c>
      <c r="G45" s="3" t="s">
        <v>30</v>
      </c>
      <c r="H45" s="3" t="s">
        <v>156</v>
      </c>
      <c r="I45" s="3" t="s">
        <v>246</v>
      </c>
      <c r="J45" s="3" t="s">
        <v>169</v>
      </c>
      <c r="K45" s="3" t="s">
        <v>1234</v>
      </c>
      <c r="L45" s="155">
        <v>35.017000000000003</v>
      </c>
      <c r="M45" s="164">
        <v>4.1426999999999996</v>
      </c>
      <c r="N45" s="166">
        <v>0</v>
      </c>
      <c r="O45" s="155">
        <v>145.06299999999999</v>
      </c>
      <c r="P45" s="166">
        <v>1.20295076634686E-3</v>
      </c>
      <c r="Q45" s="166">
        <v>7.4568200961312798E-5</v>
      </c>
    </row>
    <row r="46" spans="1:17">
      <c r="A46" s="3">
        <v>161</v>
      </c>
      <c r="B46" s="3">
        <v>9943</v>
      </c>
      <c r="C46" s="3" t="s">
        <v>321</v>
      </c>
      <c r="D46" s="3" t="s">
        <v>3124</v>
      </c>
      <c r="E46" s="5" t="s">
        <v>2330</v>
      </c>
      <c r="F46" s="3" t="s">
        <v>2828</v>
      </c>
      <c r="G46" s="3" t="s">
        <v>30</v>
      </c>
      <c r="H46" s="3" t="s">
        <v>156</v>
      </c>
      <c r="I46" s="3" t="s">
        <v>246</v>
      </c>
      <c r="J46" s="3" t="s">
        <v>169</v>
      </c>
      <c r="K46" s="3" t="s">
        <v>86</v>
      </c>
      <c r="L46" s="155">
        <v>4108.53</v>
      </c>
      <c r="M46" s="164">
        <v>3.306</v>
      </c>
      <c r="N46" s="166">
        <v>0</v>
      </c>
      <c r="O46" s="155">
        <v>13582.799000000001</v>
      </c>
      <c r="P46" s="166">
        <v>0.11263653981563</v>
      </c>
      <c r="Q46" s="166">
        <v>6.9820846966707796E-3</v>
      </c>
    </row>
    <row r="47" spans="1:17">
      <c r="A47" s="3">
        <v>161</v>
      </c>
      <c r="B47" s="3">
        <v>9943</v>
      </c>
      <c r="C47" s="3" t="s">
        <v>321</v>
      </c>
      <c r="D47" s="3" t="s">
        <v>3124</v>
      </c>
      <c r="E47" s="5" t="s">
        <v>2330</v>
      </c>
      <c r="F47" s="3" t="s">
        <v>2828</v>
      </c>
      <c r="G47" s="3" t="s">
        <v>30</v>
      </c>
      <c r="H47" s="3" t="s">
        <v>156</v>
      </c>
      <c r="I47" s="3" t="s">
        <v>246</v>
      </c>
      <c r="J47" s="3" t="s">
        <v>169</v>
      </c>
      <c r="K47" s="3" t="s">
        <v>1189</v>
      </c>
      <c r="L47" s="155">
        <v>5.0359999999999996</v>
      </c>
      <c r="M47" s="164">
        <v>0.42420000000000002</v>
      </c>
      <c r="N47" s="166">
        <v>0</v>
      </c>
      <c r="O47" s="155">
        <v>2.1360000000000001</v>
      </c>
      <c r="P47" s="166">
        <v>1.7716269485644199E-5</v>
      </c>
      <c r="Q47" s="166">
        <v>1.0981915305662399E-6</v>
      </c>
    </row>
    <row r="48" spans="1:17">
      <c r="A48" s="3">
        <v>161</v>
      </c>
      <c r="B48" s="3">
        <v>9943</v>
      </c>
      <c r="C48" s="3" t="s">
        <v>321</v>
      </c>
      <c r="D48" s="3" t="s">
        <v>3124</v>
      </c>
      <c r="E48" s="5" t="s">
        <v>2330</v>
      </c>
      <c r="F48" s="3" t="s">
        <v>2828</v>
      </c>
      <c r="G48" s="3" t="s">
        <v>30</v>
      </c>
      <c r="H48" s="3" t="s">
        <v>156</v>
      </c>
      <c r="I48" s="3" t="s">
        <v>246</v>
      </c>
      <c r="J48" s="3" t="s">
        <v>169</v>
      </c>
      <c r="K48" s="3" t="s">
        <v>3125</v>
      </c>
      <c r="L48" s="155">
        <v>0.39700000000000002</v>
      </c>
      <c r="M48" s="164">
        <v>2.5581999999999998</v>
      </c>
      <c r="N48" s="166">
        <v>0</v>
      </c>
      <c r="O48" s="155">
        <v>1.016</v>
      </c>
      <c r="P48" s="166">
        <v>8.4215715650082705E-6</v>
      </c>
      <c r="Q48" s="166">
        <v>5.2203419993378395E-7</v>
      </c>
    </row>
    <row r="49" spans="1:17">
      <c r="A49" s="3">
        <v>161</v>
      </c>
      <c r="B49" s="3">
        <v>9943</v>
      </c>
      <c r="C49" s="3" t="s">
        <v>321</v>
      </c>
      <c r="D49" s="3" t="s">
        <v>3124</v>
      </c>
      <c r="E49" s="5" t="s">
        <v>2330</v>
      </c>
      <c r="F49" s="3" t="s">
        <v>2828</v>
      </c>
      <c r="G49" s="3" t="s">
        <v>30</v>
      </c>
      <c r="H49" s="3" t="s">
        <v>156</v>
      </c>
      <c r="I49" s="3" t="s">
        <v>246</v>
      </c>
      <c r="J49" s="3" t="s">
        <v>169</v>
      </c>
      <c r="K49" s="3" t="s">
        <v>1245</v>
      </c>
      <c r="L49" s="155">
        <v>29.361000000000001</v>
      </c>
      <c r="M49" s="164">
        <v>3.8807</v>
      </c>
      <c r="N49" s="166">
        <v>0</v>
      </c>
      <c r="O49" s="155">
        <v>113.94199999999999</v>
      </c>
      <c r="P49" s="166">
        <v>9.4486980516105597E-4</v>
      </c>
      <c r="Q49" s="166">
        <v>5.8570345091920802E-5</v>
      </c>
    </row>
    <row r="50" spans="1:17">
      <c r="A50" s="3">
        <v>161</v>
      </c>
      <c r="B50" s="3">
        <v>9943</v>
      </c>
      <c r="C50" s="3" t="s">
        <v>321</v>
      </c>
      <c r="D50" s="3" t="s">
        <v>3124</v>
      </c>
      <c r="E50" s="5" t="s">
        <v>2330</v>
      </c>
      <c r="F50" s="3" t="s">
        <v>2828</v>
      </c>
      <c r="G50" s="3" t="s">
        <v>30</v>
      </c>
      <c r="H50" s="3" t="s">
        <v>156</v>
      </c>
      <c r="I50" s="3" t="s">
        <v>246</v>
      </c>
      <c r="J50" s="3" t="s">
        <v>169</v>
      </c>
      <c r="K50" s="3" t="s">
        <v>3126</v>
      </c>
      <c r="L50" s="155">
        <v>0.57599999999999996</v>
      </c>
      <c r="M50" s="164">
        <v>0.51990000000000003</v>
      </c>
      <c r="N50" s="166">
        <v>0</v>
      </c>
      <c r="O50" s="155">
        <v>0.29899999999999999</v>
      </c>
      <c r="P50" s="166">
        <v>2.48267122226906E-6</v>
      </c>
      <c r="Q50" s="166">
        <v>1.53895181583555E-7</v>
      </c>
    </row>
    <row r="51" spans="1:17">
      <c r="A51" s="3">
        <v>161</v>
      </c>
      <c r="B51" s="3">
        <v>9943</v>
      </c>
      <c r="C51" s="3" t="s">
        <v>321</v>
      </c>
      <c r="D51" s="3" t="s">
        <v>3124</v>
      </c>
      <c r="E51" s="5" t="s">
        <v>2330</v>
      </c>
      <c r="F51" s="3" t="s">
        <v>2828</v>
      </c>
      <c r="G51" s="3" t="s">
        <v>30</v>
      </c>
      <c r="H51" s="3" t="s">
        <v>156</v>
      </c>
      <c r="I51" s="3" t="s">
        <v>246</v>
      </c>
      <c r="J51" s="3" t="s">
        <v>169</v>
      </c>
      <c r="K51" s="3" t="s">
        <v>1226</v>
      </c>
      <c r="L51" s="155">
        <v>0.47499999999999998</v>
      </c>
      <c r="M51" s="164">
        <v>4.4409000000000001</v>
      </c>
      <c r="N51" s="166">
        <v>0</v>
      </c>
      <c r="O51" s="155">
        <v>2.11</v>
      </c>
      <c r="P51" s="166">
        <v>1.7493346992045601E-5</v>
      </c>
      <c r="Q51" s="166">
        <v>1.08437306869191E-6</v>
      </c>
    </row>
    <row r="52" spans="1:17">
      <c r="A52" s="3">
        <v>161</v>
      </c>
      <c r="B52" s="3">
        <v>9943</v>
      </c>
      <c r="C52" s="3" t="s">
        <v>321</v>
      </c>
      <c r="D52" s="3" t="s">
        <v>3124</v>
      </c>
      <c r="E52" s="5" t="s">
        <v>2330</v>
      </c>
      <c r="F52" s="3" t="s">
        <v>2826</v>
      </c>
      <c r="G52" s="3" t="s">
        <v>30</v>
      </c>
      <c r="H52" s="3" t="s">
        <v>156</v>
      </c>
      <c r="I52" s="3" t="s">
        <v>246</v>
      </c>
      <c r="J52" s="3" t="s">
        <v>169</v>
      </c>
      <c r="K52" s="3" t="s">
        <v>34</v>
      </c>
      <c r="L52" s="155">
        <v>22098.881000000001</v>
      </c>
      <c r="M52" s="164">
        <v>1</v>
      </c>
      <c r="N52" s="166">
        <v>3.7999999999999999E-2</v>
      </c>
      <c r="O52" s="155">
        <v>22098.881000000001</v>
      </c>
      <c r="P52" s="166">
        <v>0.183256890047656</v>
      </c>
      <c r="Q52" s="166">
        <v>1.1359680700912899E-2</v>
      </c>
    </row>
    <row r="53" spans="1:17">
      <c r="A53" s="3">
        <v>161</v>
      </c>
      <c r="B53" s="3">
        <v>9943</v>
      </c>
      <c r="C53" s="3" t="s">
        <v>321</v>
      </c>
      <c r="D53" s="3" t="s">
        <v>3124</v>
      </c>
      <c r="E53" s="5" t="s">
        <v>2330</v>
      </c>
      <c r="F53" s="3" t="s">
        <v>2828</v>
      </c>
      <c r="G53" s="3" t="s">
        <v>30</v>
      </c>
      <c r="H53" s="3" t="s">
        <v>156</v>
      </c>
      <c r="I53" s="3" t="s">
        <v>246</v>
      </c>
      <c r="J53" s="3" t="s">
        <v>169</v>
      </c>
      <c r="K53" s="3" t="s">
        <v>1189</v>
      </c>
      <c r="L53" s="155">
        <v>0</v>
      </c>
      <c r="M53" s="164">
        <v>0.42420000000000002</v>
      </c>
      <c r="N53" s="166">
        <v>0</v>
      </c>
      <c r="O53" s="155">
        <v>0</v>
      </c>
      <c r="P53" s="166">
        <v>1.05531458524974E-10</v>
      </c>
      <c r="Q53" s="166">
        <v>6.5416567553535694E-12</v>
      </c>
    </row>
    <row r="54" spans="1:17">
      <c r="A54" s="3">
        <v>161</v>
      </c>
      <c r="B54" s="3">
        <v>9943</v>
      </c>
      <c r="C54" s="3" t="s">
        <v>321</v>
      </c>
      <c r="D54" s="3" t="s">
        <v>3124</v>
      </c>
      <c r="E54" s="5" t="s">
        <v>2330</v>
      </c>
      <c r="F54" s="3" t="s">
        <v>2828</v>
      </c>
      <c r="G54" s="3" t="s">
        <v>30</v>
      </c>
      <c r="H54" s="3" t="s">
        <v>156</v>
      </c>
      <c r="I54" s="3" t="s">
        <v>246</v>
      </c>
      <c r="J54" s="3" t="s">
        <v>169</v>
      </c>
      <c r="K54" s="3" t="s">
        <v>3126</v>
      </c>
      <c r="L54" s="155">
        <v>0</v>
      </c>
      <c r="M54" s="164">
        <v>0.51990000000000003</v>
      </c>
      <c r="N54" s="166">
        <v>0</v>
      </c>
      <c r="O54" s="155">
        <v>0</v>
      </c>
      <c r="P54" s="166">
        <v>8.6226316654304196E-11</v>
      </c>
      <c r="Q54" s="166">
        <v>5.3449746143459398E-12</v>
      </c>
    </row>
    <row r="55" spans="1:17">
      <c r="A55" s="3">
        <v>161</v>
      </c>
      <c r="B55" s="3">
        <v>9943</v>
      </c>
      <c r="C55" s="3" t="s">
        <v>321</v>
      </c>
      <c r="D55" s="3" t="s">
        <v>3124</v>
      </c>
      <c r="E55" s="5" t="s">
        <v>2330</v>
      </c>
      <c r="F55" s="3" t="s">
        <v>2828</v>
      </c>
      <c r="G55" s="3" t="s">
        <v>30</v>
      </c>
      <c r="H55" s="3" t="s">
        <v>156</v>
      </c>
      <c r="I55" s="3" t="s">
        <v>246</v>
      </c>
      <c r="J55" s="3" t="s">
        <v>169</v>
      </c>
      <c r="K55" s="3" t="s">
        <v>1226</v>
      </c>
      <c r="L55" s="155">
        <v>0</v>
      </c>
      <c r="M55" s="164">
        <v>4.4409000000000001</v>
      </c>
      <c r="N55" s="166">
        <v>0</v>
      </c>
      <c r="O55" s="155">
        <v>0</v>
      </c>
      <c r="P55" s="166">
        <v>7.3653096678226506E-10</v>
      </c>
      <c r="Q55" s="166">
        <v>4.5655891065298898E-11</v>
      </c>
    </row>
    <row r="56" spans="1:17">
      <c r="A56" s="3">
        <v>161</v>
      </c>
      <c r="B56" s="3">
        <v>9943</v>
      </c>
      <c r="C56" s="3" t="s">
        <v>321</v>
      </c>
      <c r="D56" s="3" t="s">
        <v>3124</v>
      </c>
      <c r="E56" s="5" t="s">
        <v>2330</v>
      </c>
      <c r="F56" s="3" t="s">
        <v>2826</v>
      </c>
      <c r="G56" s="3" t="s">
        <v>30</v>
      </c>
      <c r="H56" s="3" t="s">
        <v>156</v>
      </c>
      <c r="I56" s="3" t="s">
        <v>246</v>
      </c>
      <c r="J56" s="3" t="s">
        <v>169</v>
      </c>
      <c r="K56" s="3" t="s">
        <v>34</v>
      </c>
      <c r="L56" s="155">
        <v>3.6999999999999998E-2</v>
      </c>
      <c r="M56" s="164">
        <v>1</v>
      </c>
      <c r="N56" s="166">
        <v>3.7999999999999999E-2</v>
      </c>
      <c r="O56" s="155">
        <v>3.6999999999999998E-2</v>
      </c>
      <c r="P56" s="166">
        <v>3.08733003369854E-7</v>
      </c>
      <c r="Q56" s="166">
        <v>1.9137661559155499E-8</v>
      </c>
    </row>
    <row r="57" spans="1:17">
      <c r="A57" s="3">
        <v>161</v>
      </c>
      <c r="B57" s="3">
        <v>9943</v>
      </c>
      <c r="C57" s="3" t="s">
        <v>321</v>
      </c>
      <c r="D57" s="3" t="s">
        <v>3124</v>
      </c>
      <c r="E57" s="5" t="s">
        <v>2330</v>
      </c>
      <c r="F57" s="3" t="s">
        <v>2828</v>
      </c>
      <c r="G57" s="3" t="s">
        <v>30</v>
      </c>
      <c r="H57" s="3" t="s">
        <v>156</v>
      </c>
      <c r="I57" s="3" t="s">
        <v>246</v>
      </c>
      <c r="J57" s="3" t="s">
        <v>169</v>
      </c>
      <c r="K57" s="3" t="s">
        <v>1234</v>
      </c>
      <c r="L57" s="155">
        <v>0</v>
      </c>
      <c r="M57" s="164">
        <v>4.1426999999999996</v>
      </c>
      <c r="N57" s="166">
        <v>0</v>
      </c>
      <c r="O57" s="155">
        <v>0</v>
      </c>
      <c r="P57" s="166">
        <v>3.4353698980937299E-10</v>
      </c>
      <c r="Q57" s="166">
        <v>2.1295082068523698E-11</v>
      </c>
    </row>
    <row r="58" spans="1:17">
      <c r="A58" s="3">
        <v>161</v>
      </c>
      <c r="B58" s="3">
        <v>9943</v>
      </c>
      <c r="C58" s="3" t="s">
        <v>321</v>
      </c>
      <c r="D58" s="3" t="s">
        <v>3124</v>
      </c>
      <c r="E58" s="5" t="s">
        <v>2330</v>
      </c>
      <c r="F58" s="3" t="s">
        <v>2828</v>
      </c>
      <c r="G58" s="3" t="s">
        <v>30</v>
      </c>
      <c r="H58" s="3" t="s">
        <v>156</v>
      </c>
      <c r="I58" s="3" t="s">
        <v>246</v>
      </c>
      <c r="J58" s="3" t="s">
        <v>169</v>
      </c>
      <c r="K58" s="3" t="s">
        <v>86</v>
      </c>
      <c r="L58" s="155">
        <v>3777.223</v>
      </c>
      <c r="M58" s="164">
        <v>3.306</v>
      </c>
      <c r="N58" s="166">
        <v>0</v>
      </c>
      <c r="O58" s="155">
        <v>12487.498</v>
      </c>
      <c r="P58" s="166">
        <v>0.103553657389498</v>
      </c>
      <c r="Q58" s="166">
        <v>6.4190573301255802E-3</v>
      </c>
    </row>
    <row r="59" spans="1:17">
      <c r="A59" s="3">
        <v>161</v>
      </c>
      <c r="B59" s="3">
        <v>9943</v>
      </c>
      <c r="C59" s="3" t="s">
        <v>321</v>
      </c>
      <c r="D59" s="3" t="s">
        <v>3124</v>
      </c>
      <c r="E59" s="5" t="s">
        <v>2330</v>
      </c>
      <c r="F59" s="3" t="s">
        <v>2828</v>
      </c>
      <c r="G59" s="3" t="s">
        <v>30</v>
      </c>
      <c r="H59" s="3" t="s">
        <v>156</v>
      </c>
      <c r="I59" s="3" t="s">
        <v>246</v>
      </c>
      <c r="J59" s="3" t="s">
        <v>169</v>
      </c>
      <c r="K59" s="3" t="s">
        <v>1245</v>
      </c>
      <c r="L59" s="155">
        <v>1910.0630000000001</v>
      </c>
      <c r="M59" s="164">
        <v>3.8807</v>
      </c>
      <c r="N59" s="166">
        <v>0</v>
      </c>
      <c r="O59" s="155">
        <v>7412.3810000000003</v>
      </c>
      <c r="P59" s="166">
        <v>6.1467815893856803E-2</v>
      </c>
      <c r="Q59" s="166">
        <v>3.8102510729890299E-3</v>
      </c>
    </row>
    <row r="60" spans="1:17">
      <c r="A60" s="3">
        <v>161</v>
      </c>
      <c r="B60" s="3">
        <v>9943</v>
      </c>
      <c r="C60" s="3" t="s">
        <v>321</v>
      </c>
      <c r="D60" s="3" t="s">
        <v>3124</v>
      </c>
      <c r="E60" s="5" t="s">
        <v>2330</v>
      </c>
      <c r="F60" s="3" t="s">
        <v>2826</v>
      </c>
      <c r="G60" s="3" t="s">
        <v>30</v>
      </c>
      <c r="H60" s="3" t="s">
        <v>156</v>
      </c>
      <c r="I60" s="3" t="s">
        <v>246</v>
      </c>
      <c r="J60" s="3" t="s">
        <v>169</v>
      </c>
      <c r="K60" s="3" t="s">
        <v>34</v>
      </c>
      <c r="L60" s="155">
        <v>14450.617</v>
      </c>
      <c r="M60" s="164">
        <v>1</v>
      </c>
      <c r="N60" s="166">
        <v>3.7999999999999999E-2</v>
      </c>
      <c r="O60" s="155">
        <v>14450.617</v>
      </c>
      <c r="P60" s="166">
        <v>0.11983299545845</v>
      </c>
      <c r="Q60" s="166">
        <v>7.4281767276960101E-3</v>
      </c>
    </row>
    <row r="61" spans="1:17">
      <c r="A61" s="3">
        <v>161</v>
      </c>
      <c r="B61" s="3">
        <v>12468</v>
      </c>
      <c r="C61" s="3" t="s">
        <v>321</v>
      </c>
      <c r="D61" s="3" t="s">
        <v>3124</v>
      </c>
      <c r="E61" s="5" t="s">
        <v>2330</v>
      </c>
      <c r="F61" s="3" t="s">
        <v>2826</v>
      </c>
      <c r="G61" s="3" t="s">
        <v>30</v>
      </c>
      <c r="H61" s="3" t="s">
        <v>156</v>
      </c>
      <c r="I61" s="3" t="s">
        <v>246</v>
      </c>
      <c r="J61" s="3" t="s">
        <v>169</v>
      </c>
      <c r="K61" s="3" t="s">
        <v>34</v>
      </c>
      <c r="L61" s="155">
        <v>0</v>
      </c>
      <c r="M61" s="164">
        <v>1</v>
      </c>
      <c r="N61" s="166">
        <v>3.7999999999999999E-2</v>
      </c>
      <c r="O61" s="155">
        <v>0</v>
      </c>
      <c r="P61" s="166">
        <v>2.3159927608512999E-8</v>
      </c>
      <c r="Q61" s="166">
        <v>8.4095721594717904E-10</v>
      </c>
    </row>
    <row r="62" spans="1:17">
      <c r="A62" s="3">
        <v>161</v>
      </c>
      <c r="B62" s="3">
        <v>12468</v>
      </c>
      <c r="C62" s="3" t="s">
        <v>321</v>
      </c>
      <c r="D62" s="3" t="s">
        <v>3124</v>
      </c>
      <c r="E62" s="5" t="s">
        <v>2330</v>
      </c>
      <c r="F62" s="3" t="s">
        <v>2828</v>
      </c>
      <c r="G62" s="3" t="s">
        <v>30</v>
      </c>
      <c r="H62" s="3" t="s">
        <v>156</v>
      </c>
      <c r="I62" s="3" t="s">
        <v>246</v>
      </c>
      <c r="J62" s="3" t="s">
        <v>169</v>
      </c>
      <c r="K62" s="3" t="s">
        <v>86</v>
      </c>
      <c r="L62" s="155">
        <v>84.82</v>
      </c>
      <c r="M62" s="164">
        <v>3.306</v>
      </c>
      <c r="N62" s="166">
        <v>0</v>
      </c>
      <c r="O62" s="155">
        <v>280.41500000000002</v>
      </c>
      <c r="P62" s="166">
        <v>0.32471996006103299</v>
      </c>
      <c r="Q62" s="166">
        <v>1.17908655929922E-2</v>
      </c>
    </row>
    <row r="63" spans="1:17">
      <c r="A63" s="3">
        <v>161</v>
      </c>
      <c r="B63" s="3">
        <v>12468</v>
      </c>
      <c r="C63" s="3" t="s">
        <v>321</v>
      </c>
      <c r="D63" s="3" t="s">
        <v>3124</v>
      </c>
      <c r="E63" s="5" t="s">
        <v>2330</v>
      </c>
      <c r="F63" s="3" t="s">
        <v>2828</v>
      </c>
      <c r="G63" s="3" t="s">
        <v>30</v>
      </c>
      <c r="H63" s="3" t="s">
        <v>156</v>
      </c>
      <c r="I63" s="3" t="s">
        <v>246</v>
      </c>
      <c r="J63" s="3" t="s">
        <v>169</v>
      </c>
      <c r="K63" s="3" t="s">
        <v>1245</v>
      </c>
      <c r="L63" s="155">
        <v>6.9020000000000001</v>
      </c>
      <c r="M63" s="164">
        <v>3.8807</v>
      </c>
      <c r="N63" s="166">
        <v>0</v>
      </c>
      <c r="O63" s="155">
        <v>26.786000000000001</v>
      </c>
      <c r="P63" s="166">
        <v>3.1018212488635899E-2</v>
      </c>
      <c r="Q63" s="166">
        <v>1.12629840900336E-3</v>
      </c>
    </row>
    <row r="64" spans="1:17">
      <c r="A64" s="3">
        <v>161</v>
      </c>
      <c r="B64" s="3">
        <v>12468</v>
      </c>
      <c r="C64" s="3" t="s">
        <v>321</v>
      </c>
      <c r="D64" s="3" t="s">
        <v>3124</v>
      </c>
      <c r="E64" s="5" t="s">
        <v>2330</v>
      </c>
      <c r="F64" s="3" t="s">
        <v>2828</v>
      </c>
      <c r="G64" s="3" t="s">
        <v>30</v>
      </c>
      <c r="H64" s="3" t="s">
        <v>156</v>
      </c>
      <c r="I64" s="3" t="s">
        <v>246</v>
      </c>
      <c r="J64" s="3" t="s">
        <v>169</v>
      </c>
      <c r="K64" s="3" t="s">
        <v>1226</v>
      </c>
      <c r="L64" s="155">
        <v>3.3380000000000001</v>
      </c>
      <c r="M64" s="164">
        <v>4.4409000000000001</v>
      </c>
      <c r="N64" s="166">
        <v>0</v>
      </c>
      <c r="O64" s="155">
        <v>14.826000000000001</v>
      </c>
      <c r="P64" s="166">
        <v>1.7168133113784699E-2</v>
      </c>
      <c r="Q64" s="166">
        <v>6.2338992031529795E-4</v>
      </c>
    </row>
    <row r="65" spans="1:17">
      <c r="A65" s="3">
        <v>161</v>
      </c>
      <c r="B65" s="3">
        <v>12468</v>
      </c>
      <c r="C65" s="3" t="s">
        <v>321</v>
      </c>
      <c r="D65" s="3" t="s">
        <v>3124</v>
      </c>
      <c r="E65" s="5" t="s">
        <v>2330</v>
      </c>
      <c r="F65" s="3" t="s">
        <v>2826</v>
      </c>
      <c r="G65" s="3" t="s">
        <v>30</v>
      </c>
      <c r="H65" s="3" t="s">
        <v>156</v>
      </c>
      <c r="I65" s="3" t="s">
        <v>246</v>
      </c>
      <c r="J65" s="3" t="s">
        <v>169</v>
      </c>
      <c r="K65" s="3" t="s">
        <v>34</v>
      </c>
      <c r="L65" s="155">
        <v>538.19100000000003</v>
      </c>
      <c r="M65" s="164">
        <v>1</v>
      </c>
      <c r="N65" s="166">
        <v>3.7999999999999999E-2</v>
      </c>
      <c r="O65" s="155">
        <v>538.19100000000003</v>
      </c>
      <c r="P65" s="166">
        <v>0.62322326471755196</v>
      </c>
      <c r="Q65" s="166">
        <v>2.26297815118272E-2</v>
      </c>
    </row>
    <row r="66" spans="1:17">
      <c r="A66" s="3">
        <v>161</v>
      </c>
      <c r="B66" s="3">
        <v>12468</v>
      </c>
      <c r="C66" s="3" t="s">
        <v>321</v>
      </c>
      <c r="D66" s="3" t="s">
        <v>3124</v>
      </c>
      <c r="E66" s="5" t="s">
        <v>2330</v>
      </c>
      <c r="F66" s="3" t="s">
        <v>2828</v>
      </c>
      <c r="G66" s="3" t="s">
        <v>30</v>
      </c>
      <c r="H66" s="3" t="s">
        <v>156</v>
      </c>
      <c r="I66" s="3" t="s">
        <v>246</v>
      </c>
      <c r="J66" s="3" t="s">
        <v>169</v>
      </c>
      <c r="K66" s="3" t="s">
        <v>1234</v>
      </c>
      <c r="L66" s="155">
        <v>0.80700000000000005</v>
      </c>
      <c r="M66" s="164">
        <v>4.1426999999999996</v>
      </c>
      <c r="N66" s="166">
        <v>0</v>
      </c>
      <c r="O66" s="155">
        <v>3.3420000000000001</v>
      </c>
      <c r="P66" s="166">
        <v>3.8704064590667601E-3</v>
      </c>
      <c r="Q66" s="166">
        <v>1.40537841716067E-4</v>
      </c>
    </row>
    <row r="67" spans="1:17">
      <c r="A67" s="3">
        <v>161</v>
      </c>
      <c r="B67" s="3">
        <v>15391</v>
      </c>
      <c r="C67" s="3" t="s">
        <v>321</v>
      </c>
      <c r="D67" s="3" t="s">
        <v>3124</v>
      </c>
      <c r="E67" s="5" t="s">
        <v>2330</v>
      </c>
      <c r="F67" s="3" t="s">
        <v>2826</v>
      </c>
      <c r="G67" s="3" t="s">
        <v>30</v>
      </c>
      <c r="H67" s="3" t="s">
        <v>156</v>
      </c>
      <c r="I67" s="3" t="s">
        <v>246</v>
      </c>
      <c r="J67" s="3" t="s">
        <v>169</v>
      </c>
      <c r="K67" s="3" t="s">
        <v>34</v>
      </c>
      <c r="L67" s="155">
        <v>0</v>
      </c>
      <c r="M67" s="164">
        <v>1</v>
      </c>
      <c r="N67" s="166">
        <v>0</v>
      </c>
      <c r="O67" s="155">
        <v>0</v>
      </c>
      <c r="P67" s="166">
        <v>-3.3439923088176902E-6</v>
      </c>
      <c r="Q67" s="166">
        <v>-6.9877972419948704E-9</v>
      </c>
    </row>
    <row r="68" spans="1:17">
      <c r="A68" s="3">
        <v>161</v>
      </c>
      <c r="B68" s="3">
        <v>15391</v>
      </c>
      <c r="C68" s="3" t="s">
        <v>321</v>
      </c>
      <c r="D68" s="3" t="s">
        <v>3124</v>
      </c>
      <c r="E68" s="5" t="s">
        <v>2330</v>
      </c>
      <c r="F68" s="3" t="s">
        <v>2826</v>
      </c>
      <c r="G68" s="3" t="s">
        <v>30</v>
      </c>
      <c r="H68" s="3" t="s">
        <v>156</v>
      </c>
      <c r="I68" s="3" t="s">
        <v>246</v>
      </c>
      <c r="J68" s="3" t="s">
        <v>169</v>
      </c>
      <c r="K68" s="3" t="s">
        <v>34</v>
      </c>
      <c r="L68" s="155">
        <v>23.923999999999999</v>
      </c>
      <c r="M68" s="164">
        <v>1</v>
      </c>
      <c r="N68" s="166">
        <v>0</v>
      </c>
      <c r="O68" s="155">
        <v>23.923999999999999</v>
      </c>
      <c r="P68" s="166">
        <v>1.0000029259932699</v>
      </c>
      <c r="Q68" s="166">
        <v>2.0896632058083901E-3</v>
      </c>
    </row>
    <row r="69" spans="1:17">
      <c r="A69" s="3">
        <v>161</v>
      </c>
      <c r="B69" s="3">
        <v>15391</v>
      </c>
      <c r="C69" s="3" t="s">
        <v>321</v>
      </c>
      <c r="D69" s="3" t="s">
        <v>3124</v>
      </c>
      <c r="E69" s="5" t="s">
        <v>2330</v>
      </c>
      <c r="F69" s="3" t="s">
        <v>2826</v>
      </c>
      <c r="G69" s="3" t="s">
        <v>30</v>
      </c>
      <c r="H69" s="3" t="s">
        <v>156</v>
      </c>
      <c r="I69" s="3" t="s">
        <v>246</v>
      </c>
      <c r="J69" s="3" t="s">
        <v>169</v>
      </c>
      <c r="K69" s="3" t="s">
        <v>34</v>
      </c>
      <c r="L69" s="155">
        <v>0</v>
      </c>
      <c r="M69" s="164">
        <v>1</v>
      </c>
      <c r="N69" s="166">
        <v>0</v>
      </c>
      <c r="O69" s="155">
        <v>0</v>
      </c>
      <c r="P69" s="166">
        <v>4.1799903860221101E-7</v>
      </c>
      <c r="Q69" s="166">
        <v>8.7347465524935798E-10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92"/>
  <sheetViews>
    <sheetView rightToLeft="1" topLeftCell="M10" workbookViewId="0">
      <selection activeCell="A2" sqref="A2"/>
    </sheetView>
  </sheetViews>
  <sheetFormatPr defaultColWidth="0" defaultRowHeight="14.25"/>
  <cols>
    <col min="1" max="26" width="11.625" style="5" customWidth="1"/>
    <col min="27" max="30" width="11.625" style="5" hidden="1" customWidth="1"/>
    <col min="31" max="31" width="9" style="5" hidden="1" customWidth="1"/>
    <col min="32" max="16384" width="9" style="5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5" t="s">
        <v>14</v>
      </c>
      <c r="P1" s="165" t="s">
        <v>15</v>
      </c>
      <c r="Q1" s="22" t="s">
        <v>16</v>
      </c>
      <c r="R1" s="22" t="s">
        <v>17</v>
      </c>
      <c r="S1" s="163" t="s">
        <v>18</v>
      </c>
      <c r="T1" s="169" t="s">
        <v>19</v>
      </c>
      <c r="U1" s="22" t="s">
        <v>20</v>
      </c>
      <c r="V1" s="22" t="s">
        <v>21</v>
      </c>
      <c r="W1" s="22" t="s">
        <v>22</v>
      </c>
      <c r="X1" s="165" t="s">
        <v>23</v>
      </c>
      <c r="Y1" s="165" t="s">
        <v>24</v>
      </c>
      <c r="Z1" s="165" t="s">
        <v>25</v>
      </c>
    </row>
    <row r="2" spans="1:26">
      <c r="A2" s="21">
        <v>14076</v>
      </c>
      <c r="B2" s="21">
        <v>14077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5" t="s">
        <v>34</v>
      </c>
      <c r="M2" s="156">
        <v>6.1310000000000002</v>
      </c>
      <c r="N2" s="5" t="s">
        <v>35</v>
      </c>
      <c r="O2" s="167">
        <v>1E-3</v>
      </c>
      <c r="P2" s="167">
        <v>1.9009999999999999E-2</v>
      </c>
      <c r="R2" s="156">
        <v>587860</v>
      </c>
      <c r="S2" s="168">
        <v>1</v>
      </c>
      <c r="T2" s="170">
        <v>106.54</v>
      </c>
      <c r="U2" s="156">
        <v>626.30600000000004</v>
      </c>
      <c r="W2" s="21" t="s">
        <v>36</v>
      </c>
      <c r="X2" s="167">
        <v>1.7E-5</v>
      </c>
      <c r="Y2" s="167">
        <v>0.13563443490580501</v>
      </c>
      <c r="Z2" s="167">
        <v>2.9219898875547899E-2</v>
      </c>
    </row>
    <row r="3" spans="1:26">
      <c r="A3" s="21">
        <v>14076</v>
      </c>
      <c r="B3" s="21">
        <v>14077</v>
      </c>
      <c r="C3" s="21" t="s">
        <v>26</v>
      </c>
      <c r="D3" s="21" t="s">
        <v>37</v>
      </c>
      <c r="E3" s="21" t="s">
        <v>38</v>
      </c>
      <c r="F3" s="21" t="s">
        <v>29</v>
      </c>
      <c r="G3" s="21" t="s">
        <v>30</v>
      </c>
      <c r="H3" s="21" t="s">
        <v>30</v>
      </c>
      <c r="I3" s="21" t="s">
        <v>31</v>
      </c>
      <c r="J3" s="21" t="s">
        <v>32</v>
      </c>
      <c r="K3" s="21" t="s">
        <v>33</v>
      </c>
      <c r="L3" s="5" t="s">
        <v>34</v>
      </c>
      <c r="M3" s="156">
        <v>3.621</v>
      </c>
      <c r="N3" s="5" t="s">
        <v>39</v>
      </c>
      <c r="O3" s="167">
        <v>5.0000000000000001E-3</v>
      </c>
      <c r="P3" s="167">
        <v>1.9359999999999999E-2</v>
      </c>
      <c r="R3" s="156">
        <v>1299956</v>
      </c>
      <c r="S3" s="168">
        <v>1</v>
      </c>
      <c r="T3" s="170">
        <v>113</v>
      </c>
      <c r="U3" s="156">
        <v>1468.95</v>
      </c>
      <c r="W3" s="21" t="s">
        <v>36</v>
      </c>
      <c r="X3" s="167">
        <v>4.3999999999999999E-5</v>
      </c>
      <c r="Y3" s="167">
        <v>0.31811962065709098</v>
      </c>
      <c r="Z3" s="167">
        <v>6.8532914612600804E-2</v>
      </c>
    </row>
    <row r="4" spans="1:26">
      <c r="A4" s="21">
        <v>14076</v>
      </c>
      <c r="B4" s="21">
        <v>14077</v>
      </c>
      <c r="C4" s="21" t="s">
        <v>26</v>
      </c>
      <c r="D4" s="21" t="s">
        <v>40</v>
      </c>
      <c r="E4" s="21" t="s">
        <v>41</v>
      </c>
      <c r="F4" s="21" t="s">
        <v>29</v>
      </c>
      <c r="G4" s="21" t="s">
        <v>30</v>
      </c>
      <c r="H4" s="21" t="s">
        <v>30</v>
      </c>
      <c r="I4" s="21" t="s">
        <v>31</v>
      </c>
      <c r="J4" s="21" t="s">
        <v>32</v>
      </c>
      <c r="K4" s="21" t="s">
        <v>33</v>
      </c>
      <c r="L4" s="5" t="s">
        <v>34</v>
      </c>
      <c r="M4" s="156">
        <v>0.81599999999999995</v>
      </c>
      <c r="N4" s="5" t="s">
        <v>42</v>
      </c>
      <c r="O4" s="167">
        <v>1E-3</v>
      </c>
      <c r="P4" s="167">
        <v>2.7019999999999999E-2</v>
      </c>
      <c r="R4" s="156">
        <v>359560</v>
      </c>
      <c r="S4" s="168">
        <v>1</v>
      </c>
      <c r="T4" s="170">
        <v>116.31</v>
      </c>
      <c r="U4" s="156">
        <v>418.20400000000001</v>
      </c>
      <c r="W4" s="21" t="s">
        <v>36</v>
      </c>
      <c r="X4" s="167">
        <v>1.8E-5</v>
      </c>
      <c r="Y4" s="167">
        <v>9.0567376394460802E-2</v>
      </c>
      <c r="Z4" s="167">
        <v>1.9511045122926798E-2</v>
      </c>
    </row>
    <row r="5" spans="1:26">
      <c r="A5" s="21">
        <v>14076</v>
      </c>
      <c r="B5" s="21">
        <v>14077</v>
      </c>
      <c r="C5" s="21" t="s">
        <v>43</v>
      </c>
      <c r="D5" s="21" t="s">
        <v>44</v>
      </c>
      <c r="E5" s="21" t="s">
        <v>45</v>
      </c>
      <c r="F5" s="21" t="s">
        <v>46</v>
      </c>
      <c r="G5" s="21" t="s">
        <v>30</v>
      </c>
      <c r="H5" s="21" t="s">
        <v>30</v>
      </c>
      <c r="I5" s="21" t="s">
        <v>31</v>
      </c>
      <c r="J5" s="21" t="s">
        <v>32</v>
      </c>
      <c r="K5" s="21" t="s">
        <v>33</v>
      </c>
      <c r="L5" s="5" t="s">
        <v>34</v>
      </c>
      <c r="M5" s="156">
        <v>6.2750000000000004</v>
      </c>
      <c r="N5" s="5" t="s">
        <v>47</v>
      </c>
      <c r="O5" s="167">
        <v>1.2999999999999999E-2</v>
      </c>
      <c r="P5" s="167">
        <v>4.027E-2</v>
      </c>
      <c r="R5" s="156">
        <v>2472844</v>
      </c>
      <c r="S5" s="168">
        <v>1</v>
      </c>
      <c r="T5" s="170">
        <v>85.09</v>
      </c>
      <c r="U5" s="156">
        <v>2104.143</v>
      </c>
      <c r="W5" s="21" t="s">
        <v>36</v>
      </c>
      <c r="X5" s="167">
        <v>6.7999999999999999E-5</v>
      </c>
      <c r="Y5" s="167">
        <v>0.45567856804264401</v>
      </c>
      <c r="Z5" s="167">
        <v>9.8167413660162697E-2</v>
      </c>
    </row>
    <row r="6" spans="1:26">
      <c r="A6" s="21">
        <v>14076</v>
      </c>
      <c r="B6" s="21">
        <v>14078</v>
      </c>
      <c r="C6" s="21" t="s">
        <v>43</v>
      </c>
      <c r="D6" s="21" t="s">
        <v>48</v>
      </c>
      <c r="E6" s="21" t="s">
        <v>49</v>
      </c>
      <c r="F6" s="21" t="s">
        <v>46</v>
      </c>
      <c r="G6" s="21" t="s">
        <v>30</v>
      </c>
      <c r="H6" s="21" t="s">
        <v>30</v>
      </c>
      <c r="I6" s="21" t="s">
        <v>31</v>
      </c>
      <c r="J6" s="21" t="s">
        <v>32</v>
      </c>
      <c r="K6" s="21" t="s">
        <v>33</v>
      </c>
      <c r="L6" s="5" t="s">
        <v>34</v>
      </c>
      <c r="M6" s="156">
        <v>2.9140000000000001</v>
      </c>
      <c r="N6" s="5" t="s">
        <v>50</v>
      </c>
      <c r="O6" s="167">
        <v>2.2499999999999999E-2</v>
      </c>
      <c r="P6" s="167">
        <v>3.9399999999999998E-2</v>
      </c>
      <c r="R6" s="156">
        <v>93445</v>
      </c>
      <c r="S6" s="168">
        <v>1</v>
      </c>
      <c r="T6" s="170">
        <v>95.37</v>
      </c>
      <c r="U6" s="156">
        <v>89.117999999999995</v>
      </c>
      <c r="W6" s="21" t="s">
        <v>36</v>
      </c>
      <c r="X6" s="167">
        <v>3.0000000000000001E-6</v>
      </c>
      <c r="Y6" s="167">
        <v>0.13015712885380301</v>
      </c>
      <c r="Z6" s="167">
        <v>3.8112944297490001E-2</v>
      </c>
    </row>
    <row r="7" spans="1:26">
      <c r="A7" s="21">
        <v>14076</v>
      </c>
      <c r="B7" s="21">
        <v>14078</v>
      </c>
      <c r="C7" s="21" t="s">
        <v>26</v>
      </c>
      <c r="D7" s="21" t="s">
        <v>37</v>
      </c>
      <c r="E7" s="21" t="s">
        <v>38</v>
      </c>
      <c r="F7" s="21" t="s">
        <v>29</v>
      </c>
      <c r="G7" s="21" t="s">
        <v>30</v>
      </c>
      <c r="H7" s="21" t="s">
        <v>30</v>
      </c>
      <c r="I7" s="21" t="s">
        <v>31</v>
      </c>
      <c r="J7" s="21" t="s">
        <v>32</v>
      </c>
      <c r="K7" s="21" t="s">
        <v>33</v>
      </c>
      <c r="L7" s="5" t="s">
        <v>34</v>
      </c>
      <c r="M7" s="156">
        <v>3.621</v>
      </c>
      <c r="N7" s="5" t="s">
        <v>39</v>
      </c>
      <c r="O7" s="167">
        <v>5.0000000000000001E-3</v>
      </c>
      <c r="P7" s="167">
        <v>1.9359999999999999E-2</v>
      </c>
      <c r="R7" s="156">
        <v>142124</v>
      </c>
      <c r="S7" s="168">
        <v>1</v>
      </c>
      <c r="T7" s="170">
        <v>113</v>
      </c>
      <c r="U7" s="156">
        <v>160.6</v>
      </c>
      <c r="W7" s="21" t="s">
        <v>36</v>
      </c>
      <c r="X7" s="167">
        <v>5.0000000000000004E-6</v>
      </c>
      <c r="Y7" s="167">
        <v>0.23455569083547301</v>
      </c>
      <c r="Z7" s="167">
        <v>6.8683198978005705E-2</v>
      </c>
    </row>
    <row r="8" spans="1:26">
      <c r="A8" s="21">
        <v>14076</v>
      </c>
      <c r="B8" s="21">
        <v>14078</v>
      </c>
      <c r="C8" s="21" t="s">
        <v>26</v>
      </c>
      <c r="D8" s="21" t="s">
        <v>40</v>
      </c>
      <c r="E8" s="21" t="s">
        <v>41</v>
      </c>
      <c r="F8" s="21" t="s">
        <v>29</v>
      </c>
      <c r="G8" s="21" t="s">
        <v>30</v>
      </c>
      <c r="H8" s="21" t="s">
        <v>30</v>
      </c>
      <c r="I8" s="21" t="s">
        <v>31</v>
      </c>
      <c r="J8" s="21" t="s">
        <v>32</v>
      </c>
      <c r="K8" s="21" t="s">
        <v>33</v>
      </c>
      <c r="L8" s="5" t="s">
        <v>34</v>
      </c>
      <c r="M8" s="156">
        <v>0.81599999999999995</v>
      </c>
      <c r="N8" s="5" t="s">
        <v>42</v>
      </c>
      <c r="O8" s="167">
        <v>1E-3</v>
      </c>
      <c r="P8" s="167">
        <v>2.7019999999999999E-2</v>
      </c>
      <c r="R8" s="156">
        <v>117906</v>
      </c>
      <c r="S8" s="168">
        <v>1</v>
      </c>
      <c r="T8" s="170">
        <v>116.31</v>
      </c>
      <c r="U8" s="156">
        <v>137.136</v>
      </c>
      <c r="W8" s="21" t="s">
        <v>36</v>
      </c>
      <c r="X8" s="167">
        <v>6.0000000000000002E-6</v>
      </c>
      <c r="Y8" s="167">
        <v>0.20028714257006899</v>
      </c>
      <c r="Z8" s="167">
        <v>5.8648594783084998E-2</v>
      </c>
    </row>
    <row r="9" spans="1:26">
      <c r="A9" s="21">
        <v>14076</v>
      </c>
      <c r="B9" s="21">
        <v>14078</v>
      </c>
      <c r="C9" s="21" t="s">
        <v>26</v>
      </c>
      <c r="D9" s="21" t="s">
        <v>51</v>
      </c>
      <c r="E9" s="21" t="s">
        <v>52</v>
      </c>
      <c r="F9" s="21" t="s">
        <v>29</v>
      </c>
      <c r="G9" s="21" t="s">
        <v>30</v>
      </c>
      <c r="H9" s="21" t="s">
        <v>30</v>
      </c>
      <c r="I9" s="21" t="s">
        <v>31</v>
      </c>
      <c r="J9" s="21" t="s">
        <v>32</v>
      </c>
      <c r="K9" s="21" t="s">
        <v>33</v>
      </c>
      <c r="L9" s="5" t="s">
        <v>34</v>
      </c>
      <c r="M9" s="156">
        <v>3.0049999999999999</v>
      </c>
      <c r="N9" s="5" t="s">
        <v>53</v>
      </c>
      <c r="O9" s="167">
        <v>1.0999999999999999E-2</v>
      </c>
      <c r="P9" s="167">
        <v>1.9990000000000001E-2</v>
      </c>
      <c r="R9" s="156">
        <v>108396</v>
      </c>
      <c r="S9" s="168">
        <v>1</v>
      </c>
      <c r="T9" s="170">
        <v>105.65</v>
      </c>
      <c r="U9" s="156">
        <v>114.52</v>
      </c>
      <c r="W9" s="21" t="s">
        <v>36</v>
      </c>
      <c r="X9" s="167">
        <v>3.0000000000000001E-6</v>
      </c>
      <c r="Y9" s="167">
        <v>0.167256446871315</v>
      </c>
      <c r="Z9" s="167">
        <v>4.8976461751570499E-2</v>
      </c>
    </row>
    <row r="10" spans="1:26">
      <c r="A10" s="21">
        <v>14076</v>
      </c>
      <c r="B10" s="21">
        <v>14078</v>
      </c>
      <c r="C10" s="21" t="s">
        <v>43</v>
      </c>
      <c r="D10" s="21" t="s">
        <v>44</v>
      </c>
      <c r="E10" s="21" t="s">
        <v>45</v>
      </c>
      <c r="F10" s="21" t="s">
        <v>46</v>
      </c>
      <c r="G10" s="21" t="s">
        <v>30</v>
      </c>
      <c r="H10" s="21" t="s">
        <v>30</v>
      </c>
      <c r="I10" s="21" t="s">
        <v>31</v>
      </c>
      <c r="J10" s="21" t="s">
        <v>32</v>
      </c>
      <c r="K10" s="21" t="s">
        <v>33</v>
      </c>
      <c r="L10" s="5" t="s">
        <v>34</v>
      </c>
      <c r="M10" s="156">
        <v>6.2750000000000004</v>
      </c>
      <c r="N10" s="5" t="s">
        <v>47</v>
      </c>
      <c r="O10" s="167">
        <v>1.2999999999999999E-2</v>
      </c>
      <c r="P10" s="167">
        <v>4.027E-2</v>
      </c>
      <c r="R10" s="156">
        <v>215447</v>
      </c>
      <c r="S10" s="168">
        <v>1</v>
      </c>
      <c r="T10" s="170">
        <v>85.09</v>
      </c>
      <c r="U10" s="156">
        <v>183.32400000000001</v>
      </c>
      <c r="W10" s="21" t="s">
        <v>36</v>
      </c>
      <c r="X10" s="167">
        <v>6.0000000000000002E-6</v>
      </c>
      <c r="Y10" s="167">
        <v>0.26774359086933902</v>
      </c>
      <c r="Z10" s="167">
        <v>7.8401364986124697E-2</v>
      </c>
    </row>
    <row r="11" spans="1:26">
      <c r="A11" s="21">
        <v>161</v>
      </c>
      <c r="B11" s="21">
        <v>1434</v>
      </c>
      <c r="C11" s="21" t="s">
        <v>54</v>
      </c>
      <c r="D11" s="21" t="s">
        <v>55</v>
      </c>
      <c r="E11" s="21" t="s">
        <v>56</v>
      </c>
      <c r="F11" s="21" t="s">
        <v>57</v>
      </c>
      <c r="G11" s="21" t="s">
        <v>30</v>
      </c>
      <c r="H11" s="21" t="s">
        <v>30</v>
      </c>
      <c r="I11" s="21" t="s">
        <v>31</v>
      </c>
      <c r="J11" s="21" t="s">
        <v>32</v>
      </c>
      <c r="K11" s="21" t="s">
        <v>33</v>
      </c>
      <c r="L11" s="5" t="s">
        <v>34</v>
      </c>
      <c r="M11" s="156">
        <v>0.159</v>
      </c>
      <c r="N11" s="5" t="s">
        <v>58</v>
      </c>
      <c r="O11" s="167">
        <v>0</v>
      </c>
      <c r="P11" s="167">
        <v>4.4540000000000003E-2</v>
      </c>
      <c r="R11" s="156">
        <v>360000</v>
      </c>
      <c r="S11" s="168">
        <v>1</v>
      </c>
      <c r="T11" s="170">
        <v>99.31</v>
      </c>
      <c r="U11" s="156">
        <v>357.51600000000002</v>
      </c>
      <c r="W11" s="21" t="s">
        <v>36</v>
      </c>
      <c r="X11" s="167">
        <v>1.2E-5</v>
      </c>
      <c r="Y11" s="167">
        <v>2.7636585134422902E-2</v>
      </c>
      <c r="Z11" s="167">
        <v>1.56018388412998E-2</v>
      </c>
    </row>
    <row r="12" spans="1:26">
      <c r="A12" s="21">
        <v>161</v>
      </c>
      <c r="B12" s="21">
        <v>1434</v>
      </c>
      <c r="C12" s="21" t="s">
        <v>54</v>
      </c>
      <c r="D12" s="21" t="s">
        <v>59</v>
      </c>
      <c r="E12" s="21" t="s">
        <v>60</v>
      </c>
      <c r="F12" s="21" t="s">
        <v>57</v>
      </c>
      <c r="G12" s="21" t="s">
        <v>30</v>
      </c>
      <c r="H12" s="21" t="s">
        <v>30</v>
      </c>
      <c r="I12" s="21" t="s">
        <v>31</v>
      </c>
      <c r="J12" s="21" t="s">
        <v>32</v>
      </c>
      <c r="K12" s="21" t="s">
        <v>33</v>
      </c>
      <c r="L12" s="5" t="s">
        <v>34</v>
      </c>
      <c r="M12" s="156">
        <v>8.2000000000000003E-2</v>
      </c>
      <c r="N12" s="5" t="s">
        <v>61</v>
      </c>
      <c r="O12" s="167">
        <v>0</v>
      </c>
      <c r="P12" s="167">
        <v>4.7410000000000001E-2</v>
      </c>
      <c r="R12" s="156">
        <v>750000</v>
      </c>
      <c r="S12" s="168">
        <v>1</v>
      </c>
      <c r="T12" s="170">
        <v>99.62</v>
      </c>
      <c r="U12" s="156">
        <v>747.15</v>
      </c>
      <c r="W12" s="21" t="s">
        <v>36</v>
      </c>
      <c r="X12" s="167">
        <v>2.6999999999999999E-5</v>
      </c>
      <c r="Y12" s="167">
        <v>5.77559454211393E-2</v>
      </c>
      <c r="Z12" s="167">
        <v>3.2605292882772002E-2</v>
      </c>
    </row>
    <row r="13" spans="1:26">
      <c r="A13" s="21">
        <v>161</v>
      </c>
      <c r="B13" s="21">
        <v>1434</v>
      </c>
      <c r="C13" s="21" t="s">
        <v>26</v>
      </c>
      <c r="D13" s="21" t="s">
        <v>27</v>
      </c>
      <c r="E13" s="21" t="s">
        <v>28</v>
      </c>
      <c r="F13" s="21" t="s">
        <v>29</v>
      </c>
      <c r="G13" s="21" t="s">
        <v>30</v>
      </c>
      <c r="H13" s="21" t="s">
        <v>30</v>
      </c>
      <c r="I13" s="21" t="s">
        <v>31</v>
      </c>
      <c r="J13" s="21" t="s">
        <v>32</v>
      </c>
      <c r="K13" s="21" t="s">
        <v>33</v>
      </c>
      <c r="L13" s="5" t="s">
        <v>34</v>
      </c>
      <c r="M13" s="156">
        <v>6.1310000000000002</v>
      </c>
      <c r="N13" s="5" t="s">
        <v>35</v>
      </c>
      <c r="O13" s="167">
        <v>1E-3</v>
      </c>
      <c r="P13" s="167">
        <v>1.9009999999999999E-2</v>
      </c>
      <c r="R13" s="156">
        <v>1170000</v>
      </c>
      <c r="S13" s="168">
        <v>1</v>
      </c>
      <c r="T13" s="170">
        <v>106.54</v>
      </c>
      <c r="U13" s="156">
        <v>1246.518</v>
      </c>
      <c r="W13" s="21" t="s">
        <v>36</v>
      </c>
      <c r="X13" s="167">
        <v>3.4E-5</v>
      </c>
      <c r="Y13" s="167">
        <v>9.6357927557341599E-2</v>
      </c>
      <c r="Z13" s="167">
        <v>5.4397489759281499E-2</v>
      </c>
    </row>
    <row r="14" spans="1:26">
      <c r="A14" s="21">
        <v>161</v>
      </c>
      <c r="B14" s="21">
        <v>1434</v>
      </c>
      <c r="C14" s="21" t="s">
        <v>43</v>
      </c>
      <c r="D14" s="21" t="s">
        <v>62</v>
      </c>
      <c r="E14" s="21" t="s">
        <v>63</v>
      </c>
      <c r="F14" s="21" t="s">
        <v>46</v>
      </c>
      <c r="G14" s="21" t="s">
        <v>30</v>
      </c>
      <c r="H14" s="21" t="s">
        <v>30</v>
      </c>
      <c r="I14" s="21" t="s">
        <v>31</v>
      </c>
      <c r="J14" s="21" t="s">
        <v>32</v>
      </c>
      <c r="K14" s="21" t="s">
        <v>33</v>
      </c>
      <c r="L14" s="5" t="s">
        <v>34</v>
      </c>
      <c r="M14" s="156">
        <v>7.9119999999999999</v>
      </c>
      <c r="N14" s="5" t="s">
        <v>64</v>
      </c>
      <c r="O14" s="167">
        <v>0.04</v>
      </c>
      <c r="P14" s="167">
        <v>4.104E-2</v>
      </c>
      <c r="R14" s="156">
        <v>2126000</v>
      </c>
      <c r="S14" s="168">
        <v>1</v>
      </c>
      <c r="T14" s="170">
        <v>101.25</v>
      </c>
      <c r="U14" s="156">
        <v>2152.5749999999998</v>
      </c>
      <c r="W14" s="21" t="s">
        <v>36</v>
      </c>
      <c r="X14" s="167">
        <v>6.0000000000000002E-5</v>
      </c>
      <c r="Y14" s="167">
        <v>0.16639765002330001</v>
      </c>
      <c r="Z14" s="167">
        <v>9.3937413273282394E-2</v>
      </c>
    </row>
    <row r="15" spans="1:26">
      <c r="A15" s="21">
        <v>161</v>
      </c>
      <c r="B15" s="21">
        <v>1434</v>
      </c>
      <c r="C15" s="21" t="s">
        <v>26</v>
      </c>
      <c r="D15" s="21" t="s">
        <v>65</v>
      </c>
      <c r="E15" s="21" t="s">
        <v>66</v>
      </c>
      <c r="F15" s="21" t="s">
        <v>29</v>
      </c>
      <c r="G15" s="21" t="s">
        <v>30</v>
      </c>
      <c r="H15" s="21" t="s">
        <v>30</v>
      </c>
      <c r="I15" s="21" t="s">
        <v>31</v>
      </c>
      <c r="J15" s="21" t="s">
        <v>32</v>
      </c>
      <c r="K15" s="21" t="s">
        <v>33</v>
      </c>
      <c r="L15" s="5" t="s">
        <v>34</v>
      </c>
      <c r="M15" s="156">
        <v>13.218999999999999</v>
      </c>
      <c r="N15" s="5" t="s">
        <v>67</v>
      </c>
      <c r="O15" s="167">
        <v>2.75E-2</v>
      </c>
      <c r="P15" s="167">
        <v>2.019E-2</v>
      </c>
      <c r="R15" s="156">
        <v>121000</v>
      </c>
      <c r="S15" s="168">
        <v>1</v>
      </c>
      <c r="T15" s="170">
        <v>139.93</v>
      </c>
      <c r="U15" s="156">
        <v>169.315</v>
      </c>
      <c r="W15" s="21" t="s">
        <v>36</v>
      </c>
      <c r="X15" s="167">
        <v>6.0000000000000002E-6</v>
      </c>
      <c r="Y15" s="167">
        <v>1.3088356054023699E-2</v>
      </c>
      <c r="Z15" s="167">
        <v>7.3888442026827398E-3</v>
      </c>
    </row>
    <row r="16" spans="1:26">
      <c r="A16" s="21">
        <v>161</v>
      </c>
      <c r="B16" s="21">
        <v>1434</v>
      </c>
      <c r="C16" s="21" t="s">
        <v>43</v>
      </c>
      <c r="D16" s="21" t="s">
        <v>68</v>
      </c>
      <c r="E16" s="21" t="s">
        <v>69</v>
      </c>
      <c r="F16" s="21" t="s">
        <v>46</v>
      </c>
      <c r="G16" s="21" t="s">
        <v>30</v>
      </c>
      <c r="H16" s="21" t="s">
        <v>30</v>
      </c>
      <c r="I16" s="21" t="s">
        <v>31</v>
      </c>
      <c r="J16" s="21" t="s">
        <v>32</v>
      </c>
      <c r="K16" s="21" t="s">
        <v>33</v>
      </c>
      <c r="L16" s="5" t="s">
        <v>34</v>
      </c>
      <c r="M16" s="156">
        <v>11.16</v>
      </c>
      <c r="N16" s="5" t="s">
        <v>70</v>
      </c>
      <c r="O16" s="167">
        <v>5.5E-2</v>
      </c>
      <c r="P16" s="167">
        <v>4.3470000000000002E-2</v>
      </c>
      <c r="R16" s="156">
        <v>287954</v>
      </c>
      <c r="S16" s="168">
        <v>1</v>
      </c>
      <c r="T16" s="170">
        <v>117</v>
      </c>
      <c r="U16" s="156">
        <v>336.90600000000001</v>
      </c>
      <c r="W16" s="21" t="s">
        <v>36</v>
      </c>
      <c r="X16" s="167">
        <v>9.0000000000000002E-6</v>
      </c>
      <c r="Y16" s="167">
        <v>2.6043411556079199E-2</v>
      </c>
      <c r="Z16" s="167">
        <v>1.4702435485399099E-2</v>
      </c>
    </row>
    <row r="17" spans="1:26">
      <c r="A17" s="21">
        <v>161</v>
      </c>
      <c r="B17" s="21">
        <v>1434</v>
      </c>
      <c r="C17" s="21" t="s">
        <v>26</v>
      </c>
      <c r="D17" s="21" t="s">
        <v>37</v>
      </c>
      <c r="E17" s="21" t="s">
        <v>38</v>
      </c>
      <c r="F17" s="21" t="s">
        <v>29</v>
      </c>
      <c r="G17" s="21" t="s">
        <v>30</v>
      </c>
      <c r="H17" s="21" t="s">
        <v>30</v>
      </c>
      <c r="I17" s="21" t="s">
        <v>31</v>
      </c>
      <c r="J17" s="21" t="s">
        <v>32</v>
      </c>
      <c r="K17" s="21" t="s">
        <v>33</v>
      </c>
      <c r="L17" s="5" t="s">
        <v>34</v>
      </c>
      <c r="M17" s="156">
        <v>3.621</v>
      </c>
      <c r="N17" s="5" t="s">
        <v>39</v>
      </c>
      <c r="O17" s="167">
        <v>5.0000000000000001E-3</v>
      </c>
      <c r="P17" s="167">
        <v>1.9359999999999999E-2</v>
      </c>
      <c r="R17" s="156">
        <v>1502000</v>
      </c>
      <c r="S17" s="168">
        <v>1</v>
      </c>
      <c r="T17" s="170">
        <v>113</v>
      </c>
      <c r="U17" s="156">
        <v>1697.26</v>
      </c>
      <c r="W17" s="21" t="s">
        <v>36</v>
      </c>
      <c r="X17" s="167">
        <v>5.1E-5</v>
      </c>
      <c r="Y17" s="167">
        <v>0.13120103851366199</v>
      </c>
      <c r="Z17" s="167">
        <v>7.4067669675719205E-2</v>
      </c>
    </row>
    <row r="18" spans="1:26">
      <c r="A18" s="21">
        <v>161</v>
      </c>
      <c r="B18" s="21">
        <v>1434</v>
      </c>
      <c r="C18" s="21" t="s">
        <v>26</v>
      </c>
      <c r="D18" s="21" t="s">
        <v>40</v>
      </c>
      <c r="E18" s="21" t="s">
        <v>41</v>
      </c>
      <c r="F18" s="21" t="s">
        <v>29</v>
      </c>
      <c r="G18" s="21" t="s">
        <v>30</v>
      </c>
      <c r="H18" s="21" t="s">
        <v>30</v>
      </c>
      <c r="I18" s="21" t="s">
        <v>31</v>
      </c>
      <c r="J18" s="21" t="s">
        <v>32</v>
      </c>
      <c r="K18" s="21" t="s">
        <v>33</v>
      </c>
      <c r="L18" s="5" t="s">
        <v>34</v>
      </c>
      <c r="M18" s="156">
        <v>0.81599999999999995</v>
      </c>
      <c r="N18" s="5" t="s">
        <v>42</v>
      </c>
      <c r="O18" s="167">
        <v>1E-3</v>
      </c>
      <c r="P18" s="167">
        <v>2.7019999999999999E-2</v>
      </c>
      <c r="R18" s="156">
        <v>515000</v>
      </c>
      <c r="S18" s="168">
        <v>1</v>
      </c>
      <c r="T18" s="170">
        <v>116.31</v>
      </c>
      <c r="U18" s="156">
        <v>598.99599999999998</v>
      </c>
      <c r="W18" s="21" t="s">
        <v>36</v>
      </c>
      <c r="X18" s="167">
        <v>2.5000000000000001E-5</v>
      </c>
      <c r="Y18" s="167">
        <v>4.6303431923246298E-2</v>
      </c>
      <c r="Z18" s="167">
        <v>2.6139940197089401E-2</v>
      </c>
    </row>
    <row r="19" spans="1:26">
      <c r="A19" s="21">
        <v>161</v>
      </c>
      <c r="B19" s="21">
        <v>1434</v>
      </c>
      <c r="C19" s="21" t="s">
        <v>26</v>
      </c>
      <c r="D19" s="21" t="s">
        <v>51</v>
      </c>
      <c r="E19" s="21" t="s">
        <v>52</v>
      </c>
      <c r="F19" s="21" t="s">
        <v>29</v>
      </c>
      <c r="G19" s="21" t="s">
        <v>30</v>
      </c>
      <c r="H19" s="21" t="s">
        <v>30</v>
      </c>
      <c r="I19" s="21" t="s">
        <v>31</v>
      </c>
      <c r="J19" s="21" t="s">
        <v>32</v>
      </c>
      <c r="K19" s="21" t="s">
        <v>33</v>
      </c>
      <c r="L19" s="5" t="s">
        <v>34</v>
      </c>
      <c r="M19" s="156">
        <v>3.0049999999999999</v>
      </c>
      <c r="N19" s="5" t="s">
        <v>53</v>
      </c>
      <c r="O19" s="167">
        <v>1.0999999999999999E-2</v>
      </c>
      <c r="P19" s="167">
        <v>1.9990000000000001E-2</v>
      </c>
      <c r="R19" s="156">
        <v>1960000</v>
      </c>
      <c r="S19" s="168">
        <v>1</v>
      </c>
      <c r="T19" s="170">
        <v>105.65</v>
      </c>
      <c r="U19" s="156">
        <v>2070.7399999999998</v>
      </c>
      <c r="W19" s="21" t="s">
        <v>36</v>
      </c>
      <c r="X19" s="167">
        <v>6.2000000000000003E-5</v>
      </c>
      <c r="Y19" s="167">
        <v>0.16007166756524099</v>
      </c>
      <c r="Z19" s="167">
        <v>9.0366170359460998E-2</v>
      </c>
    </row>
    <row r="20" spans="1:26">
      <c r="A20" s="5">
        <v>161</v>
      </c>
      <c r="B20" s="5">
        <v>1434</v>
      </c>
      <c r="C20" s="5" t="s">
        <v>43</v>
      </c>
      <c r="D20" s="5" t="s">
        <v>71</v>
      </c>
      <c r="E20" s="5" t="s">
        <v>72</v>
      </c>
      <c r="F20" s="21" t="s">
        <v>46</v>
      </c>
      <c r="G20" s="21" t="s">
        <v>30</v>
      </c>
      <c r="H20" s="21" t="s">
        <v>30</v>
      </c>
      <c r="I20" s="21" t="s">
        <v>31</v>
      </c>
      <c r="J20" s="5" t="s">
        <v>32</v>
      </c>
      <c r="K20" s="21" t="s">
        <v>33</v>
      </c>
      <c r="L20" s="5" t="s">
        <v>34</v>
      </c>
      <c r="M20" s="156">
        <v>4.3780000000000001</v>
      </c>
      <c r="N20" s="5" t="s">
        <v>73</v>
      </c>
      <c r="O20" s="167">
        <v>0.01</v>
      </c>
      <c r="P20" s="167">
        <v>3.934E-2</v>
      </c>
      <c r="R20" s="156">
        <v>1004011</v>
      </c>
      <c r="S20" s="168">
        <v>1</v>
      </c>
      <c r="T20" s="170">
        <v>88.66</v>
      </c>
      <c r="U20" s="156">
        <v>890.15599999999995</v>
      </c>
      <c r="W20" s="21" t="s">
        <v>36</v>
      </c>
      <c r="X20" s="167">
        <v>2.6999999999999999E-5</v>
      </c>
      <c r="Y20" s="167">
        <v>6.8810560350474406E-2</v>
      </c>
      <c r="Z20" s="167">
        <v>3.88460176228662E-2</v>
      </c>
    </row>
    <row r="21" spans="1:26" s="45" customFormat="1">
      <c r="A21" s="45">
        <v>161</v>
      </c>
      <c r="B21" s="45">
        <v>1434</v>
      </c>
      <c r="C21" s="45" t="s">
        <v>43</v>
      </c>
      <c r="D21" s="45" t="s">
        <v>44</v>
      </c>
      <c r="E21" s="45" t="s">
        <v>45</v>
      </c>
      <c r="F21" s="45" t="s">
        <v>46</v>
      </c>
      <c r="G21" s="45" t="s">
        <v>30</v>
      </c>
      <c r="H21" s="45" t="s">
        <v>30</v>
      </c>
      <c r="I21" s="45" t="s">
        <v>31</v>
      </c>
      <c r="J21" s="45" t="s">
        <v>32</v>
      </c>
      <c r="K21" s="45" t="s">
        <v>33</v>
      </c>
      <c r="L21" s="31" t="s">
        <v>34</v>
      </c>
      <c r="M21" s="156">
        <v>6.2750000000000004</v>
      </c>
      <c r="N21" s="45" t="s">
        <v>47</v>
      </c>
      <c r="O21" s="167">
        <v>1.2999999999999999E-2</v>
      </c>
      <c r="P21" s="167">
        <v>4.027E-2</v>
      </c>
      <c r="R21" s="156">
        <v>2140000</v>
      </c>
      <c r="S21" s="168">
        <v>1</v>
      </c>
      <c r="T21" s="170">
        <v>85.09</v>
      </c>
      <c r="U21" s="156">
        <v>1820.9259999999999</v>
      </c>
      <c r="W21" s="45" t="s">
        <v>36</v>
      </c>
      <c r="X21" s="167">
        <v>5.8999999999999998E-5</v>
      </c>
      <c r="Y21" s="167">
        <v>0.140760627279574</v>
      </c>
      <c r="Z21" s="167">
        <v>7.9464398779166806E-2</v>
      </c>
    </row>
    <row r="22" spans="1:26">
      <c r="A22" s="5">
        <v>161</v>
      </c>
      <c r="B22" s="5">
        <v>1434</v>
      </c>
      <c r="C22" s="5" t="s">
        <v>54</v>
      </c>
      <c r="D22" s="5" t="s">
        <v>74</v>
      </c>
      <c r="E22" s="5" t="s">
        <v>75</v>
      </c>
      <c r="F22" s="5" t="s">
        <v>57</v>
      </c>
      <c r="G22" s="5" t="s">
        <v>30</v>
      </c>
      <c r="H22" s="5" t="s">
        <v>30</v>
      </c>
      <c r="I22" s="5" t="s">
        <v>31</v>
      </c>
      <c r="J22" s="5" t="s">
        <v>32</v>
      </c>
      <c r="K22" s="5" t="s">
        <v>33</v>
      </c>
      <c r="L22" s="21" t="s">
        <v>34</v>
      </c>
      <c r="M22" s="156">
        <v>0.33200000000000002</v>
      </c>
      <c r="N22" s="5" t="s">
        <v>76</v>
      </c>
      <c r="O22" s="167">
        <v>0</v>
      </c>
      <c r="P22" s="167">
        <v>4.3450000000000003E-2</v>
      </c>
      <c r="R22" s="156">
        <v>260000</v>
      </c>
      <c r="S22" s="168">
        <v>1</v>
      </c>
      <c r="T22" s="170">
        <v>98.6</v>
      </c>
      <c r="U22" s="156">
        <v>256.36</v>
      </c>
      <c r="W22" s="5" t="s">
        <v>36</v>
      </c>
      <c r="X22" s="167">
        <v>1.4E-5</v>
      </c>
      <c r="Y22" s="167">
        <v>1.9817057040973401E-2</v>
      </c>
      <c r="Z22" s="167">
        <v>1.11874361017566E-2</v>
      </c>
    </row>
    <row r="23" spans="1:26">
      <c r="A23" s="5">
        <v>161</v>
      </c>
      <c r="B23" s="5">
        <v>1434</v>
      </c>
      <c r="C23" s="5" t="s">
        <v>77</v>
      </c>
      <c r="D23" s="5" t="s">
        <v>78</v>
      </c>
      <c r="E23" s="5" t="s">
        <v>79</v>
      </c>
      <c r="F23" s="5" t="s">
        <v>80</v>
      </c>
      <c r="G23" s="5" t="s">
        <v>81</v>
      </c>
      <c r="H23" s="5" t="s">
        <v>82</v>
      </c>
      <c r="I23" s="5" t="s">
        <v>83</v>
      </c>
      <c r="J23" s="5" t="s">
        <v>84</v>
      </c>
      <c r="K23" s="5" t="s">
        <v>85</v>
      </c>
      <c r="L23" s="21" t="s">
        <v>86</v>
      </c>
      <c r="M23" s="156">
        <v>6.6630000000000003</v>
      </c>
      <c r="N23" s="5" t="s">
        <v>87</v>
      </c>
      <c r="O23" s="167">
        <v>3.3750000000000002E-2</v>
      </c>
      <c r="P23" s="167">
        <v>3.952E-2</v>
      </c>
      <c r="R23" s="156">
        <v>156000</v>
      </c>
      <c r="S23" s="168">
        <v>3.306</v>
      </c>
      <c r="T23" s="170">
        <v>97.343000000000004</v>
      </c>
      <c r="U23" s="156">
        <v>502.03100000000001</v>
      </c>
      <c r="W23" s="5" t="s">
        <v>36</v>
      </c>
      <c r="X23" s="167">
        <v>9.9999999999999995E-7</v>
      </c>
      <c r="Y23" s="167">
        <v>3.8807874250056898E-2</v>
      </c>
      <c r="Z23" s="167">
        <v>2.1908430324434802E-2</v>
      </c>
    </row>
    <row r="24" spans="1:26">
      <c r="A24" s="5">
        <v>161</v>
      </c>
      <c r="B24" s="5">
        <v>1434</v>
      </c>
      <c r="C24" s="5" t="s">
        <v>88</v>
      </c>
      <c r="D24" s="5" t="s">
        <v>89</v>
      </c>
      <c r="E24" s="5" t="s">
        <v>90</v>
      </c>
      <c r="F24" s="5" t="s">
        <v>80</v>
      </c>
      <c r="G24" s="5" t="s">
        <v>81</v>
      </c>
      <c r="H24" s="5" t="s">
        <v>82</v>
      </c>
      <c r="I24" s="5" t="s">
        <v>83</v>
      </c>
      <c r="J24" s="5" t="s">
        <v>84</v>
      </c>
      <c r="K24" s="5" t="s">
        <v>85</v>
      </c>
      <c r="L24" s="21" t="s">
        <v>86</v>
      </c>
      <c r="M24" s="156">
        <v>7.6950000000000003</v>
      </c>
      <c r="N24" s="5" t="s">
        <v>91</v>
      </c>
      <c r="O24" s="167">
        <v>4.6249999999999999E-2</v>
      </c>
      <c r="P24" s="167">
        <v>4.086E-2</v>
      </c>
      <c r="R24" s="156">
        <v>26000</v>
      </c>
      <c r="S24" s="168">
        <v>3.306</v>
      </c>
      <c r="T24" s="170">
        <v>104.565</v>
      </c>
      <c r="U24" s="156">
        <v>89.88</v>
      </c>
      <c r="W24" s="5" t="s">
        <v>36</v>
      </c>
      <c r="X24" s="167">
        <v>0</v>
      </c>
      <c r="Y24" s="167">
        <v>6.9478673304640597E-3</v>
      </c>
      <c r="Z24" s="167">
        <v>3.9223191234873103E-3</v>
      </c>
    </row>
    <row r="25" spans="1:26">
      <c r="A25" s="5">
        <v>161</v>
      </c>
      <c r="B25" s="5">
        <v>9938</v>
      </c>
      <c r="C25" s="5" t="s">
        <v>54</v>
      </c>
      <c r="D25" s="5" t="s">
        <v>59</v>
      </c>
      <c r="E25" s="5" t="s">
        <v>60</v>
      </c>
      <c r="F25" s="5" t="s">
        <v>57</v>
      </c>
      <c r="G25" s="5" t="s">
        <v>30</v>
      </c>
      <c r="H25" s="5" t="s">
        <v>30</v>
      </c>
      <c r="I25" s="5" t="s">
        <v>31</v>
      </c>
      <c r="J25" s="5" t="s">
        <v>32</v>
      </c>
      <c r="K25" s="5" t="s">
        <v>33</v>
      </c>
      <c r="L25" s="21" t="s">
        <v>34</v>
      </c>
      <c r="M25" s="156">
        <v>8.2000000000000003E-2</v>
      </c>
      <c r="N25" s="5" t="s">
        <v>61</v>
      </c>
      <c r="O25" s="167">
        <v>0</v>
      </c>
      <c r="P25" s="167">
        <v>4.7410000000000001E-2</v>
      </c>
      <c r="R25" s="156">
        <v>7000000</v>
      </c>
      <c r="S25" s="168">
        <v>1</v>
      </c>
      <c r="T25" s="170">
        <v>99.62</v>
      </c>
      <c r="U25" s="156">
        <v>6973.4</v>
      </c>
      <c r="W25" s="5" t="s">
        <v>36</v>
      </c>
      <c r="X25" s="167">
        <v>2.5000000000000001E-4</v>
      </c>
      <c r="Y25" s="167">
        <v>0.21965224929093599</v>
      </c>
      <c r="Z25" s="167">
        <v>8.3312807233974898E-2</v>
      </c>
    </row>
    <row r="26" spans="1:26">
      <c r="A26" s="5">
        <v>161</v>
      </c>
      <c r="B26" s="5">
        <v>9938</v>
      </c>
      <c r="C26" s="5" t="s">
        <v>54</v>
      </c>
      <c r="D26" s="5" t="s">
        <v>92</v>
      </c>
      <c r="E26" s="5" t="s">
        <v>93</v>
      </c>
      <c r="F26" s="5" t="s">
        <v>57</v>
      </c>
      <c r="G26" s="5" t="s">
        <v>30</v>
      </c>
      <c r="H26" s="5" t="s">
        <v>30</v>
      </c>
      <c r="I26" s="5" t="s">
        <v>31</v>
      </c>
      <c r="J26" s="5" t="s">
        <v>32</v>
      </c>
      <c r="K26" s="5" t="s">
        <v>33</v>
      </c>
      <c r="L26" s="21" t="s">
        <v>34</v>
      </c>
      <c r="M26" s="156">
        <v>0.255</v>
      </c>
      <c r="N26" s="5" t="s">
        <v>94</v>
      </c>
      <c r="O26" s="167">
        <v>0</v>
      </c>
      <c r="P26" s="167">
        <v>4.3950000000000003E-2</v>
      </c>
      <c r="R26" s="156">
        <v>3100000</v>
      </c>
      <c r="S26" s="168">
        <v>1</v>
      </c>
      <c r="T26" s="170">
        <v>98.91</v>
      </c>
      <c r="U26" s="156">
        <v>3066.21</v>
      </c>
      <c r="W26" s="5" t="s">
        <v>36</v>
      </c>
      <c r="X26" s="167">
        <v>1.94E-4</v>
      </c>
      <c r="Y26" s="167">
        <v>9.6581283634720405E-2</v>
      </c>
      <c r="Z26" s="167">
        <v>3.6632713263097798E-2</v>
      </c>
    </row>
    <row r="27" spans="1:26">
      <c r="A27" s="5">
        <v>161</v>
      </c>
      <c r="B27" s="5">
        <v>9938</v>
      </c>
      <c r="C27" s="5" t="s">
        <v>26</v>
      </c>
      <c r="D27" s="5" t="s">
        <v>27</v>
      </c>
      <c r="E27" s="5" t="s">
        <v>28</v>
      </c>
      <c r="F27" s="5" t="s">
        <v>29</v>
      </c>
      <c r="G27" s="5" t="s">
        <v>30</v>
      </c>
      <c r="H27" s="5" t="s">
        <v>30</v>
      </c>
      <c r="I27" s="5" t="s">
        <v>31</v>
      </c>
      <c r="J27" s="5" t="s">
        <v>32</v>
      </c>
      <c r="K27" s="5" t="s">
        <v>33</v>
      </c>
      <c r="L27" s="5" t="s">
        <v>34</v>
      </c>
      <c r="M27" s="156">
        <v>6.1310000000000002</v>
      </c>
      <c r="N27" s="5" t="s">
        <v>35</v>
      </c>
      <c r="O27" s="167">
        <v>1E-3</v>
      </c>
      <c r="P27" s="167">
        <v>1.9009999999999999E-2</v>
      </c>
      <c r="R27" s="156">
        <v>2050000</v>
      </c>
      <c r="S27" s="168">
        <v>1</v>
      </c>
      <c r="T27" s="170">
        <v>106.54</v>
      </c>
      <c r="U27" s="156">
        <v>2184.0700000000002</v>
      </c>
      <c r="W27" s="5" t="s">
        <v>36</v>
      </c>
      <c r="X27" s="167">
        <v>6.0000000000000002E-5</v>
      </c>
      <c r="Y27" s="167">
        <v>6.8795119756338896E-2</v>
      </c>
      <c r="Z27" s="167">
        <v>2.60935846065775E-2</v>
      </c>
    </row>
    <row r="28" spans="1:26">
      <c r="A28" s="5">
        <v>161</v>
      </c>
      <c r="B28" s="5">
        <v>9938</v>
      </c>
      <c r="C28" s="5" t="s">
        <v>43</v>
      </c>
      <c r="D28" s="5" t="s">
        <v>62</v>
      </c>
      <c r="E28" s="5" t="s">
        <v>63</v>
      </c>
      <c r="F28" s="5" t="s">
        <v>46</v>
      </c>
      <c r="G28" s="5" t="s">
        <v>30</v>
      </c>
      <c r="H28" s="5" t="s">
        <v>30</v>
      </c>
      <c r="I28" s="5" t="s">
        <v>31</v>
      </c>
      <c r="J28" s="5" t="s">
        <v>32</v>
      </c>
      <c r="K28" s="5" t="s">
        <v>33</v>
      </c>
      <c r="L28" s="5" t="s">
        <v>34</v>
      </c>
      <c r="M28" s="156">
        <v>7.9119999999999999</v>
      </c>
      <c r="N28" s="5" t="s">
        <v>64</v>
      </c>
      <c r="O28" s="167">
        <v>0.04</v>
      </c>
      <c r="P28" s="167">
        <v>4.104E-2</v>
      </c>
      <c r="R28" s="156">
        <v>5776000</v>
      </c>
      <c r="S28" s="168">
        <v>1</v>
      </c>
      <c r="T28" s="170">
        <v>101.25</v>
      </c>
      <c r="U28" s="156">
        <v>5848.2</v>
      </c>
      <c r="W28" s="5" t="s">
        <v>36</v>
      </c>
      <c r="X28" s="167">
        <v>1.6200000000000001E-4</v>
      </c>
      <c r="Y28" s="167">
        <v>0.184210038762046</v>
      </c>
      <c r="Z28" s="167">
        <v>6.9869785078402497E-2</v>
      </c>
    </row>
    <row r="29" spans="1:26">
      <c r="A29" s="5">
        <v>161</v>
      </c>
      <c r="B29" s="5">
        <v>9938</v>
      </c>
      <c r="C29" s="5" t="s">
        <v>43</v>
      </c>
      <c r="D29" s="5" t="s">
        <v>95</v>
      </c>
      <c r="E29" s="5" t="s">
        <v>96</v>
      </c>
      <c r="F29" s="5" t="s">
        <v>46</v>
      </c>
      <c r="G29" s="5" t="s">
        <v>30</v>
      </c>
      <c r="H29" s="5" t="s">
        <v>30</v>
      </c>
      <c r="I29" s="5" t="s">
        <v>31</v>
      </c>
      <c r="J29" s="5" t="s">
        <v>32</v>
      </c>
      <c r="K29" s="5" t="s">
        <v>33</v>
      </c>
      <c r="L29" s="5" t="s">
        <v>34</v>
      </c>
      <c r="M29" s="156">
        <v>14.433999999999999</v>
      </c>
      <c r="N29" s="5" t="s">
        <v>97</v>
      </c>
      <c r="O29" s="167">
        <v>3.7499999999999999E-2</v>
      </c>
      <c r="P29" s="167">
        <v>4.4900000000000002E-2</v>
      </c>
      <c r="R29" s="156">
        <v>230000</v>
      </c>
      <c r="S29" s="168">
        <v>1</v>
      </c>
      <c r="T29" s="170">
        <v>91.85</v>
      </c>
      <c r="U29" s="156">
        <v>211.255</v>
      </c>
      <c r="W29" s="5" t="s">
        <v>36</v>
      </c>
      <c r="X29" s="167">
        <v>9.0000000000000002E-6</v>
      </c>
      <c r="Y29" s="167">
        <v>6.6542340786354699E-3</v>
      </c>
      <c r="Z29" s="167">
        <v>2.5239118783109199E-3</v>
      </c>
    </row>
    <row r="30" spans="1:26">
      <c r="A30" s="5">
        <v>161</v>
      </c>
      <c r="B30" s="5">
        <v>9938</v>
      </c>
      <c r="C30" s="5" t="s">
        <v>43</v>
      </c>
      <c r="D30" s="5" t="s">
        <v>98</v>
      </c>
      <c r="E30" s="5" t="s">
        <v>99</v>
      </c>
      <c r="F30" s="5" t="s">
        <v>46</v>
      </c>
      <c r="G30" s="5" t="s">
        <v>30</v>
      </c>
      <c r="H30" s="5" t="s">
        <v>30</v>
      </c>
      <c r="I30" s="5" t="s">
        <v>31</v>
      </c>
      <c r="J30" s="5" t="s">
        <v>32</v>
      </c>
      <c r="K30" s="5" t="s">
        <v>33</v>
      </c>
      <c r="L30" s="5" t="s">
        <v>34</v>
      </c>
      <c r="M30" s="156">
        <v>1.008</v>
      </c>
      <c r="N30" s="5" t="s">
        <v>100</v>
      </c>
      <c r="O30" s="167">
        <v>6.25E-2</v>
      </c>
      <c r="P30" s="167">
        <v>3.9019999999999999E-2</v>
      </c>
      <c r="R30" s="156">
        <v>190000</v>
      </c>
      <c r="S30" s="168">
        <v>1</v>
      </c>
      <c r="T30" s="170">
        <v>108.22</v>
      </c>
      <c r="U30" s="156">
        <v>205.61799999999999</v>
      </c>
      <c r="W30" s="5" t="s">
        <v>36</v>
      </c>
      <c r="X30" s="167">
        <v>1.2999999999999999E-5</v>
      </c>
      <c r="Y30" s="167">
        <v>6.4766765415297601E-3</v>
      </c>
      <c r="Z30" s="167">
        <v>2.4565653480132302E-3</v>
      </c>
    </row>
    <row r="31" spans="1:26">
      <c r="A31" s="5">
        <v>161</v>
      </c>
      <c r="B31" s="5">
        <v>9938</v>
      </c>
      <c r="C31" s="5" t="s">
        <v>43</v>
      </c>
      <c r="D31" s="5" t="s">
        <v>68</v>
      </c>
      <c r="E31" s="5" t="s">
        <v>69</v>
      </c>
      <c r="F31" s="5" t="s">
        <v>46</v>
      </c>
      <c r="G31" s="5" t="s">
        <v>30</v>
      </c>
      <c r="H31" s="5" t="s">
        <v>30</v>
      </c>
      <c r="I31" s="5" t="s">
        <v>31</v>
      </c>
      <c r="J31" s="5" t="s">
        <v>32</v>
      </c>
      <c r="K31" s="5" t="s">
        <v>33</v>
      </c>
      <c r="L31" s="5" t="s">
        <v>34</v>
      </c>
      <c r="M31" s="156">
        <v>11.16</v>
      </c>
      <c r="N31" s="5" t="s">
        <v>70</v>
      </c>
      <c r="O31" s="167">
        <v>5.5E-2</v>
      </c>
      <c r="P31" s="167">
        <v>4.3470000000000002E-2</v>
      </c>
      <c r="R31" s="156">
        <v>3285850</v>
      </c>
      <c r="S31" s="168">
        <v>1</v>
      </c>
      <c r="T31" s="170">
        <v>117</v>
      </c>
      <c r="U31" s="156">
        <v>3844.4450000000002</v>
      </c>
      <c r="W31" s="5" t="s">
        <v>36</v>
      </c>
      <c r="X31" s="167">
        <v>1.06E-4</v>
      </c>
      <c r="Y31" s="167">
        <v>0.121094571041266</v>
      </c>
      <c r="Z31" s="167">
        <v>4.5930459108930399E-2</v>
      </c>
    </row>
    <row r="32" spans="1:26">
      <c r="A32" s="5">
        <v>161</v>
      </c>
      <c r="B32" s="5">
        <v>9938</v>
      </c>
      <c r="C32" s="5" t="s">
        <v>26</v>
      </c>
      <c r="D32" s="5" t="s">
        <v>37</v>
      </c>
      <c r="E32" s="5" t="s">
        <v>38</v>
      </c>
      <c r="F32" s="5" t="s">
        <v>29</v>
      </c>
      <c r="G32" s="5" t="s">
        <v>30</v>
      </c>
      <c r="H32" s="5" t="s">
        <v>30</v>
      </c>
      <c r="I32" s="5" t="s">
        <v>31</v>
      </c>
      <c r="J32" s="5" t="s">
        <v>32</v>
      </c>
      <c r="K32" s="5" t="s">
        <v>33</v>
      </c>
      <c r="L32" s="5" t="s">
        <v>34</v>
      </c>
      <c r="M32" s="156">
        <v>3.621</v>
      </c>
      <c r="N32" s="5" t="s">
        <v>39</v>
      </c>
      <c r="O32" s="167">
        <v>5.0000000000000001E-3</v>
      </c>
      <c r="P32" s="167">
        <v>1.9359999999999999E-2</v>
      </c>
      <c r="R32" s="156">
        <v>1063000</v>
      </c>
      <c r="S32" s="168">
        <v>1</v>
      </c>
      <c r="T32" s="170">
        <v>113</v>
      </c>
      <c r="U32" s="156">
        <v>1201.19</v>
      </c>
      <c r="W32" s="5" t="s">
        <v>36</v>
      </c>
      <c r="X32" s="167">
        <v>3.6000000000000001E-5</v>
      </c>
      <c r="Y32" s="167">
        <v>3.7835788184498099E-2</v>
      </c>
      <c r="Z32" s="167">
        <v>1.43508920930075E-2</v>
      </c>
    </row>
    <row r="33" spans="1:26">
      <c r="A33" s="5">
        <v>161</v>
      </c>
      <c r="B33" s="5">
        <v>9938</v>
      </c>
      <c r="C33" s="5" t="s">
        <v>26</v>
      </c>
      <c r="D33" s="5" t="s">
        <v>101</v>
      </c>
      <c r="E33" s="5" t="s">
        <v>102</v>
      </c>
      <c r="F33" s="5" t="s">
        <v>29</v>
      </c>
      <c r="G33" s="5" t="s">
        <v>30</v>
      </c>
      <c r="H33" s="5" t="s">
        <v>30</v>
      </c>
      <c r="I33" s="5" t="s">
        <v>31</v>
      </c>
      <c r="J33" s="5" t="s">
        <v>32</v>
      </c>
      <c r="K33" s="5" t="s">
        <v>33</v>
      </c>
      <c r="L33" s="5" t="s">
        <v>34</v>
      </c>
      <c r="M33" s="156">
        <v>7.5170000000000003</v>
      </c>
      <c r="N33" s="5" t="s">
        <v>103</v>
      </c>
      <c r="O33" s="167">
        <v>1.6E-2</v>
      </c>
      <c r="P33" s="167">
        <v>1.951E-2</v>
      </c>
      <c r="R33" s="156">
        <v>3200000</v>
      </c>
      <c r="S33" s="168">
        <v>1</v>
      </c>
      <c r="T33" s="170">
        <v>105.4</v>
      </c>
      <c r="U33" s="156">
        <v>3372.8</v>
      </c>
      <c r="W33" s="5" t="s">
        <v>36</v>
      </c>
      <c r="X33" s="167">
        <v>1.21E-4</v>
      </c>
      <c r="Y33" s="167">
        <v>0.10623843554198301</v>
      </c>
      <c r="Z33" s="167">
        <v>4.0295614225306302E-2</v>
      </c>
    </row>
    <row r="34" spans="1:26">
      <c r="A34" s="5">
        <v>161</v>
      </c>
      <c r="B34" s="5">
        <v>9938</v>
      </c>
      <c r="C34" s="5" t="s">
        <v>54</v>
      </c>
      <c r="D34" s="5" t="s">
        <v>74</v>
      </c>
      <c r="E34" s="5" t="s">
        <v>75</v>
      </c>
      <c r="F34" s="5" t="s">
        <v>57</v>
      </c>
      <c r="G34" s="5" t="s">
        <v>30</v>
      </c>
      <c r="H34" s="5" t="s">
        <v>30</v>
      </c>
      <c r="I34" s="5" t="s">
        <v>31</v>
      </c>
      <c r="J34" s="5" t="s">
        <v>32</v>
      </c>
      <c r="K34" s="5" t="s">
        <v>33</v>
      </c>
      <c r="L34" s="5" t="s">
        <v>34</v>
      </c>
      <c r="M34" s="156">
        <v>0.33200000000000002</v>
      </c>
      <c r="N34" s="5" t="s">
        <v>76</v>
      </c>
      <c r="O34" s="167">
        <v>0</v>
      </c>
      <c r="P34" s="167">
        <v>4.3450000000000003E-2</v>
      </c>
      <c r="R34" s="156">
        <v>2300000</v>
      </c>
      <c r="S34" s="168">
        <v>1</v>
      </c>
      <c r="T34" s="170">
        <v>98.6</v>
      </c>
      <c r="U34" s="156">
        <v>2267.8000000000002</v>
      </c>
      <c r="W34" s="5" t="s">
        <v>36</v>
      </c>
      <c r="X34" s="167">
        <v>1.2799999999999999E-4</v>
      </c>
      <c r="Y34" s="167">
        <v>7.1432496478329596E-2</v>
      </c>
      <c r="Z34" s="167">
        <v>2.7093926097055701E-2</v>
      </c>
    </row>
    <row r="35" spans="1:26">
      <c r="A35" s="5">
        <v>161</v>
      </c>
      <c r="B35" s="5">
        <v>9938</v>
      </c>
      <c r="C35" s="5" t="s">
        <v>54</v>
      </c>
      <c r="D35" s="5" t="s">
        <v>104</v>
      </c>
      <c r="E35" s="5" t="s">
        <v>105</v>
      </c>
      <c r="F35" s="5" t="s">
        <v>57</v>
      </c>
      <c r="G35" s="5" t="s">
        <v>30</v>
      </c>
      <c r="H35" s="5" t="s">
        <v>30</v>
      </c>
      <c r="I35" s="5" t="s">
        <v>31</v>
      </c>
      <c r="J35" s="5" t="s">
        <v>32</v>
      </c>
      <c r="K35" s="5" t="s">
        <v>33</v>
      </c>
      <c r="L35" s="5" t="s">
        <v>34</v>
      </c>
      <c r="M35" s="156">
        <v>0.40799999999999997</v>
      </c>
      <c r="N35" s="5" t="s">
        <v>106</v>
      </c>
      <c r="O35" s="167">
        <v>0</v>
      </c>
      <c r="P35" s="167">
        <v>4.2380000000000001E-2</v>
      </c>
      <c r="R35" s="156">
        <v>1000000</v>
      </c>
      <c r="S35" s="168">
        <v>1</v>
      </c>
      <c r="T35" s="170">
        <v>98.32</v>
      </c>
      <c r="U35" s="156">
        <v>983.2</v>
      </c>
      <c r="W35" s="5" t="s">
        <v>36</v>
      </c>
      <c r="X35" s="167">
        <v>5.5999999999999999E-5</v>
      </c>
      <c r="Y35" s="167">
        <v>3.0969411119805001E-2</v>
      </c>
      <c r="Z35" s="167">
        <v>1.17465156268741E-2</v>
      </c>
    </row>
    <row r="36" spans="1:26">
      <c r="A36" s="5">
        <v>161</v>
      </c>
      <c r="B36" s="5">
        <v>9938</v>
      </c>
      <c r="C36" s="5" t="s">
        <v>77</v>
      </c>
      <c r="D36" s="5" t="s">
        <v>78</v>
      </c>
      <c r="E36" s="5" t="s">
        <v>79</v>
      </c>
      <c r="F36" s="5" t="s">
        <v>80</v>
      </c>
      <c r="G36" s="5" t="s">
        <v>81</v>
      </c>
      <c r="H36" s="5" t="s">
        <v>82</v>
      </c>
      <c r="I36" s="5" t="s">
        <v>83</v>
      </c>
      <c r="J36" s="5" t="s">
        <v>84</v>
      </c>
      <c r="K36" s="5" t="s">
        <v>85</v>
      </c>
      <c r="L36" s="5" t="s">
        <v>86</v>
      </c>
      <c r="M36" s="156">
        <v>6.6630000000000003</v>
      </c>
      <c r="N36" s="5" t="s">
        <v>87</v>
      </c>
      <c r="O36" s="167">
        <v>3.3750000000000002E-2</v>
      </c>
      <c r="P36" s="167">
        <v>3.952E-2</v>
      </c>
      <c r="R36" s="156">
        <v>246000</v>
      </c>
      <c r="S36" s="168">
        <v>3.306</v>
      </c>
      <c r="T36" s="170">
        <v>97.343000000000004</v>
      </c>
      <c r="U36" s="156">
        <v>791.66499999999996</v>
      </c>
      <c r="W36" s="5" t="s">
        <v>36</v>
      </c>
      <c r="X36" s="167">
        <v>1.9999999999999999E-6</v>
      </c>
      <c r="Y36" s="167">
        <v>2.49363304342099E-2</v>
      </c>
      <c r="Z36" s="167">
        <v>9.4582035799519702E-3</v>
      </c>
    </row>
    <row r="37" spans="1:26">
      <c r="A37" s="5">
        <v>161</v>
      </c>
      <c r="B37" s="5">
        <v>9938</v>
      </c>
      <c r="C37" s="5" t="s">
        <v>77</v>
      </c>
      <c r="D37" s="5" t="s">
        <v>107</v>
      </c>
      <c r="E37" s="5" t="s">
        <v>108</v>
      </c>
      <c r="F37" s="5" t="s">
        <v>80</v>
      </c>
      <c r="G37" s="5" t="s">
        <v>81</v>
      </c>
      <c r="H37" s="5" t="s">
        <v>82</v>
      </c>
      <c r="I37" s="5" t="s">
        <v>83</v>
      </c>
      <c r="J37" s="5" t="s">
        <v>84</v>
      </c>
      <c r="K37" s="5" t="s">
        <v>85</v>
      </c>
      <c r="L37" s="5" t="s">
        <v>86</v>
      </c>
      <c r="M37" s="156">
        <v>7.5309999999999997</v>
      </c>
      <c r="N37" s="5" t="s">
        <v>109</v>
      </c>
      <c r="O37" s="167">
        <v>3.875E-2</v>
      </c>
      <c r="P37" s="167">
        <v>4.0570000000000002E-2</v>
      </c>
      <c r="R37" s="156">
        <v>80000</v>
      </c>
      <c r="S37" s="168">
        <v>3.306</v>
      </c>
      <c r="T37" s="170">
        <v>98.978999999999999</v>
      </c>
      <c r="U37" s="156">
        <v>261.77999999999997</v>
      </c>
      <c r="W37" s="5" t="s">
        <v>36</v>
      </c>
      <c r="X37" s="167">
        <v>9.9999999999999995E-7</v>
      </c>
      <c r="Y37" s="167">
        <v>8.2457123812442294E-3</v>
      </c>
      <c r="Z37" s="167">
        <v>3.1275502451854498E-3</v>
      </c>
    </row>
    <row r="38" spans="1:26">
      <c r="A38" s="5">
        <v>161</v>
      </c>
      <c r="B38" s="5">
        <v>9938</v>
      </c>
      <c r="C38" s="5" t="s">
        <v>88</v>
      </c>
      <c r="D38" s="5" t="s">
        <v>89</v>
      </c>
      <c r="E38" s="5" t="s">
        <v>90</v>
      </c>
      <c r="F38" s="5" t="s">
        <v>80</v>
      </c>
      <c r="G38" s="5" t="s">
        <v>81</v>
      </c>
      <c r="H38" s="5" t="s">
        <v>82</v>
      </c>
      <c r="I38" s="5" t="s">
        <v>83</v>
      </c>
      <c r="J38" s="5" t="s">
        <v>84</v>
      </c>
      <c r="K38" s="5" t="s">
        <v>85</v>
      </c>
      <c r="L38" s="5" t="s">
        <v>86</v>
      </c>
      <c r="M38" s="156">
        <v>7.6950000000000003</v>
      </c>
      <c r="N38" s="5" t="s">
        <v>91</v>
      </c>
      <c r="O38" s="167">
        <v>4.6249999999999999E-2</v>
      </c>
      <c r="P38" s="167">
        <v>4.086E-2</v>
      </c>
      <c r="R38" s="156">
        <v>155000</v>
      </c>
      <c r="S38" s="168">
        <v>3.306</v>
      </c>
      <c r="T38" s="170">
        <v>104.565</v>
      </c>
      <c r="U38" s="156">
        <v>535.82299999999998</v>
      </c>
      <c r="W38" s="5" t="s">
        <v>36</v>
      </c>
      <c r="X38" s="167">
        <v>9.9999999999999995E-7</v>
      </c>
      <c r="Y38" s="167">
        <v>1.6877652754457802E-2</v>
      </c>
      <c r="Z38" s="167">
        <v>6.4015944978175702E-3</v>
      </c>
    </row>
    <row r="39" spans="1:26">
      <c r="A39" s="5">
        <v>161</v>
      </c>
      <c r="B39" s="5">
        <v>9942</v>
      </c>
      <c r="C39" s="5" t="s">
        <v>54</v>
      </c>
      <c r="D39" s="5" t="s">
        <v>59</v>
      </c>
      <c r="E39" s="5" t="s">
        <v>60</v>
      </c>
      <c r="F39" s="5" t="s">
        <v>57</v>
      </c>
      <c r="G39" s="5" t="s">
        <v>30</v>
      </c>
      <c r="H39" s="5" t="s">
        <v>30</v>
      </c>
      <c r="I39" s="5" t="s">
        <v>31</v>
      </c>
      <c r="J39" s="5" t="s">
        <v>32</v>
      </c>
      <c r="K39" s="5" t="s">
        <v>33</v>
      </c>
      <c r="L39" s="5" t="s">
        <v>34</v>
      </c>
      <c r="M39" s="156">
        <v>8.2000000000000003E-2</v>
      </c>
      <c r="N39" s="5" t="s">
        <v>61</v>
      </c>
      <c r="O39" s="167">
        <v>0</v>
      </c>
      <c r="P39" s="167">
        <v>4.7410000000000001E-2</v>
      </c>
      <c r="R39" s="156">
        <v>9600000</v>
      </c>
      <c r="S39" s="168">
        <v>1</v>
      </c>
      <c r="T39" s="170">
        <v>99.62</v>
      </c>
      <c r="U39" s="156">
        <v>9563.52</v>
      </c>
      <c r="W39" s="5" t="s">
        <v>36</v>
      </c>
      <c r="X39" s="167">
        <v>3.4299999999999999E-4</v>
      </c>
      <c r="Y39" s="167">
        <v>0.19406960960669101</v>
      </c>
      <c r="Z39" s="167">
        <v>9.6789761886270601E-2</v>
      </c>
    </row>
    <row r="40" spans="1:26">
      <c r="A40" s="5">
        <v>161</v>
      </c>
      <c r="B40" s="5">
        <v>9942</v>
      </c>
      <c r="C40" s="5" t="s">
        <v>26</v>
      </c>
      <c r="D40" s="5" t="s">
        <v>110</v>
      </c>
      <c r="E40" s="5" t="s">
        <v>111</v>
      </c>
      <c r="F40" s="5" t="s">
        <v>29</v>
      </c>
      <c r="G40" s="5" t="s">
        <v>30</v>
      </c>
      <c r="H40" s="5" t="s">
        <v>30</v>
      </c>
      <c r="I40" s="5" t="s">
        <v>31</v>
      </c>
      <c r="J40" s="5" t="s">
        <v>32</v>
      </c>
      <c r="K40" s="5" t="s">
        <v>33</v>
      </c>
      <c r="L40" s="5" t="s">
        <v>34</v>
      </c>
      <c r="M40" s="156">
        <v>17.658000000000001</v>
      </c>
      <c r="N40" s="5" t="s">
        <v>112</v>
      </c>
      <c r="O40" s="167">
        <v>0.01</v>
      </c>
      <c r="P40" s="167">
        <v>2.0719999999999999E-2</v>
      </c>
      <c r="R40" s="156">
        <v>172756</v>
      </c>
      <c r="S40" s="168">
        <v>1</v>
      </c>
      <c r="T40" s="170">
        <v>99.57</v>
      </c>
      <c r="U40" s="156">
        <v>172.01300000000001</v>
      </c>
      <c r="W40" s="5" t="s">
        <v>36</v>
      </c>
      <c r="X40" s="167">
        <v>7.9999999999999996E-6</v>
      </c>
      <c r="Y40" s="167">
        <v>3.4906106446644701E-3</v>
      </c>
      <c r="Z40" s="167">
        <v>1.74089788617324E-3</v>
      </c>
    </row>
    <row r="41" spans="1:26">
      <c r="A41" s="5">
        <v>161</v>
      </c>
      <c r="B41" s="5">
        <v>9942</v>
      </c>
      <c r="C41" s="5" t="s">
        <v>26</v>
      </c>
      <c r="D41" s="5" t="s">
        <v>27</v>
      </c>
      <c r="E41" s="5" t="s">
        <v>28</v>
      </c>
      <c r="F41" s="5" t="s">
        <v>29</v>
      </c>
      <c r="G41" s="5" t="s">
        <v>30</v>
      </c>
      <c r="H41" s="5" t="s">
        <v>30</v>
      </c>
      <c r="I41" s="5" t="s">
        <v>31</v>
      </c>
      <c r="J41" s="5" t="s">
        <v>32</v>
      </c>
      <c r="K41" s="5" t="s">
        <v>33</v>
      </c>
      <c r="L41" s="5" t="s">
        <v>34</v>
      </c>
      <c r="M41" s="156">
        <v>6.1310000000000002</v>
      </c>
      <c r="N41" s="5" t="s">
        <v>35</v>
      </c>
      <c r="O41" s="167">
        <v>1E-3</v>
      </c>
      <c r="P41" s="167">
        <v>1.9009999999999999E-2</v>
      </c>
      <c r="R41" s="156">
        <v>1100000</v>
      </c>
      <c r="S41" s="168">
        <v>1</v>
      </c>
      <c r="T41" s="170">
        <v>106.54</v>
      </c>
      <c r="U41" s="156">
        <v>1171.94</v>
      </c>
      <c r="W41" s="5" t="s">
        <v>36</v>
      </c>
      <c r="X41" s="167">
        <v>3.1999999999999999E-5</v>
      </c>
      <c r="Y41" s="167">
        <v>2.3781822831181999E-2</v>
      </c>
      <c r="Z41" s="167">
        <v>1.1860883183701799E-2</v>
      </c>
    </row>
    <row r="42" spans="1:26">
      <c r="A42" s="5">
        <v>161</v>
      </c>
      <c r="B42" s="5">
        <v>9942</v>
      </c>
      <c r="C42" s="5" t="s">
        <v>43</v>
      </c>
      <c r="D42" s="5" t="s">
        <v>48</v>
      </c>
      <c r="E42" s="5" t="s">
        <v>49</v>
      </c>
      <c r="F42" s="5" t="s">
        <v>46</v>
      </c>
      <c r="G42" s="5" t="s">
        <v>30</v>
      </c>
      <c r="H42" s="5" t="s">
        <v>30</v>
      </c>
      <c r="I42" s="5" t="s">
        <v>31</v>
      </c>
      <c r="J42" s="5" t="s">
        <v>32</v>
      </c>
      <c r="K42" s="5" t="s">
        <v>33</v>
      </c>
      <c r="L42" s="5" t="s">
        <v>34</v>
      </c>
      <c r="M42" s="156">
        <v>2.9140000000000001</v>
      </c>
      <c r="N42" s="5" t="s">
        <v>50</v>
      </c>
      <c r="O42" s="167">
        <v>2.2499999999999999E-2</v>
      </c>
      <c r="P42" s="167">
        <v>3.9399999999999998E-2</v>
      </c>
      <c r="R42" s="156">
        <v>2500000</v>
      </c>
      <c r="S42" s="168">
        <v>1</v>
      </c>
      <c r="T42" s="170">
        <v>95.37</v>
      </c>
      <c r="U42" s="156">
        <v>2384.25</v>
      </c>
      <c r="W42" s="5" t="s">
        <v>36</v>
      </c>
      <c r="X42" s="167">
        <v>7.2000000000000002E-5</v>
      </c>
      <c r="Y42" s="167">
        <v>4.8382861823340499E-2</v>
      </c>
      <c r="Z42" s="167">
        <v>2.4130340060703699E-2</v>
      </c>
    </row>
    <row r="43" spans="1:26">
      <c r="A43" s="5">
        <v>161</v>
      </c>
      <c r="B43" s="5">
        <v>9942</v>
      </c>
      <c r="C43" s="5" t="s">
        <v>43</v>
      </c>
      <c r="D43" s="5" t="s">
        <v>62</v>
      </c>
      <c r="E43" s="5" t="s">
        <v>63</v>
      </c>
      <c r="F43" s="5" t="s">
        <v>46</v>
      </c>
      <c r="G43" s="5" t="s">
        <v>30</v>
      </c>
      <c r="H43" s="5" t="s">
        <v>30</v>
      </c>
      <c r="I43" s="5" t="s">
        <v>31</v>
      </c>
      <c r="J43" s="5" t="s">
        <v>32</v>
      </c>
      <c r="K43" s="5" t="s">
        <v>33</v>
      </c>
      <c r="L43" s="5" t="s">
        <v>34</v>
      </c>
      <c r="M43" s="156">
        <v>7.9119999999999999</v>
      </c>
      <c r="N43" s="5" t="s">
        <v>64</v>
      </c>
      <c r="O43" s="167">
        <v>0.04</v>
      </c>
      <c r="P43" s="167">
        <v>4.104E-2</v>
      </c>
      <c r="R43" s="156">
        <v>6183000</v>
      </c>
      <c r="S43" s="168">
        <v>1</v>
      </c>
      <c r="T43" s="170">
        <v>101.25</v>
      </c>
      <c r="U43" s="156">
        <v>6260.2879999999996</v>
      </c>
      <c r="W43" s="5" t="s">
        <v>36</v>
      </c>
      <c r="X43" s="167">
        <v>1.74E-4</v>
      </c>
      <c r="Y43" s="167">
        <v>0.12703811474756699</v>
      </c>
      <c r="Z43" s="167">
        <v>6.3358652093015597E-2</v>
      </c>
    </row>
    <row r="44" spans="1:26">
      <c r="A44" s="5">
        <v>161</v>
      </c>
      <c r="B44" s="5">
        <v>9942</v>
      </c>
      <c r="C44" s="5" t="s">
        <v>43</v>
      </c>
      <c r="D44" s="5" t="s">
        <v>95</v>
      </c>
      <c r="E44" s="5" t="s">
        <v>96</v>
      </c>
      <c r="F44" s="5" t="s">
        <v>46</v>
      </c>
      <c r="G44" s="5" t="s">
        <v>30</v>
      </c>
      <c r="H44" s="5" t="s">
        <v>30</v>
      </c>
      <c r="I44" s="5" t="s">
        <v>31</v>
      </c>
      <c r="J44" s="5" t="s">
        <v>32</v>
      </c>
      <c r="K44" s="5" t="s">
        <v>33</v>
      </c>
      <c r="L44" s="5" t="s">
        <v>34</v>
      </c>
      <c r="M44" s="156">
        <v>14.433999999999999</v>
      </c>
      <c r="N44" s="5" t="s">
        <v>97</v>
      </c>
      <c r="O44" s="167">
        <v>3.7499999999999999E-2</v>
      </c>
      <c r="P44" s="167">
        <v>4.4900000000000002E-2</v>
      </c>
      <c r="R44" s="156">
        <v>270000</v>
      </c>
      <c r="S44" s="168">
        <v>1</v>
      </c>
      <c r="T44" s="170">
        <v>91.85</v>
      </c>
      <c r="U44" s="156">
        <v>247.995</v>
      </c>
      <c r="W44" s="5" t="s">
        <v>36</v>
      </c>
      <c r="X44" s="167">
        <v>1.0000000000000001E-5</v>
      </c>
      <c r="Y44" s="167">
        <v>5.0324872886145901E-3</v>
      </c>
      <c r="Z44" s="167">
        <v>2.5098893502586601E-3</v>
      </c>
    </row>
    <row r="45" spans="1:26">
      <c r="A45" s="5">
        <v>161</v>
      </c>
      <c r="B45" s="5">
        <v>9942</v>
      </c>
      <c r="C45" s="5" t="s">
        <v>26</v>
      </c>
      <c r="D45" s="5" t="s">
        <v>65</v>
      </c>
      <c r="E45" s="5" t="s">
        <v>66</v>
      </c>
      <c r="F45" s="5" t="s">
        <v>29</v>
      </c>
      <c r="G45" s="5" t="s">
        <v>30</v>
      </c>
      <c r="H45" s="5" t="s">
        <v>30</v>
      </c>
      <c r="I45" s="5" t="s">
        <v>31</v>
      </c>
      <c r="J45" s="5" t="s">
        <v>32</v>
      </c>
      <c r="K45" s="5" t="s">
        <v>33</v>
      </c>
      <c r="L45" s="5" t="s">
        <v>34</v>
      </c>
      <c r="M45" s="156">
        <v>13.218999999999999</v>
      </c>
      <c r="N45" s="5" t="s">
        <v>67</v>
      </c>
      <c r="O45" s="167">
        <v>2.75E-2</v>
      </c>
      <c r="P45" s="167">
        <v>2.019E-2</v>
      </c>
      <c r="R45" s="156">
        <v>311624</v>
      </c>
      <c r="S45" s="168">
        <v>1</v>
      </c>
      <c r="T45" s="170">
        <v>139.93</v>
      </c>
      <c r="U45" s="156">
        <v>436.05500000000001</v>
      </c>
      <c r="W45" s="5" t="s">
        <v>36</v>
      </c>
      <c r="X45" s="167">
        <v>1.5E-5</v>
      </c>
      <c r="Y45" s="167">
        <v>8.8487412072217105E-3</v>
      </c>
      <c r="Z45" s="167">
        <v>4.41319769837209E-3</v>
      </c>
    </row>
    <row r="46" spans="1:26">
      <c r="A46" s="5">
        <v>161</v>
      </c>
      <c r="B46" s="5">
        <v>9942</v>
      </c>
      <c r="C46" s="5" t="s">
        <v>43</v>
      </c>
      <c r="D46" s="5" t="s">
        <v>98</v>
      </c>
      <c r="E46" s="5" t="s">
        <v>99</v>
      </c>
      <c r="F46" s="5" t="s">
        <v>46</v>
      </c>
      <c r="G46" s="5" t="s">
        <v>30</v>
      </c>
      <c r="H46" s="5" t="s">
        <v>30</v>
      </c>
      <c r="I46" s="5" t="s">
        <v>31</v>
      </c>
      <c r="J46" s="5" t="s">
        <v>32</v>
      </c>
      <c r="K46" s="5" t="s">
        <v>33</v>
      </c>
      <c r="L46" s="5" t="s">
        <v>34</v>
      </c>
      <c r="M46" s="156">
        <v>1.008</v>
      </c>
      <c r="N46" s="5" t="s">
        <v>100</v>
      </c>
      <c r="O46" s="167">
        <v>6.25E-2</v>
      </c>
      <c r="P46" s="167">
        <v>3.9019999999999999E-2</v>
      </c>
      <c r="R46" s="156">
        <v>230000</v>
      </c>
      <c r="S46" s="168">
        <v>1</v>
      </c>
      <c r="T46" s="170">
        <v>108.22</v>
      </c>
      <c r="U46" s="156">
        <v>248.90600000000001</v>
      </c>
      <c r="W46" s="5" t="s">
        <v>36</v>
      </c>
      <c r="X46" s="167">
        <v>1.5E-5</v>
      </c>
      <c r="Y46" s="167">
        <v>5.0509739351999204E-3</v>
      </c>
      <c r="Z46" s="167">
        <v>2.5191093312989399E-3</v>
      </c>
    </row>
    <row r="47" spans="1:26">
      <c r="A47" s="5">
        <v>161</v>
      </c>
      <c r="B47" s="5">
        <v>9942</v>
      </c>
      <c r="C47" s="5" t="s">
        <v>43</v>
      </c>
      <c r="D47" s="5" t="s">
        <v>68</v>
      </c>
      <c r="E47" s="5" t="s">
        <v>69</v>
      </c>
      <c r="F47" s="5" t="s">
        <v>46</v>
      </c>
      <c r="G47" s="5" t="s">
        <v>30</v>
      </c>
      <c r="H47" s="5" t="s">
        <v>30</v>
      </c>
      <c r="I47" s="5" t="s">
        <v>31</v>
      </c>
      <c r="J47" s="5" t="s">
        <v>32</v>
      </c>
      <c r="K47" s="5" t="s">
        <v>33</v>
      </c>
      <c r="L47" s="5" t="s">
        <v>34</v>
      </c>
      <c r="M47" s="156">
        <v>11.16</v>
      </c>
      <c r="N47" s="5" t="s">
        <v>70</v>
      </c>
      <c r="O47" s="167">
        <v>5.5E-2</v>
      </c>
      <c r="P47" s="167">
        <v>4.3470000000000002E-2</v>
      </c>
      <c r="R47" s="156">
        <v>3452119</v>
      </c>
      <c r="S47" s="168">
        <v>1</v>
      </c>
      <c r="T47" s="170">
        <v>117</v>
      </c>
      <c r="U47" s="156">
        <v>4038.9789999999998</v>
      </c>
      <c r="W47" s="5" t="s">
        <v>36</v>
      </c>
      <c r="X47" s="167">
        <v>1.11E-4</v>
      </c>
      <c r="Y47" s="167">
        <v>8.19617800115056E-2</v>
      </c>
      <c r="Z47" s="167">
        <v>4.0877400573773301E-2</v>
      </c>
    </row>
    <row r="48" spans="1:26">
      <c r="A48" s="5">
        <v>161</v>
      </c>
      <c r="B48" s="5">
        <v>9942</v>
      </c>
      <c r="C48" s="5" t="s">
        <v>26</v>
      </c>
      <c r="D48" s="5" t="s">
        <v>37</v>
      </c>
      <c r="E48" s="5" t="s">
        <v>38</v>
      </c>
      <c r="F48" s="5" t="s">
        <v>29</v>
      </c>
      <c r="G48" s="5" t="s">
        <v>30</v>
      </c>
      <c r="H48" s="5" t="s">
        <v>30</v>
      </c>
      <c r="I48" s="5" t="s">
        <v>31</v>
      </c>
      <c r="J48" s="5" t="s">
        <v>32</v>
      </c>
      <c r="K48" s="5" t="s">
        <v>33</v>
      </c>
      <c r="L48" s="5" t="s">
        <v>34</v>
      </c>
      <c r="M48" s="156">
        <v>3.621</v>
      </c>
      <c r="N48" s="5" t="s">
        <v>39</v>
      </c>
      <c r="O48" s="167">
        <v>5.0000000000000001E-3</v>
      </c>
      <c r="P48" s="167">
        <v>1.9359999999999999E-2</v>
      </c>
      <c r="R48" s="156">
        <v>2853000</v>
      </c>
      <c r="S48" s="168">
        <v>1</v>
      </c>
      <c r="T48" s="170">
        <v>113</v>
      </c>
      <c r="U48" s="156">
        <v>3223.89</v>
      </c>
      <c r="W48" s="5" t="s">
        <v>36</v>
      </c>
      <c r="X48" s="167">
        <v>9.7E-5</v>
      </c>
      <c r="Y48" s="167">
        <v>6.5421421580643499E-2</v>
      </c>
      <c r="Z48" s="167">
        <v>3.2628106120709599E-2</v>
      </c>
    </row>
    <row r="49" spans="1:26">
      <c r="A49" s="5">
        <v>161</v>
      </c>
      <c r="B49" s="5">
        <v>9942</v>
      </c>
      <c r="C49" s="5" t="s">
        <v>26</v>
      </c>
      <c r="D49" s="5" t="s">
        <v>40</v>
      </c>
      <c r="E49" s="5" t="s">
        <v>41</v>
      </c>
      <c r="F49" s="5" t="s">
        <v>29</v>
      </c>
      <c r="G49" s="5" t="s">
        <v>30</v>
      </c>
      <c r="H49" s="5" t="s">
        <v>30</v>
      </c>
      <c r="I49" s="5" t="s">
        <v>31</v>
      </c>
      <c r="J49" s="5" t="s">
        <v>32</v>
      </c>
      <c r="K49" s="5" t="s">
        <v>33</v>
      </c>
      <c r="L49" s="5" t="s">
        <v>34</v>
      </c>
      <c r="M49" s="156">
        <v>0.81599999999999995</v>
      </c>
      <c r="N49" s="5" t="s">
        <v>42</v>
      </c>
      <c r="O49" s="167">
        <v>1E-3</v>
      </c>
      <c r="P49" s="167">
        <v>2.7019999999999999E-2</v>
      </c>
      <c r="R49" s="156">
        <v>2816750</v>
      </c>
      <c r="S49" s="168">
        <v>1</v>
      </c>
      <c r="T49" s="170">
        <v>116.31</v>
      </c>
      <c r="U49" s="156">
        <v>3276.1619999999998</v>
      </c>
      <c r="W49" s="5" t="s">
        <v>36</v>
      </c>
      <c r="X49" s="167">
        <v>1.3899999999999999E-4</v>
      </c>
      <c r="Y49" s="167">
        <v>6.6482159894375295E-2</v>
      </c>
      <c r="Z49" s="167">
        <v>3.3157135931290597E-2</v>
      </c>
    </row>
    <row r="50" spans="1:26">
      <c r="A50" s="5">
        <v>161</v>
      </c>
      <c r="B50" s="5">
        <v>9942</v>
      </c>
      <c r="C50" s="5" t="s">
        <v>26</v>
      </c>
      <c r="D50" s="5" t="s">
        <v>51</v>
      </c>
      <c r="E50" s="5" t="s">
        <v>52</v>
      </c>
      <c r="F50" s="5" t="s">
        <v>29</v>
      </c>
      <c r="G50" s="5" t="s">
        <v>30</v>
      </c>
      <c r="H50" s="5" t="s">
        <v>30</v>
      </c>
      <c r="I50" s="5" t="s">
        <v>31</v>
      </c>
      <c r="J50" s="5" t="s">
        <v>32</v>
      </c>
      <c r="K50" s="5" t="s">
        <v>33</v>
      </c>
      <c r="L50" s="5" t="s">
        <v>34</v>
      </c>
      <c r="M50" s="156">
        <v>3.0049999999999999</v>
      </c>
      <c r="N50" s="5" t="s">
        <v>53</v>
      </c>
      <c r="O50" s="167">
        <v>1.0999999999999999E-2</v>
      </c>
      <c r="P50" s="167">
        <v>1.9990000000000001E-2</v>
      </c>
      <c r="R50" s="156">
        <v>8109212</v>
      </c>
      <c r="S50" s="168">
        <v>1</v>
      </c>
      <c r="T50" s="170">
        <v>105.65</v>
      </c>
      <c r="U50" s="156">
        <v>8567.3819999999996</v>
      </c>
      <c r="W50" s="5" t="s">
        <v>36</v>
      </c>
      <c r="X50" s="167">
        <v>2.5799999999999998E-4</v>
      </c>
      <c r="Y50" s="167">
        <v>0.173855293119758</v>
      </c>
      <c r="Z50" s="167">
        <v>8.6708127345812805E-2</v>
      </c>
    </row>
    <row r="51" spans="1:26">
      <c r="A51" s="5">
        <v>161</v>
      </c>
      <c r="B51" s="5">
        <v>9942</v>
      </c>
      <c r="C51" s="5" t="s">
        <v>26</v>
      </c>
      <c r="D51" s="5" t="s">
        <v>101</v>
      </c>
      <c r="E51" s="5" t="s">
        <v>102</v>
      </c>
      <c r="F51" s="5" t="s">
        <v>29</v>
      </c>
      <c r="G51" s="5" t="s">
        <v>30</v>
      </c>
      <c r="H51" s="5" t="s">
        <v>30</v>
      </c>
      <c r="I51" s="5" t="s">
        <v>31</v>
      </c>
      <c r="J51" s="5" t="s">
        <v>32</v>
      </c>
      <c r="K51" s="5" t="s">
        <v>33</v>
      </c>
      <c r="L51" s="5" t="s">
        <v>34</v>
      </c>
      <c r="M51" s="156">
        <v>7.5170000000000003</v>
      </c>
      <c r="N51" s="5" t="s">
        <v>103</v>
      </c>
      <c r="O51" s="167">
        <v>1.6E-2</v>
      </c>
      <c r="P51" s="167">
        <v>1.951E-2</v>
      </c>
      <c r="R51" s="156">
        <v>280000</v>
      </c>
      <c r="S51" s="168">
        <v>1</v>
      </c>
      <c r="T51" s="170">
        <v>105.4</v>
      </c>
      <c r="U51" s="156">
        <v>295.12</v>
      </c>
      <c r="W51" s="5" t="s">
        <v>36</v>
      </c>
      <c r="X51" s="167">
        <v>1.1E-5</v>
      </c>
      <c r="Y51" s="167">
        <v>5.9887806149960202E-3</v>
      </c>
      <c r="Z51" s="167">
        <v>2.98682854512525E-3</v>
      </c>
    </row>
    <row r="52" spans="1:26">
      <c r="A52" s="5">
        <v>161</v>
      </c>
      <c r="B52" s="5">
        <v>9942</v>
      </c>
      <c r="C52" s="5" t="s">
        <v>43</v>
      </c>
      <c r="D52" s="5" t="s">
        <v>71</v>
      </c>
      <c r="E52" s="5" t="s">
        <v>72</v>
      </c>
      <c r="F52" s="5" t="s">
        <v>46</v>
      </c>
      <c r="G52" s="5" t="s">
        <v>30</v>
      </c>
      <c r="H52" s="5" t="s">
        <v>30</v>
      </c>
      <c r="I52" s="5" t="s">
        <v>31</v>
      </c>
      <c r="J52" s="5" t="s">
        <v>32</v>
      </c>
      <c r="K52" s="5" t="s">
        <v>33</v>
      </c>
      <c r="L52" s="5" t="s">
        <v>34</v>
      </c>
      <c r="M52" s="156">
        <v>4.3780000000000001</v>
      </c>
      <c r="N52" s="5" t="s">
        <v>73</v>
      </c>
      <c r="O52" s="167">
        <v>0.01</v>
      </c>
      <c r="P52" s="167">
        <v>3.934E-2</v>
      </c>
      <c r="R52" s="156">
        <v>5700000</v>
      </c>
      <c r="S52" s="168">
        <v>1</v>
      </c>
      <c r="T52" s="170">
        <v>88.66</v>
      </c>
      <c r="U52" s="156">
        <v>5053.62</v>
      </c>
      <c r="W52" s="5" t="s">
        <v>36</v>
      </c>
      <c r="X52" s="167">
        <v>1.5100000000000001E-4</v>
      </c>
      <c r="Y52" s="167">
        <v>0.102551577295867</v>
      </c>
      <c r="Z52" s="167">
        <v>5.1146301410327499E-2</v>
      </c>
    </row>
    <row r="53" spans="1:26">
      <c r="A53" s="5">
        <v>161</v>
      </c>
      <c r="B53" s="5">
        <v>9942</v>
      </c>
      <c r="C53" s="5" t="s">
        <v>43</v>
      </c>
      <c r="D53" s="5" t="s">
        <v>44</v>
      </c>
      <c r="E53" s="5" t="s">
        <v>45</v>
      </c>
      <c r="F53" s="5" t="s">
        <v>46</v>
      </c>
      <c r="G53" s="5" t="s">
        <v>30</v>
      </c>
      <c r="H53" s="5" t="s">
        <v>30</v>
      </c>
      <c r="I53" s="5" t="s">
        <v>31</v>
      </c>
      <c r="J53" s="5" t="s">
        <v>32</v>
      </c>
      <c r="K53" s="5" t="s">
        <v>33</v>
      </c>
      <c r="L53" s="5" t="s">
        <v>34</v>
      </c>
      <c r="M53" s="156">
        <v>6.2750000000000004</v>
      </c>
      <c r="N53" s="5" t="s">
        <v>47</v>
      </c>
      <c r="O53" s="167">
        <v>1.2999999999999999E-2</v>
      </c>
      <c r="P53" s="167">
        <v>4.027E-2</v>
      </c>
      <c r="R53" s="156">
        <v>3350000</v>
      </c>
      <c r="S53" s="168">
        <v>1</v>
      </c>
      <c r="T53" s="170">
        <v>85.09</v>
      </c>
      <c r="U53" s="156">
        <v>2850.5149999999999</v>
      </c>
      <c r="W53" s="5" t="s">
        <v>36</v>
      </c>
      <c r="X53" s="167">
        <v>9.2E-5</v>
      </c>
      <c r="Y53" s="167">
        <v>5.7844635994698398E-2</v>
      </c>
      <c r="Z53" s="167">
        <v>2.88492801921513E-2</v>
      </c>
    </row>
    <row r="54" spans="1:26">
      <c r="A54" s="5">
        <v>161</v>
      </c>
      <c r="B54" s="5">
        <v>9942</v>
      </c>
      <c r="C54" s="5" t="s">
        <v>77</v>
      </c>
      <c r="D54" s="5" t="s">
        <v>78</v>
      </c>
      <c r="E54" s="5" t="s">
        <v>79</v>
      </c>
      <c r="F54" s="5" t="s">
        <v>80</v>
      </c>
      <c r="G54" s="5" t="s">
        <v>81</v>
      </c>
      <c r="H54" s="5" t="s">
        <v>82</v>
      </c>
      <c r="I54" s="5" t="s">
        <v>83</v>
      </c>
      <c r="J54" s="5" t="s">
        <v>84</v>
      </c>
      <c r="K54" s="5" t="s">
        <v>85</v>
      </c>
      <c r="L54" s="5" t="s">
        <v>86</v>
      </c>
      <c r="M54" s="156">
        <v>6.6630000000000003</v>
      </c>
      <c r="N54" s="5" t="s">
        <v>87</v>
      </c>
      <c r="O54" s="167">
        <v>3.3750000000000002E-2</v>
      </c>
      <c r="P54" s="167">
        <v>3.952E-2</v>
      </c>
      <c r="R54" s="156">
        <v>239000</v>
      </c>
      <c r="S54" s="168">
        <v>3.306</v>
      </c>
      <c r="T54" s="170">
        <v>97.343000000000004</v>
      </c>
      <c r="U54" s="156">
        <v>769.13800000000003</v>
      </c>
      <c r="W54" s="5" t="s">
        <v>36</v>
      </c>
      <c r="X54" s="167">
        <v>1.9999999999999999E-6</v>
      </c>
      <c r="Y54" s="167">
        <v>1.5607883773998899E-2</v>
      </c>
      <c r="Z54" s="167">
        <v>7.7842345181996803E-3</v>
      </c>
    </row>
    <row r="55" spans="1:26">
      <c r="A55" s="5">
        <v>161</v>
      </c>
      <c r="B55" s="5">
        <v>9942</v>
      </c>
      <c r="C55" s="5" t="s">
        <v>88</v>
      </c>
      <c r="D55" s="5" t="s">
        <v>89</v>
      </c>
      <c r="E55" s="5" t="s">
        <v>90</v>
      </c>
      <c r="F55" s="5" t="s">
        <v>80</v>
      </c>
      <c r="G55" s="5" t="s">
        <v>81</v>
      </c>
      <c r="H55" s="5" t="s">
        <v>82</v>
      </c>
      <c r="I55" s="5" t="s">
        <v>83</v>
      </c>
      <c r="J55" s="5" t="s">
        <v>84</v>
      </c>
      <c r="K55" s="5" t="s">
        <v>85</v>
      </c>
      <c r="L55" s="5" t="s">
        <v>86</v>
      </c>
      <c r="M55" s="156">
        <v>7.6950000000000003</v>
      </c>
      <c r="N55" s="5" t="s">
        <v>91</v>
      </c>
      <c r="O55" s="167">
        <v>4.6249999999999999E-2</v>
      </c>
      <c r="P55" s="167">
        <v>4.086E-2</v>
      </c>
      <c r="R55" s="156">
        <v>208000</v>
      </c>
      <c r="S55" s="168">
        <v>3.306</v>
      </c>
      <c r="T55" s="170">
        <v>104.565</v>
      </c>
      <c r="U55" s="156">
        <v>719.03899999999999</v>
      </c>
      <c r="W55" s="5" t="s">
        <v>36</v>
      </c>
      <c r="X55" s="167">
        <v>9.9999999999999995E-7</v>
      </c>
      <c r="Y55" s="167">
        <v>1.4591245629676199E-2</v>
      </c>
      <c r="Z55" s="167">
        <v>7.27719910903431E-3</v>
      </c>
    </row>
    <row r="56" spans="1:26">
      <c r="A56" s="5">
        <v>161</v>
      </c>
      <c r="B56" s="5">
        <v>9943</v>
      </c>
      <c r="C56" s="5" t="s">
        <v>54</v>
      </c>
      <c r="D56" s="5" t="s">
        <v>55</v>
      </c>
      <c r="E56" s="5" t="s">
        <v>56</v>
      </c>
      <c r="F56" s="5" t="s">
        <v>57</v>
      </c>
      <c r="G56" s="5" t="s">
        <v>30</v>
      </c>
      <c r="H56" s="5" t="s">
        <v>30</v>
      </c>
      <c r="I56" s="5" t="s">
        <v>31</v>
      </c>
      <c r="J56" s="5" t="s">
        <v>32</v>
      </c>
      <c r="K56" s="5" t="s">
        <v>33</v>
      </c>
      <c r="L56" s="5" t="s">
        <v>34</v>
      </c>
      <c r="M56" s="156">
        <v>0.159</v>
      </c>
      <c r="N56" s="5" t="s">
        <v>58</v>
      </c>
      <c r="O56" s="167">
        <v>0</v>
      </c>
      <c r="P56" s="167">
        <v>4.4540000000000003E-2</v>
      </c>
      <c r="R56" s="156">
        <v>2000000</v>
      </c>
      <c r="S56" s="168">
        <v>1</v>
      </c>
      <c r="T56" s="170">
        <v>99.31</v>
      </c>
      <c r="U56" s="156">
        <v>1986.2</v>
      </c>
      <c r="W56" s="5" t="s">
        <v>36</v>
      </c>
      <c r="X56" s="167">
        <v>6.7000000000000002E-5</v>
      </c>
      <c r="Y56" s="167">
        <v>5.8126179199563801E-3</v>
      </c>
      <c r="Z56" s="167">
        <v>1.0209837063871799E-3</v>
      </c>
    </row>
    <row r="57" spans="1:26">
      <c r="A57" s="5">
        <v>161</v>
      </c>
      <c r="B57" s="5">
        <v>9943</v>
      </c>
      <c r="C57" s="5" t="s">
        <v>54</v>
      </c>
      <c r="D57" s="5" t="s">
        <v>59</v>
      </c>
      <c r="E57" s="5" t="s">
        <v>60</v>
      </c>
      <c r="F57" s="5" t="s">
        <v>57</v>
      </c>
      <c r="G57" s="5" t="s">
        <v>30</v>
      </c>
      <c r="H57" s="5" t="s">
        <v>30</v>
      </c>
      <c r="I57" s="5" t="s">
        <v>31</v>
      </c>
      <c r="J57" s="5" t="s">
        <v>32</v>
      </c>
      <c r="K57" s="5" t="s">
        <v>33</v>
      </c>
      <c r="L57" s="5" t="s">
        <v>34</v>
      </c>
      <c r="M57" s="156">
        <v>8.2000000000000003E-2</v>
      </c>
      <c r="N57" s="5" t="s">
        <v>61</v>
      </c>
      <c r="O57" s="167">
        <v>0</v>
      </c>
      <c r="P57" s="167">
        <v>4.7410000000000001E-2</v>
      </c>
      <c r="R57" s="156">
        <v>20000000</v>
      </c>
      <c r="S57" s="168">
        <v>1</v>
      </c>
      <c r="T57" s="170">
        <v>99.62</v>
      </c>
      <c r="U57" s="156">
        <v>19924</v>
      </c>
      <c r="W57" s="5" t="s">
        <v>36</v>
      </c>
      <c r="X57" s="167">
        <v>7.1400000000000001E-4</v>
      </c>
      <c r="Y57" s="167">
        <v>5.8307622312562098E-2</v>
      </c>
      <c r="Z57" s="167">
        <v>1.02417074645344E-2</v>
      </c>
    </row>
    <row r="58" spans="1:26">
      <c r="A58" s="5">
        <v>161</v>
      </c>
      <c r="B58" s="5">
        <v>9943</v>
      </c>
      <c r="C58" s="5" t="s">
        <v>26</v>
      </c>
      <c r="D58" s="5" t="s">
        <v>110</v>
      </c>
      <c r="E58" s="5" t="s">
        <v>111</v>
      </c>
      <c r="F58" s="5" t="s">
        <v>29</v>
      </c>
      <c r="G58" s="5" t="s">
        <v>30</v>
      </c>
      <c r="H58" s="5" t="s">
        <v>30</v>
      </c>
      <c r="I58" s="5" t="s">
        <v>31</v>
      </c>
      <c r="J58" s="5" t="s">
        <v>32</v>
      </c>
      <c r="K58" s="5" t="s">
        <v>33</v>
      </c>
      <c r="L58" s="5" t="s">
        <v>34</v>
      </c>
      <c r="M58" s="156">
        <v>17.658000000000001</v>
      </c>
      <c r="N58" s="5" t="s">
        <v>112</v>
      </c>
      <c r="O58" s="167">
        <v>0.01</v>
      </c>
      <c r="P58" s="167">
        <v>2.0719999999999999E-2</v>
      </c>
      <c r="R58" s="156">
        <v>251406</v>
      </c>
      <c r="S58" s="168">
        <v>1</v>
      </c>
      <c r="T58" s="170">
        <v>99.57</v>
      </c>
      <c r="U58" s="156">
        <v>250.32499999999999</v>
      </c>
      <c r="W58" s="5" t="s">
        <v>36</v>
      </c>
      <c r="X58" s="167">
        <v>1.1E-5</v>
      </c>
      <c r="Y58" s="167">
        <v>7.3257643469699896E-4</v>
      </c>
      <c r="Z58" s="167">
        <v>1.2867671913217101E-4</v>
      </c>
    </row>
    <row r="59" spans="1:26">
      <c r="A59" s="5">
        <v>161</v>
      </c>
      <c r="B59" s="5">
        <v>9943</v>
      </c>
      <c r="C59" s="5" t="s">
        <v>26</v>
      </c>
      <c r="D59" s="5" t="s">
        <v>27</v>
      </c>
      <c r="E59" s="5" t="s">
        <v>28</v>
      </c>
      <c r="F59" s="5" t="s">
        <v>29</v>
      </c>
      <c r="G59" s="5" t="s">
        <v>30</v>
      </c>
      <c r="H59" s="5" t="s">
        <v>30</v>
      </c>
      <c r="I59" s="5" t="s">
        <v>31</v>
      </c>
      <c r="J59" s="5" t="s">
        <v>32</v>
      </c>
      <c r="K59" s="5" t="s">
        <v>33</v>
      </c>
      <c r="L59" s="5" t="s">
        <v>34</v>
      </c>
      <c r="M59" s="156">
        <v>6.1310000000000002</v>
      </c>
      <c r="N59" s="5" t="s">
        <v>35</v>
      </c>
      <c r="O59" s="167">
        <v>1E-3</v>
      </c>
      <c r="P59" s="167">
        <v>1.9009999999999999E-2</v>
      </c>
      <c r="R59" s="156">
        <v>7460000</v>
      </c>
      <c r="S59" s="168">
        <v>1</v>
      </c>
      <c r="T59" s="170">
        <v>106.54</v>
      </c>
      <c r="U59" s="156">
        <v>7947.884</v>
      </c>
      <c r="W59" s="5" t="s">
        <v>36</v>
      </c>
      <c r="X59" s="167">
        <v>2.1800000000000001E-4</v>
      </c>
      <c r="Y59" s="167">
        <v>2.3259497011446299E-2</v>
      </c>
      <c r="Z59" s="167">
        <v>4.08552012096233E-3</v>
      </c>
    </row>
    <row r="60" spans="1:26">
      <c r="A60" s="5">
        <v>161</v>
      </c>
      <c r="B60" s="5">
        <v>9943</v>
      </c>
      <c r="C60" s="5" t="s">
        <v>43</v>
      </c>
      <c r="D60" s="5" t="s">
        <v>62</v>
      </c>
      <c r="E60" s="5" t="s">
        <v>63</v>
      </c>
      <c r="F60" s="5" t="s">
        <v>46</v>
      </c>
      <c r="G60" s="5" t="s">
        <v>30</v>
      </c>
      <c r="H60" s="5" t="s">
        <v>30</v>
      </c>
      <c r="I60" s="5" t="s">
        <v>31</v>
      </c>
      <c r="J60" s="5" t="s">
        <v>32</v>
      </c>
      <c r="K60" s="5" t="s">
        <v>33</v>
      </c>
      <c r="L60" s="5" t="s">
        <v>34</v>
      </c>
      <c r="M60" s="156">
        <v>7.9119999999999999</v>
      </c>
      <c r="N60" s="5" t="s">
        <v>64</v>
      </c>
      <c r="O60" s="167">
        <v>0.04</v>
      </c>
      <c r="P60" s="167">
        <v>4.104E-2</v>
      </c>
      <c r="R60" s="156">
        <v>26948000</v>
      </c>
      <c r="S60" s="168">
        <v>1</v>
      </c>
      <c r="T60" s="170">
        <v>101.25</v>
      </c>
      <c r="U60" s="156">
        <v>27284.85</v>
      </c>
      <c r="W60" s="5" t="s">
        <v>36</v>
      </c>
      <c r="X60" s="167">
        <v>7.5799999999999999E-4</v>
      </c>
      <c r="Y60" s="167">
        <v>7.98491632531073E-2</v>
      </c>
      <c r="Z60" s="167">
        <v>1.40254693793265E-2</v>
      </c>
    </row>
    <row r="61" spans="1:26">
      <c r="A61" s="5">
        <v>161</v>
      </c>
      <c r="B61" s="5">
        <v>9943</v>
      </c>
      <c r="C61" s="5" t="s">
        <v>43</v>
      </c>
      <c r="D61" s="5" t="s">
        <v>95</v>
      </c>
      <c r="E61" s="5" t="s">
        <v>96</v>
      </c>
      <c r="F61" s="5" t="s">
        <v>46</v>
      </c>
      <c r="G61" s="5" t="s">
        <v>30</v>
      </c>
      <c r="H61" s="5" t="s">
        <v>30</v>
      </c>
      <c r="I61" s="5" t="s">
        <v>31</v>
      </c>
      <c r="J61" s="5" t="s">
        <v>32</v>
      </c>
      <c r="K61" s="5" t="s">
        <v>33</v>
      </c>
      <c r="L61" s="5" t="s">
        <v>34</v>
      </c>
      <c r="M61" s="156">
        <v>14.433999999999999</v>
      </c>
      <c r="N61" s="5" t="s">
        <v>97</v>
      </c>
      <c r="O61" s="167">
        <v>3.7499999999999999E-2</v>
      </c>
      <c r="P61" s="167">
        <v>4.4900000000000002E-2</v>
      </c>
      <c r="R61" s="156">
        <v>7396012</v>
      </c>
      <c r="S61" s="168">
        <v>1</v>
      </c>
      <c r="T61" s="170">
        <v>91.85</v>
      </c>
      <c r="U61" s="156">
        <v>6793.2370000000001</v>
      </c>
      <c r="W61" s="5" t="s">
        <v>36</v>
      </c>
      <c r="X61" s="167">
        <v>2.8200000000000002E-4</v>
      </c>
      <c r="Y61" s="167">
        <v>1.9880420525922999E-2</v>
      </c>
      <c r="Z61" s="167">
        <v>3.4919868659189302E-3</v>
      </c>
    </row>
    <row r="62" spans="1:26">
      <c r="A62" s="5">
        <v>161</v>
      </c>
      <c r="B62" s="5">
        <v>9943</v>
      </c>
      <c r="C62" s="5" t="s">
        <v>43</v>
      </c>
      <c r="D62" s="5" t="s">
        <v>98</v>
      </c>
      <c r="E62" s="5" t="s">
        <v>99</v>
      </c>
      <c r="F62" s="5" t="s">
        <v>46</v>
      </c>
      <c r="G62" s="5" t="s">
        <v>30</v>
      </c>
      <c r="H62" s="5" t="s">
        <v>30</v>
      </c>
      <c r="I62" s="5" t="s">
        <v>31</v>
      </c>
      <c r="J62" s="5" t="s">
        <v>32</v>
      </c>
      <c r="K62" s="5" t="s">
        <v>33</v>
      </c>
      <c r="L62" s="5" t="s">
        <v>34</v>
      </c>
      <c r="M62" s="156">
        <v>1.008</v>
      </c>
      <c r="N62" s="5" t="s">
        <v>100</v>
      </c>
      <c r="O62" s="167">
        <v>6.25E-2</v>
      </c>
      <c r="P62" s="167">
        <v>3.9019999999999999E-2</v>
      </c>
      <c r="R62" s="156">
        <v>2100000</v>
      </c>
      <c r="S62" s="168">
        <v>1</v>
      </c>
      <c r="T62" s="170">
        <v>108.22</v>
      </c>
      <c r="U62" s="156">
        <v>2272.62</v>
      </c>
      <c r="W62" s="5" t="s">
        <v>36</v>
      </c>
      <c r="X62" s="167">
        <v>1.4100000000000001E-4</v>
      </c>
      <c r="Y62" s="167">
        <v>6.6508265719722398E-3</v>
      </c>
      <c r="Z62" s="167">
        <v>1.16821467667387E-3</v>
      </c>
    </row>
    <row r="63" spans="1:26">
      <c r="A63" s="5">
        <v>161</v>
      </c>
      <c r="B63" s="5">
        <v>9943</v>
      </c>
      <c r="C63" s="5" t="s">
        <v>43</v>
      </c>
      <c r="D63" s="5" t="s">
        <v>68</v>
      </c>
      <c r="E63" s="5" t="s">
        <v>69</v>
      </c>
      <c r="F63" s="5" t="s">
        <v>46</v>
      </c>
      <c r="G63" s="5" t="s">
        <v>30</v>
      </c>
      <c r="H63" s="5" t="s">
        <v>30</v>
      </c>
      <c r="I63" s="5" t="s">
        <v>31</v>
      </c>
      <c r="J63" s="5" t="s">
        <v>32</v>
      </c>
      <c r="K63" s="5" t="s">
        <v>33</v>
      </c>
      <c r="L63" s="5" t="s">
        <v>34</v>
      </c>
      <c r="M63" s="156">
        <v>11.16</v>
      </c>
      <c r="N63" s="5" t="s">
        <v>70</v>
      </c>
      <c r="O63" s="167">
        <v>5.5E-2</v>
      </c>
      <c r="P63" s="167">
        <v>4.3470000000000002E-2</v>
      </c>
      <c r="R63" s="156">
        <v>20960751</v>
      </c>
      <c r="S63" s="168">
        <v>1</v>
      </c>
      <c r="T63" s="170">
        <v>117</v>
      </c>
      <c r="U63" s="156">
        <v>24524.079000000002</v>
      </c>
      <c r="W63" s="5" t="s">
        <v>36</v>
      </c>
      <c r="X63" s="167">
        <v>6.7599999999999995E-4</v>
      </c>
      <c r="Y63" s="167">
        <v>7.1769760924208004E-2</v>
      </c>
      <c r="Z63" s="167">
        <v>1.2606326017635399E-2</v>
      </c>
    </row>
    <row r="64" spans="1:26">
      <c r="A64" s="5">
        <v>161</v>
      </c>
      <c r="B64" s="5">
        <v>9943</v>
      </c>
      <c r="C64" s="5" t="s">
        <v>26</v>
      </c>
      <c r="D64" s="5" t="s">
        <v>37</v>
      </c>
      <c r="E64" s="5" t="s">
        <v>38</v>
      </c>
      <c r="F64" s="5" t="s">
        <v>29</v>
      </c>
      <c r="G64" s="5" t="s">
        <v>30</v>
      </c>
      <c r="H64" s="5" t="s">
        <v>30</v>
      </c>
      <c r="I64" s="5" t="s">
        <v>31</v>
      </c>
      <c r="J64" s="5" t="s">
        <v>32</v>
      </c>
      <c r="K64" s="5" t="s">
        <v>33</v>
      </c>
      <c r="L64" s="5" t="s">
        <v>34</v>
      </c>
      <c r="M64" s="156">
        <v>3.621</v>
      </c>
      <c r="N64" s="5" t="s">
        <v>39</v>
      </c>
      <c r="O64" s="167">
        <v>5.0000000000000001E-3</v>
      </c>
      <c r="P64" s="167">
        <v>1.9359999999999999E-2</v>
      </c>
      <c r="R64" s="156">
        <v>25514255</v>
      </c>
      <c r="S64" s="168">
        <v>1</v>
      </c>
      <c r="T64" s="170">
        <v>113</v>
      </c>
      <c r="U64" s="156">
        <v>28831.108</v>
      </c>
      <c r="W64" s="5" t="s">
        <v>36</v>
      </c>
      <c r="X64" s="167">
        <v>8.6700000000000004E-4</v>
      </c>
      <c r="Y64" s="167">
        <v>8.4374290547220995E-2</v>
      </c>
      <c r="Z64" s="167">
        <v>1.4820305940105E-2</v>
      </c>
    </row>
    <row r="65" spans="1:26">
      <c r="A65" s="5">
        <v>161</v>
      </c>
      <c r="B65" s="5">
        <v>9943</v>
      </c>
      <c r="C65" s="5" t="s">
        <v>26</v>
      </c>
      <c r="D65" s="5" t="s">
        <v>51</v>
      </c>
      <c r="E65" s="5" t="s">
        <v>52</v>
      </c>
      <c r="F65" s="5" t="s">
        <v>29</v>
      </c>
      <c r="G65" s="5" t="s">
        <v>30</v>
      </c>
      <c r="H65" s="5" t="s">
        <v>30</v>
      </c>
      <c r="I65" s="5" t="s">
        <v>31</v>
      </c>
      <c r="J65" s="5" t="s">
        <v>32</v>
      </c>
      <c r="K65" s="5" t="s">
        <v>33</v>
      </c>
      <c r="L65" s="5" t="s">
        <v>34</v>
      </c>
      <c r="M65" s="156">
        <v>3.0049999999999999</v>
      </c>
      <c r="N65" s="5" t="s">
        <v>53</v>
      </c>
      <c r="O65" s="167">
        <v>1.0999999999999999E-2</v>
      </c>
      <c r="P65" s="167">
        <v>1.9990000000000001E-2</v>
      </c>
      <c r="R65" s="156">
        <v>6811379</v>
      </c>
      <c r="S65" s="168">
        <v>1</v>
      </c>
      <c r="T65" s="170">
        <v>105.65</v>
      </c>
      <c r="U65" s="156">
        <v>7196.2219999999998</v>
      </c>
      <c r="W65" s="5" t="s">
        <v>36</v>
      </c>
      <c r="X65" s="167">
        <v>2.1699999999999999E-4</v>
      </c>
      <c r="Y65" s="167">
        <v>2.1059756545359399E-2</v>
      </c>
      <c r="Z65" s="167">
        <v>3.6991367038716502E-3</v>
      </c>
    </row>
    <row r="66" spans="1:26">
      <c r="A66" s="5">
        <v>161</v>
      </c>
      <c r="B66" s="5">
        <v>9943</v>
      </c>
      <c r="C66" s="5" t="s">
        <v>43</v>
      </c>
      <c r="D66" s="5" t="s">
        <v>113</v>
      </c>
      <c r="E66" s="5" t="s">
        <v>114</v>
      </c>
      <c r="F66" s="5" t="s">
        <v>46</v>
      </c>
      <c r="G66" s="5" t="s">
        <v>30</v>
      </c>
      <c r="H66" s="5" t="s">
        <v>30</v>
      </c>
      <c r="I66" s="5" t="s">
        <v>31</v>
      </c>
      <c r="J66" s="5" t="s">
        <v>32</v>
      </c>
      <c r="K66" s="5" t="s">
        <v>33</v>
      </c>
      <c r="L66" s="5" t="s">
        <v>34</v>
      </c>
      <c r="M66" s="156">
        <v>10.542999999999999</v>
      </c>
      <c r="N66" s="5" t="s">
        <v>115</v>
      </c>
      <c r="O66" s="167">
        <v>1.4999999999999999E-2</v>
      </c>
      <c r="P66" s="167">
        <v>4.2119999999999998E-2</v>
      </c>
      <c r="R66" s="156">
        <v>13915265</v>
      </c>
      <c r="S66" s="168">
        <v>1</v>
      </c>
      <c r="T66" s="170">
        <v>75.94</v>
      </c>
      <c r="U66" s="156">
        <v>10567.252</v>
      </c>
      <c r="W66" s="5" t="s">
        <v>36</v>
      </c>
      <c r="X66" s="167">
        <v>3.5500000000000001E-4</v>
      </c>
      <c r="Y66" s="167">
        <v>3.0925082942672301E-2</v>
      </c>
      <c r="Z66" s="167">
        <v>5.4319768197283397E-3</v>
      </c>
    </row>
    <row r="67" spans="1:26">
      <c r="A67" s="5">
        <v>161</v>
      </c>
      <c r="B67" s="5">
        <v>9943</v>
      </c>
      <c r="C67" s="5" t="s">
        <v>43</v>
      </c>
      <c r="D67" s="5" t="s">
        <v>71</v>
      </c>
      <c r="E67" s="5" t="s">
        <v>72</v>
      </c>
      <c r="F67" s="5" t="s">
        <v>46</v>
      </c>
      <c r="G67" s="5" t="s">
        <v>30</v>
      </c>
      <c r="H67" s="5" t="s">
        <v>30</v>
      </c>
      <c r="I67" s="5" t="s">
        <v>31</v>
      </c>
      <c r="J67" s="5" t="s">
        <v>32</v>
      </c>
      <c r="K67" s="5" t="s">
        <v>33</v>
      </c>
      <c r="L67" s="5" t="s">
        <v>34</v>
      </c>
      <c r="M67" s="156">
        <v>4.3780000000000001</v>
      </c>
      <c r="N67" s="5" t="s">
        <v>73</v>
      </c>
      <c r="O67" s="167">
        <v>0.01</v>
      </c>
      <c r="P67" s="167">
        <v>3.934E-2</v>
      </c>
      <c r="R67" s="156">
        <v>22873458</v>
      </c>
      <c r="S67" s="168">
        <v>1</v>
      </c>
      <c r="T67" s="170">
        <v>88.66</v>
      </c>
      <c r="U67" s="156">
        <v>20279.608</v>
      </c>
      <c r="W67" s="5" t="s">
        <v>36</v>
      </c>
      <c r="X67" s="167">
        <v>6.0599999999999998E-4</v>
      </c>
      <c r="Y67" s="167">
        <v>5.9348309371160798E-2</v>
      </c>
      <c r="Z67" s="167">
        <v>1.0424503675279501E-2</v>
      </c>
    </row>
    <row r="68" spans="1:26">
      <c r="A68" s="5">
        <v>161</v>
      </c>
      <c r="B68" s="5">
        <v>9943</v>
      </c>
      <c r="C68" s="5" t="s">
        <v>43</v>
      </c>
      <c r="D68" s="5" t="s">
        <v>44</v>
      </c>
      <c r="E68" s="5" t="s">
        <v>45</v>
      </c>
      <c r="F68" s="5" t="s">
        <v>46</v>
      </c>
      <c r="G68" s="5" t="s">
        <v>30</v>
      </c>
      <c r="H68" s="5" t="s">
        <v>30</v>
      </c>
      <c r="I68" s="5" t="s">
        <v>31</v>
      </c>
      <c r="J68" s="5" t="s">
        <v>32</v>
      </c>
      <c r="K68" s="5" t="s">
        <v>33</v>
      </c>
      <c r="L68" s="5" t="s">
        <v>34</v>
      </c>
      <c r="M68" s="156">
        <v>6.2750000000000004</v>
      </c>
      <c r="N68" s="5" t="s">
        <v>47</v>
      </c>
      <c r="O68" s="167">
        <v>1.2999999999999999E-2</v>
      </c>
      <c r="P68" s="167">
        <v>4.027E-2</v>
      </c>
      <c r="R68" s="156">
        <v>20745743</v>
      </c>
      <c r="S68" s="168">
        <v>1</v>
      </c>
      <c r="T68" s="170">
        <v>85.09</v>
      </c>
      <c r="U68" s="156">
        <v>17652.553</v>
      </c>
      <c r="W68" s="5" t="s">
        <v>36</v>
      </c>
      <c r="X68" s="167">
        <v>5.6800000000000004E-4</v>
      </c>
      <c r="Y68" s="167">
        <v>5.1660227704002797E-2</v>
      </c>
      <c r="Z68" s="167">
        <v>9.0740956106804098E-3</v>
      </c>
    </row>
    <row r="69" spans="1:26">
      <c r="A69" s="5">
        <v>161</v>
      </c>
      <c r="B69" s="5">
        <v>9943</v>
      </c>
      <c r="C69" s="5" t="s">
        <v>54</v>
      </c>
      <c r="D69" s="5" t="s">
        <v>104</v>
      </c>
      <c r="E69" s="5" t="s">
        <v>105</v>
      </c>
      <c r="F69" s="5" t="s">
        <v>57</v>
      </c>
      <c r="G69" s="5" t="s">
        <v>30</v>
      </c>
      <c r="H69" s="5" t="s">
        <v>30</v>
      </c>
      <c r="I69" s="5" t="s">
        <v>31</v>
      </c>
      <c r="J69" s="5" t="s">
        <v>32</v>
      </c>
      <c r="K69" s="5" t="s">
        <v>33</v>
      </c>
      <c r="L69" s="5" t="s">
        <v>34</v>
      </c>
      <c r="M69" s="156">
        <v>0.40799999999999997</v>
      </c>
      <c r="N69" s="5" t="s">
        <v>106</v>
      </c>
      <c r="O69" s="167">
        <v>0</v>
      </c>
      <c r="P69" s="167">
        <v>4.2380000000000001E-2</v>
      </c>
      <c r="R69" s="156">
        <v>6500000</v>
      </c>
      <c r="S69" s="168">
        <v>1</v>
      </c>
      <c r="T69" s="170">
        <v>98.32</v>
      </c>
      <c r="U69" s="156">
        <v>6390.8</v>
      </c>
      <c r="W69" s="5" t="s">
        <v>36</v>
      </c>
      <c r="X69" s="167">
        <v>3.6099999999999999E-4</v>
      </c>
      <c r="Y69" s="167">
        <v>1.87026878475769E-2</v>
      </c>
      <c r="Z69" s="167">
        <v>3.2851186541029099E-3</v>
      </c>
    </row>
    <row r="70" spans="1:26">
      <c r="A70" s="5">
        <v>161</v>
      </c>
      <c r="B70" s="5">
        <v>9943</v>
      </c>
      <c r="C70" s="5" t="s">
        <v>26</v>
      </c>
      <c r="D70" s="5" t="s">
        <v>116</v>
      </c>
      <c r="E70" s="5" t="s">
        <v>117</v>
      </c>
      <c r="F70" s="5" t="s">
        <v>29</v>
      </c>
      <c r="G70" s="5" t="s">
        <v>30</v>
      </c>
      <c r="H70" s="5" t="s">
        <v>30</v>
      </c>
      <c r="I70" s="5" t="s">
        <v>31</v>
      </c>
      <c r="J70" s="5" t="s">
        <v>32</v>
      </c>
      <c r="K70" s="5" t="s">
        <v>33</v>
      </c>
      <c r="L70" s="5" t="s">
        <v>34</v>
      </c>
      <c r="M70" s="156">
        <v>1.6419999999999999</v>
      </c>
      <c r="N70" s="5" t="s">
        <v>118</v>
      </c>
      <c r="O70" s="167">
        <v>7.4999999999999997E-3</v>
      </c>
      <c r="P70" s="167">
        <v>2.0979999999999999E-2</v>
      </c>
      <c r="R70" s="156">
        <v>4500000</v>
      </c>
      <c r="S70" s="168">
        <v>1</v>
      </c>
      <c r="T70" s="170">
        <v>117.66</v>
      </c>
      <c r="U70" s="156">
        <v>5294.7</v>
      </c>
      <c r="W70" s="5" t="s">
        <v>36</v>
      </c>
      <c r="X70" s="167">
        <v>1.85E-4</v>
      </c>
      <c r="Y70" s="167">
        <v>1.54949491998757E-2</v>
      </c>
      <c r="Z70" s="167">
        <v>2.7216808127118099E-3</v>
      </c>
    </row>
    <row r="71" spans="1:26">
      <c r="A71" s="5">
        <v>161</v>
      </c>
      <c r="B71" s="5">
        <v>9943</v>
      </c>
      <c r="C71" s="5" t="s">
        <v>26</v>
      </c>
      <c r="D71" s="5" t="s">
        <v>110</v>
      </c>
      <c r="E71" s="5" t="s">
        <v>111</v>
      </c>
      <c r="F71" s="5" t="s">
        <v>29</v>
      </c>
      <c r="G71" s="5" t="s">
        <v>30</v>
      </c>
      <c r="H71" s="5" t="s">
        <v>30</v>
      </c>
      <c r="I71" s="5" t="s">
        <v>31</v>
      </c>
      <c r="J71" s="5" t="s">
        <v>32</v>
      </c>
      <c r="K71" s="5" t="s">
        <v>33</v>
      </c>
      <c r="L71" s="5" t="s">
        <v>34</v>
      </c>
      <c r="M71" s="156">
        <v>17.658000000000001</v>
      </c>
      <c r="N71" s="5" t="s">
        <v>112</v>
      </c>
      <c r="O71" s="167">
        <v>0.01</v>
      </c>
      <c r="P71" s="167">
        <v>2.0719999999999999E-2</v>
      </c>
      <c r="R71" s="156">
        <v>66216</v>
      </c>
      <c r="S71" s="168">
        <v>1</v>
      </c>
      <c r="T71" s="170">
        <v>99.57</v>
      </c>
      <c r="U71" s="156">
        <v>65.930999999999997</v>
      </c>
      <c r="W71" s="5" t="s">
        <v>36</v>
      </c>
      <c r="X71" s="167">
        <v>3.0000000000000001E-6</v>
      </c>
      <c r="Y71" s="167">
        <v>1.9294798533008901E-4</v>
      </c>
      <c r="Z71" s="167">
        <v>3.3891226279626599E-5</v>
      </c>
    </row>
    <row r="72" spans="1:26">
      <c r="A72" s="5">
        <v>161</v>
      </c>
      <c r="B72" s="5">
        <v>9943</v>
      </c>
      <c r="C72" s="5" t="s">
        <v>26</v>
      </c>
      <c r="D72" s="5" t="s">
        <v>119</v>
      </c>
      <c r="E72" s="5" t="s">
        <v>120</v>
      </c>
      <c r="F72" s="5" t="s">
        <v>29</v>
      </c>
      <c r="G72" s="5" t="s">
        <v>30</v>
      </c>
      <c r="H72" s="5" t="s">
        <v>30</v>
      </c>
      <c r="I72" s="5" t="s">
        <v>31</v>
      </c>
      <c r="J72" s="5" t="s">
        <v>32</v>
      </c>
      <c r="K72" s="5" t="s">
        <v>33</v>
      </c>
      <c r="L72" s="5" t="s">
        <v>34</v>
      </c>
      <c r="M72" s="156">
        <v>6.8000000000000005E-2</v>
      </c>
      <c r="N72" s="5" t="s">
        <v>121</v>
      </c>
      <c r="O72" s="167">
        <v>7.4999999999999997E-3</v>
      </c>
      <c r="P72" s="167">
        <v>0.10764</v>
      </c>
      <c r="R72" s="156">
        <v>8410016</v>
      </c>
      <c r="S72" s="168">
        <v>1</v>
      </c>
      <c r="T72" s="170">
        <v>119.27</v>
      </c>
      <c r="U72" s="156">
        <v>10030.626</v>
      </c>
      <c r="W72" s="5" t="s">
        <v>36</v>
      </c>
      <c r="X72" s="167">
        <v>7.6099999999999996E-4</v>
      </c>
      <c r="Y72" s="167">
        <v>2.9354645513840601E-2</v>
      </c>
      <c r="Z72" s="167">
        <v>5.1561301962589198E-3</v>
      </c>
    </row>
    <row r="73" spans="1:26">
      <c r="A73" s="5">
        <v>161</v>
      </c>
      <c r="B73" s="5">
        <v>9943</v>
      </c>
      <c r="C73" s="5" t="s">
        <v>26</v>
      </c>
      <c r="D73" s="5" t="s">
        <v>27</v>
      </c>
      <c r="E73" s="5" t="s">
        <v>28</v>
      </c>
      <c r="F73" s="5" t="s">
        <v>29</v>
      </c>
      <c r="G73" s="5" t="s">
        <v>30</v>
      </c>
      <c r="H73" s="5" t="s">
        <v>30</v>
      </c>
      <c r="I73" s="5" t="s">
        <v>31</v>
      </c>
      <c r="J73" s="5" t="s">
        <v>32</v>
      </c>
      <c r="K73" s="5" t="s">
        <v>33</v>
      </c>
      <c r="L73" s="5" t="s">
        <v>34</v>
      </c>
      <c r="M73" s="156">
        <v>6.1310000000000002</v>
      </c>
      <c r="N73" s="5" t="s">
        <v>35</v>
      </c>
      <c r="O73" s="167">
        <v>1E-3</v>
      </c>
      <c r="P73" s="167">
        <v>1.9009999999999999E-2</v>
      </c>
      <c r="R73" s="156">
        <v>4793841</v>
      </c>
      <c r="S73" s="168">
        <v>1</v>
      </c>
      <c r="T73" s="170">
        <v>106.54</v>
      </c>
      <c r="U73" s="156">
        <v>5107.3580000000002</v>
      </c>
      <c r="W73" s="5" t="s">
        <v>36</v>
      </c>
      <c r="X73" s="167">
        <v>1.3999999999999999E-4</v>
      </c>
      <c r="Y73" s="167">
        <v>1.4946693084832201E-2</v>
      </c>
      <c r="Z73" s="167">
        <v>2.62537987428876E-3</v>
      </c>
    </row>
    <row r="74" spans="1:26">
      <c r="A74" s="5">
        <v>161</v>
      </c>
      <c r="B74" s="5">
        <v>9943</v>
      </c>
      <c r="C74" s="5" t="s">
        <v>43</v>
      </c>
      <c r="D74" s="5" t="s">
        <v>48</v>
      </c>
      <c r="E74" s="5" t="s">
        <v>49</v>
      </c>
      <c r="F74" s="5" t="s">
        <v>46</v>
      </c>
      <c r="G74" s="5" t="s">
        <v>30</v>
      </c>
      <c r="H74" s="5" t="s">
        <v>30</v>
      </c>
      <c r="I74" s="5" t="s">
        <v>31</v>
      </c>
      <c r="J74" s="5" t="s">
        <v>32</v>
      </c>
      <c r="K74" s="5" t="s">
        <v>33</v>
      </c>
      <c r="L74" s="5" t="s">
        <v>34</v>
      </c>
      <c r="M74" s="156">
        <v>2.9140000000000001</v>
      </c>
      <c r="N74" s="5" t="s">
        <v>50</v>
      </c>
      <c r="O74" s="167">
        <v>2.2499999999999999E-2</v>
      </c>
      <c r="P74" s="167">
        <v>3.9399999999999998E-2</v>
      </c>
      <c r="R74" s="156">
        <v>16480319</v>
      </c>
      <c r="S74" s="168">
        <v>1</v>
      </c>
      <c r="T74" s="170">
        <v>95.37</v>
      </c>
      <c r="U74" s="156">
        <v>15717.28</v>
      </c>
      <c r="W74" s="5" t="s">
        <v>36</v>
      </c>
      <c r="X74" s="167">
        <v>4.75E-4</v>
      </c>
      <c r="Y74" s="167">
        <v>4.5996649239561899E-2</v>
      </c>
      <c r="Z74" s="167">
        <v>8.0792906171874204E-3</v>
      </c>
    </row>
    <row r="75" spans="1:26">
      <c r="A75" s="5">
        <v>161</v>
      </c>
      <c r="B75" s="5">
        <v>9943</v>
      </c>
      <c r="C75" s="5" t="s">
        <v>43</v>
      </c>
      <c r="D75" s="5" t="s">
        <v>122</v>
      </c>
      <c r="E75" s="5" t="s">
        <v>123</v>
      </c>
      <c r="F75" s="5" t="s">
        <v>46</v>
      </c>
      <c r="G75" s="5" t="s">
        <v>30</v>
      </c>
      <c r="H75" s="5" t="s">
        <v>30</v>
      </c>
      <c r="I75" s="5" t="s">
        <v>31</v>
      </c>
      <c r="J75" s="5" t="s">
        <v>32</v>
      </c>
      <c r="K75" s="5" t="s">
        <v>33</v>
      </c>
      <c r="L75" s="5" t="s">
        <v>34</v>
      </c>
      <c r="M75" s="156">
        <v>1.462</v>
      </c>
      <c r="N75" s="5" t="s">
        <v>124</v>
      </c>
      <c r="O75" s="167">
        <v>0.02</v>
      </c>
      <c r="P75" s="167">
        <v>3.9870000000000003E-2</v>
      </c>
      <c r="R75" s="156">
        <v>14100000</v>
      </c>
      <c r="S75" s="168">
        <v>1</v>
      </c>
      <c r="T75" s="170">
        <v>98.22</v>
      </c>
      <c r="U75" s="156">
        <v>13849.02</v>
      </c>
      <c r="W75" s="5" t="s">
        <v>36</v>
      </c>
      <c r="X75" s="167">
        <v>4.9899999999999999E-4</v>
      </c>
      <c r="Y75" s="167">
        <v>4.0529182270584198E-2</v>
      </c>
      <c r="Z75" s="167">
        <v>7.1189325190968598E-3</v>
      </c>
    </row>
    <row r="76" spans="1:26">
      <c r="A76" s="5">
        <v>161</v>
      </c>
      <c r="B76" s="5">
        <v>9943</v>
      </c>
      <c r="C76" s="5" t="s">
        <v>43</v>
      </c>
      <c r="D76" s="5" t="s">
        <v>62</v>
      </c>
      <c r="E76" s="5" t="s">
        <v>63</v>
      </c>
      <c r="F76" s="5" t="s">
        <v>46</v>
      </c>
      <c r="G76" s="5" t="s">
        <v>30</v>
      </c>
      <c r="H76" s="5" t="s">
        <v>30</v>
      </c>
      <c r="I76" s="5" t="s">
        <v>31</v>
      </c>
      <c r="J76" s="5" t="s">
        <v>32</v>
      </c>
      <c r="K76" s="5" t="s">
        <v>33</v>
      </c>
      <c r="L76" s="5" t="s">
        <v>34</v>
      </c>
      <c r="M76" s="156">
        <v>7.9119999999999999</v>
      </c>
      <c r="N76" s="5" t="s">
        <v>64</v>
      </c>
      <c r="O76" s="167">
        <v>0.04</v>
      </c>
      <c r="P76" s="167">
        <v>4.104E-2</v>
      </c>
      <c r="R76" s="156">
        <v>3500000</v>
      </c>
      <c r="S76" s="168">
        <v>1</v>
      </c>
      <c r="T76" s="170">
        <v>101.25</v>
      </c>
      <c r="U76" s="156">
        <v>3543.75</v>
      </c>
      <c r="W76" s="5" t="s">
        <v>36</v>
      </c>
      <c r="X76" s="167">
        <v>9.7999999999999997E-5</v>
      </c>
      <c r="Y76" s="167">
        <v>1.0370790833675101E-2</v>
      </c>
      <c r="Z76" s="167">
        <v>1.8216247152902901E-3</v>
      </c>
    </row>
    <row r="77" spans="1:26">
      <c r="A77" s="5">
        <v>161</v>
      </c>
      <c r="B77" s="5">
        <v>9943</v>
      </c>
      <c r="C77" s="5" t="s">
        <v>26</v>
      </c>
      <c r="D77" s="5" t="s">
        <v>125</v>
      </c>
      <c r="E77" s="5" t="s">
        <v>126</v>
      </c>
      <c r="F77" s="5" t="s">
        <v>29</v>
      </c>
      <c r="G77" s="5" t="s">
        <v>30</v>
      </c>
      <c r="H77" s="5" t="s">
        <v>30</v>
      </c>
      <c r="I77" s="5" t="s">
        <v>31</v>
      </c>
      <c r="J77" s="5" t="s">
        <v>32</v>
      </c>
      <c r="K77" s="5" t="s">
        <v>33</v>
      </c>
      <c r="L77" s="5" t="s">
        <v>34</v>
      </c>
      <c r="M77" s="156">
        <v>8.9559999999999995</v>
      </c>
      <c r="N77" s="5" t="s">
        <v>127</v>
      </c>
      <c r="O77" s="167">
        <v>0.04</v>
      </c>
      <c r="P77" s="167">
        <v>1.9400000000000001E-2</v>
      </c>
      <c r="R77" s="156">
        <v>981021</v>
      </c>
      <c r="S77" s="168">
        <v>1</v>
      </c>
      <c r="T77" s="170">
        <v>170.85</v>
      </c>
      <c r="U77" s="156">
        <v>1676.0740000000001</v>
      </c>
      <c r="W77" s="5" t="s">
        <v>36</v>
      </c>
      <c r="X77" s="167">
        <v>6.2000000000000003E-5</v>
      </c>
      <c r="Y77" s="167">
        <v>4.9050347234159903E-3</v>
      </c>
      <c r="Z77" s="167">
        <v>8.6156712875919801E-4</v>
      </c>
    </row>
    <row r="78" spans="1:26">
      <c r="A78" s="5">
        <v>161</v>
      </c>
      <c r="B78" s="5">
        <v>9943</v>
      </c>
      <c r="C78" s="5" t="s">
        <v>43</v>
      </c>
      <c r="D78" s="5" t="s">
        <v>68</v>
      </c>
      <c r="E78" s="5" t="s">
        <v>69</v>
      </c>
      <c r="F78" s="5" t="s">
        <v>46</v>
      </c>
      <c r="G78" s="5" t="s">
        <v>30</v>
      </c>
      <c r="H78" s="5" t="s">
        <v>30</v>
      </c>
      <c r="I78" s="5" t="s">
        <v>31</v>
      </c>
      <c r="J78" s="5" t="s">
        <v>32</v>
      </c>
      <c r="K78" s="5" t="s">
        <v>33</v>
      </c>
      <c r="L78" s="5" t="s">
        <v>34</v>
      </c>
      <c r="M78" s="156">
        <v>11.16</v>
      </c>
      <c r="N78" s="5" t="s">
        <v>70</v>
      </c>
      <c r="O78" s="167">
        <v>5.5E-2</v>
      </c>
      <c r="P78" s="167">
        <v>4.3470000000000002E-2</v>
      </c>
      <c r="R78" s="156">
        <v>29870221</v>
      </c>
      <c r="S78" s="168">
        <v>1</v>
      </c>
      <c r="T78" s="170">
        <v>117</v>
      </c>
      <c r="U78" s="156">
        <v>34948.159</v>
      </c>
      <c r="W78" s="5" t="s">
        <v>36</v>
      </c>
      <c r="X78" s="167">
        <v>9.6400000000000001E-4</v>
      </c>
      <c r="Y78" s="167">
        <v>0.102275849750005</v>
      </c>
      <c r="Z78" s="167">
        <v>1.79647067104045E-2</v>
      </c>
    </row>
    <row r="79" spans="1:26">
      <c r="A79" s="5">
        <v>161</v>
      </c>
      <c r="B79" s="5">
        <v>9943</v>
      </c>
      <c r="C79" s="5" t="s">
        <v>26</v>
      </c>
      <c r="D79" s="5" t="s">
        <v>37</v>
      </c>
      <c r="E79" s="5" t="s">
        <v>38</v>
      </c>
      <c r="F79" s="5" t="s">
        <v>29</v>
      </c>
      <c r="G79" s="5" t="s">
        <v>30</v>
      </c>
      <c r="H79" s="5" t="s">
        <v>30</v>
      </c>
      <c r="I79" s="5" t="s">
        <v>31</v>
      </c>
      <c r="J79" s="5" t="s">
        <v>32</v>
      </c>
      <c r="K79" s="5" t="s">
        <v>33</v>
      </c>
      <c r="L79" s="5" t="s">
        <v>34</v>
      </c>
      <c r="M79" s="156">
        <v>3.621</v>
      </c>
      <c r="N79" s="5" t="s">
        <v>39</v>
      </c>
      <c r="O79" s="167">
        <v>5.0000000000000001E-3</v>
      </c>
      <c r="P79" s="167">
        <v>1.9359999999999999E-2</v>
      </c>
      <c r="R79" s="156">
        <v>6168496</v>
      </c>
      <c r="S79" s="168">
        <v>1</v>
      </c>
      <c r="T79" s="170">
        <v>113</v>
      </c>
      <c r="U79" s="156">
        <v>6970.4</v>
      </c>
      <c r="W79" s="5" t="s">
        <v>36</v>
      </c>
      <c r="X79" s="167">
        <v>2.1000000000000001E-4</v>
      </c>
      <c r="Y79" s="167">
        <v>2.039888970865E-2</v>
      </c>
      <c r="Z79" s="167">
        <v>3.5830557431645298E-3</v>
      </c>
    </row>
    <row r="80" spans="1:26">
      <c r="A80" s="5">
        <v>161</v>
      </c>
      <c r="B80" s="5">
        <v>9943</v>
      </c>
      <c r="C80" s="5" t="s">
        <v>26</v>
      </c>
      <c r="D80" s="5" t="s">
        <v>40</v>
      </c>
      <c r="E80" s="5" t="s">
        <v>41</v>
      </c>
      <c r="F80" s="5" t="s">
        <v>29</v>
      </c>
      <c r="G80" s="5" t="s">
        <v>30</v>
      </c>
      <c r="H80" s="5" t="s">
        <v>30</v>
      </c>
      <c r="I80" s="5" t="s">
        <v>31</v>
      </c>
      <c r="J80" s="5" t="s">
        <v>32</v>
      </c>
      <c r="K80" s="5" t="s">
        <v>33</v>
      </c>
      <c r="L80" s="5" t="s">
        <v>34</v>
      </c>
      <c r="M80" s="156">
        <v>0.81599999999999995</v>
      </c>
      <c r="N80" s="5" t="s">
        <v>42</v>
      </c>
      <c r="O80" s="167">
        <v>1E-3</v>
      </c>
      <c r="P80" s="167">
        <v>2.7019999999999999E-2</v>
      </c>
      <c r="R80" s="156">
        <v>21056980</v>
      </c>
      <c r="S80" s="168">
        <v>1</v>
      </c>
      <c r="T80" s="170">
        <v>116.31</v>
      </c>
      <c r="U80" s="156">
        <v>24491.373</v>
      </c>
      <c r="W80" s="5" t="s">
        <v>36</v>
      </c>
      <c r="X80" s="167">
        <v>1.042E-3</v>
      </c>
      <c r="Y80" s="167">
        <v>7.1674049003152995E-2</v>
      </c>
      <c r="Z80" s="167">
        <v>1.25895142620289E-2</v>
      </c>
    </row>
    <row r="81" spans="1:26">
      <c r="A81" s="5">
        <v>161</v>
      </c>
      <c r="B81" s="5">
        <v>9943</v>
      </c>
      <c r="C81" s="5" t="s">
        <v>26</v>
      </c>
      <c r="D81" s="5" t="s">
        <v>51</v>
      </c>
      <c r="E81" s="5" t="s">
        <v>52</v>
      </c>
      <c r="F81" s="5" t="s">
        <v>29</v>
      </c>
      <c r="G81" s="5" t="s">
        <v>30</v>
      </c>
      <c r="H81" s="5" t="s">
        <v>30</v>
      </c>
      <c r="I81" s="5" t="s">
        <v>31</v>
      </c>
      <c r="J81" s="5" t="s">
        <v>32</v>
      </c>
      <c r="K81" s="5" t="s">
        <v>33</v>
      </c>
      <c r="L81" s="5" t="s">
        <v>34</v>
      </c>
      <c r="M81" s="156">
        <v>3.0049999999999999</v>
      </c>
      <c r="N81" s="5" t="s">
        <v>53</v>
      </c>
      <c r="O81" s="167">
        <v>1.0999999999999999E-2</v>
      </c>
      <c r="P81" s="167">
        <v>1.9990000000000001E-2</v>
      </c>
      <c r="R81" s="156">
        <v>3355521</v>
      </c>
      <c r="S81" s="168">
        <v>1</v>
      </c>
      <c r="T81" s="170">
        <v>105.65</v>
      </c>
      <c r="U81" s="156">
        <v>3545.1080000000002</v>
      </c>
      <c r="W81" s="5" t="s">
        <v>36</v>
      </c>
      <c r="X81" s="167">
        <v>1.07E-4</v>
      </c>
      <c r="Y81" s="167">
        <v>1.03747648373172E-2</v>
      </c>
      <c r="Z81" s="167">
        <v>1.8223227472310801E-3</v>
      </c>
    </row>
    <row r="82" spans="1:26">
      <c r="A82" s="5">
        <v>161</v>
      </c>
      <c r="B82" s="5">
        <v>9943</v>
      </c>
      <c r="C82" s="5" t="s">
        <v>43</v>
      </c>
      <c r="D82" s="5" t="s">
        <v>113</v>
      </c>
      <c r="E82" s="5" t="s">
        <v>114</v>
      </c>
      <c r="F82" s="5" t="s">
        <v>46</v>
      </c>
      <c r="G82" s="5" t="s">
        <v>30</v>
      </c>
      <c r="H82" s="5" t="s">
        <v>30</v>
      </c>
      <c r="I82" s="5" t="s">
        <v>31</v>
      </c>
      <c r="J82" s="5" t="s">
        <v>32</v>
      </c>
      <c r="K82" s="5" t="s">
        <v>33</v>
      </c>
      <c r="L82" s="5" t="s">
        <v>34</v>
      </c>
      <c r="M82" s="156">
        <v>10.542999999999999</v>
      </c>
      <c r="N82" s="5" t="s">
        <v>115</v>
      </c>
      <c r="O82" s="167">
        <v>1.4999999999999999E-2</v>
      </c>
      <c r="P82" s="167">
        <v>4.2119999999999998E-2</v>
      </c>
      <c r="R82" s="156">
        <v>2084735</v>
      </c>
      <c r="S82" s="168">
        <v>1</v>
      </c>
      <c r="T82" s="170">
        <v>75.94</v>
      </c>
      <c r="U82" s="156">
        <v>1583.1479999999999</v>
      </c>
      <c r="W82" s="5" t="s">
        <v>36</v>
      </c>
      <c r="X82" s="167">
        <v>5.3000000000000001E-5</v>
      </c>
      <c r="Y82" s="167">
        <v>4.6330848020854796E-3</v>
      </c>
      <c r="Z82" s="167">
        <v>8.1379924818365704E-4</v>
      </c>
    </row>
    <row r="83" spans="1:26">
      <c r="A83" s="5">
        <v>161</v>
      </c>
      <c r="B83" s="5">
        <v>9943</v>
      </c>
      <c r="C83" s="5" t="s">
        <v>43</v>
      </c>
      <c r="D83" s="5" t="s">
        <v>71</v>
      </c>
      <c r="E83" s="5" t="s">
        <v>72</v>
      </c>
      <c r="F83" s="5" t="s">
        <v>46</v>
      </c>
      <c r="G83" s="5" t="s">
        <v>30</v>
      </c>
      <c r="H83" s="5" t="s">
        <v>30</v>
      </c>
      <c r="I83" s="5" t="s">
        <v>31</v>
      </c>
      <c r="J83" s="5" t="s">
        <v>32</v>
      </c>
      <c r="K83" s="5" t="s">
        <v>33</v>
      </c>
      <c r="L83" s="5" t="s">
        <v>34</v>
      </c>
      <c r="M83" s="156">
        <v>4.3780000000000001</v>
      </c>
      <c r="N83" s="5" t="s">
        <v>73</v>
      </c>
      <c r="O83" s="167">
        <v>0.01</v>
      </c>
      <c r="P83" s="167">
        <v>3.934E-2</v>
      </c>
      <c r="R83" s="156">
        <v>6011874</v>
      </c>
      <c r="S83" s="168">
        <v>1</v>
      </c>
      <c r="T83" s="170">
        <v>88.66</v>
      </c>
      <c r="U83" s="156">
        <v>5330.1270000000004</v>
      </c>
      <c r="W83" s="5" t="s">
        <v>36</v>
      </c>
      <c r="X83" s="167">
        <v>1.5899999999999999E-4</v>
      </c>
      <c r="Y83" s="167">
        <v>1.55986278092468E-2</v>
      </c>
      <c r="Z83" s="167">
        <v>2.7398919135146601E-3</v>
      </c>
    </row>
    <row r="84" spans="1:26">
      <c r="A84" s="5">
        <v>161</v>
      </c>
      <c r="B84" s="5">
        <v>9943</v>
      </c>
      <c r="C84" s="5" t="s">
        <v>43</v>
      </c>
      <c r="D84" s="5" t="s">
        <v>44</v>
      </c>
      <c r="E84" s="5" t="s">
        <v>45</v>
      </c>
      <c r="F84" s="5" t="s">
        <v>46</v>
      </c>
      <c r="G84" s="5" t="s">
        <v>30</v>
      </c>
      <c r="H84" s="5" t="s">
        <v>30</v>
      </c>
      <c r="I84" s="5" t="s">
        <v>31</v>
      </c>
      <c r="J84" s="5" t="s">
        <v>32</v>
      </c>
      <c r="K84" s="5" t="s">
        <v>33</v>
      </c>
      <c r="L84" s="5" t="s">
        <v>34</v>
      </c>
      <c r="M84" s="156">
        <v>6.2750000000000004</v>
      </c>
      <c r="N84" s="5" t="s">
        <v>47</v>
      </c>
      <c r="O84" s="167">
        <v>1.2999999999999999E-2</v>
      </c>
      <c r="P84" s="167">
        <v>4.027E-2</v>
      </c>
      <c r="R84" s="156">
        <v>4064257</v>
      </c>
      <c r="S84" s="168">
        <v>1</v>
      </c>
      <c r="T84" s="170">
        <v>85.09</v>
      </c>
      <c r="U84" s="156">
        <v>3458.2759999999998</v>
      </c>
      <c r="W84" s="5" t="s">
        <v>36</v>
      </c>
      <c r="X84" s="167">
        <v>1.11E-4</v>
      </c>
      <c r="Y84" s="167">
        <v>1.0120651840119101E-2</v>
      </c>
      <c r="Z84" s="167">
        <v>1.7776879143049801E-3</v>
      </c>
    </row>
    <row r="85" spans="1:26">
      <c r="A85" s="5">
        <v>161</v>
      </c>
      <c r="B85" s="5">
        <v>9943</v>
      </c>
      <c r="C85" s="5" t="s">
        <v>128</v>
      </c>
      <c r="D85" s="5" t="s">
        <v>129</v>
      </c>
      <c r="E85" s="5" t="s">
        <v>130</v>
      </c>
      <c r="F85" s="5" t="s">
        <v>80</v>
      </c>
      <c r="G85" s="5" t="s">
        <v>81</v>
      </c>
      <c r="H85" s="5" t="s">
        <v>30</v>
      </c>
      <c r="I85" s="5" t="s">
        <v>131</v>
      </c>
      <c r="J85" s="5" t="s">
        <v>132</v>
      </c>
      <c r="K85" s="5" t="s">
        <v>85</v>
      </c>
      <c r="L85" s="5" t="s">
        <v>86</v>
      </c>
      <c r="M85" s="156">
        <v>6.8620000000000001</v>
      </c>
      <c r="N85" s="5" t="s">
        <v>133</v>
      </c>
      <c r="O85" s="167">
        <v>5.5E-2</v>
      </c>
      <c r="P85" s="167">
        <v>5.1110000000000003E-2</v>
      </c>
      <c r="R85" s="156">
        <v>690000</v>
      </c>
      <c r="S85" s="168">
        <v>3.306</v>
      </c>
      <c r="T85" s="170">
        <v>102.901</v>
      </c>
      <c r="U85" s="156">
        <v>2347.3110000000001</v>
      </c>
      <c r="W85" s="5" t="s">
        <v>36</v>
      </c>
      <c r="X85" s="167">
        <v>2.3000000000000001E-4</v>
      </c>
      <c r="Y85" s="167">
        <v>6.8694108242408503E-3</v>
      </c>
      <c r="Z85" s="167">
        <v>1.2066089016362299E-3</v>
      </c>
    </row>
    <row r="86" spans="1:26">
      <c r="A86" s="5">
        <v>161</v>
      </c>
      <c r="B86" s="5">
        <v>9943</v>
      </c>
      <c r="C86" s="5" t="s">
        <v>77</v>
      </c>
      <c r="D86" s="5" t="s">
        <v>107</v>
      </c>
      <c r="E86" s="5" t="s">
        <v>108</v>
      </c>
      <c r="F86" s="5" t="s">
        <v>80</v>
      </c>
      <c r="G86" s="5" t="s">
        <v>81</v>
      </c>
      <c r="H86" s="5" t="s">
        <v>82</v>
      </c>
      <c r="I86" s="5" t="s">
        <v>83</v>
      </c>
      <c r="J86" s="5" t="s">
        <v>84</v>
      </c>
      <c r="K86" s="5" t="s">
        <v>85</v>
      </c>
      <c r="L86" s="5" t="s">
        <v>86</v>
      </c>
      <c r="M86" s="156">
        <v>7.5309999999999997</v>
      </c>
      <c r="N86" s="5" t="s">
        <v>109</v>
      </c>
      <c r="O86" s="167">
        <v>3.875E-2</v>
      </c>
      <c r="P86" s="167">
        <v>4.0570000000000002E-2</v>
      </c>
      <c r="R86" s="156">
        <v>1384000</v>
      </c>
      <c r="S86" s="168">
        <v>3.306</v>
      </c>
      <c r="T86" s="170">
        <v>98.978999999999999</v>
      </c>
      <c r="U86" s="156">
        <v>4528.8010000000004</v>
      </c>
      <c r="W86" s="5" t="s">
        <v>36</v>
      </c>
      <c r="X86" s="167">
        <v>1.1E-5</v>
      </c>
      <c r="Y86" s="167">
        <v>1.3253543463891401E-2</v>
      </c>
      <c r="Z86" s="167">
        <v>2.3279789098246801E-3</v>
      </c>
    </row>
    <row r="87" spans="1:26">
      <c r="A87" s="5">
        <v>161</v>
      </c>
      <c r="B87" s="5">
        <v>9943</v>
      </c>
      <c r="C87" s="5" t="s">
        <v>88</v>
      </c>
      <c r="D87" s="5" t="s">
        <v>89</v>
      </c>
      <c r="E87" s="5" t="s">
        <v>90</v>
      </c>
      <c r="F87" s="5" t="s">
        <v>80</v>
      </c>
      <c r="G87" s="5" t="s">
        <v>81</v>
      </c>
      <c r="H87" s="5" t="s">
        <v>82</v>
      </c>
      <c r="I87" s="5" t="s">
        <v>83</v>
      </c>
      <c r="J87" s="5" t="s">
        <v>84</v>
      </c>
      <c r="K87" s="5" t="s">
        <v>85</v>
      </c>
      <c r="L87" s="5" t="s">
        <v>86</v>
      </c>
      <c r="M87" s="156">
        <v>7.6950000000000003</v>
      </c>
      <c r="N87" s="5" t="s">
        <v>91</v>
      </c>
      <c r="O87" s="167">
        <v>4.6249999999999999E-2</v>
      </c>
      <c r="P87" s="167">
        <v>4.086E-2</v>
      </c>
      <c r="R87" s="156">
        <v>1979000</v>
      </c>
      <c r="S87" s="168">
        <v>3.306</v>
      </c>
      <c r="T87" s="170">
        <v>104.565</v>
      </c>
      <c r="U87" s="156">
        <v>6841.2439999999997</v>
      </c>
      <c r="W87" s="5" t="s">
        <v>36</v>
      </c>
      <c r="X87" s="167">
        <v>1.4E-5</v>
      </c>
      <c r="Y87" s="167">
        <v>2.0020912376800499E-2</v>
      </c>
      <c r="Z87" s="167">
        <v>3.5166641959277802E-3</v>
      </c>
    </row>
    <row r="88" spans="1:26">
      <c r="A88" s="5">
        <v>161</v>
      </c>
      <c r="B88" s="5">
        <v>9943</v>
      </c>
      <c r="C88" s="5" t="s">
        <v>88</v>
      </c>
      <c r="D88" s="5" t="s">
        <v>134</v>
      </c>
      <c r="E88" s="5" t="s">
        <v>135</v>
      </c>
      <c r="F88" s="5" t="s">
        <v>80</v>
      </c>
      <c r="G88" s="5" t="s">
        <v>81</v>
      </c>
      <c r="H88" s="5" t="s">
        <v>82</v>
      </c>
      <c r="I88" s="5" t="s">
        <v>83</v>
      </c>
      <c r="J88" s="5" t="s">
        <v>84</v>
      </c>
      <c r="K88" s="5" t="s">
        <v>85</v>
      </c>
      <c r="L88" s="5" t="s">
        <v>86</v>
      </c>
      <c r="M88" s="156">
        <v>2.8330000000000002</v>
      </c>
      <c r="N88" s="5" t="s">
        <v>53</v>
      </c>
      <c r="O88" s="167">
        <v>4.8750000000000002E-2</v>
      </c>
      <c r="P88" s="167">
        <v>3.6130000000000002E-2</v>
      </c>
      <c r="R88" s="156">
        <v>3000000</v>
      </c>
      <c r="S88" s="168">
        <v>3.306</v>
      </c>
      <c r="T88" s="170">
        <v>105.621</v>
      </c>
      <c r="U88" s="156">
        <v>10475.469999999999</v>
      </c>
      <c r="W88" s="5" t="s">
        <v>36</v>
      </c>
      <c r="X88" s="167">
        <v>5.8E-5</v>
      </c>
      <c r="Y88" s="167">
        <v>3.0656482821509901E-2</v>
      </c>
      <c r="Z88" s="167">
        <v>5.3847973300359302E-3</v>
      </c>
    </row>
    <row r="89" spans="1:26">
      <c r="A89" s="5">
        <v>161</v>
      </c>
      <c r="B89" s="5">
        <v>12468</v>
      </c>
      <c r="C89" s="5" t="s">
        <v>54</v>
      </c>
      <c r="D89" s="5" t="s">
        <v>55</v>
      </c>
      <c r="E89" s="5" t="s">
        <v>56</v>
      </c>
      <c r="F89" s="5" t="s">
        <v>57</v>
      </c>
      <c r="G89" s="5" t="s">
        <v>30</v>
      </c>
      <c r="H89" s="5" t="s">
        <v>30</v>
      </c>
      <c r="I89" s="5" t="s">
        <v>31</v>
      </c>
      <c r="J89" s="5" t="s">
        <v>32</v>
      </c>
      <c r="K89" s="5" t="s">
        <v>33</v>
      </c>
      <c r="L89" s="5" t="s">
        <v>34</v>
      </c>
      <c r="M89" s="156">
        <v>0.159</v>
      </c>
      <c r="N89" s="5" t="s">
        <v>58</v>
      </c>
      <c r="O89" s="167">
        <v>0</v>
      </c>
      <c r="P89" s="167">
        <v>4.4540000000000003E-2</v>
      </c>
      <c r="R89" s="156">
        <v>2030000</v>
      </c>
      <c r="S89" s="168">
        <v>1</v>
      </c>
      <c r="T89" s="170">
        <v>99.31</v>
      </c>
      <c r="U89" s="156">
        <v>2015.9929999999999</v>
      </c>
      <c r="W89" s="5" t="s">
        <v>36</v>
      </c>
      <c r="X89" s="167">
        <v>6.7999999999999999E-5</v>
      </c>
      <c r="Y89" s="167">
        <v>0.334609479008245</v>
      </c>
      <c r="Z89" s="167">
        <v>8.4768193032450104E-2</v>
      </c>
    </row>
    <row r="90" spans="1:26">
      <c r="A90" s="5">
        <v>161</v>
      </c>
      <c r="B90" s="5">
        <v>12468</v>
      </c>
      <c r="C90" s="5" t="s">
        <v>54</v>
      </c>
      <c r="D90" s="5" t="s">
        <v>59</v>
      </c>
      <c r="E90" s="5" t="s">
        <v>60</v>
      </c>
      <c r="F90" s="5" t="s">
        <v>57</v>
      </c>
      <c r="G90" s="5" t="s">
        <v>30</v>
      </c>
      <c r="H90" s="5" t="s">
        <v>30</v>
      </c>
      <c r="I90" s="5" t="s">
        <v>31</v>
      </c>
      <c r="J90" s="5" t="s">
        <v>32</v>
      </c>
      <c r="K90" s="5" t="s">
        <v>33</v>
      </c>
      <c r="L90" s="5" t="s">
        <v>34</v>
      </c>
      <c r="M90" s="156">
        <v>8.2000000000000003E-2</v>
      </c>
      <c r="N90" s="5" t="s">
        <v>61</v>
      </c>
      <c r="O90" s="167">
        <v>0</v>
      </c>
      <c r="P90" s="167">
        <v>4.7410000000000001E-2</v>
      </c>
      <c r="R90" s="156">
        <v>1740000</v>
      </c>
      <c r="S90" s="168">
        <v>1</v>
      </c>
      <c r="T90" s="170">
        <v>99.62</v>
      </c>
      <c r="U90" s="156">
        <v>1733.3879999999999</v>
      </c>
      <c r="W90" s="5" t="s">
        <v>36</v>
      </c>
      <c r="X90" s="167">
        <v>6.2000000000000003E-5</v>
      </c>
      <c r="Y90" s="167">
        <v>0.28770340750148599</v>
      </c>
      <c r="Z90" s="167">
        <v>7.2885257331812406E-2</v>
      </c>
    </row>
    <row r="91" spans="1:26">
      <c r="A91" s="5">
        <v>161</v>
      </c>
      <c r="B91" s="5">
        <v>12468</v>
      </c>
      <c r="C91" s="5" t="s">
        <v>54</v>
      </c>
      <c r="D91" s="5" t="s">
        <v>74</v>
      </c>
      <c r="E91" s="5" t="s">
        <v>75</v>
      </c>
      <c r="F91" s="5" t="s">
        <v>57</v>
      </c>
      <c r="G91" s="5" t="s">
        <v>30</v>
      </c>
      <c r="H91" s="5" t="s">
        <v>30</v>
      </c>
      <c r="I91" s="5" t="s">
        <v>31</v>
      </c>
      <c r="J91" s="5" t="s">
        <v>32</v>
      </c>
      <c r="K91" s="5" t="s">
        <v>33</v>
      </c>
      <c r="L91" s="5" t="s">
        <v>34</v>
      </c>
      <c r="M91" s="156">
        <v>0.33200000000000002</v>
      </c>
      <c r="N91" s="5" t="s">
        <v>76</v>
      </c>
      <c r="O91" s="167">
        <v>0</v>
      </c>
      <c r="P91" s="167">
        <v>4.3450000000000003E-2</v>
      </c>
      <c r="R91" s="156">
        <v>1550000</v>
      </c>
      <c r="S91" s="168">
        <v>1</v>
      </c>
      <c r="T91" s="170">
        <v>98.6</v>
      </c>
      <c r="U91" s="156">
        <v>1528.3</v>
      </c>
      <c r="W91" s="5" t="s">
        <v>36</v>
      </c>
      <c r="X91" s="167">
        <v>8.6000000000000003E-5</v>
      </c>
      <c r="Y91" s="167">
        <v>0.25366341389493902</v>
      </c>
      <c r="Z91" s="167">
        <v>6.4261745656603697E-2</v>
      </c>
    </row>
    <row r="92" spans="1:26">
      <c r="A92" s="5">
        <v>161</v>
      </c>
      <c r="B92" s="5">
        <v>12468</v>
      </c>
      <c r="C92" s="5" t="s">
        <v>54</v>
      </c>
      <c r="D92" s="5" t="s">
        <v>104</v>
      </c>
      <c r="E92" s="5" t="s">
        <v>105</v>
      </c>
      <c r="F92" s="5" t="s">
        <v>57</v>
      </c>
      <c r="G92" s="5" t="s">
        <v>30</v>
      </c>
      <c r="H92" s="5" t="s">
        <v>30</v>
      </c>
      <c r="I92" s="5" t="s">
        <v>31</v>
      </c>
      <c r="J92" s="5" t="s">
        <v>32</v>
      </c>
      <c r="K92" s="5" t="s">
        <v>33</v>
      </c>
      <c r="L92" s="5" t="s">
        <v>34</v>
      </c>
      <c r="M92" s="156">
        <v>0.40799999999999997</v>
      </c>
      <c r="N92" s="5" t="s">
        <v>106</v>
      </c>
      <c r="O92" s="167">
        <v>0</v>
      </c>
      <c r="P92" s="167">
        <v>4.2380000000000001E-2</v>
      </c>
      <c r="R92" s="156">
        <v>760000</v>
      </c>
      <c r="S92" s="168">
        <v>1</v>
      </c>
      <c r="T92" s="170">
        <v>98.32</v>
      </c>
      <c r="U92" s="156">
        <v>747.23199999999997</v>
      </c>
      <c r="W92" s="5" t="s">
        <v>36</v>
      </c>
      <c r="X92" s="167">
        <v>4.1999999999999998E-5</v>
      </c>
      <c r="Y92" s="167">
        <v>0.12402369959532999</v>
      </c>
      <c r="Z92" s="167">
        <v>3.1419507119332099E-2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/>
  <cols>
    <col min="1" max="36" width="11.625" style="5" customWidth="1"/>
    <col min="37" max="37" width="11.625" style="5" hidden="1" customWidth="1"/>
    <col min="38" max="16384" width="11.625" style="5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136</v>
      </c>
      <c r="E1" s="22" t="s">
        <v>137</v>
      </c>
      <c r="F1" s="22" t="s">
        <v>3</v>
      </c>
      <c r="G1" s="22" t="s">
        <v>4</v>
      </c>
      <c r="H1" s="22" t="s">
        <v>138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139</v>
      </c>
      <c r="N1" s="22" t="s">
        <v>140</v>
      </c>
      <c r="O1" s="22" t="s">
        <v>9</v>
      </c>
      <c r="P1" s="22" t="s">
        <v>10</v>
      </c>
      <c r="Q1" s="22" t="s">
        <v>141</v>
      </c>
      <c r="R1" s="22" t="s">
        <v>11</v>
      </c>
      <c r="S1" s="22" t="s">
        <v>12</v>
      </c>
      <c r="T1" s="22" t="s">
        <v>142</v>
      </c>
      <c r="U1" s="22" t="s">
        <v>13</v>
      </c>
      <c r="V1" s="22" t="s">
        <v>14</v>
      </c>
      <c r="W1" s="22" t="s">
        <v>15</v>
      </c>
      <c r="X1" s="22" t="s">
        <v>143</v>
      </c>
      <c r="Y1" s="22" t="s">
        <v>144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145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21"/>
      <c r="X2" s="21"/>
      <c r="Y2" s="3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21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21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499"/>
  <sheetViews>
    <sheetView rightToLeft="1" topLeftCell="B1" workbookViewId="0">
      <selection activeCell="J2" sqref="J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5" width="11.625" style="5" customWidth="1"/>
    <col min="26" max="36" width="11.625" style="3" customWidth="1"/>
    <col min="37" max="37" width="11.625" style="3" hidden="1" customWidth="1"/>
    <col min="38" max="16384" width="11.625" style="3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136</v>
      </c>
      <c r="E1" s="22" t="s">
        <v>137</v>
      </c>
      <c r="F1" s="22" t="s">
        <v>3</v>
      </c>
      <c r="G1" s="22" t="s">
        <v>4</v>
      </c>
      <c r="H1" s="22" t="s">
        <v>138</v>
      </c>
      <c r="I1" s="22" t="s">
        <v>5</v>
      </c>
      <c r="J1" s="22" t="s">
        <v>6</v>
      </c>
      <c r="K1" s="22" t="s">
        <v>7</v>
      </c>
      <c r="L1" s="22" t="s">
        <v>146</v>
      </c>
      <c r="M1" s="22" t="s">
        <v>8</v>
      </c>
      <c r="N1" s="22" t="s">
        <v>139</v>
      </c>
      <c r="O1" s="22" t="s">
        <v>140</v>
      </c>
      <c r="P1" s="22" t="s">
        <v>9</v>
      </c>
      <c r="Q1" s="22" t="s">
        <v>10</v>
      </c>
      <c r="R1" s="22" t="s">
        <v>141</v>
      </c>
      <c r="S1" s="22" t="s">
        <v>11</v>
      </c>
      <c r="T1" s="22" t="s">
        <v>12</v>
      </c>
      <c r="U1" s="22" t="s">
        <v>13</v>
      </c>
      <c r="V1" s="165" t="s">
        <v>14</v>
      </c>
      <c r="W1" s="165" t="s">
        <v>15</v>
      </c>
      <c r="X1" s="22" t="s">
        <v>143</v>
      </c>
      <c r="Y1" s="22" t="s">
        <v>144</v>
      </c>
      <c r="Z1" s="22" t="s">
        <v>17</v>
      </c>
      <c r="AA1" s="163" t="s">
        <v>18</v>
      </c>
      <c r="AB1" s="169" t="s">
        <v>19</v>
      </c>
      <c r="AC1" s="22" t="s">
        <v>16</v>
      </c>
      <c r="AD1" s="22" t="s">
        <v>20</v>
      </c>
      <c r="AE1" s="22" t="s">
        <v>21</v>
      </c>
      <c r="AF1" s="22" t="s">
        <v>145</v>
      </c>
      <c r="AG1" s="22" t="s">
        <v>22</v>
      </c>
      <c r="AH1" s="165" t="s">
        <v>23</v>
      </c>
      <c r="AI1" s="165" t="s">
        <v>24</v>
      </c>
      <c r="AJ1" s="165" t="s">
        <v>25</v>
      </c>
    </row>
    <row r="2" spans="1:36">
      <c r="A2" s="3">
        <v>161</v>
      </c>
      <c r="B2" s="23">
        <v>1434</v>
      </c>
      <c r="C2" s="23" t="s">
        <v>147</v>
      </c>
      <c r="D2" s="23" t="s">
        <v>148</v>
      </c>
      <c r="E2" s="21" t="s">
        <v>149</v>
      </c>
      <c r="F2" s="23" t="s">
        <v>150</v>
      </c>
      <c r="G2" s="23" t="s">
        <v>151</v>
      </c>
      <c r="H2" s="21" t="s">
        <v>152</v>
      </c>
      <c r="I2" s="40" t="s">
        <v>153</v>
      </c>
      <c r="J2" s="21" t="s">
        <v>30</v>
      </c>
      <c r="K2" s="21" t="s">
        <v>30</v>
      </c>
      <c r="L2" s="23" t="s">
        <v>154</v>
      </c>
      <c r="M2" s="21" t="s">
        <v>31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159</v>
      </c>
      <c r="S2" s="21" t="s">
        <v>34</v>
      </c>
      <c r="T2" s="157">
        <v>5.9370000000000003</v>
      </c>
      <c r="U2" s="23" t="s">
        <v>160</v>
      </c>
      <c r="V2" s="171">
        <v>5.1299999999999998E-2</v>
      </c>
      <c r="W2" s="171">
        <v>5.1470000000000002E-2</v>
      </c>
      <c r="X2" s="21" t="s">
        <v>161</v>
      </c>
      <c r="Y2" s="31" t="s">
        <v>156</v>
      </c>
      <c r="Z2" s="157">
        <v>60000</v>
      </c>
      <c r="AA2" s="172">
        <v>1</v>
      </c>
      <c r="AB2" s="173">
        <v>100.43</v>
      </c>
      <c r="AC2" s="23"/>
      <c r="AD2" s="157">
        <v>60.258000000000003</v>
      </c>
      <c r="AE2" s="23"/>
      <c r="AF2" s="40"/>
      <c r="AG2" s="21" t="s">
        <v>36</v>
      </c>
      <c r="AH2" s="166">
        <v>1.76E-4</v>
      </c>
      <c r="AI2" s="166">
        <v>9.5827724136339394E-3</v>
      </c>
      <c r="AJ2" s="166">
        <v>2.6296322539384001E-3</v>
      </c>
    </row>
    <row r="3" spans="1:36">
      <c r="A3" s="23">
        <v>161</v>
      </c>
      <c r="B3" s="23">
        <v>1434</v>
      </c>
      <c r="C3" s="23" t="s">
        <v>162</v>
      </c>
      <c r="D3" s="23" t="s">
        <v>163</v>
      </c>
      <c r="E3" s="21" t="s">
        <v>149</v>
      </c>
      <c r="F3" s="23" t="s">
        <v>164</v>
      </c>
      <c r="G3" s="23" t="s">
        <v>165</v>
      </c>
      <c r="H3" s="21" t="s">
        <v>152</v>
      </c>
      <c r="I3" s="24" t="s">
        <v>166</v>
      </c>
      <c r="J3" s="21" t="s">
        <v>30</v>
      </c>
      <c r="K3" s="21" t="s">
        <v>30</v>
      </c>
      <c r="L3" s="23" t="s">
        <v>154</v>
      </c>
      <c r="M3" s="21" t="s">
        <v>31</v>
      </c>
      <c r="N3" s="23" t="s">
        <v>167</v>
      </c>
      <c r="O3" s="23" t="s">
        <v>156</v>
      </c>
      <c r="P3" s="23" t="s">
        <v>168</v>
      </c>
      <c r="Q3" s="23" t="s">
        <v>169</v>
      </c>
      <c r="R3" s="23" t="s">
        <v>159</v>
      </c>
      <c r="S3" s="21" t="s">
        <v>34</v>
      </c>
      <c r="T3" s="157">
        <v>1.7490000000000001</v>
      </c>
      <c r="U3" s="23" t="s">
        <v>170</v>
      </c>
      <c r="V3" s="171">
        <v>2.3400000000000001E-2</v>
      </c>
      <c r="W3" s="171">
        <v>2.9860000000000001E-2</v>
      </c>
      <c r="X3" s="21" t="s">
        <v>161</v>
      </c>
      <c r="Y3" s="21" t="s">
        <v>156</v>
      </c>
      <c r="Z3" s="157">
        <v>77298.55</v>
      </c>
      <c r="AA3" s="172">
        <v>1</v>
      </c>
      <c r="AB3" s="173">
        <v>118.73</v>
      </c>
      <c r="AC3" s="23"/>
      <c r="AD3" s="157">
        <v>91.777000000000001</v>
      </c>
      <c r="AE3" s="23"/>
      <c r="AG3" s="21" t="s">
        <v>36</v>
      </c>
      <c r="AH3" s="166">
        <v>4.6999999999999997E-5</v>
      </c>
      <c r="AI3" s="166">
        <v>1.45951403635243E-2</v>
      </c>
      <c r="AJ3" s="166">
        <v>4.0050885269983802E-3</v>
      </c>
    </row>
    <row r="4" spans="1:36">
      <c r="A4" s="23">
        <v>161</v>
      </c>
      <c r="B4" s="23">
        <v>1434</v>
      </c>
      <c r="C4" s="23" t="s">
        <v>162</v>
      </c>
      <c r="D4" s="23" t="s">
        <v>163</v>
      </c>
      <c r="E4" s="21" t="s">
        <v>149</v>
      </c>
      <c r="F4" s="23" t="s">
        <v>171</v>
      </c>
      <c r="G4" s="23" t="s">
        <v>172</v>
      </c>
      <c r="H4" s="21" t="s">
        <v>152</v>
      </c>
      <c r="I4" s="24" t="s">
        <v>153</v>
      </c>
      <c r="J4" s="21" t="s">
        <v>30</v>
      </c>
      <c r="K4" s="21" t="s">
        <v>30</v>
      </c>
      <c r="L4" s="23" t="s">
        <v>154</v>
      </c>
      <c r="M4" s="21" t="s">
        <v>31</v>
      </c>
      <c r="N4" s="23" t="s">
        <v>167</v>
      </c>
      <c r="O4" s="23" t="s">
        <v>156</v>
      </c>
      <c r="P4" s="23" t="s">
        <v>168</v>
      </c>
      <c r="Q4" s="23" t="s">
        <v>169</v>
      </c>
      <c r="R4" s="23" t="s">
        <v>159</v>
      </c>
      <c r="S4" s="21" t="s">
        <v>34</v>
      </c>
      <c r="T4" s="157">
        <v>2.12</v>
      </c>
      <c r="U4" s="23" t="s">
        <v>173</v>
      </c>
      <c r="V4" s="171">
        <v>0.05</v>
      </c>
      <c r="W4" s="171">
        <v>4.5929999999999999E-2</v>
      </c>
      <c r="X4" s="21" t="s">
        <v>161</v>
      </c>
      <c r="Y4" s="21" t="s">
        <v>156</v>
      </c>
      <c r="Z4" s="157">
        <v>79375</v>
      </c>
      <c r="AA4" s="172">
        <v>1</v>
      </c>
      <c r="AB4" s="173">
        <v>103.14</v>
      </c>
      <c r="AC4" s="23"/>
      <c r="AD4" s="157">
        <v>81.867000000000004</v>
      </c>
      <c r="AE4" s="23"/>
      <c r="AG4" s="21" t="s">
        <v>36</v>
      </c>
      <c r="AH4" s="166">
        <v>1.6100000000000001E-4</v>
      </c>
      <c r="AI4" s="166">
        <v>1.3019290761834499E-2</v>
      </c>
      <c r="AJ4" s="166">
        <v>3.5726557443869701E-3</v>
      </c>
    </row>
    <row r="5" spans="1:36">
      <c r="A5" s="23">
        <v>161</v>
      </c>
      <c r="B5" s="23">
        <v>1434</v>
      </c>
      <c r="C5" s="23" t="s">
        <v>174</v>
      </c>
      <c r="D5" s="23" t="s">
        <v>175</v>
      </c>
      <c r="E5" s="21" t="s">
        <v>149</v>
      </c>
      <c r="F5" s="23" t="s">
        <v>176</v>
      </c>
      <c r="G5" s="23" t="s">
        <v>177</v>
      </c>
      <c r="H5" s="21" t="s">
        <v>152</v>
      </c>
      <c r="I5" s="24" t="s">
        <v>153</v>
      </c>
      <c r="J5" s="21" t="s">
        <v>30</v>
      </c>
      <c r="K5" s="21" t="s">
        <v>30</v>
      </c>
      <c r="L5" s="23" t="s">
        <v>154</v>
      </c>
      <c r="M5" s="21" t="s">
        <v>31</v>
      </c>
      <c r="N5" s="23" t="s">
        <v>178</v>
      </c>
      <c r="O5" s="23" t="s">
        <v>156</v>
      </c>
      <c r="P5" s="23" t="s">
        <v>179</v>
      </c>
      <c r="Q5" s="23" t="s">
        <v>169</v>
      </c>
      <c r="R5" s="23" t="s">
        <v>159</v>
      </c>
      <c r="S5" s="21" t="s">
        <v>34</v>
      </c>
      <c r="T5" s="157">
        <v>1.391</v>
      </c>
      <c r="U5" s="23" t="s">
        <v>180</v>
      </c>
      <c r="V5" s="171">
        <v>5.7000000000000002E-2</v>
      </c>
      <c r="W5" s="171">
        <v>5.339E-2</v>
      </c>
      <c r="X5" s="21" t="s">
        <v>161</v>
      </c>
      <c r="Y5" s="21" t="s">
        <v>156</v>
      </c>
      <c r="Z5" s="157">
        <v>12650</v>
      </c>
      <c r="AA5" s="172">
        <v>1</v>
      </c>
      <c r="AB5" s="173">
        <v>100.89</v>
      </c>
      <c r="AC5" s="23"/>
      <c r="AD5" s="157">
        <v>12.763</v>
      </c>
      <c r="AE5" s="23"/>
      <c r="AG5" s="21" t="s">
        <v>36</v>
      </c>
      <c r="AH5" s="166">
        <v>1.8E-5</v>
      </c>
      <c r="AI5" s="166">
        <v>2.0296217508821799E-3</v>
      </c>
      <c r="AJ5" s="166">
        <v>5.5695351919463705E-4</v>
      </c>
    </row>
    <row r="6" spans="1:36">
      <c r="A6" s="23">
        <v>161</v>
      </c>
      <c r="B6" s="23">
        <v>1434</v>
      </c>
      <c r="C6" s="23" t="s">
        <v>181</v>
      </c>
      <c r="D6" s="23" t="s">
        <v>182</v>
      </c>
      <c r="E6" s="21" t="s">
        <v>149</v>
      </c>
      <c r="F6" s="23" t="s">
        <v>183</v>
      </c>
      <c r="G6" s="23" t="s">
        <v>184</v>
      </c>
      <c r="H6" s="21" t="s">
        <v>152</v>
      </c>
      <c r="I6" s="24" t="s">
        <v>166</v>
      </c>
      <c r="J6" s="21" t="s">
        <v>30</v>
      </c>
      <c r="K6" s="21" t="s">
        <v>30</v>
      </c>
      <c r="L6" s="23" t="s">
        <v>154</v>
      </c>
      <c r="M6" s="21" t="s">
        <v>31</v>
      </c>
      <c r="N6" s="23" t="s">
        <v>167</v>
      </c>
      <c r="O6" s="23" t="s">
        <v>156</v>
      </c>
      <c r="P6" s="23" t="s">
        <v>185</v>
      </c>
      <c r="Q6" s="23" t="s">
        <v>169</v>
      </c>
      <c r="R6" s="23" t="s">
        <v>159</v>
      </c>
      <c r="S6" s="21" t="s">
        <v>34</v>
      </c>
      <c r="T6" s="157">
        <v>6.1760000000000002</v>
      </c>
      <c r="U6" s="23" t="s">
        <v>186</v>
      </c>
      <c r="V6" s="171">
        <v>2.5600000000000001E-2</v>
      </c>
      <c r="W6" s="171">
        <v>3.1919999999999997E-2</v>
      </c>
      <c r="X6" s="21" t="s">
        <v>161</v>
      </c>
      <c r="Y6" s="21" t="s">
        <v>156</v>
      </c>
      <c r="Z6" s="155">
        <v>45000</v>
      </c>
      <c r="AA6" s="164">
        <v>1</v>
      </c>
      <c r="AB6" s="174">
        <v>108.14</v>
      </c>
      <c r="AC6" s="23"/>
      <c r="AD6" s="155">
        <v>48.662999999999997</v>
      </c>
      <c r="AG6" s="3" t="s">
        <v>36</v>
      </c>
      <c r="AH6" s="166">
        <v>4.3000000000000002E-5</v>
      </c>
      <c r="AI6" s="166">
        <v>7.7388305945213596E-3</v>
      </c>
      <c r="AJ6" s="166">
        <v>2.1236316235753601E-3</v>
      </c>
    </row>
    <row r="7" spans="1:36">
      <c r="A7" s="23">
        <v>161</v>
      </c>
      <c r="B7" s="23">
        <v>1434</v>
      </c>
      <c r="C7" s="23" t="s">
        <v>181</v>
      </c>
      <c r="D7" s="23" t="s">
        <v>182</v>
      </c>
      <c r="E7" s="21" t="s">
        <v>149</v>
      </c>
      <c r="F7" s="23" t="s">
        <v>187</v>
      </c>
      <c r="G7" s="23" t="s">
        <v>188</v>
      </c>
      <c r="H7" s="21" t="s">
        <v>152</v>
      </c>
      <c r="I7" s="24" t="s">
        <v>153</v>
      </c>
      <c r="J7" s="21" t="s">
        <v>30</v>
      </c>
      <c r="K7" s="21" t="s">
        <v>30</v>
      </c>
      <c r="L7" s="23" t="s">
        <v>154</v>
      </c>
      <c r="M7" s="21" t="s">
        <v>31</v>
      </c>
      <c r="N7" s="23" t="s">
        <v>167</v>
      </c>
      <c r="O7" s="23" t="s">
        <v>156</v>
      </c>
      <c r="P7" s="23" t="s">
        <v>185</v>
      </c>
      <c r="Q7" s="23" t="s">
        <v>169</v>
      </c>
      <c r="R7" s="23" t="s">
        <v>159</v>
      </c>
      <c r="S7" s="21" t="s">
        <v>34</v>
      </c>
      <c r="T7" s="157">
        <v>3.4430000000000001</v>
      </c>
      <c r="U7" s="23" t="s">
        <v>189</v>
      </c>
      <c r="V7" s="171">
        <v>2.41E-2</v>
      </c>
      <c r="W7" s="171">
        <v>4.8230000000000002E-2</v>
      </c>
      <c r="X7" s="21" t="s">
        <v>161</v>
      </c>
      <c r="Y7" s="21" t="s">
        <v>156</v>
      </c>
      <c r="Z7" s="155">
        <v>80000</v>
      </c>
      <c r="AA7" s="164">
        <v>1</v>
      </c>
      <c r="AB7" s="174">
        <v>93.59</v>
      </c>
      <c r="AC7" s="23"/>
      <c r="AD7" s="155">
        <v>74.872</v>
      </c>
      <c r="AG7" s="3" t="s">
        <v>36</v>
      </c>
      <c r="AH7" s="166">
        <v>3.8999999999999999E-5</v>
      </c>
      <c r="AI7" s="166">
        <v>1.1906822930625E-2</v>
      </c>
      <c r="AJ7" s="166">
        <v>3.26738069827867E-3</v>
      </c>
    </row>
    <row r="8" spans="1:36">
      <c r="A8" s="23">
        <v>161</v>
      </c>
      <c r="B8" s="23">
        <v>1434</v>
      </c>
      <c r="C8" s="23" t="s">
        <v>190</v>
      </c>
      <c r="D8" s="23" t="s">
        <v>191</v>
      </c>
      <c r="E8" s="21" t="s">
        <v>149</v>
      </c>
      <c r="F8" s="23" t="s">
        <v>192</v>
      </c>
      <c r="G8" s="23" t="s">
        <v>193</v>
      </c>
      <c r="H8" s="21" t="s">
        <v>152</v>
      </c>
      <c r="I8" s="24" t="s">
        <v>153</v>
      </c>
      <c r="J8" s="21" t="s">
        <v>30</v>
      </c>
      <c r="K8" s="21" t="s">
        <v>30</v>
      </c>
      <c r="L8" s="23" t="s">
        <v>154</v>
      </c>
      <c r="M8" s="21" t="s">
        <v>31</v>
      </c>
      <c r="N8" s="23" t="s">
        <v>194</v>
      </c>
      <c r="O8" s="23" t="s">
        <v>156</v>
      </c>
      <c r="P8" s="23" t="s">
        <v>179</v>
      </c>
      <c r="Q8" s="23" t="s">
        <v>169</v>
      </c>
      <c r="R8" s="23" t="s">
        <v>159</v>
      </c>
      <c r="S8" s="21" t="s">
        <v>34</v>
      </c>
      <c r="T8" s="157">
        <v>2.5489999999999999</v>
      </c>
      <c r="U8" s="23" t="s">
        <v>195</v>
      </c>
      <c r="V8" s="171">
        <v>0.04</v>
      </c>
      <c r="W8" s="171">
        <v>4.802E-2</v>
      </c>
      <c r="X8" s="21" t="s">
        <v>161</v>
      </c>
      <c r="Y8" s="21" t="s">
        <v>156</v>
      </c>
      <c r="Z8" s="157">
        <v>42857.15</v>
      </c>
      <c r="AA8" s="172">
        <v>1</v>
      </c>
      <c r="AB8" s="173">
        <v>99.07</v>
      </c>
      <c r="AC8" s="23"/>
      <c r="AD8" s="157">
        <v>42.459000000000003</v>
      </c>
      <c r="AE8" s="23"/>
      <c r="AG8" s="21" t="s">
        <v>36</v>
      </c>
      <c r="AH8" s="166">
        <v>7.3999999999999996E-5</v>
      </c>
      <c r="AI8" s="166">
        <v>6.7521473467394401E-3</v>
      </c>
      <c r="AJ8" s="166">
        <v>1.8528734357782101E-3</v>
      </c>
    </row>
    <row r="9" spans="1:36">
      <c r="A9" s="23">
        <v>161</v>
      </c>
      <c r="B9" s="23">
        <v>1434</v>
      </c>
      <c r="C9" s="23" t="s">
        <v>196</v>
      </c>
      <c r="D9" s="23" t="s">
        <v>197</v>
      </c>
      <c r="E9" s="21" t="s">
        <v>149</v>
      </c>
      <c r="F9" s="23" t="s">
        <v>198</v>
      </c>
      <c r="G9" s="23" t="s">
        <v>199</v>
      </c>
      <c r="H9" s="21" t="s">
        <v>152</v>
      </c>
      <c r="I9" s="24" t="s">
        <v>166</v>
      </c>
      <c r="J9" s="21" t="s">
        <v>30</v>
      </c>
      <c r="K9" s="21" t="s">
        <v>30</v>
      </c>
      <c r="L9" s="23" t="s">
        <v>154</v>
      </c>
      <c r="M9" s="21" t="s">
        <v>31</v>
      </c>
      <c r="N9" s="23" t="s">
        <v>167</v>
      </c>
      <c r="O9" s="23" t="s">
        <v>156</v>
      </c>
      <c r="P9" s="23" t="s">
        <v>168</v>
      </c>
      <c r="Q9" s="23" t="s">
        <v>169</v>
      </c>
      <c r="R9" s="23" t="s">
        <v>159</v>
      </c>
      <c r="S9" s="21" t="s">
        <v>34</v>
      </c>
      <c r="T9" s="157">
        <v>2.6160000000000001</v>
      </c>
      <c r="U9" s="23" t="s">
        <v>200</v>
      </c>
      <c r="V9" s="171">
        <v>1.14E-2</v>
      </c>
      <c r="W9" s="171">
        <v>2.895E-2</v>
      </c>
      <c r="X9" s="21" t="s">
        <v>161</v>
      </c>
      <c r="Y9" s="21" t="s">
        <v>156</v>
      </c>
      <c r="Z9" s="157">
        <v>98100</v>
      </c>
      <c r="AA9" s="172">
        <v>1</v>
      </c>
      <c r="AB9" s="173">
        <v>111.73</v>
      </c>
      <c r="AC9" s="157">
        <v>14.193</v>
      </c>
      <c r="AD9" s="157">
        <v>123.8</v>
      </c>
      <c r="AE9" s="23"/>
      <c r="AG9" s="21" t="s">
        <v>36</v>
      </c>
      <c r="AH9" s="166">
        <v>4.1999999999999998E-5</v>
      </c>
      <c r="AI9" s="166">
        <v>1.9687742153162401E-2</v>
      </c>
      <c r="AJ9" s="166">
        <v>5.4025619662552296E-3</v>
      </c>
    </row>
    <row r="10" spans="1:36">
      <c r="A10" s="23">
        <v>161</v>
      </c>
      <c r="B10" s="23">
        <v>1434</v>
      </c>
      <c r="C10" s="23" t="s">
        <v>196</v>
      </c>
      <c r="D10" s="23" t="s">
        <v>197</v>
      </c>
      <c r="E10" s="21" t="s">
        <v>149</v>
      </c>
      <c r="F10" s="23" t="s">
        <v>201</v>
      </c>
      <c r="G10" s="23" t="s">
        <v>202</v>
      </c>
      <c r="H10" s="21" t="s">
        <v>152</v>
      </c>
      <c r="I10" s="24" t="s">
        <v>153</v>
      </c>
      <c r="J10" s="21" t="s">
        <v>30</v>
      </c>
      <c r="K10" s="21" t="s">
        <v>30</v>
      </c>
      <c r="L10" s="23" t="s">
        <v>154</v>
      </c>
      <c r="M10" s="21" t="s">
        <v>31</v>
      </c>
      <c r="N10" s="23" t="s">
        <v>167</v>
      </c>
      <c r="O10" s="23" t="s">
        <v>156</v>
      </c>
      <c r="P10" s="23" t="s">
        <v>168</v>
      </c>
      <c r="Q10" s="23" t="s">
        <v>169</v>
      </c>
      <c r="R10" s="23" t="s">
        <v>159</v>
      </c>
      <c r="S10" s="21" t="s">
        <v>34</v>
      </c>
      <c r="T10" s="157">
        <v>4.4089999999999998</v>
      </c>
      <c r="U10" s="23" t="s">
        <v>203</v>
      </c>
      <c r="V10" s="171">
        <v>2.4400000000000002E-2</v>
      </c>
      <c r="W10" s="171">
        <v>4.6960000000000002E-2</v>
      </c>
      <c r="X10" s="21" t="s">
        <v>161</v>
      </c>
      <c r="Y10" s="21" t="s">
        <v>156</v>
      </c>
      <c r="Z10" s="157">
        <v>80000</v>
      </c>
      <c r="AA10" s="172">
        <v>1</v>
      </c>
      <c r="AB10" s="173">
        <v>92.45</v>
      </c>
      <c r="AC10" s="23"/>
      <c r="AD10" s="157">
        <v>73.959999999999994</v>
      </c>
      <c r="AE10" s="23"/>
      <c r="AG10" s="21" t="s">
        <v>36</v>
      </c>
      <c r="AH10" s="166">
        <v>6.6000000000000005E-5</v>
      </c>
      <c r="AI10" s="166">
        <v>1.17617884382549E-2</v>
      </c>
      <c r="AJ10" s="166">
        <v>3.2275814248943599E-3</v>
      </c>
    </row>
    <row r="11" spans="1:36">
      <c r="A11" s="23">
        <v>161</v>
      </c>
      <c r="B11" s="23">
        <v>1434</v>
      </c>
      <c r="C11" s="23" t="s">
        <v>196</v>
      </c>
      <c r="D11" s="23" t="s">
        <v>197</v>
      </c>
      <c r="E11" s="21" t="s">
        <v>149</v>
      </c>
      <c r="F11" s="23" t="s">
        <v>204</v>
      </c>
      <c r="G11" s="23" t="s">
        <v>205</v>
      </c>
      <c r="H11" s="21" t="s">
        <v>152</v>
      </c>
      <c r="I11" s="24" t="s">
        <v>166</v>
      </c>
      <c r="J11" s="21" t="s">
        <v>30</v>
      </c>
      <c r="K11" s="21" t="s">
        <v>30</v>
      </c>
      <c r="L11" s="23" t="s">
        <v>154</v>
      </c>
      <c r="M11" s="21" t="s">
        <v>31</v>
      </c>
      <c r="N11" s="23" t="s">
        <v>167</v>
      </c>
      <c r="O11" s="23" t="s">
        <v>156</v>
      </c>
      <c r="P11" s="23" t="s">
        <v>168</v>
      </c>
      <c r="Q11" s="23" t="s">
        <v>169</v>
      </c>
      <c r="R11" s="23" t="s">
        <v>159</v>
      </c>
      <c r="S11" s="21" t="s">
        <v>34</v>
      </c>
      <c r="T11" s="157">
        <v>4.6059999999999999</v>
      </c>
      <c r="U11" s="23" t="s">
        <v>203</v>
      </c>
      <c r="V11" s="171">
        <v>9.1999999999999998E-3</v>
      </c>
      <c r="W11" s="171">
        <v>2.8729999999999999E-2</v>
      </c>
      <c r="X11" s="21" t="s">
        <v>161</v>
      </c>
      <c r="Y11" s="21" t="s">
        <v>156</v>
      </c>
      <c r="Z11" s="157">
        <v>70000</v>
      </c>
      <c r="AA11" s="172">
        <v>1</v>
      </c>
      <c r="AB11" s="173">
        <v>109.54</v>
      </c>
      <c r="AC11" s="23"/>
      <c r="AD11" s="157">
        <v>76.677999999999997</v>
      </c>
      <c r="AE11" s="23"/>
      <c r="AG11" s="21" t="s">
        <v>36</v>
      </c>
      <c r="AH11" s="166">
        <v>2.6999999999999999E-5</v>
      </c>
      <c r="AI11" s="166">
        <v>1.2194029392489401E-2</v>
      </c>
      <c r="AJ11" s="166">
        <v>3.3461937330725999E-3</v>
      </c>
    </row>
    <row r="12" spans="1:36">
      <c r="A12" s="23">
        <v>161</v>
      </c>
      <c r="B12" s="23">
        <v>1434</v>
      </c>
      <c r="C12" s="23" t="s">
        <v>206</v>
      </c>
      <c r="D12" s="23" t="s">
        <v>207</v>
      </c>
      <c r="E12" s="21" t="s">
        <v>149</v>
      </c>
      <c r="F12" s="23" t="s">
        <v>208</v>
      </c>
      <c r="G12" s="23" t="s">
        <v>209</v>
      </c>
      <c r="H12" s="21" t="s">
        <v>152</v>
      </c>
      <c r="I12" s="24" t="s">
        <v>153</v>
      </c>
      <c r="J12" s="21" t="s">
        <v>30</v>
      </c>
      <c r="K12" s="21" t="s">
        <v>82</v>
      </c>
      <c r="L12" s="23" t="s">
        <v>154</v>
      </c>
      <c r="M12" s="21" t="s">
        <v>31</v>
      </c>
      <c r="N12" s="23" t="s">
        <v>210</v>
      </c>
      <c r="O12" s="23" t="s">
        <v>156</v>
      </c>
      <c r="P12" s="23" t="s">
        <v>157</v>
      </c>
      <c r="Q12" s="23" t="s">
        <v>158</v>
      </c>
      <c r="R12" s="23" t="s">
        <v>159</v>
      </c>
      <c r="S12" s="21" t="s">
        <v>34</v>
      </c>
      <c r="T12" s="157">
        <v>0.89500000000000002</v>
      </c>
      <c r="U12" s="23" t="s">
        <v>211</v>
      </c>
      <c r="V12" s="171">
        <v>3.4500000000000003E-2</v>
      </c>
      <c r="W12" s="171">
        <v>5.1270000000000003E-2</v>
      </c>
      <c r="X12" s="21" t="s">
        <v>161</v>
      </c>
      <c r="Y12" s="21" t="s">
        <v>156</v>
      </c>
      <c r="Z12" s="157">
        <v>77490.19</v>
      </c>
      <c r="AA12" s="172">
        <v>1</v>
      </c>
      <c r="AB12" s="173">
        <v>98.92</v>
      </c>
      <c r="AC12" s="23"/>
      <c r="AD12" s="157">
        <v>76.653000000000006</v>
      </c>
      <c r="AE12" s="23"/>
      <c r="AG12" s="21" t="s">
        <v>36</v>
      </c>
      <c r="AH12" s="166">
        <v>1.3899999999999999E-4</v>
      </c>
      <c r="AI12" s="166">
        <v>1.2190100730602E-2</v>
      </c>
      <c r="AJ12" s="166">
        <v>3.3451156592576299E-3</v>
      </c>
    </row>
    <row r="13" spans="1:36">
      <c r="A13" s="23">
        <v>161</v>
      </c>
      <c r="B13" s="23">
        <v>1434</v>
      </c>
      <c r="C13" s="23" t="s">
        <v>206</v>
      </c>
      <c r="D13" s="23" t="s">
        <v>207</v>
      </c>
      <c r="E13" s="21" t="s">
        <v>149</v>
      </c>
      <c r="F13" s="23" t="s">
        <v>212</v>
      </c>
      <c r="G13" s="23" t="s">
        <v>213</v>
      </c>
      <c r="H13" s="21" t="s">
        <v>152</v>
      </c>
      <c r="I13" s="24" t="s">
        <v>153</v>
      </c>
      <c r="J13" s="21" t="s">
        <v>30</v>
      </c>
      <c r="K13" s="21" t="s">
        <v>82</v>
      </c>
      <c r="L13" s="23" t="s">
        <v>154</v>
      </c>
      <c r="M13" s="21" t="s">
        <v>31</v>
      </c>
      <c r="N13" s="23" t="s">
        <v>210</v>
      </c>
      <c r="O13" s="23" t="s">
        <v>156</v>
      </c>
      <c r="P13" s="23" t="s">
        <v>157</v>
      </c>
      <c r="Q13" s="23" t="s">
        <v>158</v>
      </c>
      <c r="R13" s="23" t="s">
        <v>159</v>
      </c>
      <c r="S13" s="21" t="s">
        <v>34</v>
      </c>
      <c r="T13" s="157">
        <v>2.8079999999999998</v>
      </c>
      <c r="U13" s="23" t="s">
        <v>214</v>
      </c>
      <c r="V13" s="171">
        <v>1.4999999999999999E-2</v>
      </c>
      <c r="W13" s="171">
        <v>5.0139999999999997E-2</v>
      </c>
      <c r="X13" s="21" t="s">
        <v>161</v>
      </c>
      <c r="Y13" s="21" t="s">
        <v>156</v>
      </c>
      <c r="Z13" s="157">
        <v>26000</v>
      </c>
      <c r="AA13" s="172">
        <v>1</v>
      </c>
      <c r="AB13" s="173">
        <v>90.97</v>
      </c>
      <c r="AC13" s="23"/>
      <c r="AD13" s="157">
        <v>23.652000000000001</v>
      </c>
      <c r="AE13" s="23"/>
      <c r="AG13" s="21" t="s">
        <v>36</v>
      </c>
      <c r="AH13" s="166">
        <v>2.1999999999999999E-5</v>
      </c>
      <c r="AI13" s="166">
        <v>3.76138686451181E-3</v>
      </c>
      <c r="AJ13" s="166">
        <v>1.03217146265395E-3</v>
      </c>
    </row>
    <row r="14" spans="1:36">
      <c r="A14" s="23">
        <v>161</v>
      </c>
      <c r="B14" s="23">
        <v>1434</v>
      </c>
      <c r="C14" s="23" t="s">
        <v>162</v>
      </c>
      <c r="D14" s="23" t="s">
        <v>163</v>
      </c>
      <c r="E14" s="21" t="s">
        <v>149</v>
      </c>
      <c r="F14" s="23" t="s">
        <v>215</v>
      </c>
      <c r="G14" s="23" t="s">
        <v>216</v>
      </c>
      <c r="H14" s="21" t="s">
        <v>152</v>
      </c>
      <c r="I14" s="24" t="s">
        <v>166</v>
      </c>
      <c r="J14" s="21" t="s">
        <v>30</v>
      </c>
      <c r="K14" s="21" t="s">
        <v>30</v>
      </c>
      <c r="L14" s="23" t="s">
        <v>154</v>
      </c>
      <c r="M14" s="21" t="s">
        <v>31</v>
      </c>
      <c r="N14" s="23" t="s">
        <v>167</v>
      </c>
      <c r="O14" s="23" t="s">
        <v>156</v>
      </c>
      <c r="P14" s="23" t="s">
        <v>168</v>
      </c>
      <c r="Q14" s="23" t="s">
        <v>169</v>
      </c>
      <c r="R14" s="23" t="s">
        <v>159</v>
      </c>
      <c r="S14" s="21" t="s">
        <v>34</v>
      </c>
      <c r="T14" s="157">
        <v>4.8460000000000001</v>
      </c>
      <c r="U14" s="23" t="s">
        <v>217</v>
      </c>
      <c r="V14" s="171">
        <v>6.4999999999999997E-3</v>
      </c>
      <c r="W14" s="171">
        <v>2.8850000000000001E-2</v>
      </c>
      <c r="X14" s="21" t="s">
        <v>161</v>
      </c>
      <c r="Y14" s="21" t="s">
        <v>156</v>
      </c>
      <c r="Z14" s="157">
        <v>59025.45</v>
      </c>
      <c r="AA14" s="172">
        <v>1</v>
      </c>
      <c r="AB14" s="173">
        <v>105.89</v>
      </c>
      <c r="AC14" s="23"/>
      <c r="AD14" s="157">
        <v>62.502000000000002</v>
      </c>
      <c r="AE14" s="23"/>
      <c r="AG14" s="21" t="s">
        <v>36</v>
      </c>
      <c r="AH14" s="166">
        <v>2.8E-5</v>
      </c>
      <c r="AI14" s="166">
        <v>9.9396413920261294E-3</v>
      </c>
      <c r="AJ14" s="166">
        <v>2.7275615520061499E-3</v>
      </c>
    </row>
    <row r="15" spans="1:36">
      <c r="A15" s="23">
        <v>161</v>
      </c>
      <c r="B15" s="23">
        <v>1434</v>
      </c>
      <c r="C15" s="23" t="s">
        <v>218</v>
      </c>
      <c r="D15" s="23" t="s">
        <v>219</v>
      </c>
      <c r="E15" s="21" t="s">
        <v>149</v>
      </c>
      <c r="F15" s="23" t="s">
        <v>220</v>
      </c>
      <c r="G15" s="23" t="s">
        <v>221</v>
      </c>
      <c r="H15" s="21" t="s">
        <v>152</v>
      </c>
      <c r="I15" s="24" t="s">
        <v>166</v>
      </c>
      <c r="J15" s="21" t="s">
        <v>30</v>
      </c>
      <c r="K15" s="21" t="s">
        <v>30</v>
      </c>
      <c r="L15" s="23" t="s">
        <v>154</v>
      </c>
      <c r="M15" s="21" t="s">
        <v>31</v>
      </c>
      <c r="N15" s="23" t="s">
        <v>167</v>
      </c>
      <c r="O15" s="23" t="s">
        <v>156</v>
      </c>
      <c r="P15" s="23" t="s">
        <v>222</v>
      </c>
      <c r="Q15" s="23" t="s">
        <v>158</v>
      </c>
      <c r="R15" s="23" t="s">
        <v>159</v>
      </c>
      <c r="S15" s="21" t="s">
        <v>34</v>
      </c>
      <c r="T15" s="157">
        <v>3.51</v>
      </c>
      <c r="U15" s="23" t="s">
        <v>223</v>
      </c>
      <c r="V15" s="171">
        <v>1.17E-2</v>
      </c>
      <c r="W15" s="171">
        <v>2.8479999999999998E-2</v>
      </c>
      <c r="X15" s="21" t="s">
        <v>161</v>
      </c>
      <c r="Y15" s="21" t="s">
        <v>156</v>
      </c>
      <c r="Z15" s="157">
        <v>16800</v>
      </c>
      <c r="AA15" s="172">
        <v>1</v>
      </c>
      <c r="AB15" s="173">
        <v>111.54</v>
      </c>
      <c r="AC15" s="23"/>
      <c r="AD15" s="157">
        <v>18.739000000000001</v>
      </c>
      <c r="AE15" s="23"/>
      <c r="AG15" s="21" t="s">
        <v>36</v>
      </c>
      <c r="AH15" s="166">
        <v>2.4000000000000001E-5</v>
      </c>
      <c r="AI15" s="166">
        <v>2.9800008145443001E-3</v>
      </c>
      <c r="AJ15" s="166">
        <v>8.1774938613164401E-4</v>
      </c>
    </row>
    <row r="16" spans="1:36">
      <c r="A16" s="23">
        <v>161</v>
      </c>
      <c r="B16" s="23">
        <v>1434</v>
      </c>
      <c r="C16" s="23" t="s">
        <v>218</v>
      </c>
      <c r="D16" s="23" t="s">
        <v>219</v>
      </c>
      <c r="E16" s="21" t="s">
        <v>149</v>
      </c>
      <c r="F16" s="23" t="s">
        <v>224</v>
      </c>
      <c r="G16" s="23" t="s">
        <v>225</v>
      </c>
      <c r="H16" s="21" t="s">
        <v>152</v>
      </c>
      <c r="I16" s="24" t="s">
        <v>166</v>
      </c>
      <c r="J16" s="21" t="s">
        <v>30</v>
      </c>
      <c r="K16" s="21" t="s">
        <v>30</v>
      </c>
      <c r="L16" s="23" t="s">
        <v>154</v>
      </c>
      <c r="M16" s="21" t="s">
        <v>31</v>
      </c>
      <c r="N16" s="23" t="s">
        <v>167</v>
      </c>
      <c r="O16" s="23" t="s">
        <v>156</v>
      </c>
      <c r="P16" s="23" t="s">
        <v>185</v>
      </c>
      <c r="Q16" s="23" t="s">
        <v>169</v>
      </c>
      <c r="R16" s="23" t="s">
        <v>159</v>
      </c>
      <c r="S16" s="21" t="s">
        <v>34</v>
      </c>
      <c r="T16" s="157">
        <v>4.6689999999999996</v>
      </c>
      <c r="U16" s="23" t="s">
        <v>226</v>
      </c>
      <c r="V16" s="171">
        <v>1.8700000000000001E-2</v>
      </c>
      <c r="W16" s="171">
        <v>2.946E-2</v>
      </c>
      <c r="X16" s="21" t="s">
        <v>161</v>
      </c>
      <c r="Y16" s="21" t="s">
        <v>156</v>
      </c>
      <c r="Z16" s="157">
        <v>63000</v>
      </c>
      <c r="AA16" s="172">
        <v>1</v>
      </c>
      <c r="AB16" s="173">
        <v>109.28</v>
      </c>
      <c r="AC16" s="23"/>
      <c r="AD16" s="157">
        <v>68.846000000000004</v>
      </c>
      <c r="AE16" s="23"/>
      <c r="AG16" s="21" t="s">
        <v>36</v>
      </c>
      <c r="AH16" s="166">
        <v>6.3999999999999997E-5</v>
      </c>
      <c r="AI16" s="166">
        <v>1.0948577495071299E-2</v>
      </c>
      <c r="AJ16" s="166">
        <v>3.0044262007956602E-3</v>
      </c>
    </row>
    <row r="17" spans="1:36">
      <c r="A17" s="23">
        <v>161</v>
      </c>
      <c r="B17" s="23">
        <v>1434</v>
      </c>
      <c r="C17" s="23" t="s">
        <v>227</v>
      </c>
      <c r="D17" s="23" t="s">
        <v>228</v>
      </c>
      <c r="E17" s="21" t="s">
        <v>149</v>
      </c>
      <c r="F17" s="23" t="s">
        <v>229</v>
      </c>
      <c r="G17" s="23" t="s">
        <v>230</v>
      </c>
      <c r="H17" s="21" t="s">
        <v>152</v>
      </c>
      <c r="I17" s="24" t="s">
        <v>153</v>
      </c>
      <c r="J17" s="21" t="s">
        <v>30</v>
      </c>
      <c r="K17" s="21" t="s">
        <v>30</v>
      </c>
      <c r="L17" s="23" t="s">
        <v>154</v>
      </c>
      <c r="M17" s="21" t="s">
        <v>31</v>
      </c>
      <c r="N17" s="23" t="s">
        <v>231</v>
      </c>
      <c r="O17" s="23" t="s">
        <v>156</v>
      </c>
      <c r="P17" s="23" t="s">
        <v>232</v>
      </c>
      <c r="Q17" s="23" t="s">
        <v>158</v>
      </c>
      <c r="R17" s="23" t="s">
        <v>159</v>
      </c>
      <c r="S17" s="21" t="s">
        <v>34</v>
      </c>
      <c r="T17" s="157">
        <v>2.5110000000000001</v>
      </c>
      <c r="U17" s="23" t="s">
        <v>173</v>
      </c>
      <c r="V17" s="171">
        <v>7.2499999999999995E-2</v>
      </c>
      <c r="W17" s="171">
        <v>5.4579999999999997E-2</v>
      </c>
      <c r="X17" s="21" t="s">
        <v>161</v>
      </c>
      <c r="Y17" s="21" t="s">
        <v>156</v>
      </c>
      <c r="Z17" s="157">
        <v>96000</v>
      </c>
      <c r="AA17" s="172">
        <v>1</v>
      </c>
      <c r="AB17" s="173">
        <v>107.9</v>
      </c>
      <c r="AC17" s="23"/>
      <c r="AD17" s="157">
        <v>103.584</v>
      </c>
      <c r="AE17" s="23"/>
      <c r="AG17" s="21" t="s">
        <v>36</v>
      </c>
      <c r="AH17" s="166">
        <v>1.4999999999999999E-4</v>
      </c>
      <c r="AI17" s="166">
        <v>1.6472864975503002E-2</v>
      </c>
      <c r="AJ17" s="166">
        <v>4.5203595770180799E-3</v>
      </c>
    </row>
    <row r="18" spans="1:36">
      <c r="A18" s="23">
        <v>161</v>
      </c>
      <c r="B18" s="23">
        <v>1434</v>
      </c>
      <c r="C18" s="23" t="s">
        <v>233</v>
      </c>
      <c r="D18" s="23" t="s">
        <v>234</v>
      </c>
      <c r="E18" s="21" t="s">
        <v>149</v>
      </c>
      <c r="F18" s="23" t="s">
        <v>235</v>
      </c>
      <c r="G18" s="23" t="s">
        <v>236</v>
      </c>
      <c r="H18" s="21" t="s">
        <v>152</v>
      </c>
      <c r="I18" s="24" t="s">
        <v>166</v>
      </c>
      <c r="J18" s="21" t="s">
        <v>30</v>
      </c>
      <c r="K18" s="21" t="s">
        <v>237</v>
      </c>
      <c r="L18" s="23" t="s">
        <v>154</v>
      </c>
      <c r="M18" s="21" t="s">
        <v>31</v>
      </c>
      <c r="N18" s="23" t="s">
        <v>238</v>
      </c>
      <c r="O18" s="23" t="s">
        <v>156</v>
      </c>
      <c r="P18" s="23" t="s">
        <v>239</v>
      </c>
      <c r="Q18" s="23" t="s">
        <v>169</v>
      </c>
      <c r="R18" s="23" t="s">
        <v>159</v>
      </c>
      <c r="S18" s="21" t="s">
        <v>34</v>
      </c>
      <c r="T18" s="157">
        <v>2.2280000000000002</v>
      </c>
      <c r="U18" s="23" t="s">
        <v>240</v>
      </c>
      <c r="V18" s="171">
        <v>3.2800000000000003E-2</v>
      </c>
      <c r="W18" s="171">
        <v>4.6530000000000002E-2</v>
      </c>
      <c r="X18" s="21" t="s">
        <v>161</v>
      </c>
      <c r="Y18" s="21" t="s">
        <v>156</v>
      </c>
      <c r="Z18" s="157">
        <v>31250</v>
      </c>
      <c r="AA18" s="172">
        <v>1</v>
      </c>
      <c r="AB18" s="173">
        <v>117.77</v>
      </c>
      <c r="AC18" s="23"/>
      <c r="AD18" s="157">
        <v>36.802999999999997</v>
      </c>
      <c r="AE18" s="23"/>
      <c r="AG18" s="21" t="s">
        <v>36</v>
      </c>
      <c r="AH18" s="166">
        <v>2.1999999999999999E-5</v>
      </c>
      <c r="AI18" s="166">
        <v>5.8527659561472597E-3</v>
      </c>
      <c r="AJ18" s="166">
        <v>1.6060719663069901E-3</v>
      </c>
    </row>
    <row r="19" spans="1:36">
      <c r="A19" s="23">
        <v>161</v>
      </c>
      <c r="B19" s="23">
        <v>1434</v>
      </c>
      <c r="C19" s="23" t="s">
        <v>241</v>
      </c>
      <c r="D19" s="23" t="s">
        <v>242</v>
      </c>
      <c r="E19" s="21" t="s">
        <v>149</v>
      </c>
      <c r="F19" s="23" t="s">
        <v>243</v>
      </c>
      <c r="G19" s="23" t="s">
        <v>244</v>
      </c>
      <c r="H19" s="21" t="s">
        <v>152</v>
      </c>
      <c r="I19" s="24" t="s">
        <v>166</v>
      </c>
      <c r="J19" s="21" t="s">
        <v>30</v>
      </c>
      <c r="K19" s="21" t="s">
        <v>30</v>
      </c>
      <c r="L19" s="23" t="s">
        <v>154</v>
      </c>
      <c r="M19" s="21" t="s">
        <v>31</v>
      </c>
      <c r="N19" s="23" t="s">
        <v>245</v>
      </c>
      <c r="O19" s="23" t="s">
        <v>156</v>
      </c>
      <c r="P19" s="23" t="s">
        <v>246</v>
      </c>
      <c r="Q19" s="23" t="s">
        <v>169</v>
      </c>
      <c r="R19" s="23" t="s">
        <v>159</v>
      </c>
      <c r="S19" s="21" t="s">
        <v>34</v>
      </c>
      <c r="T19" s="157">
        <v>3.5009999999999999</v>
      </c>
      <c r="U19" s="23" t="s">
        <v>247</v>
      </c>
      <c r="V19" s="171">
        <v>2E-3</v>
      </c>
      <c r="W19" s="171">
        <v>2.5520000000000001E-2</v>
      </c>
      <c r="X19" s="21" t="s">
        <v>161</v>
      </c>
      <c r="Y19" s="21" t="s">
        <v>156</v>
      </c>
      <c r="Z19" s="157">
        <v>129756.56</v>
      </c>
      <c r="AA19" s="172">
        <v>1</v>
      </c>
      <c r="AB19" s="173">
        <v>106.62</v>
      </c>
      <c r="AC19" s="23"/>
      <c r="AD19" s="157">
        <v>138.346</v>
      </c>
      <c r="AE19" s="23"/>
      <c r="AG19" s="21" t="s">
        <v>36</v>
      </c>
      <c r="AH19" s="166">
        <v>4.1E-5</v>
      </c>
      <c r="AI19" s="166">
        <v>2.2001103416875199E-2</v>
      </c>
      <c r="AJ19" s="166">
        <v>6.0373771461937403E-3</v>
      </c>
    </row>
    <row r="20" spans="1:36">
      <c r="A20" s="3">
        <v>161</v>
      </c>
      <c r="B20" s="3">
        <v>1434</v>
      </c>
      <c r="C20" s="3" t="s">
        <v>241</v>
      </c>
      <c r="D20" s="3" t="s">
        <v>242</v>
      </c>
      <c r="E20" s="21" t="s">
        <v>149</v>
      </c>
      <c r="F20" s="3" t="s">
        <v>248</v>
      </c>
      <c r="G20" s="3" t="s">
        <v>249</v>
      </c>
      <c r="H20" s="21" t="s">
        <v>152</v>
      </c>
      <c r="I20" s="24" t="s">
        <v>153</v>
      </c>
      <c r="J20" s="21" t="s">
        <v>30</v>
      </c>
      <c r="K20" s="21" t="s">
        <v>30</v>
      </c>
      <c r="L20" s="23" t="s">
        <v>154</v>
      </c>
      <c r="M20" s="21" t="s">
        <v>31</v>
      </c>
      <c r="N20" s="23" t="s">
        <v>245</v>
      </c>
      <c r="O20" s="23" t="s">
        <v>156</v>
      </c>
      <c r="P20" s="3" t="s">
        <v>246</v>
      </c>
      <c r="Q20" s="23" t="s">
        <v>169</v>
      </c>
      <c r="R20" s="23" t="s">
        <v>159</v>
      </c>
      <c r="S20" s="3" t="s">
        <v>34</v>
      </c>
      <c r="T20" s="155">
        <v>2.4689999999999999</v>
      </c>
      <c r="U20" s="3" t="s">
        <v>250</v>
      </c>
      <c r="V20" s="166">
        <v>2.6800000000000001E-2</v>
      </c>
      <c r="W20" s="166">
        <v>4.4679999999999997E-2</v>
      </c>
      <c r="X20" s="21" t="s">
        <v>161</v>
      </c>
      <c r="Y20" s="21" t="s">
        <v>156</v>
      </c>
      <c r="Z20" s="155">
        <v>130015.99</v>
      </c>
      <c r="AA20" s="164">
        <v>1</v>
      </c>
      <c r="AB20" s="174">
        <v>97.92</v>
      </c>
      <c r="AD20" s="155">
        <v>127.312</v>
      </c>
      <c r="AG20" s="3" t="s">
        <v>36</v>
      </c>
      <c r="AH20" s="166">
        <v>6.6000000000000005E-5</v>
      </c>
      <c r="AI20" s="166">
        <v>2.0246251759822701E-2</v>
      </c>
      <c r="AJ20" s="166">
        <v>5.5558239673144201E-3</v>
      </c>
    </row>
    <row r="21" spans="1:36" s="42" customFormat="1">
      <c r="A21" s="42">
        <v>161</v>
      </c>
      <c r="B21" s="42">
        <v>1434</v>
      </c>
      <c r="C21" s="42" t="s">
        <v>241</v>
      </c>
      <c r="D21" s="42" t="s">
        <v>242</v>
      </c>
      <c r="E21" s="45" t="s">
        <v>149</v>
      </c>
      <c r="F21" s="42" t="s">
        <v>251</v>
      </c>
      <c r="G21" s="42" t="s">
        <v>252</v>
      </c>
      <c r="H21" s="45" t="s">
        <v>152</v>
      </c>
      <c r="I21" s="42" t="s">
        <v>166</v>
      </c>
      <c r="J21" s="42" t="s">
        <v>30</v>
      </c>
      <c r="K21" s="42" t="s">
        <v>30</v>
      </c>
      <c r="L21" s="42" t="s">
        <v>154</v>
      </c>
      <c r="M21" s="45" t="s">
        <v>31</v>
      </c>
      <c r="N21" s="42" t="s">
        <v>245</v>
      </c>
      <c r="O21" s="42" t="s">
        <v>156</v>
      </c>
      <c r="P21" s="42" t="s">
        <v>185</v>
      </c>
      <c r="Q21" s="42" t="s">
        <v>169</v>
      </c>
      <c r="R21" s="42" t="s">
        <v>159</v>
      </c>
      <c r="S21" s="42" t="s">
        <v>34</v>
      </c>
      <c r="T21" s="155">
        <v>4.6669999999999998</v>
      </c>
      <c r="U21" s="42" t="s">
        <v>253</v>
      </c>
      <c r="V21" s="166">
        <v>3.3203000000000003E-2</v>
      </c>
      <c r="W21" s="166">
        <v>2.9989999999999999E-2</v>
      </c>
      <c r="X21" s="45" t="s">
        <v>161</v>
      </c>
      <c r="Y21" s="45" t="s">
        <v>156</v>
      </c>
      <c r="Z21" s="155">
        <v>70000</v>
      </c>
      <c r="AA21" s="164">
        <v>1</v>
      </c>
      <c r="AB21" s="174">
        <v>109.04</v>
      </c>
      <c r="AD21" s="155">
        <v>76.328000000000003</v>
      </c>
      <c r="AG21" s="42" t="s">
        <v>36</v>
      </c>
      <c r="AH21" s="166">
        <v>5.5999999999999999E-5</v>
      </c>
      <c r="AI21" s="166">
        <v>1.2138369225461401E-2</v>
      </c>
      <c r="AJ21" s="166">
        <v>3.3309198891202899E-3</v>
      </c>
    </row>
    <row r="22" spans="1:36">
      <c r="A22" s="3">
        <v>161</v>
      </c>
      <c r="B22" s="3">
        <v>1434</v>
      </c>
      <c r="C22" s="3" t="s">
        <v>254</v>
      </c>
      <c r="D22" s="3" t="s">
        <v>255</v>
      </c>
      <c r="E22" s="5" t="s">
        <v>149</v>
      </c>
      <c r="F22" s="3" t="s">
        <v>256</v>
      </c>
      <c r="G22" s="3" t="s">
        <v>257</v>
      </c>
      <c r="H22" s="5" t="s">
        <v>152</v>
      </c>
      <c r="I22" s="3" t="s">
        <v>166</v>
      </c>
      <c r="J22" s="3" t="s">
        <v>30</v>
      </c>
      <c r="K22" s="3" t="s">
        <v>30</v>
      </c>
      <c r="L22" s="3" t="s">
        <v>154</v>
      </c>
      <c r="M22" s="5" t="s">
        <v>31</v>
      </c>
      <c r="N22" s="3" t="s">
        <v>167</v>
      </c>
      <c r="O22" s="3" t="s">
        <v>156</v>
      </c>
      <c r="P22" s="3" t="s">
        <v>258</v>
      </c>
      <c r="Q22" s="3" t="s">
        <v>169</v>
      </c>
      <c r="R22" s="3" t="s">
        <v>159</v>
      </c>
      <c r="S22" s="3" t="s">
        <v>34</v>
      </c>
      <c r="T22" s="155">
        <v>2.6059999999999999</v>
      </c>
      <c r="U22" s="3" t="s">
        <v>259</v>
      </c>
      <c r="V22" s="166">
        <v>2.7E-2</v>
      </c>
      <c r="W22" s="166">
        <v>3.0329999999999999E-2</v>
      </c>
      <c r="X22" s="5" t="s">
        <v>161</v>
      </c>
      <c r="Y22" s="5" t="s">
        <v>156</v>
      </c>
      <c r="Z22" s="155">
        <v>13500</v>
      </c>
      <c r="AA22" s="164">
        <v>1</v>
      </c>
      <c r="AB22" s="174">
        <v>110.04</v>
      </c>
      <c r="AD22" s="155">
        <v>14.855</v>
      </c>
      <c r="AG22" s="3" t="s">
        <v>36</v>
      </c>
      <c r="AH22" s="166">
        <v>3.4E-5</v>
      </c>
      <c r="AI22" s="166">
        <v>2.3624401293354802E-3</v>
      </c>
      <c r="AJ22" s="166">
        <v>6.4828303271194702E-4</v>
      </c>
    </row>
    <row r="23" spans="1:36">
      <c r="A23" s="3">
        <v>161</v>
      </c>
      <c r="B23" s="3">
        <v>1434</v>
      </c>
      <c r="C23" s="3" t="s">
        <v>254</v>
      </c>
      <c r="D23" s="3" t="s">
        <v>255</v>
      </c>
      <c r="E23" s="5" t="s">
        <v>149</v>
      </c>
      <c r="F23" s="3" t="s">
        <v>260</v>
      </c>
      <c r="G23" s="3" t="s">
        <v>261</v>
      </c>
      <c r="H23" s="5" t="s">
        <v>152</v>
      </c>
      <c r="I23" s="3" t="s">
        <v>166</v>
      </c>
      <c r="J23" s="3" t="s">
        <v>30</v>
      </c>
      <c r="K23" s="3" t="s">
        <v>30</v>
      </c>
      <c r="L23" s="3" t="s">
        <v>154</v>
      </c>
      <c r="M23" s="3" t="s">
        <v>31</v>
      </c>
      <c r="N23" s="3" t="s">
        <v>167</v>
      </c>
      <c r="O23" s="3" t="s">
        <v>156</v>
      </c>
      <c r="P23" s="3" t="s">
        <v>258</v>
      </c>
      <c r="Q23" s="3" t="s">
        <v>169</v>
      </c>
      <c r="R23" s="3" t="s">
        <v>159</v>
      </c>
      <c r="S23" s="3" t="s">
        <v>34</v>
      </c>
      <c r="T23" s="155">
        <v>1.996</v>
      </c>
      <c r="U23" s="3" t="s">
        <v>262</v>
      </c>
      <c r="V23" s="166">
        <v>1.7999999999999999E-2</v>
      </c>
      <c r="W23" s="166">
        <v>3.0210000000000001E-2</v>
      </c>
      <c r="X23" s="5" t="s">
        <v>161</v>
      </c>
      <c r="Y23" s="5" t="s">
        <v>156</v>
      </c>
      <c r="Z23" s="155">
        <v>76973.679999999993</v>
      </c>
      <c r="AA23" s="164">
        <v>1</v>
      </c>
      <c r="AB23" s="174">
        <v>116.94</v>
      </c>
      <c r="AD23" s="155">
        <v>90.013000000000005</v>
      </c>
      <c r="AG23" s="3" t="s">
        <v>36</v>
      </c>
      <c r="AH23" s="166">
        <v>1.0399999999999999E-4</v>
      </c>
      <c r="AI23" s="166">
        <v>1.43146851582047E-2</v>
      </c>
      <c r="AJ23" s="166">
        <v>3.9281281211930403E-3</v>
      </c>
    </row>
    <row r="24" spans="1:36">
      <c r="A24" s="3">
        <v>161</v>
      </c>
      <c r="B24" s="3">
        <v>1434</v>
      </c>
      <c r="C24" s="3" t="s">
        <v>263</v>
      </c>
      <c r="D24" s="3" t="s">
        <v>264</v>
      </c>
      <c r="E24" s="5" t="s">
        <v>149</v>
      </c>
      <c r="F24" s="3" t="s">
        <v>265</v>
      </c>
      <c r="G24" s="3" t="s">
        <v>266</v>
      </c>
      <c r="H24" s="3" t="s">
        <v>152</v>
      </c>
      <c r="I24" s="3" t="s">
        <v>166</v>
      </c>
      <c r="J24" s="3" t="s">
        <v>30</v>
      </c>
      <c r="K24" s="3" t="s">
        <v>30</v>
      </c>
      <c r="L24" s="3" t="s">
        <v>154</v>
      </c>
      <c r="M24" s="3" t="s">
        <v>31</v>
      </c>
      <c r="N24" s="3" t="s">
        <v>155</v>
      </c>
      <c r="O24" s="3" t="s">
        <v>156</v>
      </c>
      <c r="P24" s="3" t="s">
        <v>168</v>
      </c>
      <c r="Q24" s="3" t="s">
        <v>169</v>
      </c>
      <c r="R24" s="3" t="s">
        <v>159</v>
      </c>
      <c r="S24" s="3" t="s">
        <v>34</v>
      </c>
      <c r="T24" s="155">
        <v>3.544</v>
      </c>
      <c r="U24" s="3" t="s">
        <v>267</v>
      </c>
      <c r="V24" s="166">
        <v>4.4000000000000003E-3</v>
      </c>
      <c r="W24" s="166">
        <v>2.6939999999999999E-2</v>
      </c>
      <c r="X24" s="5" t="s">
        <v>161</v>
      </c>
      <c r="Y24" s="5" t="s">
        <v>156</v>
      </c>
      <c r="Z24" s="155">
        <v>40000</v>
      </c>
      <c r="AA24" s="164">
        <v>1</v>
      </c>
      <c r="AB24" s="174">
        <v>109.63</v>
      </c>
      <c r="AD24" s="155">
        <v>43.851999999999997</v>
      </c>
      <c r="AG24" s="3" t="s">
        <v>36</v>
      </c>
      <c r="AH24" s="166">
        <v>3.4999999999999997E-5</v>
      </c>
      <c r="AI24" s="166">
        <v>6.9737418414596497E-3</v>
      </c>
      <c r="AJ24" s="166">
        <v>1.9136817285622899E-3</v>
      </c>
    </row>
    <row r="25" spans="1:36">
      <c r="A25" s="3">
        <v>161</v>
      </c>
      <c r="B25" s="3">
        <v>1434</v>
      </c>
      <c r="C25" s="3" t="s">
        <v>268</v>
      </c>
      <c r="D25" s="3" t="s">
        <v>269</v>
      </c>
      <c r="E25" s="5" t="s">
        <v>149</v>
      </c>
      <c r="F25" s="3" t="s">
        <v>270</v>
      </c>
      <c r="G25" s="3" t="s">
        <v>271</v>
      </c>
      <c r="H25" s="3" t="s">
        <v>152</v>
      </c>
      <c r="I25" s="3" t="s">
        <v>153</v>
      </c>
      <c r="J25" s="3" t="s">
        <v>30</v>
      </c>
      <c r="K25" s="3" t="s">
        <v>30</v>
      </c>
      <c r="L25" s="3" t="s">
        <v>154</v>
      </c>
      <c r="M25" s="3" t="s">
        <v>31</v>
      </c>
      <c r="N25" s="3" t="s">
        <v>155</v>
      </c>
      <c r="O25" s="3" t="s">
        <v>156</v>
      </c>
      <c r="P25" s="3" t="s">
        <v>272</v>
      </c>
      <c r="Q25" s="3" t="s">
        <v>158</v>
      </c>
      <c r="R25" s="3" t="s">
        <v>159</v>
      </c>
      <c r="S25" s="3" t="s">
        <v>34</v>
      </c>
      <c r="T25" s="155">
        <v>4.6740000000000004</v>
      </c>
      <c r="U25" s="3" t="s">
        <v>273</v>
      </c>
      <c r="V25" s="166">
        <v>1.95E-2</v>
      </c>
      <c r="W25" s="166">
        <v>4.5440000000000001E-2</v>
      </c>
      <c r="X25" s="5" t="s">
        <v>161</v>
      </c>
      <c r="Y25" s="5" t="s">
        <v>156</v>
      </c>
      <c r="Z25" s="155">
        <v>73046.86</v>
      </c>
      <c r="AA25" s="164">
        <v>1</v>
      </c>
      <c r="AB25" s="174">
        <v>89.16</v>
      </c>
      <c r="AD25" s="155">
        <v>65.129000000000005</v>
      </c>
      <c r="AG25" s="3" t="s">
        <v>36</v>
      </c>
      <c r="AH25" s="166">
        <v>7.6000000000000004E-5</v>
      </c>
      <c r="AI25" s="166">
        <v>1.03573361772092E-2</v>
      </c>
      <c r="AJ25" s="166">
        <v>2.8421822099961701E-3</v>
      </c>
    </row>
    <row r="26" spans="1:36">
      <c r="A26" s="3">
        <v>161</v>
      </c>
      <c r="B26" s="3">
        <v>1434</v>
      </c>
      <c r="C26" s="3" t="s">
        <v>274</v>
      </c>
      <c r="D26" s="3" t="s">
        <v>275</v>
      </c>
      <c r="E26" s="5" t="s">
        <v>149</v>
      </c>
      <c r="F26" s="3" t="s">
        <v>276</v>
      </c>
      <c r="G26" s="3" t="s">
        <v>277</v>
      </c>
      <c r="H26" s="3" t="s">
        <v>152</v>
      </c>
      <c r="I26" s="3" t="s">
        <v>153</v>
      </c>
      <c r="J26" s="3" t="s">
        <v>30</v>
      </c>
      <c r="K26" s="3" t="s">
        <v>30</v>
      </c>
      <c r="L26" s="3" t="s">
        <v>154</v>
      </c>
      <c r="M26" s="3" t="s">
        <v>31</v>
      </c>
      <c r="N26" s="3" t="s">
        <v>194</v>
      </c>
      <c r="O26" s="3" t="s">
        <v>156</v>
      </c>
      <c r="P26" s="3" t="s">
        <v>179</v>
      </c>
      <c r="Q26" s="3" t="s">
        <v>169</v>
      </c>
      <c r="R26" s="3" t="s">
        <v>159</v>
      </c>
      <c r="S26" s="3" t="s">
        <v>34</v>
      </c>
      <c r="T26" s="155">
        <v>1.798</v>
      </c>
      <c r="U26" s="3" t="s">
        <v>240</v>
      </c>
      <c r="V26" s="166">
        <v>2.1999999999999999E-2</v>
      </c>
      <c r="W26" s="166">
        <v>4.87E-2</v>
      </c>
      <c r="X26" s="5" t="s">
        <v>161</v>
      </c>
      <c r="Y26" s="5" t="s">
        <v>156</v>
      </c>
      <c r="Z26" s="155">
        <v>112000</v>
      </c>
      <c r="AA26" s="164">
        <v>1</v>
      </c>
      <c r="AB26" s="174">
        <v>96.03</v>
      </c>
      <c r="AD26" s="155">
        <v>107.554</v>
      </c>
      <c r="AG26" s="3" t="s">
        <v>36</v>
      </c>
      <c r="AH26" s="166">
        <v>1.2899999999999999E-4</v>
      </c>
      <c r="AI26" s="166">
        <v>1.7104146687029399E-2</v>
      </c>
      <c r="AJ26" s="166">
        <v>4.6935911511697898E-3</v>
      </c>
    </row>
    <row r="27" spans="1:36">
      <c r="A27" s="3">
        <v>161</v>
      </c>
      <c r="B27" s="3">
        <v>1434</v>
      </c>
      <c r="C27" s="3" t="s">
        <v>278</v>
      </c>
      <c r="D27" s="3" t="s">
        <v>279</v>
      </c>
      <c r="E27" s="5" t="s">
        <v>149</v>
      </c>
      <c r="F27" s="3" t="s">
        <v>280</v>
      </c>
      <c r="G27" s="3" t="s">
        <v>281</v>
      </c>
      <c r="H27" s="3" t="s">
        <v>152</v>
      </c>
      <c r="I27" s="3" t="s">
        <v>153</v>
      </c>
      <c r="J27" s="3" t="s">
        <v>30</v>
      </c>
      <c r="K27" s="3" t="s">
        <v>30</v>
      </c>
      <c r="L27" s="3" t="s">
        <v>154</v>
      </c>
      <c r="M27" s="3" t="s">
        <v>31</v>
      </c>
      <c r="N27" s="3" t="s">
        <v>282</v>
      </c>
      <c r="O27" s="3" t="s">
        <v>156</v>
      </c>
      <c r="P27" s="3" t="s">
        <v>283</v>
      </c>
      <c r="Q27" s="3" t="s">
        <v>283</v>
      </c>
      <c r="R27" s="3" t="s">
        <v>283</v>
      </c>
      <c r="S27" s="3" t="s">
        <v>34</v>
      </c>
      <c r="T27" s="155">
        <v>1.675</v>
      </c>
      <c r="U27" s="3" t="s">
        <v>284</v>
      </c>
      <c r="V27" s="166">
        <v>6.5000000000000002E-2</v>
      </c>
      <c r="W27" s="166">
        <v>6.9779999999999995E-2</v>
      </c>
      <c r="X27" s="5" t="s">
        <v>161</v>
      </c>
      <c r="Y27" s="5" t="s">
        <v>156</v>
      </c>
      <c r="Z27" s="155">
        <v>21000</v>
      </c>
      <c r="AA27" s="164">
        <v>1</v>
      </c>
      <c r="AB27" s="174">
        <v>101</v>
      </c>
      <c r="AD27" s="155">
        <v>21.21</v>
      </c>
      <c r="AG27" s="3" t="s">
        <v>36</v>
      </c>
      <c r="AH27" s="166">
        <v>7.1000000000000005E-5</v>
      </c>
      <c r="AI27" s="166">
        <v>3.3730061218954499E-3</v>
      </c>
      <c r="AJ27" s="166">
        <v>9.2559494351013099E-4</v>
      </c>
    </row>
    <row r="28" spans="1:36">
      <c r="A28" s="3">
        <v>161</v>
      </c>
      <c r="B28" s="3">
        <v>1434</v>
      </c>
      <c r="C28" s="3" t="s">
        <v>285</v>
      </c>
      <c r="D28" s="3" t="s">
        <v>286</v>
      </c>
      <c r="E28" s="5" t="s">
        <v>149</v>
      </c>
      <c r="F28" s="3" t="s">
        <v>287</v>
      </c>
      <c r="G28" s="3" t="s">
        <v>288</v>
      </c>
      <c r="H28" s="3" t="s">
        <v>152</v>
      </c>
      <c r="I28" s="3" t="s">
        <v>166</v>
      </c>
      <c r="J28" s="3" t="s">
        <v>30</v>
      </c>
      <c r="K28" s="3" t="s">
        <v>30</v>
      </c>
      <c r="L28" s="3" t="s">
        <v>154</v>
      </c>
      <c r="M28" s="3" t="s">
        <v>31</v>
      </c>
      <c r="N28" s="3" t="s">
        <v>231</v>
      </c>
      <c r="O28" s="3" t="s">
        <v>156</v>
      </c>
      <c r="P28" s="3" t="s">
        <v>246</v>
      </c>
      <c r="Q28" s="3" t="s">
        <v>169</v>
      </c>
      <c r="R28" s="3" t="s">
        <v>159</v>
      </c>
      <c r="S28" s="3" t="s">
        <v>34</v>
      </c>
      <c r="T28" s="155">
        <v>0.4</v>
      </c>
      <c r="U28" s="3" t="s">
        <v>289</v>
      </c>
      <c r="V28" s="166">
        <v>4.4999999999999998E-2</v>
      </c>
      <c r="W28" s="166">
        <v>5.4760000000000003E-2</v>
      </c>
      <c r="X28" s="5" t="s">
        <v>161</v>
      </c>
      <c r="Y28" s="5" t="s">
        <v>156</v>
      </c>
      <c r="Z28" s="155">
        <v>35000</v>
      </c>
      <c r="AA28" s="164">
        <v>1</v>
      </c>
      <c r="AB28" s="174">
        <v>120.41</v>
      </c>
      <c r="AD28" s="155">
        <v>42.143999999999998</v>
      </c>
      <c r="AG28" s="3" t="s">
        <v>36</v>
      </c>
      <c r="AH28" s="166">
        <v>2.4000000000000001E-5</v>
      </c>
      <c r="AI28" s="166">
        <v>6.7020407118387904E-3</v>
      </c>
      <c r="AJ28" s="166">
        <v>1.83912355029794E-3</v>
      </c>
    </row>
    <row r="29" spans="1:36">
      <c r="A29" s="3">
        <v>161</v>
      </c>
      <c r="B29" s="3">
        <v>1434</v>
      </c>
      <c r="C29" s="3" t="s">
        <v>285</v>
      </c>
      <c r="D29" s="3" t="s">
        <v>286</v>
      </c>
      <c r="E29" s="5" t="s">
        <v>149</v>
      </c>
      <c r="F29" s="3" t="s">
        <v>290</v>
      </c>
      <c r="G29" s="3" t="s">
        <v>291</v>
      </c>
      <c r="H29" s="3" t="s">
        <v>152</v>
      </c>
      <c r="I29" s="3" t="s">
        <v>166</v>
      </c>
      <c r="J29" s="3" t="s">
        <v>30</v>
      </c>
      <c r="K29" s="3" t="s">
        <v>30</v>
      </c>
      <c r="L29" s="3" t="s">
        <v>154</v>
      </c>
      <c r="M29" s="3" t="s">
        <v>31</v>
      </c>
      <c r="N29" s="3" t="s">
        <v>231</v>
      </c>
      <c r="O29" s="3" t="s">
        <v>156</v>
      </c>
      <c r="P29" s="3" t="s">
        <v>246</v>
      </c>
      <c r="Q29" s="3" t="s">
        <v>169</v>
      </c>
      <c r="R29" s="3" t="s">
        <v>159</v>
      </c>
      <c r="S29" s="3" t="s">
        <v>34</v>
      </c>
      <c r="T29" s="155">
        <v>2.5529999999999999</v>
      </c>
      <c r="U29" s="3" t="s">
        <v>292</v>
      </c>
      <c r="V29" s="166">
        <v>3.85E-2</v>
      </c>
      <c r="W29" s="166">
        <v>2.5899999999999999E-2</v>
      </c>
      <c r="X29" s="5" t="s">
        <v>161</v>
      </c>
      <c r="Y29" s="5" t="s">
        <v>156</v>
      </c>
      <c r="Z29" s="155">
        <v>132543.47</v>
      </c>
      <c r="AA29" s="164">
        <v>1</v>
      </c>
      <c r="AB29" s="174">
        <v>123.26</v>
      </c>
      <c r="AC29" s="155">
        <v>3.048</v>
      </c>
      <c r="AD29" s="155">
        <v>166.42099999999999</v>
      </c>
      <c r="AG29" s="3" t="s">
        <v>36</v>
      </c>
      <c r="AH29" s="166">
        <v>5.1999999999999997E-5</v>
      </c>
      <c r="AI29" s="166">
        <v>2.6465757581134501E-2</v>
      </c>
      <c r="AJ29" s="166">
        <v>7.2625339261161099E-3</v>
      </c>
    </row>
    <row r="30" spans="1:36">
      <c r="A30" s="3">
        <v>161</v>
      </c>
      <c r="B30" s="3">
        <v>1434</v>
      </c>
      <c r="C30" s="3" t="s">
        <v>285</v>
      </c>
      <c r="D30" s="3" t="s">
        <v>286</v>
      </c>
      <c r="E30" s="5" t="s">
        <v>149</v>
      </c>
      <c r="F30" s="3" t="s">
        <v>293</v>
      </c>
      <c r="G30" s="3" t="s">
        <v>294</v>
      </c>
      <c r="H30" s="3" t="s">
        <v>152</v>
      </c>
      <c r="I30" s="3" t="s">
        <v>166</v>
      </c>
      <c r="J30" s="3" t="s">
        <v>30</v>
      </c>
      <c r="K30" s="3" t="s">
        <v>30</v>
      </c>
      <c r="L30" s="3" t="s">
        <v>154</v>
      </c>
      <c r="M30" s="3" t="s">
        <v>31</v>
      </c>
      <c r="N30" s="3" t="s">
        <v>231</v>
      </c>
      <c r="O30" s="3" t="s">
        <v>156</v>
      </c>
      <c r="P30" s="3" t="s">
        <v>246</v>
      </c>
      <c r="Q30" s="3" t="s">
        <v>169</v>
      </c>
      <c r="R30" s="3" t="s">
        <v>159</v>
      </c>
      <c r="S30" s="3" t="s">
        <v>34</v>
      </c>
      <c r="T30" s="155">
        <v>4.915</v>
      </c>
      <c r="U30" s="3" t="s">
        <v>295</v>
      </c>
      <c r="V30" s="166">
        <v>2.3900000000000001E-2</v>
      </c>
      <c r="W30" s="166">
        <v>2.6040000000000001E-2</v>
      </c>
      <c r="X30" s="5" t="s">
        <v>161</v>
      </c>
      <c r="Y30" s="5" t="s">
        <v>156</v>
      </c>
      <c r="Z30" s="155">
        <v>40000</v>
      </c>
      <c r="AA30" s="164">
        <v>1</v>
      </c>
      <c r="AB30" s="174">
        <v>117.27</v>
      </c>
      <c r="AD30" s="155">
        <v>46.908000000000001</v>
      </c>
      <c r="AG30" s="3" t="s">
        <v>36</v>
      </c>
      <c r="AH30" s="166">
        <v>1.0000000000000001E-5</v>
      </c>
      <c r="AI30" s="166">
        <v>7.4597346141382203E-3</v>
      </c>
      <c r="AJ30" s="166">
        <v>2.0470442060430598E-3</v>
      </c>
    </row>
    <row r="31" spans="1:36">
      <c r="A31" s="3">
        <v>161</v>
      </c>
      <c r="B31" s="3">
        <v>1434</v>
      </c>
      <c r="C31" s="3" t="s">
        <v>285</v>
      </c>
      <c r="D31" s="3" t="s">
        <v>286</v>
      </c>
      <c r="E31" s="5" t="s">
        <v>149</v>
      </c>
      <c r="F31" s="3" t="s">
        <v>296</v>
      </c>
      <c r="G31" s="3" t="s">
        <v>297</v>
      </c>
      <c r="H31" s="3" t="s">
        <v>152</v>
      </c>
      <c r="I31" s="3" t="s">
        <v>166</v>
      </c>
      <c r="J31" s="3" t="s">
        <v>30</v>
      </c>
      <c r="K31" s="3" t="s">
        <v>30</v>
      </c>
      <c r="L31" s="3" t="s">
        <v>154</v>
      </c>
      <c r="M31" s="3" t="s">
        <v>31</v>
      </c>
      <c r="N31" s="3" t="s">
        <v>231</v>
      </c>
      <c r="O31" s="3" t="s">
        <v>156</v>
      </c>
      <c r="P31" s="3" t="s">
        <v>246</v>
      </c>
      <c r="Q31" s="3" t="s">
        <v>169</v>
      </c>
      <c r="R31" s="3" t="s">
        <v>159</v>
      </c>
      <c r="S31" s="3" t="s">
        <v>34</v>
      </c>
      <c r="T31" s="155">
        <v>6.8730000000000002</v>
      </c>
      <c r="U31" s="3" t="s">
        <v>298</v>
      </c>
      <c r="V31" s="166">
        <v>0.03</v>
      </c>
      <c r="W31" s="166">
        <v>2.632E-2</v>
      </c>
      <c r="X31" s="5" t="s">
        <v>161</v>
      </c>
      <c r="Y31" s="5" t="s">
        <v>156</v>
      </c>
      <c r="Z31" s="155">
        <v>85000</v>
      </c>
      <c r="AA31" s="164">
        <v>1</v>
      </c>
      <c r="AB31" s="174">
        <v>111.48</v>
      </c>
      <c r="AD31" s="155">
        <v>94.757999999999996</v>
      </c>
      <c r="AG31" s="3" t="s">
        <v>36</v>
      </c>
      <c r="AH31" s="166">
        <v>2.0999999999999999E-5</v>
      </c>
      <c r="AI31" s="166">
        <v>1.5069274592106E-2</v>
      </c>
      <c r="AJ31" s="166">
        <v>4.13519687209491E-3</v>
      </c>
    </row>
    <row r="32" spans="1:36">
      <c r="A32" s="3">
        <v>161</v>
      </c>
      <c r="B32" s="3">
        <v>1434</v>
      </c>
      <c r="C32" s="3" t="s">
        <v>299</v>
      </c>
      <c r="D32" s="3" t="s">
        <v>300</v>
      </c>
      <c r="E32" s="5" t="s">
        <v>149</v>
      </c>
      <c r="F32" s="3" t="s">
        <v>301</v>
      </c>
      <c r="G32" s="3" t="s">
        <v>302</v>
      </c>
      <c r="H32" s="3" t="s">
        <v>152</v>
      </c>
      <c r="I32" s="3" t="s">
        <v>166</v>
      </c>
      <c r="J32" s="3" t="s">
        <v>30</v>
      </c>
      <c r="K32" s="3" t="s">
        <v>30</v>
      </c>
      <c r="L32" s="3" t="s">
        <v>154</v>
      </c>
      <c r="M32" s="3" t="s">
        <v>31</v>
      </c>
      <c r="N32" s="3" t="s">
        <v>303</v>
      </c>
      <c r="O32" s="3" t="s">
        <v>156</v>
      </c>
      <c r="P32" s="3" t="s">
        <v>185</v>
      </c>
      <c r="Q32" s="3" t="s">
        <v>169</v>
      </c>
      <c r="R32" s="3" t="s">
        <v>159</v>
      </c>
      <c r="S32" s="3" t="s">
        <v>34</v>
      </c>
      <c r="T32" s="155">
        <v>0.95499999999999996</v>
      </c>
      <c r="U32" s="3" t="s">
        <v>304</v>
      </c>
      <c r="V32" s="166">
        <v>1.0500000000000001E-2</v>
      </c>
      <c r="W32" s="166">
        <v>3.5189999999999999E-2</v>
      </c>
      <c r="X32" s="5" t="s">
        <v>161</v>
      </c>
      <c r="Y32" s="5" t="s">
        <v>156</v>
      </c>
      <c r="Z32" s="155">
        <v>26666.68</v>
      </c>
      <c r="AA32" s="164">
        <v>1</v>
      </c>
      <c r="AB32" s="174">
        <v>115.19</v>
      </c>
      <c r="AD32" s="155">
        <v>30.716999999999999</v>
      </c>
      <c r="AG32" s="3" t="s">
        <v>36</v>
      </c>
      <c r="AH32" s="166">
        <v>7.2999999999999999E-5</v>
      </c>
      <c r="AI32" s="166">
        <v>4.8849507395809996E-3</v>
      </c>
      <c r="AJ32" s="166">
        <v>1.3404914015724999E-3</v>
      </c>
    </row>
    <row r="33" spans="1:36">
      <c r="A33" s="3">
        <v>161</v>
      </c>
      <c r="B33" s="3">
        <v>1434</v>
      </c>
      <c r="C33" s="3" t="s">
        <v>299</v>
      </c>
      <c r="D33" s="3" t="s">
        <v>300</v>
      </c>
      <c r="E33" s="5" t="s">
        <v>149</v>
      </c>
      <c r="F33" s="3" t="s">
        <v>305</v>
      </c>
      <c r="G33" s="3" t="s">
        <v>306</v>
      </c>
      <c r="H33" s="3" t="s">
        <v>152</v>
      </c>
      <c r="I33" s="3" t="s">
        <v>153</v>
      </c>
      <c r="J33" s="3" t="s">
        <v>30</v>
      </c>
      <c r="K33" s="3" t="s">
        <v>30</v>
      </c>
      <c r="L33" s="3" t="s">
        <v>154</v>
      </c>
      <c r="M33" s="3" t="s">
        <v>31</v>
      </c>
      <c r="N33" s="3" t="s">
        <v>303</v>
      </c>
      <c r="O33" s="3" t="s">
        <v>156</v>
      </c>
      <c r="P33" s="3" t="s">
        <v>185</v>
      </c>
      <c r="Q33" s="3" t="s">
        <v>169</v>
      </c>
      <c r="R33" s="3" t="s">
        <v>159</v>
      </c>
      <c r="S33" s="3" t="s">
        <v>34</v>
      </c>
      <c r="T33" s="155">
        <v>1.651</v>
      </c>
      <c r="U33" s="3" t="s">
        <v>307</v>
      </c>
      <c r="V33" s="166">
        <v>2.18E-2</v>
      </c>
      <c r="W33" s="166">
        <v>4.9270000000000001E-2</v>
      </c>
      <c r="X33" s="5" t="s">
        <v>161</v>
      </c>
      <c r="Y33" s="5" t="s">
        <v>156</v>
      </c>
      <c r="Z33" s="155">
        <v>78888.88</v>
      </c>
      <c r="AA33" s="164">
        <v>1</v>
      </c>
      <c r="AB33" s="174">
        <v>96.03</v>
      </c>
      <c r="AD33" s="155">
        <v>75.757000000000005</v>
      </c>
      <c r="AG33" s="3" t="s">
        <v>36</v>
      </c>
      <c r="AH33" s="166">
        <v>2.9599999999999998E-4</v>
      </c>
      <c r="AI33" s="166">
        <v>1.20475622812095E-2</v>
      </c>
      <c r="AJ33" s="166">
        <v>3.3060013311937099E-3</v>
      </c>
    </row>
    <row r="34" spans="1:36">
      <c r="A34" s="3">
        <v>161</v>
      </c>
      <c r="B34" s="3">
        <v>1434</v>
      </c>
      <c r="C34" s="3" t="s">
        <v>308</v>
      </c>
      <c r="D34" s="3" t="s">
        <v>309</v>
      </c>
      <c r="E34" s="5" t="s">
        <v>149</v>
      </c>
      <c r="F34" s="3" t="s">
        <v>310</v>
      </c>
      <c r="G34" s="3" t="s">
        <v>311</v>
      </c>
      <c r="H34" s="3" t="s">
        <v>152</v>
      </c>
      <c r="I34" s="3" t="s">
        <v>166</v>
      </c>
      <c r="J34" s="3" t="s">
        <v>30</v>
      </c>
      <c r="K34" s="3" t="s">
        <v>30</v>
      </c>
      <c r="L34" s="3" t="s">
        <v>154</v>
      </c>
      <c r="M34" s="3" t="s">
        <v>31</v>
      </c>
      <c r="N34" s="3" t="s">
        <v>167</v>
      </c>
      <c r="O34" s="3" t="s">
        <v>156</v>
      </c>
      <c r="P34" s="3" t="s">
        <v>168</v>
      </c>
      <c r="Q34" s="3" t="s">
        <v>169</v>
      </c>
      <c r="R34" s="3" t="s">
        <v>159</v>
      </c>
      <c r="S34" s="3" t="s">
        <v>34</v>
      </c>
      <c r="T34" s="155">
        <v>1.494</v>
      </c>
      <c r="U34" s="3" t="s">
        <v>312</v>
      </c>
      <c r="V34" s="166">
        <v>1.5800000000000002E-2</v>
      </c>
      <c r="W34" s="166">
        <v>3.048E-2</v>
      </c>
      <c r="X34" s="5" t="s">
        <v>161</v>
      </c>
      <c r="Y34" s="5" t="s">
        <v>156</v>
      </c>
      <c r="Z34" s="155">
        <v>16998.14</v>
      </c>
      <c r="AA34" s="164">
        <v>1</v>
      </c>
      <c r="AB34" s="174">
        <v>118.01</v>
      </c>
      <c r="AD34" s="155">
        <v>20.059999999999999</v>
      </c>
      <c r="AG34" s="3" t="s">
        <v>36</v>
      </c>
      <c r="AH34" s="166">
        <v>4.3000000000000002E-5</v>
      </c>
      <c r="AI34" s="166">
        <v>3.1900439987937001E-3</v>
      </c>
      <c r="AJ34" s="166">
        <v>8.7538785526989705E-4</v>
      </c>
    </row>
    <row r="35" spans="1:36">
      <c r="A35" s="3">
        <v>161</v>
      </c>
      <c r="B35" s="3">
        <v>1434</v>
      </c>
      <c r="C35" s="3" t="s">
        <v>308</v>
      </c>
      <c r="D35" s="3" t="s">
        <v>309</v>
      </c>
      <c r="E35" s="5" t="s">
        <v>149</v>
      </c>
      <c r="F35" s="3" t="s">
        <v>313</v>
      </c>
      <c r="G35" s="3" t="s">
        <v>314</v>
      </c>
      <c r="H35" s="3" t="s">
        <v>152</v>
      </c>
      <c r="I35" s="3" t="s">
        <v>166</v>
      </c>
      <c r="J35" s="3" t="s">
        <v>30</v>
      </c>
      <c r="K35" s="3" t="s">
        <v>30</v>
      </c>
      <c r="L35" s="3" t="s">
        <v>154</v>
      </c>
      <c r="M35" s="3" t="s">
        <v>31</v>
      </c>
      <c r="N35" s="3" t="s">
        <v>167</v>
      </c>
      <c r="O35" s="3" t="s">
        <v>156</v>
      </c>
      <c r="P35" s="3" t="s">
        <v>168</v>
      </c>
      <c r="Q35" s="3" t="s">
        <v>169</v>
      </c>
      <c r="R35" s="3" t="s">
        <v>159</v>
      </c>
      <c r="S35" s="3" t="s">
        <v>34</v>
      </c>
      <c r="T35" s="155">
        <v>4.1360000000000001</v>
      </c>
      <c r="U35" s="3" t="s">
        <v>315</v>
      </c>
      <c r="V35" s="166">
        <v>8.3999999999999995E-3</v>
      </c>
      <c r="W35" s="166">
        <v>2.7830000000000001E-2</v>
      </c>
      <c r="X35" s="5" t="s">
        <v>161</v>
      </c>
      <c r="Y35" s="5" t="s">
        <v>156</v>
      </c>
      <c r="Z35" s="155">
        <v>41098.9</v>
      </c>
      <c r="AA35" s="164">
        <v>1</v>
      </c>
      <c r="AB35" s="174">
        <v>109.55</v>
      </c>
      <c r="AD35" s="155">
        <v>45.024000000000001</v>
      </c>
      <c r="AG35" s="3" t="s">
        <v>36</v>
      </c>
      <c r="AH35" s="166">
        <v>5.3999999999999998E-5</v>
      </c>
      <c r="AI35" s="166">
        <v>7.1600992290250598E-3</v>
      </c>
      <c r="AJ35" s="166">
        <v>1.9648205197126001E-3</v>
      </c>
    </row>
    <row r="36" spans="1:36">
      <c r="A36" s="3">
        <v>161</v>
      </c>
      <c r="B36" s="3">
        <v>1434</v>
      </c>
      <c r="C36" s="3" t="s">
        <v>316</v>
      </c>
      <c r="D36" s="3" t="s">
        <v>317</v>
      </c>
      <c r="E36" s="5" t="s">
        <v>149</v>
      </c>
      <c r="F36" s="3" t="s">
        <v>318</v>
      </c>
      <c r="G36" s="3" t="s">
        <v>319</v>
      </c>
      <c r="H36" s="3" t="s">
        <v>152</v>
      </c>
      <c r="I36" s="3" t="s">
        <v>153</v>
      </c>
      <c r="J36" s="3" t="s">
        <v>30</v>
      </c>
      <c r="K36" s="3" t="s">
        <v>30</v>
      </c>
      <c r="L36" s="3" t="s">
        <v>154</v>
      </c>
      <c r="M36" s="3" t="s">
        <v>31</v>
      </c>
      <c r="N36" s="3" t="s">
        <v>155</v>
      </c>
      <c r="O36" s="3" t="s">
        <v>156</v>
      </c>
      <c r="P36" s="3" t="s">
        <v>185</v>
      </c>
      <c r="Q36" s="3" t="s">
        <v>169</v>
      </c>
      <c r="R36" s="3" t="s">
        <v>159</v>
      </c>
      <c r="S36" s="3" t="s">
        <v>34</v>
      </c>
      <c r="T36" s="155">
        <v>5.9889999999999999</v>
      </c>
      <c r="U36" s="3" t="s">
        <v>320</v>
      </c>
      <c r="V36" s="166">
        <v>2.5000000000000001E-2</v>
      </c>
      <c r="W36" s="166">
        <v>4.7199999999999999E-2</v>
      </c>
      <c r="X36" s="5" t="s">
        <v>161</v>
      </c>
      <c r="Y36" s="5" t="s">
        <v>156</v>
      </c>
      <c r="Z36" s="155">
        <v>90000</v>
      </c>
      <c r="AA36" s="164">
        <v>1</v>
      </c>
      <c r="AB36" s="174">
        <v>88.03</v>
      </c>
      <c r="AD36" s="155">
        <v>79.227000000000004</v>
      </c>
      <c r="AG36" s="3" t="s">
        <v>36</v>
      </c>
      <c r="AH36" s="166">
        <v>6.7000000000000002E-5</v>
      </c>
      <c r="AI36" s="166">
        <v>1.25993944375017E-2</v>
      </c>
      <c r="AJ36" s="166">
        <v>3.45743095659958E-3</v>
      </c>
    </row>
    <row r="37" spans="1:36">
      <c r="A37" s="3">
        <v>161</v>
      </c>
      <c r="B37" s="3">
        <v>1434</v>
      </c>
      <c r="C37" s="3" t="s">
        <v>321</v>
      </c>
      <c r="D37" s="3" t="s">
        <v>322</v>
      </c>
      <c r="E37" s="5" t="s">
        <v>149</v>
      </c>
      <c r="F37" s="3" t="s">
        <v>323</v>
      </c>
      <c r="G37" s="3" t="s">
        <v>324</v>
      </c>
      <c r="H37" s="3" t="s">
        <v>152</v>
      </c>
      <c r="I37" s="3" t="s">
        <v>166</v>
      </c>
      <c r="J37" s="3" t="s">
        <v>30</v>
      </c>
      <c r="K37" s="3" t="s">
        <v>30</v>
      </c>
      <c r="L37" s="3" t="s">
        <v>154</v>
      </c>
      <c r="M37" s="3" t="s">
        <v>31</v>
      </c>
      <c r="N37" s="3" t="s">
        <v>245</v>
      </c>
      <c r="O37" s="3" t="s">
        <v>156</v>
      </c>
      <c r="P37" s="3" t="s">
        <v>246</v>
      </c>
      <c r="Q37" s="3" t="s">
        <v>169</v>
      </c>
      <c r="R37" s="3" t="s">
        <v>159</v>
      </c>
      <c r="S37" s="3" t="s">
        <v>34</v>
      </c>
      <c r="T37" s="155">
        <v>2.0939999999999999</v>
      </c>
      <c r="U37" s="3" t="s">
        <v>325</v>
      </c>
      <c r="V37" s="166">
        <v>1.8599999999999998E-2</v>
      </c>
      <c r="W37" s="166">
        <v>2.5940000000000001E-2</v>
      </c>
      <c r="X37" s="5" t="s">
        <v>161</v>
      </c>
      <c r="Y37" s="5" t="s">
        <v>156</v>
      </c>
      <c r="Z37" s="155">
        <v>27200</v>
      </c>
      <c r="AA37" s="164">
        <v>1</v>
      </c>
      <c r="AB37" s="174">
        <v>105.1</v>
      </c>
      <c r="AD37" s="155">
        <v>28.587</v>
      </c>
      <c r="AG37" s="3" t="s">
        <v>36</v>
      </c>
      <c r="AH37" s="166">
        <v>1.1E-5</v>
      </c>
      <c r="AI37" s="166">
        <v>4.5461952196063004E-3</v>
      </c>
      <c r="AJ37" s="166">
        <v>1.24753266238156E-3</v>
      </c>
    </row>
    <row r="38" spans="1:36">
      <c r="A38" s="3">
        <v>161</v>
      </c>
      <c r="B38" s="3">
        <v>1434</v>
      </c>
      <c r="C38" s="3" t="s">
        <v>321</v>
      </c>
      <c r="D38" s="3" t="s">
        <v>322</v>
      </c>
      <c r="E38" s="5" t="s">
        <v>149</v>
      </c>
      <c r="F38" s="3" t="s">
        <v>326</v>
      </c>
      <c r="G38" s="3" t="s">
        <v>327</v>
      </c>
      <c r="H38" s="3" t="s">
        <v>152</v>
      </c>
      <c r="I38" s="3" t="s">
        <v>166</v>
      </c>
      <c r="J38" s="3" t="s">
        <v>30</v>
      </c>
      <c r="K38" s="3" t="s">
        <v>30</v>
      </c>
      <c r="L38" s="3" t="s">
        <v>154</v>
      </c>
      <c r="M38" s="3" t="s">
        <v>31</v>
      </c>
      <c r="N38" s="3" t="s">
        <v>245</v>
      </c>
      <c r="O38" s="3" t="s">
        <v>156</v>
      </c>
      <c r="P38" s="3" t="s">
        <v>246</v>
      </c>
      <c r="Q38" s="3" t="s">
        <v>169</v>
      </c>
      <c r="R38" s="3" t="s">
        <v>159</v>
      </c>
      <c r="S38" s="3" t="s">
        <v>34</v>
      </c>
      <c r="T38" s="155">
        <v>0.73199999999999998</v>
      </c>
      <c r="U38" s="3" t="s">
        <v>328</v>
      </c>
      <c r="V38" s="166">
        <v>8.3000000000000001E-3</v>
      </c>
      <c r="W38" s="166">
        <v>3.2770000000000001E-2</v>
      </c>
      <c r="X38" s="5" t="s">
        <v>161</v>
      </c>
      <c r="Y38" s="5" t="s">
        <v>156</v>
      </c>
      <c r="Z38" s="155">
        <v>151500</v>
      </c>
      <c r="AA38" s="164">
        <v>1</v>
      </c>
      <c r="AB38" s="174">
        <v>116.83</v>
      </c>
      <c r="AD38" s="155">
        <v>176.99700000000001</v>
      </c>
      <c r="AG38" s="3" t="s">
        <v>36</v>
      </c>
      <c r="AH38" s="166">
        <v>1E-4</v>
      </c>
      <c r="AI38" s="166">
        <v>2.81477360872175E-2</v>
      </c>
      <c r="AJ38" s="166">
        <v>7.7240898035920401E-3</v>
      </c>
    </row>
    <row r="39" spans="1:36">
      <c r="A39" s="3">
        <v>161</v>
      </c>
      <c r="B39" s="3">
        <v>1434</v>
      </c>
      <c r="C39" s="3" t="s">
        <v>321</v>
      </c>
      <c r="D39" s="3" t="s">
        <v>322</v>
      </c>
      <c r="E39" s="5" t="s">
        <v>149</v>
      </c>
      <c r="F39" s="3" t="s">
        <v>329</v>
      </c>
      <c r="G39" s="3" t="s">
        <v>330</v>
      </c>
      <c r="H39" s="3" t="s">
        <v>152</v>
      </c>
      <c r="I39" s="3" t="s">
        <v>166</v>
      </c>
      <c r="J39" s="3" t="s">
        <v>30</v>
      </c>
      <c r="K39" s="3" t="s">
        <v>30</v>
      </c>
      <c r="L39" s="3" t="s">
        <v>154</v>
      </c>
      <c r="M39" s="3" t="s">
        <v>31</v>
      </c>
      <c r="N39" s="3" t="s">
        <v>245</v>
      </c>
      <c r="O39" s="3" t="s">
        <v>156</v>
      </c>
      <c r="P39" s="3" t="s">
        <v>246</v>
      </c>
      <c r="Q39" s="3" t="s">
        <v>169</v>
      </c>
      <c r="R39" s="3" t="s">
        <v>159</v>
      </c>
      <c r="S39" s="3" t="s">
        <v>34</v>
      </c>
      <c r="T39" s="155">
        <v>2.1339999999999999</v>
      </c>
      <c r="U39" s="3" t="s">
        <v>331</v>
      </c>
      <c r="V39" s="166">
        <v>1E-3</v>
      </c>
      <c r="W39" s="166">
        <v>2.5329999999999998E-2</v>
      </c>
      <c r="X39" s="5" t="s">
        <v>161</v>
      </c>
      <c r="Y39" s="5" t="s">
        <v>156</v>
      </c>
      <c r="Z39" s="155">
        <v>38000</v>
      </c>
      <c r="AA39" s="164">
        <v>1</v>
      </c>
      <c r="AB39" s="174">
        <v>110.05</v>
      </c>
      <c r="AD39" s="155">
        <v>41.819000000000003</v>
      </c>
      <c r="AG39" s="3" t="s">
        <v>36</v>
      </c>
      <c r="AH39" s="166">
        <v>1.2E-5</v>
      </c>
      <c r="AI39" s="166">
        <v>6.6504357855514196E-3</v>
      </c>
      <c r="AJ39" s="166">
        <v>1.8249625149764301E-3</v>
      </c>
    </row>
    <row r="40" spans="1:36">
      <c r="A40" s="3">
        <v>161</v>
      </c>
      <c r="B40" s="3">
        <v>1434</v>
      </c>
      <c r="C40" s="3" t="s">
        <v>321</v>
      </c>
      <c r="D40" s="3" t="s">
        <v>322</v>
      </c>
      <c r="E40" s="5" t="s">
        <v>149</v>
      </c>
      <c r="F40" s="3" t="s">
        <v>332</v>
      </c>
      <c r="G40" s="3" t="s">
        <v>333</v>
      </c>
      <c r="H40" s="3" t="s">
        <v>152</v>
      </c>
      <c r="I40" s="3" t="s">
        <v>153</v>
      </c>
      <c r="J40" s="3" t="s">
        <v>30</v>
      </c>
      <c r="K40" s="3" t="s">
        <v>30</v>
      </c>
      <c r="L40" s="3" t="s">
        <v>154</v>
      </c>
      <c r="M40" s="3" t="s">
        <v>31</v>
      </c>
      <c r="N40" s="3" t="s">
        <v>245</v>
      </c>
      <c r="O40" s="3" t="s">
        <v>156</v>
      </c>
      <c r="P40" s="3" t="s">
        <v>246</v>
      </c>
      <c r="Q40" s="3" t="s">
        <v>169</v>
      </c>
      <c r="R40" s="3" t="s">
        <v>159</v>
      </c>
      <c r="S40" s="3" t="s">
        <v>34</v>
      </c>
      <c r="T40" s="155">
        <v>2.1890000000000001</v>
      </c>
      <c r="U40" s="3" t="s">
        <v>334</v>
      </c>
      <c r="V40" s="166">
        <v>2.76E-2</v>
      </c>
      <c r="W40" s="166">
        <v>4.4830000000000002E-2</v>
      </c>
      <c r="X40" s="5" t="s">
        <v>161</v>
      </c>
      <c r="Y40" s="5" t="s">
        <v>156</v>
      </c>
      <c r="Z40" s="155">
        <v>130000</v>
      </c>
      <c r="AA40" s="164">
        <v>1</v>
      </c>
      <c r="AB40" s="174">
        <v>97.55</v>
      </c>
      <c r="AD40" s="155">
        <v>126.815</v>
      </c>
      <c r="AG40" s="3" t="s">
        <v>36</v>
      </c>
      <c r="AH40" s="166">
        <v>6.0000000000000002E-5</v>
      </c>
      <c r="AI40" s="166">
        <v>2.0167268804722801E-2</v>
      </c>
      <c r="AJ40" s="166">
        <v>5.5341500594642701E-3</v>
      </c>
    </row>
    <row r="41" spans="1:36">
      <c r="A41" s="3">
        <v>161</v>
      </c>
      <c r="B41" s="3">
        <v>1434</v>
      </c>
      <c r="C41" s="3" t="s">
        <v>321</v>
      </c>
      <c r="D41" s="3" t="s">
        <v>322</v>
      </c>
      <c r="E41" s="5" t="s">
        <v>149</v>
      </c>
      <c r="F41" s="3" t="s">
        <v>335</v>
      </c>
      <c r="G41" s="3" t="s">
        <v>336</v>
      </c>
      <c r="H41" s="3" t="s">
        <v>152</v>
      </c>
      <c r="I41" s="3" t="s">
        <v>166</v>
      </c>
      <c r="J41" s="3" t="s">
        <v>30</v>
      </c>
      <c r="K41" s="3" t="s">
        <v>30</v>
      </c>
      <c r="L41" s="3" t="s">
        <v>154</v>
      </c>
      <c r="M41" s="3" t="s">
        <v>31</v>
      </c>
      <c r="N41" s="3" t="s">
        <v>245</v>
      </c>
      <c r="O41" s="3" t="s">
        <v>156</v>
      </c>
      <c r="P41" s="3" t="s">
        <v>246</v>
      </c>
      <c r="Q41" s="3" t="s">
        <v>169</v>
      </c>
      <c r="R41" s="3" t="s">
        <v>159</v>
      </c>
      <c r="S41" s="3" t="s">
        <v>34</v>
      </c>
      <c r="T41" s="155">
        <v>4.13</v>
      </c>
      <c r="U41" s="3" t="s">
        <v>337</v>
      </c>
      <c r="V41" s="166">
        <v>2.0199999999999999E-2</v>
      </c>
      <c r="W41" s="166">
        <v>2.5430000000000001E-2</v>
      </c>
      <c r="X41" s="5" t="s">
        <v>161</v>
      </c>
      <c r="Y41" s="5" t="s">
        <v>156</v>
      </c>
      <c r="Z41" s="155">
        <v>34000</v>
      </c>
      <c r="AA41" s="164">
        <v>1</v>
      </c>
      <c r="AB41" s="174">
        <v>105.02</v>
      </c>
      <c r="AD41" s="155">
        <v>35.707000000000001</v>
      </c>
      <c r="AG41" s="3" t="s">
        <v>36</v>
      </c>
      <c r="AH41" s="166">
        <v>1.0000000000000001E-5</v>
      </c>
      <c r="AI41" s="166">
        <v>5.6784184343845502E-3</v>
      </c>
      <c r="AJ41" s="166">
        <v>1.5582288321040799E-3</v>
      </c>
    </row>
    <row r="42" spans="1:36">
      <c r="A42" s="3">
        <v>161</v>
      </c>
      <c r="B42" s="3">
        <v>1434</v>
      </c>
      <c r="C42" s="3" t="s">
        <v>321</v>
      </c>
      <c r="D42" s="3" t="s">
        <v>322</v>
      </c>
      <c r="E42" s="5" t="s">
        <v>149</v>
      </c>
      <c r="F42" s="3" t="s">
        <v>338</v>
      </c>
      <c r="G42" s="3" t="s">
        <v>339</v>
      </c>
      <c r="H42" s="3" t="s">
        <v>152</v>
      </c>
      <c r="I42" s="3" t="s">
        <v>166</v>
      </c>
      <c r="J42" s="3" t="s">
        <v>30</v>
      </c>
      <c r="K42" s="3" t="s">
        <v>30</v>
      </c>
      <c r="L42" s="3" t="s">
        <v>154</v>
      </c>
      <c r="M42" s="3" t="s">
        <v>31</v>
      </c>
      <c r="N42" s="3" t="s">
        <v>245</v>
      </c>
      <c r="O42" s="3" t="s">
        <v>156</v>
      </c>
      <c r="P42" s="3" t="s">
        <v>246</v>
      </c>
      <c r="Q42" s="3" t="s">
        <v>169</v>
      </c>
      <c r="R42" s="3" t="s">
        <v>159</v>
      </c>
      <c r="S42" s="3" t="s">
        <v>34</v>
      </c>
      <c r="T42" s="155">
        <v>4.1289999999999996</v>
      </c>
      <c r="U42" s="3" t="s">
        <v>340</v>
      </c>
      <c r="V42" s="166">
        <v>1E-3</v>
      </c>
      <c r="W42" s="166">
        <v>2.5350000000000001E-2</v>
      </c>
      <c r="X42" s="5" t="s">
        <v>161</v>
      </c>
      <c r="Y42" s="5" t="s">
        <v>156</v>
      </c>
      <c r="Z42" s="155">
        <v>40000</v>
      </c>
      <c r="AA42" s="164">
        <v>1</v>
      </c>
      <c r="AB42" s="174">
        <v>104.89</v>
      </c>
      <c r="AD42" s="155">
        <v>41.956000000000003</v>
      </c>
      <c r="AG42" s="3" t="s">
        <v>36</v>
      </c>
      <c r="AH42" s="166">
        <v>9.0000000000000002E-6</v>
      </c>
      <c r="AI42" s="166">
        <v>6.6722227652166602E-3</v>
      </c>
      <c r="AJ42" s="166">
        <v>1.8309411338949099E-3</v>
      </c>
    </row>
    <row r="43" spans="1:36">
      <c r="A43" s="3">
        <v>161</v>
      </c>
      <c r="B43" s="3">
        <v>1434</v>
      </c>
      <c r="C43" s="3" t="s">
        <v>321</v>
      </c>
      <c r="D43" s="3" t="s">
        <v>322</v>
      </c>
      <c r="E43" s="5" t="s">
        <v>149</v>
      </c>
      <c r="F43" s="3" t="s">
        <v>341</v>
      </c>
      <c r="G43" s="3" t="s">
        <v>342</v>
      </c>
      <c r="H43" s="3" t="s">
        <v>152</v>
      </c>
      <c r="I43" s="3" t="s">
        <v>153</v>
      </c>
      <c r="J43" s="3" t="s">
        <v>30</v>
      </c>
      <c r="K43" s="3" t="s">
        <v>30</v>
      </c>
      <c r="L43" s="3" t="s">
        <v>154</v>
      </c>
      <c r="M43" s="3" t="s">
        <v>31</v>
      </c>
      <c r="N43" s="3" t="s">
        <v>245</v>
      </c>
      <c r="O43" s="3" t="s">
        <v>156</v>
      </c>
      <c r="P43" s="3" t="s">
        <v>343</v>
      </c>
      <c r="Q43" s="3" t="s">
        <v>158</v>
      </c>
      <c r="R43" s="3" t="s">
        <v>159</v>
      </c>
      <c r="S43" s="3" t="s">
        <v>34</v>
      </c>
      <c r="T43" s="155">
        <v>5.7640000000000002</v>
      </c>
      <c r="U43" s="3" t="s">
        <v>344</v>
      </c>
      <c r="V43" s="166">
        <v>4.5900000000000003E-2</v>
      </c>
      <c r="W43" s="166">
        <v>4.548E-2</v>
      </c>
      <c r="X43" s="5" t="s">
        <v>161</v>
      </c>
      <c r="Y43" s="5" t="s">
        <v>156</v>
      </c>
      <c r="Z43" s="155">
        <v>140000</v>
      </c>
      <c r="AA43" s="164">
        <v>1</v>
      </c>
      <c r="AB43" s="174">
        <v>100.58</v>
      </c>
      <c r="AD43" s="155">
        <v>140.81200000000001</v>
      </c>
      <c r="AG43" s="3" t="s">
        <v>36</v>
      </c>
      <c r="AH43" s="166">
        <v>7.4999999999999993E-5</v>
      </c>
      <c r="AI43" s="166">
        <v>2.2393198398695999E-2</v>
      </c>
      <c r="AJ43" s="166">
        <v>6.1449728988943204E-3</v>
      </c>
    </row>
    <row r="44" spans="1:36">
      <c r="A44" s="3">
        <v>161</v>
      </c>
      <c r="B44" s="3">
        <v>1434</v>
      </c>
      <c r="C44" s="3" t="s">
        <v>321</v>
      </c>
      <c r="D44" s="3" t="s">
        <v>322</v>
      </c>
      <c r="E44" s="5" t="s">
        <v>149</v>
      </c>
      <c r="F44" s="3" t="s">
        <v>345</v>
      </c>
      <c r="G44" s="3" t="s">
        <v>346</v>
      </c>
      <c r="H44" s="3" t="s">
        <v>152</v>
      </c>
      <c r="I44" s="3" t="s">
        <v>166</v>
      </c>
      <c r="J44" s="3" t="s">
        <v>30</v>
      </c>
      <c r="K44" s="3" t="s">
        <v>30</v>
      </c>
      <c r="L44" s="3" t="s">
        <v>154</v>
      </c>
      <c r="M44" s="3" t="s">
        <v>31</v>
      </c>
      <c r="N44" s="3" t="s">
        <v>245</v>
      </c>
      <c r="O44" s="3" t="s">
        <v>156</v>
      </c>
      <c r="P44" s="3" t="s">
        <v>343</v>
      </c>
      <c r="Q44" s="3" t="s">
        <v>158</v>
      </c>
      <c r="R44" s="3" t="s">
        <v>159</v>
      </c>
      <c r="S44" s="3" t="s">
        <v>34</v>
      </c>
      <c r="T44" s="155">
        <v>6.6959999999999997</v>
      </c>
      <c r="U44" s="3" t="s">
        <v>347</v>
      </c>
      <c r="V44" s="166">
        <v>2.5999999999999999E-2</v>
      </c>
      <c r="W44" s="166">
        <v>2.554E-2</v>
      </c>
      <c r="X44" s="5" t="s">
        <v>161</v>
      </c>
      <c r="Y44" s="5" t="s">
        <v>156</v>
      </c>
      <c r="Z44" s="155">
        <v>70000</v>
      </c>
      <c r="AA44" s="164">
        <v>1</v>
      </c>
      <c r="AB44" s="174">
        <v>101.17</v>
      </c>
      <c r="AD44" s="155">
        <v>70.819000000000003</v>
      </c>
      <c r="AG44" s="3" t="s">
        <v>36</v>
      </c>
      <c r="AH44" s="166">
        <v>3.8000000000000002E-5</v>
      </c>
      <c r="AI44" s="166">
        <v>1.1262278196440999E-2</v>
      </c>
      <c r="AJ44" s="166">
        <v>3.09050958531089E-3</v>
      </c>
    </row>
    <row r="45" spans="1:36">
      <c r="A45" s="3">
        <v>161</v>
      </c>
      <c r="B45" s="3">
        <v>1434</v>
      </c>
      <c r="C45" s="3" t="s">
        <v>321</v>
      </c>
      <c r="D45" s="3" t="s">
        <v>322</v>
      </c>
      <c r="E45" s="5" t="s">
        <v>149</v>
      </c>
      <c r="F45" s="3" t="s">
        <v>348</v>
      </c>
      <c r="G45" s="3" t="s">
        <v>349</v>
      </c>
      <c r="H45" s="3" t="s">
        <v>152</v>
      </c>
      <c r="I45" s="3" t="s">
        <v>166</v>
      </c>
      <c r="J45" s="3" t="s">
        <v>30</v>
      </c>
      <c r="K45" s="3" t="s">
        <v>30</v>
      </c>
      <c r="L45" s="3" t="s">
        <v>154</v>
      </c>
      <c r="M45" s="3" t="s">
        <v>31</v>
      </c>
      <c r="N45" s="3" t="s">
        <v>245</v>
      </c>
      <c r="O45" s="3" t="s">
        <v>156</v>
      </c>
      <c r="P45" s="3" t="s">
        <v>185</v>
      </c>
      <c r="Q45" s="3" t="s">
        <v>169</v>
      </c>
      <c r="R45" s="3" t="s">
        <v>159</v>
      </c>
      <c r="S45" s="3" t="s">
        <v>34</v>
      </c>
      <c r="T45" s="155">
        <v>4.968</v>
      </c>
      <c r="U45" s="3" t="s">
        <v>350</v>
      </c>
      <c r="V45" s="166">
        <v>3.1E-2</v>
      </c>
      <c r="W45" s="166">
        <v>2.972E-2</v>
      </c>
      <c r="X45" s="5" t="s">
        <v>161</v>
      </c>
      <c r="Y45" s="5" t="s">
        <v>156</v>
      </c>
      <c r="Z45" s="155">
        <v>70000</v>
      </c>
      <c r="AA45" s="164">
        <v>1</v>
      </c>
      <c r="AB45" s="174">
        <v>105.8</v>
      </c>
      <c r="AD45" s="155">
        <v>74.06</v>
      </c>
      <c r="AG45" s="3" t="s">
        <v>36</v>
      </c>
      <c r="AH45" s="166">
        <v>4.6E-5</v>
      </c>
      <c r="AI45" s="166">
        <v>1.17776913431201E-2</v>
      </c>
      <c r="AJ45" s="166">
        <v>3.2319453803093001E-3</v>
      </c>
    </row>
    <row r="46" spans="1:36">
      <c r="A46" s="3">
        <v>161</v>
      </c>
      <c r="B46" s="3">
        <v>1434</v>
      </c>
      <c r="C46" s="3" t="s">
        <v>351</v>
      </c>
      <c r="D46" s="3" t="s">
        <v>352</v>
      </c>
      <c r="E46" s="5" t="s">
        <v>149</v>
      </c>
      <c r="F46" s="3" t="s">
        <v>353</v>
      </c>
      <c r="G46" s="3" t="s">
        <v>354</v>
      </c>
      <c r="H46" s="3" t="s">
        <v>152</v>
      </c>
      <c r="I46" s="3" t="s">
        <v>166</v>
      </c>
      <c r="J46" s="3" t="s">
        <v>30</v>
      </c>
      <c r="K46" s="3" t="s">
        <v>30</v>
      </c>
      <c r="L46" s="3" t="s">
        <v>154</v>
      </c>
      <c r="M46" s="3" t="s">
        <v>31</v>
      </c>
      <c r="N46" s="3" t="s">
        <v>167</v>
      </c>
      <c r="O46" s="3" t="s">
        <v>156</v>
      </c>
      <c r="P46" s="3" t="s">
        <v>168</v>
      </c>
      <c r="Q46" s="3" t="s">
        <v>169</v>
      </c>
      <c r="R46" s="3" t="s">
        <v>159</v>
      </c>
      <c r="S46" s="3" t="s">
        <v>34</v>
      </c>
      <c r="T46" s="155">
        <v>2.5139999999999998</v>
      </c>
      <c r="U46" s="3" t="s">
        <v>259</v>
      </c>
      <c r="V46" s="166">
        <v>2.81E-2</v>
      </c>
      <c r="W46" s="166">
        <v>2.8070000000000001E-2</v>
      </c>
      <c r="X46" s="5" t="s">
        <v>161</v>
      </c>
      <c r="Y46" s="5" t="s">
        <v>156</v>
      </c>
      <c r="Z46" s="155">
        <v>23437.5</v>
      </c>
      <c r="AA46" s="164">
        <v>1</v>
      </c>
      <c r="AB46" s="174">
        <v>121.01</v>
      </c>
      <c r="AD46" s="155">
        <v>28.361999999999998</v>
      </c>
      <c r="AG46" s="3" t="s">
        <v>36</v>
      </c>
      <c r="AH46" s="166">
        <v>1.7E-5</v>
      </c>
      <c r="AI46" s="166">
        <v>4.5103371509300797E-3</v>
      </c>
      <c r="AJ46" s="166">
        <v>1.2376927611624899E-3</v>
      </c>
    </row>
    <row r="47" spans="1:36">
      <c r="A47" s="3">
        <v>161</v>
      </c>
      <c r="B47" s="3">
        <v>1434</v>
      </c>
      <c r="C47" s="3" t="s">
        <v>355</v>
      </c>
      <c r="D47" s="3" t="s">
        <v>356</v>
      </c>
      <c r="E47" s="5" t="s">
        <v>149</v>
      </c>
      <c r="F47" s="3" t="s">
        <v>357</v>
      </c>
      <c r="G47" s="3" t="s">
        <v>358</v>
      </c>
      <c r="H47" s="3" t="s">
        <v>152</v>
      </c>
      <c r="I47" s="3" t="s">
        <v>153</v>
      </c>
      <c r="J47" s="3" t="s">
        <v>30</v>
      </c>
      <c r="K47" s="3" t="s">
        <v>30</v>
      </c>
      <c r="L47" s="3" t="s">
        <v>154</v>
      </c>
      <c r="M47" s="3" t="s">
        <v>31</v>
      </c>
      <c r="N47" s="3" t="s">
        <v>155</v>
      </c>
      <c r="O47" s="3" t="s">
        <v>156</v>
      </c>
      <c r="P47" s="3" t="s">
        <v>359</v>
      </c>
      <c r="Q47" s="3" t="s">
        <v>158</v>
      </c>
      <c r="R47" s="3" t="s">
        <v>159</v>
      </c>
      <c r="S47" s="3" t="s">
        <v>34</v>
      </c>
      <c r="T47" s="155">
        <v>1.196</v>
      </c>
      <c r="U47" s="3" t="s">
        <v>360</v>
      </c>
      <c r="V47" s="166">
        <v>4.1000000000000002E-2</v>
      </c>
      <c r="W47" s="166">
        <v>4.9340000000000002E-2</v>
      </c>
      <c r="X47" s="5" t="s">
        <v>161</v>
      </c>
      <c r="Y47" s="5" t="s">
        <v>156</v>
      </c>
      <c r="Z47" s="155">
        <v>45000</v>
      </c>
      <c r="AA47" s="164">
        <v>1</v>
      </c>
      <c r="AB47" s="174">
        <v>102.14</v>
      </c>
      <c r="AD47" s="155">
        <v>45.963000000000001</v>
      </c>
      <c r="AG47" s="3" t="s">
        <v>36</v>
      </c>
      <c r="AH47" s="166">
        <v>6.3E-5</v>
      </c>
      <c r="AI47" s="166">
        <v>7.3094521631626797E-3</v>
      </c>
      <c r="AJ47" s="166">
        <v>2.0058048273718099E-3</v>
      </c>
    </row>
    <row r="48" spans="1:36">
      <c r="A48" s="3">
        <v>161</v>
      </c>
      <c r="B48" s="3">
        <v>1434</v>
      </c>
      <c r="C48" s="3" t="s">
        <v>361</v>
      </c>
      <c r="D48" s="3" t="s">
        <v>362</v>
      </c>
      <c r="E48" s="5" t="s">
        <v>149</v>
      </c>
      <c r="F48" s="3" t="s">
        <v>363</v>
      </c>
      <c r="G48" s="3" t="s">
        <v>364</v>
      </c>
      <c r="H48" s="3" t="s">
        <v>152</v>
      </c>
      <c r="I48" s="3" t="s">
        <v>166</v>
      </c>
      <c r="J48" s="3" t="s">
        <v>30</v>
      </c>
      <c r="K48" s="3" t="s">
        <v>30</v>
      </c>
      <c r="L48" s="3" t="s">
        <v>154</v>
      </c>
      <c r="M48" s="3" t="s">
        <v>31</v>
      </c>
      <c r="N48" s="3" t="s">
        <v>167</v>
      </c>
      <c r="O48" s="3" t="s">
        <v>156</v>
      </c>
      <c r="P48" s="3" t="s">
        <v>179</v>
      </c>
      <c r="Q48" s="3" t="s">
        <v>169</v>
      </c>
      <c r="R48" s="3" t="s">
        <v>159</v>
      </c>
      <c r="S48" s="3" t="s">
        <v>34</v>
      </c>
      <c r="T48" s="155">
        <v>1.379</v>
      </c>
      <c r="U48" s="3" t="s">
        <v>365</v>
      </c>
      <c r="V48" s="166">
        <v>2.0500000000000001E-2</v>
      </c>
      <c r="W48" s="166">
        <v>3.0210000000000001E-2</v>
      </c>
      <c r="X48" s="5" t="s">
        <v>161</v>
      </c>
      <c r="Y48" s="5" t="s">
        <v>156</v>
      </c>
      <c r="Z48" s="155">
        <v>26117.78</v>
      </c>
      <c r="AA48" s="164">
        <v>1</v>
      </c>
      <c r="AB48" s="174">
        <v>118.88</v>
      </c>
      <c r="AD48" s="155">
        <v>31.048999999999999</v>
      </c>
      <c r="AG48" s="3" t="s">
        <v>36</v>
      </c>
      <c r="AH48" s="166">
        <v>5.1999999999999997E-5</v>
      </c>
      <c r="AI48" s="166">
        <v>4.93766380763237E-3</v>
      </c>
      <c r="AJ48" s="166">
        <v>1.35495652481332E-3</v>
      </c>
    </row>
    <row r="49" spans="1:36">
      <c r="A49" s="3">
        <v>161</v>
      </c>
      <c r="B49" s="3">
        <v>1434</v>
      </c>
      <c r="C49" s="3" t="s">
        <v>361</v>
      </c>
      <c r="D49" s="3" t="s">
        <v>362</v>
      </c>
      <c r="E49" s="5" t="s">
        <v>149</v>
      </c>
      <c r="F49" s="3" t="s">
        <v>366</v>
      </c>
      <c r="G49" s="3" t="s">
        <v>367</v>
      </c>
      <c r="H49" s="3" t="s">
        <v>152</v>
      </c>
      <c r="I49" s="3" t="s">
        <v>166</v>
      </c>
      <c r="J49" s="3" t="s">
        <v>30</v>
      </c>
      <c r="K49" s="3" t="s">
        <v>30</v>
      </c>
      <c r="L49" s="3" t="s">
        <v>154</v>
      </c>
      <c r="M49" s="3" t="s">
        <v>31</v>
      </c>
      <c r="N49" s="3" t="s">
        <v>167</v>
      </c>
      <c r="O49" s="3" t="s">
        <v>156</v>
      </c>
      <c r="P49" s="3" t="s">
        <v>179</v>
      </c>
      <c r="Q49" s="3" t="s">
        <v>169</v>
      </c>
      <c r="R49" s="3" t="s">
        <v>159</v>
      </c>
      <c r="S49" s="3" t="s">
        <v>34</v>
      </c>
      <c r="T49" s="155">
        <v>3.3370000000000002</v>
      </c>
      <c r="U49" s="3" t="s">
        <v>368</v>
      </c>
      <c r="V49" s="166">
        <v>8.3999999999999995E-3</v>
      </c>
      <c r="W49" s="166">
        <v>2.9950000000000001E-2</v>
      </c>
      <c r="X49" s="5" t="s">
        <v>161</v>
      </c>
      <c r="Y49" s="5" t="s">
        <v>156</v>
      </c>
      <c r="Z49" s="155">
        <v>60000</v>
      </c>
      <c r="AA49" s="164">
        <v>1</v>
      </c>
      <c r="AB49" s="174">
        <v>110.41</v>
      </c>
      <c r="AD49" s="155">
        <v>66.245999999999995</v>
      </c>
      <c r="AG49" s="3" t="s">
        <v>36</v>
      </c>
      <c r="AH49" s="166">
        <v>4.8000000000000001E-5</v>
      </c>
      <c r="AI49" s="166">
        <v>1.05350383569583E-2</v>
      </c>
      <c r="AJ49" s="166">
        <v>2.89094590418539E-3</v>
      </c>
    </row>
    <row r="50" spans="1:36">
      <c r="A50" s="3">
        <v>161</v>
      </c>
      <c r="B50" s="3">
        <v>1434</v>
      </c>
      <c r="C50" s="3" t="s">
        <v>369</v>
      </c>
      <c r="D50" s="3" t="s">
        <v>370</v>
      </c>
      <c r="E50" s="5" t="s">
        <v>149</v>
      </c>
      <c r="F50" s="3" t="s">
        <v>371</v>
      </c>
      <c r="G50" s="3" t="s">
        <v>372</v>
      </c>
      <c r="H50" s="3" t="s">
        <v>152</v>
      </c>
      <c r="I50" s="3" t="s">
        <v>166</v>
      </c>
      <c r="J50" s="3" t="s">
        <v>30</v>
      </c>
      <c r="K50" s="3" t="s">
        <v>30</v>
      </c>
      <c r="L50" s="3" t="s">
        <v>154</v>
      </c>
      <c r="M50" s="3" t="s">
        <v>31</v>
      </c>
      <c r="N50" s="3" t="s">
        <v>245</v>
      </c>
      <c r="O50" s="3" t="s">
        <v>156</v>
      </c>
      <c r="P50" s="3" t="s">
        <v>246</v>
      </c>
      <c r="Q50" s="3" t="s">
        <v>169</v>
      </c>
      <c r="R50" s="3" t="s">
        <v>159</v>
      </c>
      <c r="S50" s="3" t="s">
        <v>34</v>
      </c>
      <c r="T50" s="155">
        <v>3.04</v>
      </c>
      <c r="U50" s="3" t="s">
        <v>373</v>
      </c>
      <c r="V50" s="166">
        <v>1E-3</v>
      </c>
      <c r="W50" s="166">
        <v>2.5440000000000001E-2</v>
      </c>
      <c r="X50" s="5" t="s">
        <v>161</v>
      </c>
      <c r="Y50" s="5" t="s">
        <v>156</v>
      </c>
      <c r="Z50" s="155">
        <v>161998</v>
      </c>
      <c r="AA50" s="164">
        <v>1</v>
      </c>
      <c r="AB50" s="174">
        <v>107.76</v>
      </c>
      <c r="AD50" s="155">
        <v>174.56899999999999</v>
      </c>
      <c r="AG50" s="3" t="s">
        <v>36</v>
      </c>
      <c r="AH50" s="166">
        <v>4.8000000000000001E-5</v>
      </c>
      <c r="AI50" s="166">
        <v>2.7761549118521502E-2</v>
      </c>
      <c r="AJ50" s="166">
        <v>7.6181152833697998E-3</v>
      </c>
    </row>
    <row r="51" spans="1:36">
      <c r="A51" s="3">
        <v>161</v>
      </c>
      <c r="B51" s="3">
        <v>1434</v>
      </c>
      <c r="C51" s="3" t="s">
        <v>369</v>
      </c>
      <c r="D51" s="3" t="s">
        <v>370</v>
      </c>
      <c r="E51" s="5" t="s">
        <v>149</v>
      </c>
      <c r="F51" s="3" t="s">
        <v>374</v>
      </c>
      <c r="G51" s="3" t="s">
        <v>375</v>
      </c>
      <c r="H51" s="3" t="s">
        <v>152</v>
      </c>
      <c r="I51" s="3" t="s">
        <v>153</v>
      </c>
      <c r="J51" s="3" t="s">
        <v>30</v>
      </c>
      <c r="K51" s="3" t="s">
        <v>30</v>
      </c>
      <c r="L51" s="3" t="s">
        <v>154</v>
      </c>
      <c r="M51" s="3" t="s">
        <v>31</v>
      </c>
      <c r="N51" s="3" t="s">
        <v>245</v>
      </c>
      <c r="O51" s="3" t="s">
        <v>156</v>
      </c>
      <c r="P51" s="3" t="s">
        <v>246</v>
      </c>
      <c r="Q51" s="3" t="s">
        <v>169</v>
      </c>
      <c r="R51" s="3" t="s">
        <v>159</v>
      </c>
      <c r="S51" s="3" t="s">
        <v>34</v>
      </c>
      <c r="T51" s="155">
        <v>2.8170000000000002</v>
      </c>
      <c r="U51" s="3" t="s">
        <v>376</v>
      </c>
      <c r="V51" s="166">
        <v>2.7400000000000001E-2</v>
      </c>
      <c r="W51" s="166">
        <v>4.4889999999999999E-2</v>
      </c>
      <c r="X51" s="5" t="s">
        <v>161</v>
      </c>
      <c r="Y51" s="5" t="s">
        <v>156</v>
      </c>
      <c r="Z51" s="155">
        <v>158572.25</v>
      </c>
      <c r="AA51" s="164">
        <v>1</v>
      </c>
      <c r="AB51" s="174">
        <v>96.57</v>
      </c>
      <c r="AD51" s="155">
        <v>153.13300000000001</v>
      </c>
      <c r="AG51" s="3" t="s">
        <v>36</v>
      </c>
      <c r="AH51" s="166">
        <v>5.0000000000000002E-5</v>
      </c>
      <c r="AI51" s="166">
        <v>2.4352630583748199E-2</v>
      </c>
      <c r="AJ51" s="166">
        <v>6.6826655259139599E-3</v>
      </c>
    </row>
    <row r="52" spans="1:36">
      <c r="A52" s="3">
        <v>161</v>
      </c>
      <c r="B52" s="3">
        <v>1434</v>
      </c>
      <c r="C52" s="3" t="s">
        <v>369</v>
      </c>
      <c r="D52" s="3" t="s">
        <v>370</v>
      </c>
      <c r="E52" s="5" t="s">
        <v>149</v>
      </c>
      <c r="F52" s="3" t="s">
        <v>377</v>
      </c>
      <c r="G52" s="3" t="s">
        <v>378</v>
      </c>
      <c r="H52" s="3" t="s">
        <v>152</v>
      </c>
      <c r="I52" s="3" t="s">
        <v>166</v>
      </c>
      <c r="J52" s="3" t="s">
        <v>30</v>
      </c>
      <c r="K52" s="3" t="s">
        <v>30</v>
      </c>
      <c r="L52" s="3" t="s">
        <v>154</v>
      </c>
      <c r="M52" s="3" t="s">
        <v>31</v>
      </c>
      <c r="N52" s="3" t="s">
        <v>245</v>
      </c>
      <c r="O52" s="3" t="s">
        <v>156</v>
      </c>
      <c r="P52" s="3" t="s">
        <v>343</v>
      </c>
      <c r="Q52" s="3" t="s">
        <v>158</v>
      </c>
      <c r="R52" s="3" t="s">
        <v>159</v>
      </c>
      <c r="S52" s="3" t="s">
        <v>34</v>
      </c>
      <c r="T52" s="155">
        <v>1.157</v>
      </c>
      <c r="U52" s="3" t="s">
        <v>379</v>
      </c>
      <c r="V52" s="166">
        <v>5.0000000000000001E-3</v>
      </c>
      <c r="W52" s="166">
        <v>2.9350000000000001E-2</v>
      </c>
      <c r="X52" s="5" t="s">
        <v>161</v>
      </c>
      <c r="Y52" s="5" t="s">
        <v>156</v>
      </c>
      <c r="Z52" s="155">
        <v>39000</v>
      </c>
      <c r="AA52" s="164">
        <v>1</v>
      </c>
      <c r="AB52" s="174">
        <v>114.73</v>
      </c>
      <c r="AD52" s="155">
        <v>44.744999999999997</v>
      </c>
      <c r="AG52" s="3" t="s">
        <v>36</v>
      </c>
      <c r="AH52" s="166">
        <v>5.1E-5</v>
      </c>
      <c r="AI52" s="166">
        <v>7.1157070731907197E-3</v>
      </c>
      <c r="AJ52" s="166">
        <v>1.95263875855152E-3</v>
      </c>
    </row>
    <row r="53" spans="1:36">
      <c r="A53" s="3">
        <v>161</v>
      </c>
      <c r="B53" s="3">
        <v>1434</v>
      </c>
      <c r="C53" s="3" t="s">
        <v>369</v>
      </c>
      <c r="D53" s="3" t="s">
        <v>370</v>
      </c>
      <c r="E53" s="5" t="s">
        <v>149</v>
      </c>
      <c r="F53" s="3" t="s">
        <v>380</v>
      </c>
      <c r="G53" s="3" t="s">
        <v>381</v>
      </c>
      <c r="H53" s="3" t="s">
        <v>152</v>
      </c>
      <c r="I53" s="3" t="s">
        <v>166</v>
      </c>
      <c r="J53" s="3" t="s">
        <v>30</v>
      </c>
      <c r="K53" s="3" t="s">
        <v>30</v>
      </c>
      <c r="L53" s="3" t="s">
        <v>154</v>
      </c>
      <c r="M53" s="3" t="s">
        <v>31</v>
      </c>
      <c r="N53" s="3" t="s">
        <v>245</v>
      </c>
      <c r="O53" s="3" t="s">
        <v>156</v>
      </c>
      <c r="P53" s="3" t="s">
        <v>246</v>
      </c>
      <c r="Q53" s="3" t="s">
        <v>169</v>
      </c>
      <c r="R53" s="3" t="s">
        <v>159</v>
      </c>
      <c r="S53" s="3" t="s">
        <v>34</v>
      </c>
      <c r="T53" s="155">
        <v>4.7160000000000002</v>
      </c>
      <c r="U53" s="3" t="s">
        <v>382</v>
      </c>
      <c r="V53" s="166">
        <v>2E-3</v>
      </c>
      <c r="W53" s="166">
        <v>2.564E-2</v>
      </c>
      <c r="X53" s="5" t="s">
        <v>161</v>
      </c>
      <c r="Y53" s="5" t="s">
        <v>156</v>
      </c>
      <c r="Z53" s="155">
        <v>226000</v>
      </c>
      <c r="AA53" s="164">
        <v>1</v>
      </c>
      <c r="AB53" s="174">
        <v>106.44</v>
      </c>
      <c r="AD53" s="155">
        <v>240.554</v>
      </c>
      <c r="AG53" s="3" t="s">
        <v>36</v>
      </c>
      <c r="AH53" s="166">
        <v>6.4999999999999994E-5</v>
      </c>
      <c r="AI53" s="166">
        <v>3.8255137380899903E-2</v>
      </c>
      <c r="AJ53" s="166">
        <v>1.04976867646918E-2</v>
      </c>
    </row>
    <row r="54" spans="1:36">
      <c r="A54" s="3">
        <v>161</v>
      </c>
      <c r="B54" s="3">
        <v>1434</v>
      </c>
      <c r="C54" s="3" t="s">
        <v>369</v>
      </c>
      <c r="D54" s="3" t="s">
        <v>370</v>
      </c>
      <c r="E54" s="5" t="s">
        <v>149</v>
      </c>
      <c r="F54" s="3" t="s">
        <v>383</v>
      </c>
      <c r="G54" s="3" t="s">
        <v>384</v>
      </c>
      <c r="H54" s="3" t="s">
        <v>152</v>
      </c>
      <c r="I54" s="3" t="s">
        <v>166</v>
      </c>
      <c r="J54" s="3" t="s">
        <v>30</v>
      </c>
      <c r="K54" s="3" t="s">
        <v>30</v>
      </c>
      <c r="L54" s="3" t="s">
        <v>154</v>
      </c>
      <c r="M54" s="3" t="s">
        <v>31</v>
      </c>
      <c r="N54" s="3" t="s">
        <v>245</v>
      </c>
      <c r="O54" s="3" t="s">
        <v>156</v>
      </c>
      <c r="P54" s="3" t="s">
        <v>246</v>
      </c>
      <c r="Q54" s="3" t="s">
        <v>169</v>
      </c>
      <c r="R54" s="3" t="s">
        <v>159</v>
      </c>
      <c r="S54" s="3" t="s">
        <v>34</v>
      </c>
      <c r="T54" s="155">
        <v>0.71199999999999997</v>
      </c>
      <c r="U54" s="3" t="s">
        <v>385</v>
      </c>
      <c r="V54" s="166">
        <v>3.8E-3</v>
      </c>
      <c r="W54" s="166">
        <v>3.2919999999999998E-2</v>
      </c>
      <c r="X54" s="5" t="s">
        <v>161</v>
      </c>
      <c r="Y54" s="5" t="s">
        <v>156</v>
      </c>
      <c r="Z54" s="155">
        <v>110758</v>
      </c>
      <c r="AA54" s="164">
        <v>1</v>
      </c>
      <c r="AB54" s="174">
        <v>114.65</v>
      </c>
      <c r="AD54" s="155">
        <v>126.98399999999999</v>
      </c>
      <c r="AG54" s="3" t="s">
        <v>36</v>
      </c>
      <c r="AH54" s="166">
        <v>3.6999999999999998E-5</v>
      </c>
      <c r="AI54" s="166">
        <v>2.0194152188310201E-2</v>
      </c>
      <c r="AJ54" s="166">
        <v>5.5415271951745797E-3</v>
      </c>
    </row>
    <row r="55" spans="1:36">
      <c r="A55" s="3">
        <v>161</v>
      </c>
      <c r="B55" s="3">
        <v>1434</v>
      </c>
      <c r="C55" s="3" t="s">
        <v>369</v>
      </c>
      <c r="D55" s="3" t="s">
        <v>370</v>
      </c>
      <c r="E55" s="5" t="s">
        <v>149</v>
      </c>
      <c r="F55" s="3" t="s">
        <v>386</v>
      </c>
      <c r="G55" s="3" t="s">
        <v>387</v>
      </c>
      <c r="H55" s="3" t="s">
        <v>152</v>
      </c>
      <c r="I55" s="3" t="s">
        <v>166</v>
      </c>
      <c r="J55" s="3" t="s">
        <v>30</v>
      </c>
      <c r="K55" s="3" t="s">
        <v>30</v>
      </c>
      <c r="L55" s="3" t="s">
        <v>154</v>
      </c>
      <c r="M55" s="3" t="s">
        <v>31</v>
      </c>
      <c r="N55" s="3" t="s">
        <v>245</v>
      </c>
      <c r="O55" s="3" t="s">
        <v>156</v>
      </c>
      <c r="P55" s="3" t="s">
        <v>246</v>
      </c>
      <c r="Q55" s="3" t="s">
        <v>169</v>
      </c>
      <c r="R55" s="3" t="s">
        <v>159</v>
      </c>
      <c r="S55" s="3" t="s">
        <v>34</v>
      </c>
      <c r="T55" s="155">
        <v>2.9409999999999998</v>
      </c>
      <c r="U55" s="3" t="s">
        <v>376</v>
      </c>
      <c r="V55" s="166">
        <v>1E-3</v>
      </c>
      <c r="W55" s="166">
        <v>2.562E-2</v>
      </c>
      <c r="X55" s="5" t="s">
        <v>161</v>
      </c>
      <c r="Y55" s="5" t="s">
        <v>156</v>
      </c>
      <c r="Z55" s="155">
        <v>97716.38</v>
      </c>
      <c r="AA55" s="164">
        <v>1</v>
      </c>
      <c r="AB55" s="174">
        <v>106.57</v>
      </c>
      <c r="AD55" s="155">
        <v>104.136</v>
      </c>
      <c r="AG55" s="3" t="s">
        <v>36</v>
      </c>
      <c r="AH55" s="166">
        <v>4.3999999999999999E-5</v>
      </c>
      <c r="AI55" s="166">
        <v>1.6560704060808201E-2</v>
      </c>
      <c r="AJ55" s="166">
        <v>4.5444637174384796E-3</v>
      </c>
    </row>
    <row r="56" spans="1:36">
      <c r="A56" s="3">
        <v>161</v>
      </c>
      <c r="B56" s="3">
        <v>1434</v>
      </c>
      <c r="C56" s="3" t="s">
        <v>388</v>
      </c>
      <c r="D56" s="3" t="s">
        <v>389</v>
      </c>
      <c r="E56" s="5" t="s">
        <v>149</v>
      </c>
      <c r="F56" s="3" t="s">
        <v>390</v>
      </c>
      <c r="G56" s="3" t="s">
        <v>391</v>
      </c>
      <c r="H56" s="3" t="s">
        <v>152</v>
      </c>
      <c r="I56" s="3" t="s">
        <v>166</v>
      </c>
      <c r="J56" s="3" t="s">
        <v>30</v>
      </c>
      <c r="K56" s="3" t="s">
        <v>30</v>
      </c>
      <c r="L56" s="3" t="s">
        <v>154</v>
      </c>
      <c r="M56" s="3" t="s">
        <v>31</v>
      </c>
      <c r="N56" s="3" t="s">
        <v>392</v>
      </c>
      <c r="O56" s="3" t="s">
        <v>156</v>
      </c>
      <c r="P56" s="3" t="s">
        <v>359</v>
      </c>
      <c r="Q56" s="3" t="s">
        <v>158</v>
      </c>
      <c r="R56" s="3" t="s">
        <v>159</v>
      </c>
      <c r="S56" s="3" t="s">
        <v>34</v>
      </c>
      <c r="T56" s="155">
        <v>2.7869999999999999</v>
      </c>
      <c r="U56" s="3" t="s">
        <v>393</v>
      </c>
      <c r="V56" s="166">
        <v>0.01</v>
      </c>
      <c r="W56" s="166">
        <v>3.2149999999999998E-2</v>
      </c>
      <c r="X56" s="5" t="s">
        <v>161</v>
      </c>
      <c r="Y56" s="5" t="s">
        <v>156</v>
      </c>
      <c r="Z56" s="155">
        <v>68132.91</v>
      </c>
      <c r="AA56" s="164">
        <v>1</v>
      </c>
      <c r="AB56" s="174">
        <v>109.08</v>
      </c>
      <c r="AD56" s="155">
        <v>74.319000000000003</v>
      </c>
      <c r="AG56" s="3" t="s">
        <v>36</v>
      </c>
      <c r="AH56" s="166">
        <v>4.1E-5</v>
      </c>
      <c r="AI56" s="166">
        <v>1.1818940015959799E-2</v>
      </c>
      <c r="AJ56" s="166">
        <v>3.2432645305353002E-3</v>
      </c>
    </row>
    <row r="57" spans="1:36">
      <c r="A57" s="3">
        <v>161</v>
      </c>
      <c r="B57" s="3">
        <v>1434</v>
      </c>
      <c r="C57" s="3" t="s">
        <v>388</v>
      </c>
      <c r="D57" s="3" t="s">
        <v>389</v>
      </c>
      <c r="E57" s="5" t="s">
        <v>149</v>
      </c>
      <c r="F57" s="3" t="s">
        <v>394</v>
      </c>
      <c r="G57" s="3" t="s">
        <v>395</v>
      </c>
      <c r="H57" s="3" t="s">
        <v>152</v>
      </c>
      <c r="I57" s="3" t="s">
        <v>166</v>
      </c>
      <c r="J57" s="3" t="s">
        <v>30</v>
      </c>
      <c r="K57" s="3" t="s">
        <v>30</v>
      </c>
      <c r="L57" s="3" t="s">
        <v>154</v>
      </c>
      <c r="M57" s="3" t="s">
        <v>31</v>
      </c>
      <c r="N57" s="3" t="s">
        <v>392</v>
      </c>
      <c r="O57" s="3" t="s">
        <v>156</v>
      </c>
      <c r="P57" s="3" t="s">
        <v>359</v>
      </c>
      <c r="Q57" s="3" t="s">
        <v>158</v>
      </c>
      <c r="R57" s="3" t="s">
        <v>159</v>
      </c>
      <c r="S57" s="3" t="s">
        <v>34</v>
      </c>
      <c r="T57" s="155">
        <v>0.97</v>
      </c>
      <c r="U57" s="3" t="s">
        <v>124</v>
      </c>
      <c r="V57" s="166">
        <v>3.5400000000000001E-2</v>
      </c>
      <c r="W57" s="166">
        <v>4.1360000000000001E-2</v>
      </c>
      <c r="X57" s="5" t="s">
        <v>161</v>
      </c>
      <c r="Y57" s="5" t="s">
        <v>156</v>
      </c>
      <c r="Z57" s="155">
        <v>36000</v>
      </c>
      <c r="AA57" s="164">
        <v>1</v>
      </c>
      <c r="AB57" s="174">
        <v>109.63</v>
      </c>
      <c r="AD57" s="155">
        <v>39.466999999999999</v>
      </c>
      <c r="AG57" s="3" t="s">
        <v>36</v>
      </c>
      <c r="AH57" s="166">
        <v>3.6000000000000001E-5</v>
      </c>
      <c r="AI57" s="166">
        <v>6.2763676573136798E-3</v>
      </c>
      <c r="AJ57" s="166">
        <v>1.72231355570606E-3</v>
      </c>
    </row>
    <row r="58" spans="1:36">
      <c r="A58" s="3">
        <v>161</v>
      </c>
      <c r="B58" s="3">
        <v>1434</v>
      </c>
      <c r="C58" s="3" t="s">
        <v>396</v>
      </c>
      <c r="D58" s="3" t="s">
        <v>397</v>
      </c>
      <c r="E58" s="5" t="s">
        <v>149</v>
      </c>
      <c r="F58" s="3" t="s">
        <v>398</v>
      </c>
      <c r="G58" s="3" t="s">
        <v>399</v>
      </c>
      <c r="H58" s="3" t="s">
        <v>152</v>
      </c>
      <c r="I58" s="3" t="s">
        <v>166</v>
      </c>
      <c r="J58" s="3" t="s">
        <v>30</v>
      </c>
      <c r="K58" s="3" t="s">
        <v>30</v>
      </c>
      <c r="L58" s="3" t="s">
        <v>154</v>
      </c>
      <c r="M58" s="3" t="s">
        <v>31</v>
      </c>
      <c r="N58" s="3" t="s">
        <v>167</v>
      </c>
      <c r="O58" s="3" t="s">
        <v>156</v>
      </c>
      <c r="P58" s="3" t="s">
        <v>168</v>
      </c>
      <c r="Q58" s="3" t="s">
        <v>169</v>
      </c>
      <c r="R58" s="3" t="s">
        <v>159</v>
      </c>
      <c r="S58" s="3" t="s">
        <v>34</v>
      </c>
      <c r="T58" s="155">
        <v>3.4809999999999999</v>
      </c>
      <c r="U58" s="3" t="s">
        <v>400</v>
      </c>
      <c r="V58" s="166">
        <v>1.43E-2</v>
      </c>
      <c r="W58" s="166">
        <v>2.8119999999999999E-2</v>
      </c>
      <c r="X58" s="5" t="s">
        <v>161</v>
      </c>
      <c r="Y58" s="5" t="s">
        <v>156</v>
      </c>
      <c r="Z58" s="155">
        <v>100308.55</v>
      </c>
      <c r="AA58" s="164">
        <v>1</v>
      </c>
      <c r="AB58" s="174">
        <v>113.61</v>
      </c>
      <c r="AD58" s="155">
        <v>113.961</v>
      </c>
      <c r="AG58" s="3" t="s">
        <v>36</v>
      </c>
      <c r="AH58" s="166">
        <v>5.1999999999999997E-5</v>
      </c>
      <c r="AI58" s="166">
        <v>1.8123036841247001E-2</v>
      </c>
      <c r="AJ58" s="166">
        <v>4.9731873157347201E-3</v>
      </c>
    </row>
    <row r="59" spans="1:36">
      <c r="A59" s="3">
        <v>161</v>
      </c>
      <c r="B59" s="3">
        <v>1434</v>
      </c>
      <c r="C59" s="3" t="s">
        <v>396</v>
      </c>
      <c r="D59" s="3" t="s">
        <v>397</v>
      </c>
      <c r="E59" s="5" t="s">
        <v>149</v>
      </c>
      <c r="F59" s="3" t="s">
        <v>401</v>
      </c>
      <c r="G59" s="3" t="s">
        <v>402</v>
      </c>
      <c r="H59" s="3" t="s">
        <v>152</v>
      </c>
      <c r="I59" s="3" t="s">
        <v>166</v>
      </c>
      <c r="J59" s="3" t="s">
        <v>30</v>
      </c>
      <c r="K59" s="3" t="s">
        <v>30</v>
      </c>
      <c r="L59" s="3" t="s">
        <v>154</v>
      </c>
      <c r="M59" s="3" t="s">
        <v>31</v>
      </c>
      <c r="N59" s="3" t="s">
        <v>167</v>
      </c>
      <c r="O59" s="3" t="s">
        <v>156</v>
      </c>
      <c r="P59" s="3" t="s">
        <v>168</v>
      </c>
      <c r="Q59" s="3" t="s">
        <v>169</v>
      </c>
      <c r="R59" s="3" t="s">
        <v>159</v>
      </c>
      <c r="S59" s="3" t="s">
        <v>34</v>
      </c>
      <c r="T59" s="155">
        <v>5.3339999999999996</v>
      </c>
      <c r="U59" s="3" t="s">
        <v>403</v>
      </c>
      <c r="V59" s="166">
        <v>3.61E-2</v>
      </c>
      <c r="W59" s="166">
        <v>2.9340000000000001E-2</v>
      </c>
      <c r="X59" s="5" t="s">
        <v>161</v>
      </c>
      <c r="Y59" s="5" t="s">
        <v>156</v>
      </c>
      <c r="Z59" s="155">
        <v>80000</v>
      </c>
      <c r="AA59" s="164">
        <v>1</v>
      </c>
      <c r="AB59" s="174">
        <v>113.95</v>
      </c>
      <c r="AD59" s="155">
        <v>91.16</v>
      </c>
      <c r="AG59" s="3" t="s">
        <v>36</v>
      </c>
      <c r="AH59" s="166">
        <v>3.6000000000000001E-5</v>
      </c>
      <c r="AI59" s="166">
        <v>1.44970880750584E-2</v>
      </c>
      <c r="AJ59" s="166">
        <v>3.9781817562651398E-3</v>
      </c>
    </row>
    <row r="60" spans="1:36">
      <c r="A60" s="3">
        <v>161</v>
      </c>
      <c r="B60" s="3">
        <v>1434</v>
      </c>
      <c r="C60" s="3" t="s">
        <v>396</v>
      </c>
      <c r="D60" s="3" t="s">
        <v>397</v>
      </c>
      <c r="E60" s="5" t="s">
        <v>149</v>
      </c>
      <c r="F60" s="3" t="s">
        <v>404</v>
      </c>
      <c r="G60" s="3" t="s">
        <v>405</v>
      </c>
      <c r="H60" s="3" t="s">
        <v>152</v>
      </c>
      <c r="I60" s="3" t="s">
        <v>166</v>
      </c>
      <c r="J60" s="3" t="s">
        <v>30</v>
      </c>
      <c r="K60" s="3" t="s">
        <v>30</v>
      </c>
      <c r="L60" s="3" t="s">
        <v>154</v>
      </c>
      <c r="M60" s="3" t="s">
        <v>31</v>
      </c>
      <c r="N60" s="3" t="s">
        <v>167</v>
      </c>
      <c r="O60" s="3" t="s">
        <v>156</v>
      </c>
      <c r="P60" s="3" t="s">
        <v>168</v>
      </c>
      <c r="Q60" s="3" t="s">
        <v>169</v>
      </c>
      <c r="R60" s="3" t="s">
        <v>159</v>
      </c>
      <c r="S60" s="3" t="s">
        <v>34</v>
      </c>
      <c r="T60" s="155">
        <v>0.54500000000000004</v>
      </c>
      <c r="U60" s="3" t="s">
        <v>406</v>
      </c>
      <c r="V60" s="166">
        <v>2.1499999999999998E-2</v>
      </c>
      <c r="W60" s="166">
        <v>5.0410000000000003E-2</v>
      </c>
      <c r="X60" s="5" t="s">
        <v>161</v>
      </c>
      <c r="Y60" s="5" t="s">
        <v>156</v>
      </c>
      <c r="Z60" s="155">
        <v>29147.119999999999</v>
      </c>
      <c r="AA60" s="164">
        <v>1</v>
      </c>
      <c r="AB60" s="174">
        <v>120.11</v>
      </c>
      <c r="AD60" s="155">
        <v>35.009</v>
      </c>
      <c r="AG60" s="3" t="s">
        <v>36</v>
      </c>
      <c r="AH60" s="166">
        <v>5.0000000000000002E-5</v>
      </c>
      <c r="AI60" s="166">
        <v>5.56738528007358E-3</v>
      </c>
      <c r="AJ60" s="166">
        <v>1.5277599499027999E-3</v>
      </c>
    </row>
    <row r="61" spans="1:36">
      <c r="A61" s="3">
        <v>161</v>
      </c>
      <c r="B61" s="3">
        <v>1434</v>
      </c>
      <c r="C61" s="3" t="s">
        <v>396</v>
      </c>
      <c r="D61" s="3" t="s">
        <v>397</v>
      </c>
      <c r="E61" s="5" t="s">
        <v>149</v>
      </c>
      <c r="F61" s="3" t="s">
        <v>407</v>
      </c>
      <c r="G61" s="3" t="s">
        <v>408</v>
      </c>
      <c r="H61" s="3" t="s">
        <v>152</v>
      </c>
      <c r="I61" s="3" t="s">
        <v>166</v>
      </c>
      <c r="J61" s="3" t="s">
        <v>30</v>
      </c>
      <c r="K61" s="3" t="s">
        <v>30</v>
      </c>
      <c r="L61" s="3" t="s">
        <v>154</v>
      </c>
      <c r="M61" s="3" t="s">
        <v>31</v>
      </c>
      <c r="N61" s="3" t="s">
        <v>167</v>
      </c>
      <c r="O61" s="3" t="s">
        <v>156</v>
      </c>
      <c r="P61" s="3" t="s">
        <v>168</v>
      </c>
      <c r="Q61" s="3" t="s">
        <v>169</v>
      </c>
      <c r="R61" s="3" t="s">
        <v>159</v>
      </c>
      <c r="S61" s="3" t="s">
        <v>34</v>
      </c>
      <c r="T61" s="155">
        <v>3.0649999999999999</v>
      </c>
      <c r="U61" s="3" t="s">
        <v>409</v>
      </c>
      <c r="V61" s="166">
        <v>2.2499999999999999E-2</v>
      </c>
      <c r="W61" s="166">
        <v>2.9350000000000001E-2</v>
      </c>
      <c r="X61" s="5" t="s">
        <v>161</v>
      </c>
      <c r="Y61" s="5" t="s">
        <v>156</v>
      </c>
      <c r="Z61" s="155">
        <v>92083.33</v>
      </c>
      <c r="AA61" s="164">
        <v>1</v>
      </c>
      <c r="AB61" s="174">
        <v>118.47</v>
      </c>
      <c r="AD61" s="155">
        <v>109.09099999999999</v>
      </c>
      <c r="AG61" s="3" t="s">
        <v>36</v>
      </c>
      <c r="AH61" s="166">
        <v>5.3000000000000001E-5</v>
      </c>
      <c r="AI61" s="166">
        <v>1.7348657197051399E-2</v>
      </c>
      <c r="AJ61" s="166">
        <v>4.7606878843308399E-3</v>
      </c>
    </row>
    <row r="62" spans="1:36">
      <c r="A62" s="3">
        <v>161</v>
      </c>
      <c r="B62" s="3">
        <v>1434</v>
      </c>
      <c r="C62" s="3" t="s">
        <v>396</v>
      </c>
      <c r="D62" s="3" t="s">
        <v>397</v>
      </c>
      <c r="E62" s="5" t="s">
        <v>149</v>
      </c>
      <c r="F62" s="3" t="s">
        <v>410</v>
      </c>
      <c r="G62" s="3" t="s">
        <v>411</v>
      </c>
      <c r="H62" s="3" t="s">
        <v>152</v>
      </c>
      <c r="I62" s="3" t="s">
        <v>166</v>
      </c>
      <c r="J62" s="3" t="s">
        <v>30</v>
      </c>
      <c r="K62" s="3" t="s">
        <v>30</v>
      </c>
      <c r="L62" s="3" t="s">
        <v>154</v>
      </c>
      <c r="M62" s="3" t="s">
        <v>31</v>
      </c>
      <c r="N62" s="3" t="s">
        <v>167</v>
      </c>
      <c r="O62" s="3" t="s">
        <v>156</v>
      </c>
      <c r="P62" s="3" t="s">
        <v>168</v>
      </c>
      <c r="Q62" s="3" t="s">
        <v>169</v>
      </c>
      <c r="R62" s="3" t="s">
        <v>159</v>
      </c>
      <c r="S62" s="3" t="s">
        <v>34</v>
      </c>
      <c r="T62" s="155">
        <v>4.4290000000000003</v>
      </c>
      <c r="U62" s="3" t="s">
        <v>382</v>
      </c>
      <c r="V62" s="166">
        <v>2.5000000000000001E-3</v>
      </c>
      <c r="W62" s="166">
        <v>2.7029999999999998E-2</v>
      </c>
      <c r="X62" s="5" t="s">
        <v>161</v>
      </c>
      <c r="Y62" s="5" t="s">
        <v>156</v>
      </c>
      <c r="Z62" s="155">
        <v>45580</v>
      </c>
      <c r="AA62" s="164">
        <v>1</v>
      </c>
      <c r="AB62" s="174">
        <v>104.64</v>
      </c>
      <c r="AD62" s="155">
        <v>47.695</v>
      </c>
      <c r="AG62" s="3" t="s">
        <v>36</v>
      </c>
      <c r="AH62" s="166">
        <v>3.4E-5</v>
      </c>
      <c r="AI62" s="166">
        <v>7.5848764808705603E-3</v>
      </c>
      <c r="AJ62" s="166">
        <v>2.0813846948779199E-3</v>
      </c>
    </row>
    <row r="63" spans="1:36">
      <c r="A63" s="3">
        <v>161</v>
      </c>
      <c r="B63" s="3">
        <v>1434</v>
      </c>
      <c r="C63" s="3" t="s">
        <v>412</v>
      </c>
      <c r="D63" s="3" t="s">
        <v>413</v>
      </c>
      <c r="E63" s="5" t="s">
        <v>149</v>
      </c>
      <c r="F63" s="3" t="s">
        <v>414</v>
      </c>
      <c r="G63" s="3" t="s">
        <v>415</v>
      </c>
      <c r="H63" s="3" t="s">
        <v>152</v>
      </c>
      <c r="I63" s="3" t="s">
        <v>153</v>
      </c>
      <c r="J63" s="3" t="s">
        <v>30</v>
      </c>
      <c r="K63" s="3" t="s">
        <v>30</v>
      </c>
      <c r="L63" s="3" t="s">
        <v>154</v>
      </c>
      <c r="M63" s="3" t="s">
        <v>31</v>
      </c>
      <c r="N63" s="3" t="s">
        <v>155</v>
      </c>
      <c r="O63" s="3" t="s">
        <v>156</v>
      </c>
      <c r="P63" s="3" t="s">
        <v>222</v>
      </c>
      <c r="Q63" s="3" t="s">
        <v>158</v>
      </c>
      <c r="R63" s="3" t="s">
        <v>159</v>
      </c>
      <c r="S63" s="3" t="s">
        <v>34</v>
      </c>
      <c r="T63" s="155">
        <v>4.8319999999999999</v>
      </c>
      <c r="U63" s="3" t="s">
        <v>416</v>
      </c>
      <c r="V63" s="166">
        <v>2.98E-2</v>
      </c>
      <c r="W63" s="166">
        <v>4.6370000000000001E-2</v>
      </c>
      <c r="X63" s="5" t="s">
        <v>161</v>
      </c>
      <c r="Y63" s="5" t="s">
        <v>156</v>
      </c>
      <c r="Z63" s="155">
        <v>110000</v>
      </c>
      <c r="AA63" s="164">
        <v>1</v>
      </c>
      <c r="AB63" s="174">
        <v>93.38</v>
      </c>
      <c r="AD63" s="155">
        <v>102.718</v>
      </c>
      <c r="AG63" s="3" t="s">
        <v>36</v>
      </c>
      <c r="AH63" s="166">
        <v>2.7999999999999998E-4</v>
      </c>
      <c r="AI63" s="166">
        <v>1.63351458193709E-2</v>
      </c>
      <c r="AJ63" s="166">
        <v>4.4825677231246398E-3</v>
      </c>
    </row>
    <row r="64" spans="1:36">
      <c r="A64" s="3">
        <v>161</v>
      </c>
      <c r="B64" s="3">
        <v>1434</v>
      </c>
      <c r="C64" s="3" t="s">
        <v>412</v>
      </c>
      <c r="D64" s="3" t="s">
        <v>413</v>
      </c>
      <c r="E64" s="5" t="s">
        <v>149</v>
      </c>
      <c r="F64" s="3" t="s">
        <v>417</v>
      </c>
      <c r="G64" s="3" t="s">
        <v>418</v>
      </c>
      <c r="H64" s="3" t="s">
        <v>152</v>
      </c>
      <c r="I64" s="3" t="s">
        <v>153</v>
      </c>
      <c r="J64" s="3" t="s">
        <v>30</v>
      </c>
      <c r="K64" s="3" t="s">
        <v>30</v>
      </c>
      <c r="L64" s="3" t="s">
        <v>154</v>
      </c>
      <c r="M64" s="3" t="s">
        <v>31</v>
      </c>
      <c r="N64" s="3" t="s">
        <v>155</v>
      </c>
      <c r="O64" s="3" t="s">
        <v>156</v>
      </c>
      <c r="P64" s="3" t="s">
        <v>359</v>
      </c>
      <c r="Q64" s="3" t="s">
        <v>158</v>
      </c>
      <c r="R64" s="3" t="s">
        <v>159</v>
      </c>
      <c r="S64" s="3" t="s">
        <v>34</v>
      </c>
      <c r="T64" s="155">
        <v>8.0039999999999996</v>
      </c>
      <c r="U64" s="3" t="s">
        <v>419</v>
      </c>
      <c r="V64" s="166">
        <v>5.1799999999999999E-2</v>
      </c>
      <c r="W64" s="166">
        <v>5.271E-2</v>
      </c>
      <c r="X64" s="5" t="s">
        <v>161</v>
      </c>
      <c r="Y64" s="5" t="s">
        <v>156</v>
      </c>
      <c r="Z64" s="155">
        <v>70000</v>
      </c>
      <c r="AA64" s="164">
        <v>1</v>
      </c>
      <c r="AB64" s="174">
        <v>100.08</v>
      </c>
      <c r="AD64" s="155">
        <v>70.055999999999997</v>
      </c>
      <c r="AG64" s="3" t="s">
        <v>36</v>
      </c>
      <c r="AH64" s="166">
        <v>0</v>
      </c>
      <c r="AI64" s="166">
        <v>1.114093903232E-2</v>
      </c>
      <c r="AJ64" s="166">
        <v>3.0572126054948501E-3</v>
      </c>
    </row>
    <row r="65" spans="1:36">
      <c r="A65" s="3">
        <v>161</v>
      </c>
      <c r="B65" s="3">
        <v>1434</v>
      </c>
      <c r="C65" s="3" t="s">
        <v>420</v>
      </c>
      <c r="D65" s="3" t="s">
        <v>421</v>
      </c>
      <c r="E65" s="5" t="s">
        <v>149</v>
      </c>
      <c r="F65" s="3" t="s">
        <v>422</v>
      </c>
      <c r="G65" s="3" t="s">
        <v>423</v>
      </c>
      <c r="H65" s="3" t="s">
        <v>152</v>
      </c>
      <c r="I65" s="3" t="s">
        <v>166</v>
      </c>
      <c r="J65" s="3" t="s">
        <v>30</v>
      </c>
      <c r="K65" s="3" t="s">
        <v>30</v>
      </c>
      <c r="L65" s="3" t="s">
        <v>154</v>
      </c>
      <c r="M65" s="3" t="s">
        <v>31</v>
      </c>
      <c r="N65" s="3" t="s">
        <v>167</v>
      </c>
      <c r="O65" s="3" t="s">
        <v>156</v>
      </c>
      <c r="P65" s="3" t="s">
        <v>424</v>
      </c>
      <c r="Q65" s="3" t="s">
        <v>169</v>
      </c>
      <c r="R65" s="3" t="s">
        <v>159</v>
      </c>
      <c r="S65" s="3" t="s">
        <v>34</v>
      </c>
      <c r="T65" s="155">
        <v>2.4140000000000001</v>
      </c>
      <c r="U65" s="3" t="s">
        <v>425</v>
      </c>
      <c r="V65" s="166">
        <v>1.34E-2</v>
      </c>
      <c r="W65" s="166">
        <v>2.8539999999999999E-2</v>
      </c>
      <c r="X65" s="5" t="s">
        <v>161</v>
      </c>
      <c r="Y65" s="5" t="s">
        <v>156</v>
      </c>
      <c r="Z65" s="155">
        <v>96875</v>
      </c>
      <c r="AA65" s="164">
        <v>1</v>
      </c>
      <c r="AB65" s="174">
        <v>116.33</v>
      </c>
      <c r="AD65" s="155">
        <v>112.69499999999999</v>
      </c>
      <c r="AG65" s="3" t="s">
        <v>36</v>
      </c>
      <c r="AH65" s="166">
        <v>4.3999999999999999E-5</v>
      </c>
      <c r="AI65" s="166">
        <v>1.7921728941187799E-2</v>
      </c>
      <c r="AJ65" s="166">
        <v>4.9179459175131704E-3</v>
      </c>
    </row>
    <row r="66" spans="1:36">
      <c r="A66" s="3">
        <v>161</v>
      </c>
      <c r="B66" s="3">
        <v>1434</v>
      </c>
      <c r="C66" s="3" t="s">
        <v>420</v>
      </c>
      <c r="D66" s="3" t="s">
        <v>421</v>
      </c>
      <c r="E66" s="5" t="s">
        <v>149</v>
      </c>
      <c r="F66" s="3" t="s">
        <v>426</v>
      </c>
      <c r="G66" s="3" t="s">
        <v>427</v>
      </c>
      <c r="H66" s="3" t="s">
        <v>152</v>
      </c>
      <c r="I66" s="3" t="s">
        <v>166</v>
      </c>
      <c r="J66" s="3" t="s">
        <v>30</v>
      </c>
      <c r="K66" s="3" t="s">
        <v>30</v>
      </c>
      <c r="L66" s="3" t="s">
        <v>154</v>
      </c>
      <c r="M66" s="3" t="s">
        <v>31</v>
      </c>
      <c r="N66" s="3" t="s">
        <v>167</v>
      </c>
      <c r="O66" s="3" t="s">
        <v>156</v>
      </c>
      <c r="P66" s="3" t="s">
        <v>424</v>
      </c>
      <c r="Q66" s="3" t="s">
        <v>169</v>
      </c>
      <c r="R66" s="3" t="s">
        <v>159</v>
      </c>
      <c r="S66" s="3" t="s">
        <v>34</v>
      </c>
      <c r="T66" s="155">
        <v>6.157</v>
      </c>
      <c r="U66" s="3" t="s">
        <v>428</v>
      </c>
      <c r="V66" s="166">
        <v>8.9999999999999993E-3</v>
      </c>
      <c r="W66" s="166">
        <v>2.7810000000000001E-2</v>
      </c>
      <c r="X66" s="5" t="s">
        <v>161</v>
      </c>
      <c r="Y66" s="5" t="s">
        <v>156</v>
      </c>
      <c r="Z66" s="155">
        <v>242080</v>
      </c>
      <c r="AA66" s="164">
        <v>1</v>
      </c>
      <c r="AB66" s="174">
        <v>104.46</v>
      </c>
      <c r="AD66" s="155">
        <v>252.87700000000001</v>
      </c>
      <c r="AG66" s="3" t="s">
        <v>36</v>
      </c>
      <c r="AH66" s="166">
        <v>9.0000000000000006E-5</v>
      </c>
      <c r="AI66" s="166">
        <v>4.02147518410719E-2</v>
      </c>
      <c r="AJ66" s="166">
        <v>1.10354294102774E-2</v>
      </c>
    </row>
    <row r="67" spans="1:36">
      <c r="A67" s="3">
        <v>161</v>
      </c>
      <c r="B67" s="3">
        <v>1434</v>
      </c>
      <c r="C67" s="3" t="s">
        <v>429</v>
      </c>
      <c r="D67" s="3" t="s">
        <v>430</v>
      </c>
      <c r="E67" s="5" t="s">
        <v>149</v>
      </c>
      <c r="F67" s="3" t="s">
        <v>431</v>
      </c>
      <c r="G67" s="3" t="s">
        <v>432</v>
      </c>
      <c r="H67" s="3" t="s">
        <v>152</v>
      </c>
      <c r="I67" s="3" t="s">
        <v>153</v>
      </c>
      <c r="J67" s="3" t="s">
        <v>30</v>
      </c>
      <c r="K67" s="3" t="s">
        <v>30</v>
      </c>
      <c r="L67" s="3" t="s">
        <v>154</v>
      </c>
      <c r="M67" s="3" t="s">
        <v>31</v>
      </c>
      <c r="N67" s="3" t="s">
        <v>245</v>
      </c>
      <c r="O67" s="3" t="s">
        <v>156</v>
      </c>
      <c r="P67" s="3" t="s">
        <v>246</v>
      </c>
      <c r="Q67" s="3" t="s">
        <v>169</v>
      </c>
      <c r="R67" s="3" t="s">
        <v>159</v>
      </c>
      <c r="S67" s="3" t="s">
        <v>34</v>
      </c>
      <c r="T67" s="155">
        <v>2.9129999999999998</v>
      </c>
      <c r="U67" s="3" t="s">
        <v>433</v>
      </c>
      <c r="V67" s="166">
        <v>2.5000000000000001E-2</v>
      </c>
      <c r="W67" s="166">
        <v>4.462E-2</v>
      </c>
      <c r="X67" s="5" t="s">
        <v>161</v>
      </c>
      <c r="Y67" s="5" t="s">
        <v>156</v>
      </c>
      <c r="Z67" s="155">
        <v>148750</v>
      </c>
      <c r="AA67" s="164">
        <v>1</v>
      </c>
      <c r="AB67" s="174">
        <v>96.5</v>
      </c>
      <c r="AD67" s="155">
        <v>143.54400000000001</v>
      </c>
      <c r="AG67" s="3" t="s">
        <v>36</v>
      </c>
      <c r="AH67" s="166">
        <v>7.2999999999999999E-5</v>
      </c>
      <c r="AI67" s="166">
        <v>2.2827626002349301E-2</v>
      </c>
      <c r="AJ67" s="166">
        <v>6.2641852509421198E-3</v>
      </c>
    </row>
    <row r="68" spans="1:36">
      <c r="A68" s="3">
        <v>161</v>
      </c>
      <c r="B68" s="3">
        <v>1434</v>
      </c>
      <c r="C68" s="3" t="s">
        <v>429</v>
      </c>
      <c r="D68" s="3" t="s">
        <v>430</v>
      </c>
      <c r="E68" s="5" t="s">
        <v>149</v>
      </c>
      <c r="F68" s="3" t="s">
        <v>434</v>
      </c>
      <c r="G68" s="3" t="s">
        <v>435</v>
      </c>
      <c r="H68" s="3" t="s">
        <v>152</v>
      </c>
      <c r="I68" s="3" t="s">
        <v>166</v>
      </c>
      <c r="J68" s="3" t="s">
        <v>30</v>
      </c>
      <c r="K68" s="3" t="s">
        <v>30</v>
      </c>
      <c r="L68" s="3" t="s">
        <v>154</v>
      </c>
      <c r="M68" s="3" t="s">
        <v>31</v>
      </c>
      <c r="N68" s="3" t="s">
        <v>245</v>
      </c>
      <c r="O68" s="3" t="s">
        <v>156</v>
      </c>
      <c r="P68" s="3" t="s">
        <v>246</v>
      </c>
      <c r="Q68" s="3" t="s">
        <v>169</v>
      </c>
      <c r="R68" s="3" t="s">
        <v>159</v>
      </c>
      <c r="S68" s="3" t="s">
        <v>34</v>
      </c>
      <c r="T68" s="155">
        <v>3.073</v>
      </c>
      <c r="U68" s="3" t="s">
        <v>433</v>
      </c>
      <c r="V68" s="166">
        <v>1E-3</v>
      </c>
      <c r="W68" s="166">
        <v>2.538E-2</v>
      </c>
      <c r="X68" s="5" t="s">
        <v>161</v>
      </c>
      <c r="Y68" s="5" t="s">
        <v>156</v>
      </c>
      <c r="Z68" s="155">
        <v>103106.5</v>
      </c>
      <c r="AA68" s="164">
        <v>1</v>
      </c>
      <c r="AB68" s="174">
        <v>107.45</v>
      </c>
      <c r="AD68" s="155">
        <v>110.788</v>
      </c>
      <c r="AG68" s="3" t="s">
        <v>36</v>
      </c>
      <c r="AH68" s="166">
        <v>1.05E-4</v>
      </c>
      <c r="AI68" s="166">
        <v>1.76184997858275E-2</v>
      </c>
      <c r="AJ68" s="166">
        <v>4.83473605581013E-3</v>
      </c>
    </row>
    <row r="69" spans="1:36">
      <c r="A69" s="3">
        <v>161</v>
      </c>
      <c r="B69" s="3">
        <v>1434</v>
      </c>
      <c r="C69" s="3" t="s">
        <v>429</v>
      </c>
      <c r="D69" s="3" t="s">
        <v>430</v>
      </c>
      <c r="E69" s="5" t="s">
        <v>149</v>
      </c>
      <c r="F69" s="3" t="s">
        <v>436</v>
      </c>
      <c r="G69" s="3" t="s">
        <v>437</v>
      </c>
      <c r="H69" s="3" t="s">
        <v>152</v>
      </c>
      <c r="I69" s="3" t="s">
        <v>166</v>
      </c>
      <c r="J69" s="3" t="s">
        <v>30</v>
      </c>
      <c r="K69" s="3" t="s">
        <v>30</v>
      </c>
      <c r="L69" s="3" t="s">
        <v>154</v>
      </c>
      <c r="M69" s="3" t="s">
        <v>31</v>
      </c>
      <c r="N69" s="3" t="s">
        <v>245</v>
      </c>
      <c r="O69" s="3" t="s">
        <v>156</v>
      </c>
      <c r="P69" s="3" t="s">
        <v>246</v>
      </c>
      <c r="Q69" s="3" t="s">
        <v>169</v>
      </c>
      <c r="R69" s="3" t="s">
        <v>159</v>
      </c>
      <c r="S69" s="3" t="s">
        <v>34</v>
      </c>
      <c r="T69" s="155">
        <v>3.4510000000000001</v>
      </c>
      <c r="U69" s="3" t="s">
        <v>438</v>
      </c>
      <c r="V69" s="166">
        <v>1.3899999999999999E-2</v>
      </c>
      <c r="W69" s="166">
        <v>2.521E-2</v>
      </c>
      <c r="X69" s="5" t="s">
        <v>161</v>
      </c>
      <c r="Y69" s="5" t="s">
        <v>156</v>
      </c>
      <c r="Z69" s="155">
        <v>127288.89</v>
      </c>
      <c r="AA69" s="164">
        <v>1</v>
      </c>
      <c r="AB69" s="174">
        <v>107.22</v>
      </c>
      <c r="AD69" s="155">
        <v>136.47900000000001</v>
      </c>
      <c r="AG69" s="3" t="s">
        <v>36</v>
      </c>
      <c r="AH69" s="166">
        <v>8.0000000000000007E-5</v>
      </c>
      <c r="AI69" s="166">
        <v>2.1704149044606699E-2</v>
      </c>
      <c r="AJ69" s="166">
        <v>5.9558891632218898E-3</v>
      </c>
    </row>
    <row r="70" spans="1:36">
      <c r="A70" s="3">
        <v>161</v>
      </c>
      <c r="B70" s="3">
        <v>1434</v>
      </c>
      <c r="C70" s="3" t="s">
        <v>429</v>
      </c>
      <c r="D70" s="3" t="s">
        <v>430</v>
      </c>
      <c r="E70" s="5" t="s">
        <v>149</v>
      </c>
      <c r="F70" s="3" t="s">
        <v>439</v>
      </c>
      <c r="G70" s="3" t="s">
        <v>440</v>
      </c>
      <c r="H70" s="3" t="s">
        <v>152</v>
      </c>
      <c r="I70" s="3" t="s">
        <v>166</v>
      </c>
      <c r="J70" s="3" t="s">
        <v>30</v>
      </c>
      <c r="K70" s="3" t="s">
        <v>30</v>
      </c>
      <c r="L70" s="3" t="s">
        <v>154</v>
      </c>
      <c r="M70" s="3" t="s">
        <v>31</v>
      </c>
      <c r="N70" s="3" t="s">
        <v>245</v>
      </c>
      <c r="O70" s="3" t="s">
        <v>156</v>
      </c>
      <c r="P70" s="3" t="s">
        <v>246</v>
      </c>
      <c r="Q70" s="3" t="s">
        <v>169</v>
      </c>
      <c r="R70" s="3" t="s">
        <v>159</v>
      </c>
      <c r="S70" s="3" t="s">
        <v>34</v>
      </c>
      <c r="T70" s="155">
        <v>1.542</v>
      </c>
      <c r="U70" s="3" t="s">
        <v>441</v>
      </c>
      <c r="V70" s="166">
        <v>6.0000000000000001E-3</v>
      </c>
      <c r="W70" s="166">
        <v>2.7130000000000001E-2</v>
      </c>
      <c r="X70" s="5" t="s">
        <v>161</v>
      </c>
      <c r="Y70" s="5" t="s">
        <v>156</v>
      </c>
      <c r="Z70" s="155">
        <v>54164.62</v>
      </c>
      <c r="AA70" s="164">
        <v>1</v>
      </c>
      <c r="AB70" s="174">
        <v>116.21</v>
      </c>
      <c r="AD70" s="155">
        <v>62.945</v>
      </c>
      <c r="AG70" s="3" t="s">
        <v>36</v>
      </c>
      <c r="AH70" s="166">
        <v>8.1000000000000004E-5</v>
      </c>
      <c r="AI70" s="166">
        <v>1.0010036538206001E-2</v>
      </c>
      <c r="AJ70" s="166">
        <v>2.7468788579928598E-3</v>
      </c>
    </row>
    <row r="71" spans="1:36">
      <c r="A71" s="3">
        <v>161</v>
      </c>
      <c r="B71" s="3">
        <v>1434</v>
      </c>
      <c r="C71" s="3" t="s">
        <v>429</v>
      </c>
      <c r="D71" s="3" t="s">
        <v>430</v>
      </c>
      <c r="E71" s="5" t="s">
        <v>149</v>
      </c>
      <c r="F71" s="3" t="s">
        <v>442</v>
      </c>
      <c r="G71" s="3" t="s">
        <v>443</v>
      </c>
      <c r="H71" s="3" t="s">
        <v>152</v>
      </c>
      <c r="I71" s="3" t="s">
        <v>166</v>
      </c>
      <c r="J71" s="3" t="s">
        <v>30</v>
      </c>
      <c r="K71" s="3" t="s">
        <v>30</v>
      </c>
      <c r="L71" s="3" t="s">
        <v>154</v>
      </c>
      <c r="M71" s="3" t="s">
        <v>31</v>
      </c>
      <c r="N71" s="3" t="s">
        <v>245</v>
      </c>
      <c r="O71" s="3" t="s">
        <v>156</v>
      </c>
      <c r="P71" s="3" t="s">
        <v>246</v>
      </c>
      <c r="Q71" s="3" t="s">
        <v>169</v>
      </c>
      <c r="R71" s="3" t="s">
        <v>159</v>
      </c>
      <c r="S71" s="3" t="s">
        <v>34</v>
      </c>
      <c r="T71" s="155">
        <v>2.5369999999999999</v>
      </c>
      <c r="U71" s="3" t="s">
        <v>444</v>
      </c>
      <c r="V71" s="166">
        <v>1.7500000000000002E-2</v>
      </c>
      <c r="W71" s="166">
        <v>2.5860000000000001E-2</v>
      </c>
      <c r="X71" s="5" t="s">
        <v>161</v>
      </c>
      <c r="Y71" s="5" t="s">
        <v>156</v>
      </c>
      <c r="Z71" s="155">
        <v>125369.52</v>
      </c>
      <c r="AA71" s="164">
        <v>1</v>
      </c>
      <c r="AB71" s="174">
        <v>117.2</v>
      </c>
      <c r="AD71" s="155">
        <v>146.93299999999999</v>
      </c>
      <c r="AG71" s="3" t="s">
        <v>36</v>
      </c>
      <c r="AH71" s="166">
        <v>5.5999999999999999E-5</v>
      </c>
      <c r="AI71" s="166">
        <v>2.3366627520700501E-2</v>
      </c>
      <c r="AJ71" s="166">
        <v>6.4120939892902597E-3</v>
      </c>
    </row>
    <row r="72" spans="1:36">
      <c r="A72" s="3">
        <v>161</v>
      </c>
      <c r="B72" s="3">
        <v>1434</v>
      </c>
      <c r="C72" s="3" t="s">
        <v>429</v>
      </c>
      <c r="D72" s="3" t="s">
        <v>430</v>
      </c>
      <c r="E72" s="5" t="s">
        <v>149</v>
      </c>
      <c r="F72" s="3" t="s">
        <v>445</v>
      </c>
      <c r="G72" s="3" t="s">
        <v>446</v>
      </c>
      <c r="H72" s="3" t="s">
        <v>152</v>
      </c>
      <c r="I72" s="3" t="s">
        <v>166</v>
      </c>
      <c r="J72" s="3" t="s">
        <v>30</v>
      </c>
      <c r="K72" s="3" t="s">
        <v>30</v>
      </c>
      <c r="L72" s="3" t="s">
        <v>154</v>
      </c>
      <c r="M72" s="3" t="s">
        <v>31</v>
      </c>
      <c r="N72" s="3" t="s">
        <v>245</v>
      </c>
      <c r="O72" s="3" t="s">
        <v>156</v>
      </c>
      <c r="P72" s="3" t="s">
        <v>246</v>
      </c>
      <c r="Q72" s="3" t="s">
        <v>169</v>
      </c>
      <c r="R72" s="3" t="s">
        <v>159</v>
      </c>
      <c r="S72" s="3" t="s">
        <v>34</v>
      </c>
      <c r="T72" s="155">
        <v>4.9800000000000004</v>
      </c>
      <c r="U72" s="3" t="s">
        <v>447</v>
      </c>
      <c r="V72" s="166">
        <v>2.6100000000000002E-2</v>
      </c>
      <c r="W72" s="166">
        <v>2.5860000000000001E-2</v>
      </c>
      <c r="X72" s="5" t="s">
        <v>161</v>
      </c>
      <c r="Y72" s="5" t="s">
        <v>156</v>
      </c>
      <c r="Z72" s="155">
        <v>70000</v>
      </c>
      <c r="AA72" s="164">
        <v>1</v>
      </c>
      <c r="AB72" s="174">
        <v>101.11</v>
      </c>
      <c r="AD72" s="155">
        <v>70.777000000000001</v>
      </c>
      <c r="AG72" s="3" t="s">
        <v>36</v>
      </c>
      <c r="AH72" s="166">
        <v>2.0000000000000002E-5</v>
      </c>
      <c r="AI72" s="166">
        <v>1.12555989763976E-2</v>
      </c>
      <c r="AJ72" s="166">
        <v>3.08867672403661E-3</v>
      </c>
    </row>
    <row r="73" spans="1:36">
      <c r="A73" s="3">
        <v>161</v>
      </c>
      <c r="B73" s="3">
        <v>1434</v>
      </c>
      <c r="C73" s="3" t="s">
        <v>429</v>
      </c>
      <c r="D73" s="3" t="s">
        <v>430</v>
      </c>
      <c r="E73" s="5" t="s">
        <v>149</v>
      </c>
      <c r="F73" s="3" t="s">
        <v>448</v>
      </c>
      <c r="G73" s="3" t="s">
        <v>449</v>
      </c>
      <c r="H73" s="3" t="s">
        <v>152</v>
      </c>
      <c r="I73" s="3" t="s">
        <v>166</v>
      </c>
      <c r="J73" s="3" t="s">
        <v>30</v>
      </c>
      <c r="K73" s="3" t="s">
        <v>30</v>
      </c>
      <c r="L73" s="3" t="s">
        <v>154</v>
      </c>
      <c r="M73" s="3" t="s">
        <v>31</v>
      </c>
      <c r="N73" s="3" t="s">
        <v>245</v>
      </c>
      <c r="O73" s="3" t="s">
        <v>156</v>
      </c>
      <c r="P73" s="3" t="s">
        <v>185</v>
      </c>
      <c r="Q73" s="3" t="s">
        <v>169</v>
      </c>
      <c r="R73" s="3" t="s">
        <v>159</v>
      </c>
      <c r="S73" s="3" t="s">
        <v>34</v>
      </c>
      <c r="T73" s="155">
        <v>6.2939999999999996</v>
      </c>
      <c r="U73" s="3" t="s">
        <v>450</v>
      </c>
      <c r="V73" s="166">
        <v>3.4500000000000003E-2</v>
      </c>
      <c r="W73" s="166">
        <v>2.9739999999999999E-2</v>
      </c>
      <c r="X73" s="5" t="s">
        <v>161</v>
      </c>
      <c r="Y73" s="5" t="s">
        <v>156</v>
      </c>
      <c r="Z73" s="155">
        <v>50000</v>
      </c>
      <c r="AA73" s="164">
        <v>1</v>
      </c>
      <c r="AB73" s="174">
        <v>108.65</v>
      </c>
      <c r="AD73" s="155">
        <v>54.325000000000003</v>
      </c>
      <c r="AG73" s="3" t="s">
        <v>36</v>
      </c>
      <c r="AH73" s="166">
        <v>3.4E-5</v>
      </c>
      <c r="AI73" s="166">
        <v>8.6392530679853894E-3</v>
      </c>
      <c r="AJ73" s="166">
        <v>2.3707187791696298E-3</v>
      </c>
    </row>
    <row r="74" spans="1:36">
      <c r="A74" s="3">
        <v>161</v>
      </c>
      <c r="B74" s="3">
        <v>1434</v>
      </c>
      <c r="C74" s="3" t="s">
        <v>451</v>
      </c>
      <c r="D74" s="3" t="s">
        <v>452</v>
      </c>
      <c r="E74" s="5" t="s">
        <v>149</v>
      </c>
      <c r="F74" s="3" t="s">
        <v>453</v>
      </c>
      <c r="G74" s="3" t="s">
        <v>454</v>
      </c>
      <c r="H74" s="3" t="s">
        <v>152</v>
      </c>
      <c r="I74" s="3" t="s">
        <v>153</v>
      </c>
      <c r="J74" s="3" t="s">
        <v>30</v>
      </c>
      <c r="K74" s="3" t="s">
        <v>30</v>
      </c>
      <c r="L74" s="3" t="s">
        <v>154</v>
      </c>
      <c r="M74" s="3" t="s">
        <v>31</v>
      </c>
      <c r="N74" s="3" t="s">
        <v>455</v>
      </c>
      <c r="O74" s="3" t="s">
        <v>156</v>
      </c>
      <c r="P74" s="3" t="s">
        <v>185</v>
      </c>
      <c r="Q74" s="3" t="s">
        <v>169</v>
      </c>
      <c r="R74" s="3" t="s">
        <v>159</v>
      </c>
      <c r="S74" s="3" t="s">
        <v>34</v>
      </c>
      <c r="T74" s="155">
        <v>0.64</v>
      </c>
      <c r="U74" s="3" t="s">
        <v>456</v>
      </c>
      <c r="V74" s="166">
        <v>2.29E-2</v>
      </c>
      <c r="W74" s="166">
        <v>4.5589999999999999E-2</v>
      </c>
      <c r="X74" s="5" t="s">
        <v>161</v>
      </c>
      <c r="Y74" s="5" t="s">
        <v>156</v>
      </c>
      <c r="Z74" s="155">
        <v>21923.08</v>
      </c>
      <c r="AA74" s="164">
        <v>1</v>
      </c>
      <c r="AB74" s="174">
        <v>99.39</v>
      </c>
      <c r="AD74" s="155">
        <v>21.789000000000001</v>
      </c>
      <c r="AG74" s="3" t="s">
        <v>36</v>
      </c>
      <c r="AH74" s="166">
        <v>6.6000000000000005E-5</v>
      </c>
      <c r="AI74" s="166">
        <v>3.46513947591673E-3</v>
      </c>
      <c r="AJ74" s="166">
        <v>9.5087748481865401E-4</v>
      </c>
    </row>
    <row r="75" spans="1:36">
      <c r="A75" s="3">
        <v>161</v>
      </c>
      <c r="B75" s="3">
        <v>1434</v>
      </c>
      <c r="C75" s="3" t="s">
        <v>457</v>
      </c>
      <c r="D75" s="3" t="s">
        <v>458</v>
      </c>
      <c r="E75" s="5" t="s">
        <v>149</v>
      </c>
      <c r="F75" s="3" t="s">
        <v>459</v>
      </c>
      <c r="G75" s="3" t="s">
        <v>460</v>
      </c>
      <c r="H75" s="3" t="s">
        <v>152</v>
      </c>
      <c r="I75" s="3" t="s">
        <v>166</v>
      </c>
      <c r="J75" s="3" t="s">
        <v>30</v>
      </c>
      <c r="K75" s="3" t="s">
        <v>30</v>
      </c>
      <c r="L75" s="3" t="s">
        <v>154</v>
      </c>
      <c r="M75" s="3" t="s">
        <v>31</v>
      </c>
      <c r="N75" s="3" t="s">
        <v>231</v>
      </c>
      <c r="O75" s="3" t="s">
        <v>156</v>
      </c>
      <c r="P75" s="3" t="s">
        <v>185</v>
      </c>
      <c r="Q75" s="3" t="s">
        <v>169</v>
      </c>
      <c r="R75" s="3" t="s">
        <v>159</v>
      </c>
      <c r="S75" s="3" t="s">
        <v>34</v>
      </c>
      <c r="T75" s="155">
        <v>1.6040000000000001</v>
      </c>
      <c r="U75" s="3" t="s">
        <v>461</v>
      </c>
      <c r="V75" s="166">
        <v>1.9400000000000001E-2</v>
      </c>
      <c r="W75" s="166">
        <v>2.6460000000000001E-2</v>
      </c>
      <c r="X75" s="5" t="s">
        <v>161</v>
      </c>
      <c r="Y75" s="5" t="s">
        <v>156</v>
      </c>
      <c r="Z75" s="155">
        <v>32007.68</v>
      </c>
      <c r="AA75" s="164">
        <v>1</v>
      </c>
      <c r="AB75" s="174">
        <v>119.07</v>
      </c>
      <c r="AD75" s="155">
        <v>38.112000000000002</v>
      </c>
      <c r="AG75" s="3" t="s">
        <v>36</v>
      </c>
      <c r="AH75" s="166">
        <v>1.3300000000000001E-4</v>
      </c>
      <c r="AI75" s="166">
        <v>6.0608426765553598E-3</v>
      </c>
      <c r="AJ75" s="166">
        <v>1.66317081324406E-3</v>
      </c>
    </row>
    <row r="76" spans="1:36">
      <c r="A76" s="3">
        <v>161</v>
      </c>
      <c r="B76" s="3">
        <v>1434</v>
      </c>
      <c r="C76" s="3" t="s">
        <v>462</v>
      </c>
      <c r="D76" s="3" t="s">
        <v>463</v>
      </c>
      <c r="E76" s="5" t="s">
        <v>149</v>
      </c>
      <c r="F76" s="3" t="s">
        <v>464</v>
      </c>
      <c r="G76" s="3" t="s">
        <v>465</v>
      </c>
      <c r="H76" s="3" t="s">
        <v>152</v>
      </c>
      <c r="I76" s="3" t="s">
        <v>153</v>
      </c>
      <c r="J76" s="3" t="s">
        <v>30</v>
      </c>
      <c r="K76" s="3" t="s">
        <v>30</v>
      </c>
      <c r="L76" s="3" t="s">
        <v>154</v>
      </c>
      <c r="M76" s="3" t="s">
        <v>31</v>
      </c>
      <c r="N76" s="3" t="s">
        <v>303</v>
      </c>
      <c r="O76" s="3" t="s">
        <v>156</v>
      </c>
      <c r="P76" s="3" t="s">
        <v>185</v>
      </c>
      <c r="Q76" s="3" t="s">
        <v>169</v>
      </c>
      <c r="R76" s="3" t="s">
        <v>159</v>
      </c>
      <c r="S76" s="3" t="s">
        <v>34</v>
      </c>
      <c r="T76" s="155">
        <v>1.5640000000000001</v>
      </c>
      <c r="U76" s="3" t="s">
        <v>466</v>
      </c>
      <c r="V76" s="166">
        <v>2.1499999999999998E-2</v>
      </c>
      <c r="W76" s="166">
        <v>4.9739999999999999E-2</v>
      </c>
      <c r="X76" s="5" t="s">
        <v>161</v>
      </c>
      <c r="Y76" s="5" t="s">
        <v>156</v>
      </c>
      <c r="Z76" s="155">
        <v>96047.94</v>
      </c>
      <c r="AA76" s="164">
        <v>1</v>
      </c>
      <c r="AB76" s="174">
        <v>95.85</v>
      </c>
      <c r="AC76" s="155">
        <v>8.5429999999999993</v>
      </c>
      <c r="AD76" s="155">
        <v>100.605</v>
      </c>
      <c r="AG76" s="3" t="s">
        <v>36</v>
      </c>
      <c r="AH76" s="166">
        <v>1.36E-4</v>
      </c>
      <c r="AI76" s="166">
        <v>1.5999139781561599E-2</v>
      </c>
      <c r="AJ76" s="166">
        <v>4.3903634761277904E-3</v>
      </c>
    </row>
    <row r="77" spans="1:36">
      <c r="A77" s="3">
        <v>161</v>
      </c>
      <c r="B77" s="3">
        <v>1434</v>
      </c>
      <c r="C77" s="3" t="s">
        <v>467</v>
      </c>
      <c r="D77" s="3" t="s">
        <v>468</v>
      </c>
      <c r="E77" s="5" t="s">
        <v>149</v>
      </c>
      <c r="F77" s="3" t="s">
        <v>469</v>
      </c>
      <c r="G77" s="3" t="s">
        <v>470</v>
      </c>
      <c r="H77" s="3" t="s">
        <v>152</v>
      </c>
      <c r="I77" s="3" t="s">
        <v>166</v>
      </c>
      <c r="J77" s="3" t="s">
        <v>30</v>
      </c>
      <c r="K77" s="3" t="s">
        <v>30</v>
      </c>
      <c r="L77" s="3" t="s">
        <v>154</v>
      </c>
      <c r="M77" s="3" t="s">
        <v>31</v>
      </c>
      <c r="N77" s="3" t="s">
        <v>167</v>
      </c>
      <c r="O77" s="3" t="s">
        <v>156</v>
      </c>
      <c r="P77" s="3" t="s">
        <v>168</v>
      </c>
      <c r="Q77" s="3" t="s">
        <v>169</v>
      </c>
      <c r="R77" s="3" t="s">
        <v>159</v>
      </c>
      <c r="S77" s="3" t="s">
        <v>34</v>
      </c>
      <c r="T77" s="155">
        <v>5.8140000000000001</v>
      </c>
      <c r="U77" s="3" t="s">
        <v>471</v>
      </c>
      <c r="V77" s="166">
        <v>2.5000000000000001E-2</v>
      </c>
      <c r="W77" s="166">
        <v>2.9170000000000001E-2</v>
      </c>
      <c r="X77" s="5" t="s">
        <v>161</v>
      </c>
      <c r="Y77" s="5" t="s">
        <v>156</v>
      </c>
      <c r="Z77" s="155">
        <v>19950</v>
      </c>
      <c r="AA77" s="164">
        <v>1</v>
      </c>
      <c r="AB77" s="174">
        <v>116.08</v>
      </c>
      <c r="AD77" s="155">
        <v>23.158000000000001</v>
      </c>
      <c r="AG77" s="3" t="s">
        <v>36</v>
      </c>
      <c r="AH77" s="166">
        <v>1.5E-5</v>
      </c>
      <c r="AI77" s="166">
        <v>3.6827883475063598E-3</v>
      </c>
      <c r="AJ77" s="166">
        <v>1.0106030494111201E-3</v>
      </c>
    </row>
    <row r="78" spans="1:36">
      <c r="A78" s="3">
        <v>161</v>
      </c>
      <c r="B78" s="3">
        <v>1434</v>
      </c>
      <c r="C78" s="3" t="s">
        <v>472</v>
      </c>
      <c r="D78" s="3" t="s">
        <v>473</v>
      </c>
      <c r="E78" s="5" t="s">
        <v>149</v>
      </c>
      <c r="F78" s="3" t="s">
        <v>474</v>
      </c>
      <c r="G78" s="3" t="s">
        <v>475</v>
      </c>
      <c r="H78" s="3" t="s">
        <v>152</v>
      </c>
      <c r="I78" s="3" t="s">
        <v>153</v>
      </c>
      <c r="J78" s="3" t="s">
        <v>30</v>
      </c>
      <c r="K78" s="3" t="s">
        <v>30</v>
      </c>
      <c r="L78" s="3" t="s">
        <v>154</v>
      </c>
      <c r="M78" s="3" t="s">
        <v>31</v>
      </c>
      <c r="N78" s="3" t="s">
        <v>231</v>
      </c>
      <c r="O78" s="3" t="s">
        <v>156</v>
      </c>
      <c r="P78" s="3" t="s">
        <v>232</v>
      </c>
      <c r="Q78" s="3" t="s">
        <v>158</v>
      </c>
      <c r="R78" s="3" t="s">
        <v>159</v>
      </c>
      <c r="S78" s="3" t="s">
        <v>34</v>
      </c>
      <c r="T78" s="155">
        <v>3.9990000000000001</v>
      </c>
      <c r="U78" s="3" t="s">
        <v>476</v>
      </c>
      <c r="V78" s="166">
        <v>6.7699999999999996E-2</v>
      </c>
      <c r="W78" s="166">
        <v>5.2019999999999997E-2</v>
      </c>
      <c r="X78" s="5" t="s">
        <v>161</v>
      </c>
      <c r="Y78" s="5" t="s">
        <v>156</v>
      </c>
      <c r="Z78" s="155">
        <v>36000</v>
      </c>
      <c r="AA78" s="164">
        <v>1</v>
      </c>
      <c r="AB78" s="174">
        <v>108.36</v>
      </c>
      <c r="AD78" s="155">
        <v>39.01</v>
      </c>
      <c r="AG78" s="3" t="s">
        <v>36</v>
      </c>
      <c r="AH78" s="166">
        <v>5.3000000000000001E-5</v>
      </c>
      <c r="AI78" s="166">
        <v>6.20365957627028E-3</v>
      </c>
      <c r="AJ78" s="166">
        <v>1.7023615515489299E-3</v>
      </c>
    </row>
    <row r="79" spans="1:36">
      <c r="A79" s="3">
        <v>161</v>
      </c>
      <c r="B79" s="3">
        <v>1434</v>
      </c>
      <c r="C79" s="3" t="s">
        <v>477</v>
      </c>
      <c r="D79" s="3" t="s">
        <v>478</v>
      </c>
      <c r="E79" s="5" t="s">
        <v>149</v>
      </c>
      <c r="F79" s="3" t="s">
        <v>479</v>
      </c>
      <c r="G79" s="3" t="s">
        <v>480</v>
      </c>
      <c r="H79" s="3" t="s">
        <v>152</v>
      </c>
      <c r="I79" s="3" t="s">
        <v>166</v>
      </c>
      <c r="J79" s="3" t="s">
        <v>30</v>
      </c>
      <c r="K79" s="3" t="s">
        <v>30</v>
      </c>
      <c r="L79" s="3" t="s">
        <v>154</v>
      </c>
      <c r="M79" s="3" t="s">
        <v>31</v>
      </c>
      <c r="N79" s="3" t="s">
        <v>178</v>
      </c>
      <c r="O79" s="3" t="s">
        <v>156</v>
      </c>
      <c r="P79" s="3" t="s">
        <v>168</v>
      </c>
      <c r="Q79" s="3" t="s">
        <v>169</v>
      </c>
      <c r="R79" s="3" t="s">
        <v>159</v>
      </c>
      <c r="S79" s="3" t="s">
        <v>34</v>
      </c>
      <c r="T79" s="155">
        <v>3.0470000000000002</v>
      </c>
      <c r="U79" s="3" t="s">
        <v>481</v>
      </c>
      <c r="V79" s="166">
        <v>2.1999999999999999E-2</v>
      </c>
      <c r="W79" s="166">
        <v>2.912E-2</v>
      </c>
      <c r="X79" s="5" t="s">
        <v>161</v>
      </c>
      <c r="Y79" s="5" t="s">
        <v>156</v>
      </c>
      <c r="Z79" s="155">
        <v>77500.02</v>
      </c>
      <c r="AA79" s="164">
        <v>1</v>
      </c>
      <c r="AB79" s="174">
        <v>107.59</v>
      </c>
      <c r="AD79" s="155">
        <v>83.382000000000005</v>
      </c>
      <c r="AG79" s="3" t="s">
        <v>36</v>
      </c>
      <c r="AH79" s="166">
        <v>1.0399999999999999E-4</v>
      </c>
      <c r="AI79" s="166">
        <v>1.32602033138973E-2</v>
      </c>
      <c r="AJ79" s="166">
        <v>3.6387651530150702E-3</v>
      </c>
    </row>
    <row r="80" spans="1:36">
      <c r="A80" s="3">
        <v>161</v>
      </c>
      <c r="B80" s="3">
        <v>1434</v>
      </c>
      <c r="C80" s="3" t="s">
        <v>482</v>
      </c>
      <c r="D80" s="3" t="s">
        <v>483</v>
      </c>
      <c r="E80" s="5" t="s">
        <v>149</v>
      </c>
      <c r="F80" s="3" t="s">
        <v>484</v>
      </c>
      <c r="G80" s="3" t="s">
        <v>485</v>
      </c>
      <c r="H80" s="3" t="s">
        <v>152</v>
      </c>
      <c r="I80" s="3" t="s">
        <v>486</v>
      </c>
      <c r="J80" s="3" t="s">
        <v>30</v>
      </c>
      <c r="K80" s="3" t="s">
        <v>30</v>
      </c>
      <c r="L80" s="3" t="s">
        <v>154</v>
      </c>
      <c r="M80" s="3" t="s">
        <v>31</v>
      </c>
      <c r="N80" s="3" t="s">
        <v>487</v>
      </c>
      <c r="O80" s="3" t="s">
        <v>156</v>
      </c>
      <c r="P80" s="3" t="s">
        <v>359</v>
      </c>
      <c r="Q80" s="3" t="s">
        <v>158</v>
      </c>
      <c r="R80" s="3" t="s">
        <v>159</v>
      </c>
      <c r="S80" s="3" t="s">
        <v>34</v>
      </c>
      <c r="T80" s="155">
        <v>2.4950000000000001</v>
      </c>
      <c r="U80" s="3" t="s">
        <v>488</v>
      </c>
      <c r="V80" s="166">
        <v>4.6899999999999997E-2</v>
      </c>
      <c r="W80" s="166">
        <v>5.987E-2</v>
      </c>
      <c r="X80" s="5" t="s">
        <v>161</v>
      </c>
      <c r="Y80" s="5" t="s">
        <v>156</v>
      </c>
      <c r="Z80" s="155">
        <v>61782.96</v>
      </c>
      <c r="AA80" s="164">
        <v>1</v>
      </c>
      <c r="AB80" s="174">
        <v>92.95</v>
      </c>
      <c r="AD80" s="155">
        <v>57.427</v>
      </c>
      <c r="AG80" s="3" t="s">
        <v>36</v>
      </c>
      <c r="AH80" s="166">
        <v>5.3999999999999998E-5</v>
      </c>
      <c r="AI80" s="166">
        <v>9.1326027343729202E-3</v>
      </c>
      <c r="AJ80" s="166">
        <v>2.5061000800295601E-3</v>
      </c>
    </row>
    <row r="81" spans="1:36">
      <c r="A81" s="3">
        <v>161</v>
      </c>
      <c r="B81" s="3">
        <v>1434</v>
      </c>
      <c r="C81" s="3" t="s">
        <v>321</v>
      </c>
      <c r="D81" s="3" t="s">
        <v>322</v>
      </c>
      <c r="E81" s="5" t="s">
        <v>149</v>
      </c>
      <c r="F81" s="3" t="s">
        <v>489</v>
      </c>
      <c r="G81" s="3" t="s">
        <v>490</v>
      </c>
      <c r="H81" s="3" t="s">
        <v>152</v>
      </c>
      <c r="I81" s="3" t="s">
        <v>486</v>
      </c>
      <c r="J81" s="3" t="s">
        <v>30</v>
      </c>
      <c r="K81" s="3" t="s">
        <v>30</v>
      </c>
      <c r="L81" s="3" t="s">
        <v>154</v>
      </c>
      <c r="M81" s="3" t="s">
        <v>31</v>
      </c>
      <c r="N81" s="3" t="s">
        <v>491</v>
      </c>
      <c r="O81" s="3" t="s">
        <v>156</v>
      </c>
      <c r="P81" s="3" t="s">
        <v>492</v>
      </c>
      <c r="Q81" s="3" t="s">
        <v>493</v>
      </c>
      <c r="R81" s="3" t="s">
        <v>159</v>
      </c>
      <c r="S81" s="3" t="s">
        <v>86</v>
      </c>
      <c r="T81" s="155">
        <v>4.6920000000000002</v>
      </c>
      <c r="U81" s="3" t="s">
        <v>494</v>
      </c>
      <c r="V81" s="166">
        <v>3.2750000000000001E-2</v>
      </c>
      <c r="W81" s="166">
        <v>5.3719999999999997E-2</v>
      </c>
      <c r="X81" s="5" t="s">
        <v>161</v>
      </c>
      <c r="Y81" s="5" t="s">
        <v>156</v>
      </c>
      <c r="Z81" s="155">
        <v>5000</v>
      </c>
      <c r="AA81" s="164">
        <v>3.306</v>
      </c>
      <c r="AB81" s="174">
        <v>99.813000000000002</v>
      </c>
      <c r="AD81" s="155">
        <v>16.498999999999999</v>
      </c>
      <c r="AG81" s="3" t="s">
        <v>36</v>
      </c>
      <c r="AH81" s="166">
        <v>6.9999999999999999E-6</v>
      </c>
      <c r="AI81" s="166">
        <v>2.6238429811068602E-3</v>
      </c>
      <c r="AJ81" s="166">
        <v>7.2001523510793601E-4</v>
      </c>
    </row>
    <row r="82" spans="1:36">
      <c r="A82" s="3">
        <v>161</v>
      </c>
      <c r="B82" s="3">
        <v>1434</v>
      </c>
      <c r="C82" s="3" t="s">
        <v>495</v>
      </c>
      <c r="D82" s="3" t="s">
        <v>496</v>
      </c>
      <c r="E82" s="5" t="s">
        <v>149</v>
      </c>
      <c r="F82" s="3" t="s">
        <v>497</v>
      </c>
      <c r="G82" s="3" t="s">
        <v>498</v>
      </c>
      <c r="H82" s="3" t="s">
        <v>152</v>
      </c>
      <c r="I82" s="3" t="s">
        <v>486</v>
      </c>
      <c r="J82" s="3" t="s">
        <v>81</v>
      </c>
      <c r="K82" s="3" t="s">
        <v>30</v>
      </c>
      <c r="L82" s="3" t="s">
        <v>154</v>
      </c>
      <c r="M82" s="3" t="s">
        <v>131</v>
      </c>
      <c r="N82" s="3" t="s">
        <v>491</v>
      </c>
      <c r="O82" s="3" t="s">
        <v>156</v>
      </c>
      <c r="P82" s="3" t="s">
        <v>492</v>
      </c>
      <c r="Q82" s="3" t="s">
        <v>493</v>
      </c>
      <c r="R82" s="3" t="s">
        <v>159</v>
      </c>
      <c r="S82" s="3" t="s">
        <v>86</v>
      </c>
      <c r="T82" s="155">
        <v>4.8289999999999997</v>
      </c>
      <c r="U82" s="3" t="s">
        <v>499</v>
      </c>
      <c r="V82" s="166">
        <v>3.0769999999999999E-2</v>
      </c>
      <c r="W82" s="166">
        <v>6.0100000000000001E-2</v>
      </c>
      <c r="X82" s="5" t="s">
        <v>161</v>
      </c>
      <c r="Y82" s="5" t="s">
        <v>156</v>
      </c>
      <c r="Z82" s="155">
        <v>5000</v>
      </c>
      <c r="AA82" s="164">
        <v>3.306</v>
      </c>
      <c r="AB82" s="174">
        <v>100.04</v>
      </c>
      <c r="AD82" s="155">
        <v>16.536999999999999</v>
      </c>
      <c r="AG82" s="3" t="s">
        <v>36</v>
      </c>
      <c r="AH82" s="166">
        <v>7.9999999999999996E-6</v>
      </c>
      <c r="AI82" s="166">
        <v>2.62979299940117E-3</v>
      </c>
      <c r="AJ82" s="166">
        <v>7.2164799432863599E-4</v>
      </c>
    </row>
    <row r="83" spans="1:36">
      <c r="A83" s="3">
        <v>161</v>
      </c>
      <c r="B83" s="3">
        <v>9938</v>
      </c>
      <c r="C83" s="3" t="s">
        <v>147</v>
      </c>
      <c r="D83" s="3" t="s">
        <v>148</v>
      </c>
      <c r="E83" s="5" t="s">
        <v>149</v>
      </c>
      <c r="F83" s="3" t="s">
        <v>150</v>
      </c>
      <c r="G83" s="3" t="s">
        <v>151</v>
      </c>
      <c r="H83" s="3" t="s">
        <v>152</v>
      </c>
      <c r="I83" s="3" t="s">
        <v>153</v>
      </c>
      <c r="J83" s="3" t="s">
        <v>30</v>
      </c>
      <c r="K83" s="3" t="s">
        <v>30</v>
      </c>
      <c r="L83" s="3" t="s">
        <v>154</v>
      </c>
      <c r="M83" s="3" t="s">
        <v>31</v>
      </c>
      <c r="N83" s="3" t="s">
        <v>155</v>
      </c>
      <c r="O83" s="3" t="s">
        <v>156</v>
      </c>
      <c r="P83" s="3" t="s">
        <v>157</v>
      </c>
      <c r="Q83" s="3" t="s">
        <v>158</v>
      </c>
      <c r="R83" s="3" t="s">
        <v>159</v>
      </c>
      <c r="S83" s="3" t="s">
        <v>34</v>
      </c>
      <c r="T83" s="155">
        <v>5.9370000000000003</v>
      </c>
      <c r="U83" s="3" t="s">
        <v>160</v>
      </c>
      <c r="V83" s="166">
        <v>5.1299999999999998E-2</v>
      </c>
      <c r="W83" s="166">
        <v>5.1470000000000002E-2</v>
      </c>
      <c r="X83" s="5" t="s">
        <v>161</v>
      </c>
      <c r="Y83" s="5" t="s">
        <v>156</v>
      </c>
      <c r="Z83" s="155">
        <v>80000</v>
      </c>
      <c r="AA83" s="164">
        <v>1</v>
      </c>
      <c r="AB83" s="174">
        <v>100.43</v>
      </c>
      <c r="AD83" s="155">
        <v>80.343999999999994</v>
      </c>
      <c r="AG83" s="3" t="s">
        <v>36</v>
      </c>
      <c r="AH83" s="166">
        <v>2.3499999999999999E-4</v>
      </c>
      <c r="AI83" s="166">
        <v>6.2559605094336199E-3</v>
      </c>
      <c r="AJ83" s="166">
        <v>9.5988817282910497E-4</v>
      </c>
    </row>
    <row r="84" spans="1:36">
      <c r="A84" s="3">
        <v>161</v>
      </c>
      <c r="B84" s="3">
        <v>9938</v>
      </c>
      <c r="C84" s="3" t="s">
        <v>162</v>
      </c>
      <c r="D84" s="3" t="s">
        <v>163</v>
      </c>
      <c r="E84" s="5" t="s">
        <v>149</v>
      </c>
      <c r="F84" s="3" t="s">
        <v>164</v>
      </c>
      <c r="G84" s="3" t="s">
        <v>165</v>
      </c>
      <c r="H84" s="3" t="s">
        <v>152</v>
      </c>
      <c r="I84" s="3" t="s">
        <v>166</v>
      </c>
      <c r="J84" s="3" t="s">
        <v>30</v>
      </c>
      <c r="K84" s="3" t="s">
        <v>30</v>
      </c>
      <c r="L84" s="3" t="s">
        <v>154</v>
      </c>
      <c r="M84" s="3" t="s">
        <v>31</v>
      </c>
      <c r="N84" s="3" t="s">
        <v>167</v>
      </c>
      <c r="O84" s="3" t="s">
        <v>156</v>
      </c>
      <c r="P84" s="3" t="s">
        <v>168</v>
      </c>
      <c r="Q84" s="3" t="s">
        <v>169</v>
      </c>
      <c r="R84" s="3" t="s">
        <v>159</v>
      </c>
      <c r="S84" s="3" t="s">
        <v>34</v>
      </c>
      <c r="T84" s="155">
        <v>1.7490000000000001</v>
      </c>
      <c r="U84" s="3" t="s">
        <v>170</v>
      </c>
      <c r="V84" s="166">
        <v>2.3400000000000001E-2</v>
      </c>
      <c r="W84" s="166">
        <v>2.9860000000000001E-2</v>
      </c>
      <c r="X84" s="5" t="s">
        <v>161</v>
      </c>
      <c r="Y84" s="5" t="s">
        <v>156</v>
      </c>
      <c r="Z84" s="155">
        <v>193122.99</v>
      </c>
      <c r="AA84" s="164">
        <v>1</v>
      </c>
      <c r="AB84" s="174">
        <v>118.73</v>
      </c>
      <c r="AD84" s="155">
        <v>229.29499999999999</v>
      </c>
      <c r="AG84" s="3" t="s">
        <v>36</v>
      </c>
      <c r="AH84" s="166">
        <v>1.18E-4</v>
      </c>
      <c r="AI84" s="166">
        <v>1.7853977922911698E-2</v>
      </c>
      <c r="AJ84" s="166">
        <v>2.7394390070576802E-3</v>
      </c>
    </row>
    <row r="85" spans="1:36">
      <c r="A85" s="3">
        <v>161</v>
      </c>
      <c r="B85" s="3">
        <v>9938</v>
      </c>
      <c r="C85" s="3" t="s">
        <v>162</v>
      </c>
      <c r="D85" s="3" t="s">
        <v>163</v>
      </c>
      <c r="E85" s="5" t="s">
        <v>149</v>
      </c>
      <c r="F85" s="3" t="s">
        <v>171</v>
      </c>
      <c r="G85" s="3" t="s">
        <v>172</v>
      </c>
      <c r="H85" s="3" t="s">
        <v>152</v>
      </c>
      <c r="I85" s="3" t="s">
        <v>153</v>
      </c>
      <c r="J85" s="3" t="s">
        <v>30</v>
      </c>
      <c r="K85" s="3" t="s">
        <v>30</v>
      </c>
      <c r="L85" s="3" t="s">
        <v>154</v>
      </c>
      <c r="M85" s="3" t="s">
        <v>31</v>
      </c>
      <c r="N85" s="3" t="s">
        <v>167</v>
      </c>
      <c r="O85" s="3" t="s">
        <v>156</v>
      </c>
      <c r="P85" s="3" t="s">
        <v>168</v>
      </c>
      <c r="Q85" s="3" t="s">
        <v>169</v>
      </c>
      <c r="R85" s="3" t="s">
        <v>159</v>
      </c>
      <c r="S85" s="3" t="s">
        <v>34</v>
      </c>
      <c r="T85" s="155">
        <v>2.12</v>
      </c>
      <c r="U85" s="3" t="s">
        <v>173</v>
      </c>
      <c r="V85" s="166">
        <v>0.05</v>
      </c>
      <c r="W85" s="166">
        <v>4.5929999999999999E-2</v>
      </c>
      <c r="X85" s="5" t="s">
        <v>161</v>
      </c>
      <c r="Y85" s="5" t="s">
        <v>156</v>
      </c>
      <c r="Z85" s="155">
        <v>255000</v>
      </c>
      <c r="AA85" s="164">
        <v>1</v>
      </c>
      <c r="AB85" s="174">
        <v>103.14</v>
      </c>
      <c r="AD85" s="155">
        <v>263.00700000000001</v>
      </c>
      <c r="AG85" s="3" t="s">
        <v>36</v>
      </c>
      <c r="AH85" s="166">
        <v>5.1699999999999999E-4</v>
      </c>
      <c r="AI85" s="166">
        <v>2.0478958051685401E-2</v>
      </c>
      <c r="AJ85" s="166">
        <v>3.14220487741791E-3</v>
      </c>
    </row>
    <row r="86" spans="1:36">
      <c r="A86" s="3">
        <v>161</v>
      </c>
      <c r="B86" s="3">
        <v>9938</v>
      </c>
      <c r="C86" s="3" t="s">
        <v>174</v>
      </c>
      <c r="D86" s="3" t="s">
        <v>175</v>
      </c>
      <c r="E86" s="5" t="s">
        <v>149</v>
      </c>
      <c r="F86" s="3" t="s">
        <v>500</v>
      </c>
      <c r="G86" s="3" t="s">
        <v>501</v>
      </c>
      <c r="H86" s="3" t="s">
        <v>152</v>
      </c>
      <c r="I86" s="3" t="s">
        <v>166</v>
      </c>
      <c r="J86" s="3" t="s">
        <v>30</v>
      </c>
      <c r="K86" s="3" t="s">
        <v>30</v>
      </c>
      <c r="L86" s="3" t="s">
        <v>154</v>
      </c>
      <c r="M86" s="3" t="s">
        <v>31</v>
      </c>
      <c r="N86" s="3" t="s">
        <v>178</v>
      </c>
      <c r="O86" s="3" t="s">
        <v>156</v>
      </c>
      <c r="P86" s="3" t="s">
        <v>179</v>
      </c>
      <c r="Q86" s="3" t="s">
        <v>169</v>
      </c>
      <c r="R86" s="3" t="s">
        <v>159</v>
      </c>
      <c r="S86" s="3" t="s">
        <v>34</v>
      </c>
      <c r="T86" s="155">
        <v>1.319</v>
      </c>
      <c r="U86" s="3" t="s">
        <v>502</v>
      </c>
      <c r="V86" s="166">
        <v>3.2000000000000001E-2</v>
      </c>
      <c r="W86" s="166">
        <v>3.4700000000000002E-2</v>
      </c>
      <c r="X86" s="5" t="s">
        <v>161</v>
      </c>
      <c r="Y86" s="5" t="s">
        <v>156</v>
      </c>
      <c r="Z86" s="155">
        <v>30250</v>
      </c>
      <c r="AA86" s="164">
        <v>1</v>
      </c>
      <c r="AB86" s="174">
        <v>110.31</v>
      </c>
      <c r="AD86" s="155">
        <v>33.369</v>
      </c>
      <c r="AG86" s="3" t="s">
        <v>36</v>
      </c>
      <c r="AH86" s="166">
        <v>5.0000000000000002E-5</v>
      </c>
      <c r="AI86" s="166">
        <v>2.5982492612787E-3</v>
      </c>
      <c r="AJ86" s="166">
        <v>3.9866439888847403E-4</v>
      </c>
    </row>
    <row r="87" spans="1:36">
      <c r="A87" s="3">
        <v>161</v>
      </c>
      <c r="B87" s="3">
        <v>9938</v>
      </c>
      <c r="C87" s="3" t="s">
        <v>174</v>
      </c>
      <c r="D87" s="3" t="s">
        <v>175</v>
      </c>
      <c r="E87" s="5" t="s">
        <v>149</v>
      </c>
      <c r="F87" s="3" t="s">
        <v>176</v>
      </c>
      <c r="G87" s="3" t="s">
        <v>177</v>
      </c>
      <c r="H87" s="3" t="s">
        <v>152</v>
      </c>
      <c r="I87" s="3" t="s">
        <v>153</v>
      </c>
      <c r="J87" s="3" t="s">
        <v>30</v>
      </c>
      <c r="K87" s="3" t="s">
        <v>30</v>
      </c>
      <c r="L87" s="3" t="s">
        <v>154</v>
      </c>
      <c r="M87" s="3" t="s">
        <v>31</v>
      </c>
      <c r="N87" s="3" t="s">
        <v>178</v>
      </c>
      <c r="O87" s="3" t="s">
        <v>156</v>
      </c>
      <c r="P87" s="3" t="s">
        <v>179</v>
      </c>
      <c r="Q87" s="3" t="s">
        <v>169</v>
      </c>
      <c r="R87" s="3" t="s">
        <v>159</v>
      </c>
      <c r="S87" s="3" t="s">
        <v>34</v>
      </c>
      <c r="T87" s="155">
        <v>1.391</v>
      </c>
      <c r="U87" s="3" t="s">
        <v>180</v>
      </c>
      <c r="V87" s="166">
        <v>5.7000000000000002E-2</v>
      </c>
      <c r="W87" s="166">
        <v>5.339E-2</v>
      </c>
      <c r="X87" s="5" t="s">
        <v>161</v>
      </c>
      <c r="Y87" s="5" t="s">
        <v>156</v>
      </c>
      <c r="Z87" s="155">
        <v>29700</v>
      </c>
      <c r="AA87" s="164">
        <v>1</v>
      </c>
      <c r="AB87" s="174">
        <v>100.89</v>
      </c>
      <c r="AD87" s="155">
        <v>29.963999999999999</v>
      </c>
      <c r="AG87" s="3" t="s">
        <v>36</v>
      </c>
      <c r="AH87" s="166">
        <v>4.1E-5</v>
      </c>
      <c r="AI87" s="166">
        <v>2.3331632128302899E-3</v>
      </c>
      <c r="AJ87" s="166">
        <v>3.5799071459907802E-4</v>
      </c>
    </row>
    <row r="88" spans="1:36">
      <c r="A88" s="3">
        <v>161</v>
      </c>
      <c r="B88" s="3">
        <v>9938</v>
      </c>
      <c r="C88" s="3" t="s">
        <v>503</v>
      </c>
      <c r="D88" s="3" t="s">
        <v>504</v>
      </c>
      <c r="E88" s="5" t="s">
        <v>149</v>
      </c>
      <c r="F88" s="3" t="s">
        <v>505</v>
      </c>
      <c r="G88" s="3" t="s">
        <v>506</v>
      </c>
      <c r="H88" s="3" t="s">
        <v>152</v>
      </c>
      <c r="I88" s="3" t="s">
        <v>166</v>
      </c>
      <c r="J88" s="3" t="s">
        <v>30</v>
      </c>
      <c r="K88" s="3" t="s">
        <v>30</v>
      </c>
      <c r="L88" s="3" t="s">
        <v>154</v>
      </c>
      <c r="M88" s="3" t="s">
        <v>31</v>
      </c>
      <c r="N88" s="3" t="s">
        <v>178</v>
      </c>
      <c r="O88" s="3" t="s">
        <v>156</v>
      </c>
      <c r="P88" s="3" t="s">
        <v>179</v>
      </c>
      <c r="Q88" s="3" t="s">
        <v>169</v>
      </c>
      <c r="R88" s="3" t="s">
        <v>159</v>
      </c>
      <c r="S88" s="3" t="s">
        <v>34</v>
      </c>
      <c r="T88" s="155">
        <v>2.3919999999999999</v>
      </c>
      <c r="U88" s="3" t="s">
        <v>507</v>
      </c>
      <c r="V88" s="166">
        <v>3.2300000000000002E-2</v>
      </c>
      <c r="W88" s="166">
        <v>2.954E-2</v>
      </c>
      <c r="X88" s="5" t="s">
        <v>161</v>
      </c>
      <c r="Y88" s="5" t="s">
        <v>156</v>
      </c>
      <c r="Z88" s="155">
        <v>36040</v>
      </c>
      <c r="AA88" s="164">
        <v>1</v>
      </c>
      <c r="AB88" s="174">
        <v>110.84</v>
      </c>
      <c r="AD88" s="155">
        <v>39.947000000000003</v>
      </c>
      <c r="AG88" s="3" t="s">
        <v>36</v>
      </c>
      <c r="AH88" s="166">
        <v>6.9999999999999994E-5</v>
      </c>
      <c r="AI88" s="166">
        <v>3.1104401435921802E-3</v>
      </c>
      <c r="AJ88" s="166">
        <v>4.7725280580412498E-4</v>
      </c>
    </row>
    <row r="89" spans="1:36">
      <c r="A89" s="3">
        <v>161</v>
      </c>
      <c r="B89" s="3">
        <v>9938</v>
      </c>
      <c r="C89" s="3" t="s">
        <v>181</v>
      </c>
      <c r="D89" s="3" t="s">
        <v>182</v>
      </c>
      <c r="E89" s="5" t="s">
        <v>149</v>
      </c>
      <c r="F89" s="3" t="s">
        <v>183</v>
      </c>
      <c r="G89" s="3" t="s">
        <v>184</v>
      </c>
      <c r="H89" s="3" t="s">
        <v>152</v>
      </c>
      <c r="I89" s="3" t="s">
        <v>166</v>
      </c>
      <c r="J89" s="3" t="s">
        <v>30</v>
      </c>
      <c r="K89" s="3" t="s">
        <v>30</v>
      </c>
      <c r="L89" s="3" t="s">
        <v>154</v>
      </c>
      <c r="M89" s="3" t="s">
        <v>31</v>
      </c>
      <c r="N89" s="3" t="s">
        <v>167</v>
      </c>
      <c r="O89" s="3" t="s">
        <v>156</v>
      </c>
      <c r="P89" s="3" t="s">
        <v>185</v>
      </c>
      <c r="Q89" s="3" t="s">
        <v>169</v>
      </c>
      <c r="R89" s="3" t="s">
        <v>159</v>
      </c>
      <c r="S89" s="3" t="s">
        <v>34</v>
      </c>
      <c r="T89" s="155">
        <v>6.1760000000000002</v>
      </c>
      <c r="U89" s="3" t="s">
        <v>186</v>
      </c>
      <c r="V89" s="166">
        <v>2.5600000000000001E-2</v>
      </c>
      <c r="W89" s="166">
        <v>3.1919999999999997E-2</v>
      </c>
      <c r="X89" s="5" t="s">
        <v>161</v>
      </c>
      <c r="Y89" s="5" t="s">
        <v>156</v>
      </c>
      <c r="Z89" s="155">
        <v>130000</v>
      </c>
      <c r="AA89" s="164">
        <v>1</v>
      </c>
      <c r="AB89" s="174">
        <v>108.14</v>
      </c>
      <c r="AD89" s="155">
        <v>140.58199999999999</v>
      </c>
      <c r="AG89" s="3" t="s">
        <v>36</v>
      </c>
      <c r="AH89" s="166">
        <v>1.2400000000000001E-4</v>
      </c>
      <c r="AI89" s="166">
        <v>1.09463735977447E-2</v>
      </c>
      <c r="AJ89" s="166">
        <v>1.6795653578694301E-3</v>
      </c>
    </row>
    <row r="90" spans="1:36">
      <c r="A90" s="3">
        <v>161</v>
      </c>
      <c r="B90" s="3">
        <v>9938</v>
      </c>
      <c r="C90" s="3" t="s">
        <v>181</v>
      </c>
      <c r="D90" s="3" t="s">
        <v>182</v>
      </c>
      <c r="E90" s="5" t="s">
        <v>149</v>
      </c>
      <c r="F90" s="3" t="s">
        <v>187</v>
      </c>
      <c r="G90" s="3" t="s">
        <v>188</v>
      </c>
      <c r="H90" s="3" t="s">
        <v>152</v>
      </c>
      <c r="I90" s="3" t="s">
        <v>153</v>
      </c>
      <c r="J90" s="3" t="s">
        <v>30</v>
      </c>
      <c r="K90" s="3" t="s">
        <v>30</v>
      </c>
      <c r="L90" s="3" t="s">
        <v>154</v>
      </c>
      <c r="M90" s="3" t="s">
        <v>31</v>
      </c>
      <c r="N90" s="3" t="s">
        <v>167</v>
      </c>
      <c r="O90" s="3" t="s">
        <v>156</v>
      </c>
      <c r="P90" s="3" t="s">
        <v>185</v>
      </c>
      <c r="Q90" s="3" t="s">
        <v>169</v>
      </c>
      <c r="R90" s="3" t="s">
        <v>159</v>
      </c>
      <c r="S90" s="3" t="s">
        <v>34</v>
      </c>
      <c r="T90" s="155">
        <v>3.4430000000000001</v>
      </c>
      <c r="U90" s="3" t="s">
        <v>189</v>
      </c>
      <c r="V90" s="166">
        <v>2.41E-2</v>
      </c>
      <c r="W90" s="166">
        <v>4.8230000000000002E-2</v>
      </c>
      <c r="X90" s="5" t="s">
        <v>161</v>
      </c>
      <c r="Y90" s="5" t="s">
        <v>156</v>
      </c>
      <c r="Z90" s="155">
        <v>150000</v>
      </c>
      <c r="AA90" s="164">
        <v>1</v>
      </c>
      <c r="AB90" s="174">
        <v>93.59</v>
      </c>
      <c r="AD90" s="155">
        <v>140.38499999999999</v>
      </c>
      <c r="AG90" s="3" t="s">
        <v>36</v>
      </c>
      <c r="AH90" s="166">
        <v>7.2999999999999999E-5</v>
      </c>
      <c r="AI90" s="166">
        <v>1.0931034254167599E-2</v>
      </c>
      <c r="AJ90" s="166">
        <v>1.67721175374159E-3</v>
      </c>
    </row>
    <row r="91" spans="1:36">
      <c r="A91" s="3">
        <v>161</v>
      </c>
      <c r="B91" s="3">
        <v>9938</v>
      </c>
      <c r="C91" s="3" t="s">
        <v>190</v>
      </c>
      <c r="D91" s="3" t="s">
        <v>191</v>
      </c>
      <c r="E91" s="5" t="s">
        <v>149</v>
      </c>
      <c r="F91" s="3" t="s">
        <v>192</v>
      </c>
      <c r="G91" s="3" t="s">
        <v>193</v>
      </c>
      <c r="H91" s="3" t="s">
        <v>152</v>
      </c>
      <c r="I91" s="3" t="s">
        <v>153</v>
      </c>
      <c r="J91" s="3" t="s">
        <v>30</v>
      </c>
      <c r="K91" s="3" t="s">
        <v>30</v>
      </c>
      <c r="L91" s="3" t="s">
        <v>154</v>
      </c>
      <c r="M91" s="3" t="s">
        <v>31</v>
      </c>
      <c r="N91" s="3" t="s">
        <v>194</v>
      </c>
      <c r="O91" s="3" t="s">
        <v>156</v>
      </c>
      <c r="P91" s="3" t="s">
        <v>179</v>
      </c>
      <c r="Q91" s="3" t="s">
        <v>169</v>
      </c>
      <c r="R91" s="3" t="s">
        <v>159</v>
      </c>
      <c r="S91" s="3" t="s">
        <v>34</v>
      </c>
      <c r="T91" s="155">
        <v>2.5489999999999999</v>
      </c>
      <c r="U91" s="3" t="s">
        <v>195</v>
      </c>
      <c r="V91" s="166">
        <v>0.04</v>
      </c>
      <c r="W91" s="166">
        <v>4.802E-2</v>
      </c>
      <c r="X91" s="5" t="s">
        <v>161</v>
      </c>
      <c r="Y91" s="5" t="s">
        <v>156</v>
      </c>
      <c r="Z91" s="155">
        <v>153428.60999999999</v>
      </c>
      <c r="AA91" s="164">
        <v>1</v>
      </c>
      <c r="AB91" s="174">
        <v>99.07</v>
      </c>
      <c r="AD91" s="155">
        <v>152.00200000000001</v>
      </c>
      <c r="AG91" s="3" t="s">
        <v>36</v>
      </c>
      <c r="AH91" s="166">
        <v>2.6400000000000002E-4</v>
      </c>
      <c r="AI91" s="166">
        <v>1.1835566840749099E-2</v>
      </c>
      <c r="AJ91" s="166">
        <v>1.81599941560244E-3</v>
      </c>
    </row>
    <row r="92" spans="1:36">
      <c r="A92" s="3">
        <v>161</v>
      </c>
      <c r="B92" s="3">
        <v>9938</v>
      </c>
      <c r="C92" s="3" t="s">
        <v>196</v>
      </c>
      <c r="D92" s="3" t="s">
        <v>197</v>
      </c>
      <c r="E92" s="5" t="s">
        <v>149</v>
      </c>
      <c r="F92" s="3" t="s">
        <v>198</v>
      </c>
      <c r="G92" s="3" t="s">
        <v>199</v>
      </c>
      <c r="H92" s="3" t="s">
        <v>152</v>
      </c>
      <c r="I92" s="3" t="s">
        <v>166</v>
      </c>
      <c r="J92" s="3" t="s">
        <v>30</v>
      </c>
      <c r="K92" s="3" t="s">
        <v>30</v>
      </c>
      <c r="L92" s="3" t="s">
        <v>154</v>
      </c>
      <c r="M92" s="3" t="s">
        <v>31</v>
      </c>
      <c r="N92" s="3" t="s">
        <v>167</v>
      </c>
      <c r="O92" s="3" t="s">
        <v>156</v>
      </c>
      <c r="P92" s="3" t="s">
        <v>168</v>
      </c>
      <c r="Q92" s="3" t="s">
        <v>169</v>
      </c>
      <c r="R92" s="3" t="s">
        <v>159</v>
      </c>
      <c r="S92" s="3" t="s">
        <v>34</v>
      </c>
      <c r="T92" s="155">
        <v>2.6160000000000001</v>
      </c>
      <c r="U92" s="3" t="s">
        <v>200</v>
      </c>
      <c r="V92" s="166">
        <v>1.14E-2</v>
      </c>
      <c r="W92" s="166">
        <v>2.895E-2</v>
      </c>
      <c r="X92" s="5" t="s">
        <v>161</v>
      </c>
      <c r="Y92" s="5" t="s">
        <v>156</v>
      </c>
      <c r="Z92" s="155">
        <v>185198.4</v>
      </c>
      <c r="AA92" s="164">
        <v>1</v>
      </c>
      <c r="AB92" s="174">
        <v>111.73</v>
      </c>
      <c r="AC92" s="155">
        <v>26.792999999999999</v>
      </c>
      <c r="AD92" s="155">
        <v>233.71600000000001</v>
      </c>
      <c r="AG92" s="3" t="s">
        <v>36</v>
      </c>
      <c r="AH92" s="166">
        <v>7.7999999999999999E-5</v>
      </c>
      <c r="AI92" s="166">
        <v>1.8198190168196699E-2</v>
      </c>
      <c r="AJ92" s="166">
        <v>2.7922534809811999E-3</v>
      </c>
    </row>
    <row r="93" spans="1:36">
      <c r="A93" s="3">
        <v>161</v>
      </c>
      <c r="B93" s="3">
        <v>9938</v>
      </c>
      <c r="C93" s="3" t="s">
        <v>196</v>
      </c>
      <c r="D93" s="3" t="s">
        <v>197</v>
      </c>
      <c r="E93" s="5" t="s">
        <v>149</v>
      </c>
      <c r="F93" s="3" t="s">
        <v>201</v>
      </c>
      <c r="G93" s="3" t="s">
        <v>202</v>
      </c>
      <c r="H93" s="3" t="s">
        <v>152</v>
      </c>
      <c r="I93" s="3" t="s">
        <v>153</v>
      </c>
      <c r="J93" s="3" t="s">
        <v>30</v>
      </c>
      <c r="K93" s="3" t="s">
        <v>30</v>
      </c>
      <c r="L93" s="3" t="s">
        <v>154</v>
      </c>
      <c r="M93" s="3" t="s">
        <v>31</v>
      </c>
      <c r="N93" s="3" t="s">
        <v>167</v>
      </c>
      <c r="O93" s="3" t="s">
        <v>156</v>
      </c>
      <c r="P93" s="3" t="s">
        <v>168</v>
      </c>
      <c r="Q93" s="3" t="s">
        <v>169</v>
      </c>
      <c r="R93" s="3" t="s">
        <v>159</v>
      </c>
      <c r="S93" s="3" t="s">
        <v>34</v>
      </c>
      <c r="T93" s="155">
        <v>4.4089999999999998</v>
      </c>
      <c r="U93" s="3" t="s">
        <v>203</v>
      </c>
      <c r="V93" s="166">
        <v>2.4400000000000002E-2</v>
      </c>
      <c r="W93" s="166">
        <v>4.6960000000000002E-2</v>
      </c>
      <c r="X93" s="5" t="s">
        <v>161</v>
      </c>
      <c r="Y93" s="5" t="s">
        <v>156</v>
      </c>
      <c r="Z93" s="155">
        <v>150000</v>
      </c>
      <c r="AA93" s="164">
        <v>1</v>
      </c>
      <c r="AB93" s="174">
        <v>92.45</v>
      </c>
      <c r="AD93" s="155">
        <v>138.67500000000001</v>
      </c>
      <c r="AG93" s="3" t="s">
        <v>36</v>
      </c>
      <c r="AH93" s="166">
        <v>1.2300000000000001E-4</v>
      </c>
      <c r="AI93" s="166">
        <v>1.0797885637330799E-2</v>
      </c>
      <c r="AJ93" s="166">
        <v>1.6567819920227499E-3</v>
      </c>
    </row>
    <row r="94" spans="1:36">
      <c r="A94" s="3">
        <v>161</v>
      </c>
      <c r="B94" s="3">
        <v>9938</v>
      </c>
      <c r="C94" s="3" t="s">
        <v>196</v>
      </c>
      <c r="D94" s="3" t="s">
        <v>197</v>
      </c>
      <c r="E94" s="5" t="s">
        <v>149</v>
      </c>
      <c r="F94" s="3" t="s">
        <v>204</v>
      </c>
      <c r="G94" s="3" t="s">
        <v>205</v>
      </c>
      <c r="H94" s="3" t="s">
        <v>152</v>
      </c>
      <c r="I94" s="3" t="s">
        <v>166</v>
      </c>
      <c r="J94" s="3" t="s">
        <v>30</v>
      </c>
      <c r="K94" s="3" t="s">
        <v>30</v>
      </c>
      <c r="L94" s="3" t="s">
        <v>154</v>
      </c>
      <c r="M94" s="3" t="s">
        <v>31</v>
      </c>
      <c r="N94" s="3" t="s">
        <v>167</v>
      </c>
      <c r="O94" s="3" t="s">
        <v>156</v>
      </c>
      <c r="P94" s="3" t="s">
        <v>168</v>
      </c>
      <c r="Q94" s="3" t="s">
        <v>169</v>
      </c>
      <c r="R94" s="3" t="s">
        <v>159</v>
      </c>
      <c r="S94" s="3" t="s">
        <v>34</v>
      </c>
      <c r="T94" s="155">
        <v>4.6059999999999999</v>
      </c>
      <c r="U94" s="3" t="s">
        <v>203</v>
      </c>
      <c r="V94" s="166">
        <v>9.1999999999999998E-3</v>
      </c>
      <c r="W94" s="166">
        <v>2.8729999999999999E-2</v>
      </c>
      <c r="X94" s="5" t="s">
        <v>161</v>
      </c>
      <c r="Y94" s="5" t="s">
        <v>156</v>
      </c>
      <c r="Z94" s="155">
        <v>200000</v>
      </c>
      <c r="AA94" s="164">
        <v>1</v>
      </c>
      <c r="AB94" s="174">
        <v>109.54</v>
      </c>
      <c r="AD94" s="155">
        <v>219.08</v>
      </c>
      <c r="AG94" s="3" t="s">
        <v>36</v>
      </c>
      <c r="AH94" s="166">
        <v>7.7000000000000001E-5</v>
      </c>
      <c r="AI94" s="166">
        <v>1.70585958927452E-2</v>
      </c>
      <c r="AJ94" s="166">
        <v>2.61739894582546E-3</v>
      </c>
    </row>
    <row r="95" spans="1:36">
      <c r="A95" s="3">
        <v>161</v>
      </c>
      <c r="B95" s="3">
        <v>9938</v>
      </c>
      <c r="C95" s="3" t="s">
        <v>196</v>
      </c>
      <c r="D95" s="3" t="s">
        <v>197</v>
      </c>
      <c r="E95" s="5" t="s">
        <v>149</v>
      </c>
      <c r="F95" s="3" t="s">
        <v>508</v>
      </c>
      <c r="G95" s="3" t="s">
        <v>509</v>
      </c>
      <c r="H95" s="3" t="s">
        <v>152</v>
      </c>
      <c r="I95" s="3" t="s">
        <v>153</v>
      </c>
      <c r="J95" s="3" t="s">
        <v>30</v>
      </c>
      <c r="K95" s="3" t="s">
        <v>30</v>
      </c>
      <c r="L95" s="3" t="s">
        <v>154</v>
      </c>
      <c r="M95" s="3" t="s">
        <v>31</v>
      </c>
      <c r="N95" s="3" t="s">
        <v>167</v>
      </c>
      <c r="O95" s="3" t="s">
        <v>156</v>
      </c>
      <c r="P95" s="3" t="s">
        <v>168</v>
      </c>
      <c r="Q95" s="3" t="s">
        <v>169</v>
      </c>
      <c r="R95" s="3" t="s">
        <v>159</v>
      </c>
      <c r="S95" s="3" t="s">
        <v>34</v>
      </c>
      <c r="T95" s="155">
        <v>7.165</v>
      </c>
      <c r="U95" s="3" t="s">
        <v>510</v>
      </c>
      <c r="V95" s="166">
        <v>5.79E-2</v>
      </c>
      <c r="W95" s="166">
        <v>4.99E-2</v>
      </c>
      <c r="X95" s="5" t="s">
        <v>161</v>
      </c>
      <c r="Y95" s="5" t="s">
        <v>156</v>
      </c>
      <c r="Z95" s="155">
        <v>150000</v>
      </c>
      <c r="AA95" s="164">
        <v>1</v>
      </c>
      <c r="AB95" s="174">
        <v>110.08</v>
      </c>
      <c r="AD95" s="155">
        <v>165.12</v>
      </c>
      <c r="AG95" s="3" t="s">
        <v>36</v>
      </c>
      <c r="AH95" s="166">
        <v>1.66E-4</v>
      </c>
      <c r="AI95" s="166">
        <v>1.2857017317007899E-2</v>
      </c>
      <c r="AJ95" s="166">
        <v>1.9727264649201199E-3</v>
      </c>
    </row>
    <row r="96" spans="1:36">
      <c r="A96" s="3">
        <v>161</v>
      </c>
      <c r="B96" s="3">
        <v>9938</v>
      </c>
      <c r="C96" s="3" t="s">
        <v>206</v>
      </c>
      <c r="D96" s="3" t="s">
        <v>207</v>
      </c>
      <c r="E96" s="5" t="s">
        <v>149</v>
      </c>
      <c r="F96" s="3" t="s">
        <v>208</v>
      </c>
      <c r="G96" s="3" t="s">
        <v>209</v>
      </c>
      <c r="H96" s="3" t="s">
        <v>152</v>
      </c>
      <c r="I96" s="3" t="s">
        <v>153</v>
      </c>
      <c r="J96" s="3" t="s">
        <v>30</v>
      </c>
      <c r="K96" s="3" t="s">
        <v>82</v>
      </c>
      <c r="L96" s="3" t="s">
        <v>154</v>
      </c>
      <c r="M96" s="3" t="s">
        <v>31</v>
      </c>
      <c r="N96" s="3" t="s">
        <v>210</v>
      </c>
      <c r="O96" s="3" t="s">
        <v>156</v>
      </c>
      <c r="P96" s="3" t="s">
        <v>157</v>
      </c>
      <c r="Q96" s="3" t="s">
        <v>158</v>
      </c>
      <c r="R96" s="3" t="s">
        <v>159</v>
      </c>
      <c r="S96" s="3" t="s">
        <v>34</v>
      </c>
      <c r="T96" s="155">
        <v>0.89500000000000002</v>
      </c>
      <c r="U96" s="3" t="s">
        <v>211</v>
      </c>
      <c r="V96" s="166">
        <v>3.4500000000000003E-2</v>
      </c>
      <c r="W96" s="166">
        <v>5.1270000000000003E-2</v>
      </c>
      <c r="X96" s="5" t="s">
        <v>161</v>
      </c>
      <c r="Y96" s="5" t="s">
        <v>156</v>
      </c>
      <c r="Z96" s="155">
        <v>157784.32000000001</v>
      </c>
      <c r="AA96" s="164">
        <v>1</v>
      </c>
      <c r="AB96" s="174">
        <v>98.92</v>
      </c>
      <c r="AD96" s="155">
        <v>156.08000000000001</v>
      </c>
      <c r="AG96" s="3" t="s">
        <v>36</v>
      </c>
      <c r="AH96" s="166">
        <v>2.8299999999999999E-4</v>
      </c>
      <c r="AI96" s="166">
        <v>1.21531399506947E-2</v>
      </c>
      <c r="AJ96" s="166">
        <v>1.86472649304893E-3</v>
      </c>
    </row>
    <row r="97" spans="1:36">
      <c r="A97" s="3">
        <v>161</v>
      </c>
      <c r="B97" s="3">
        <v>9938</v>
      </c>
      <c r="C97" s="3" t="s">
        <v>206</v>
      </c>
      <c r="D97" s="3" t="s">
        <v>207</v>
      </c>
      <c r="E97" s="5" t="s">
        <v>149</v>
      </c>
      <c r="F97" s="3" t="s">
        <v>212</v>
      </c>
      <c r="G97" s="3" t="s">
        <v>213</v>
      </c>
      <c r="H97" s="3" t="s">
        <v>152</v>
      </c>
      <c r="I97" s="3" t="s">
        <v>153</v>
      </c>
      <c r="J97" s="3" t="s">
        <v>30</v>
      </c>
      <c r="K97" s="3" t="s">
        <v>82</v>
      </c>
      <c r="L97" s="3" t="s">
        <v>154</v>
      </c>
      <c r="M97" s="3" t="s">
        <v>31</v>
      </c>
      <c r="N97" s="3" t="s">
        <v>210</v>
      </c>
      <c r="O97" s="3" t="s">
        <v>156</v>
      </c>
      <c r="P97" s="3" t="s">
        <v>157</v>
      </c>
      <c r="Q97" s="3" t="s">
        <v>158</v>
      </c>
      <c r="R97" s="3" t="s">
        <v>159</v>
      </c>
      <c r="S97" s="3" t="s">
        <v>34</v>
      </c>
      <c r="T97" s="155">
        <v>2.8079999999999998</v>
      </c>
      <c r="U97" s="3" t="s">
        <v>214</v>
      </c>
      <c r="V97" s="166">
        <v>1.4999999999999999E-2</v>
      </c>
      <c r="W97" s="166">
        <v>5.0139999999999997E-2</v>
      </c>
      <c r="X97" s="5" t="s">
        <v>161</v>
      </c>
      <c r="Y97" s="5" t="s">
        <v>156</v>
      </c>
      <c r="Z97" s="155">
        <v>68000</v>
      </c>
      <c r="AA97" s="164">
        <v>1</v>
      </c>
      <c r="AB97" s="174">
        <v>90.97</v>
      </c>
      <c r="AD97" s="155">
        <v>61.86</v>
      </c>
      <c r="AG97" s="3" t="s">
        <v>36</v>
      </c>
      <c r="AH97" s="166">
        <v>5.8E-5</v>
      </c>
      <c r="AI97" s="166">
        <v>4.8166784667101501E-3</v>
      </c>
      <c r="AJ97" s="166">
        <v>7.3905081170889302E-4</v>
      </c>
    </row>
    <row r="98" spans="1:36">
      <c r="A98" s="3">
        <v>161</v>
      </c>
      <c r="B98" s="3">
        <v>9938</v>
      </c>
      <c r="C98" s="3" t="s">
        <v>511</v>
      </c>
      <c r="D98" s="3" t="s">
        <v>512</v>
      </c>
      <c r="E98" s="5" t="s">
        <v>149</v>
      </c>
      <c r="F98" s="3" t="s">
        <v>513</v>
      </c>
      <c r="G98" s="3" t="s">
        <v>514</v>
      </c>
      <c r="H98" s="3" t="s">
        <v>152</v>
      </c>
      <c r="I98" s="3" t="s">
        <v>153</v>
      </c>
      <c r="J98" s="3" t="s">
        <v>30</v>
      </c>
      <c r="K98" s="3" t="s">
        <v>30</v>
      </c>
      <c r="L98" s="3" t="s">
        <v>154</v>
      </c>
      <c r="M98" s="3" t="s">
        <v>31</v>
      </c>
      <c r="N98" s="3" t="s">
        <v>210</v>
      </c>
      <c r="O98" s="3" t="s">
        <v>156</v>
      </c>
      <c r="P98" s="3" t="s">
        <v>258</v>
      </c>
      <c r="Q98" s="3" t="s">
        <v>169</v>
      </c>
      <c r="R98" s="3" t="s">
        <v>159</v>
      </c>
      <c r="S98" s="3" t="s">
        <v>34</v>
      </c>
      <c r="T98" s="155">
        <v>2.4319999999999999</v>
      </c>
      <c r="U98" s="3" t="s">
        <v>515</v>
      </c>
      <c r="V98" s="166">
        <v>2.0500000000000001E-2</v>
      </c>
      <c r="W98" s="166">
        <v>5.0529999999999999E-2</v>
      </c>
      <c r="X98" s="5" t="s">
        <v>161</v>
      </c>
      <c r="Y98" s="5" t="s">
        <v>156</v>
      </c>
      <c r="Z98" s="155">
        <v>145454.57999999999</v>
      </c>
      <c r="AA98" s="164">
        <v>1</v>
      </c>
      <c r="AB98" s="174">
        <v>93.47</v>
      </c>
      <c r="AD98" s="155">
        <v>135.95599999999999</v>
      </c>
      <c r="AG98" s="3" t="s">
        <v>36</v>
      </c>
      <c r="AH98" s="166">
        <v>1.6699999999999999E-4</v>
      </c>
      <c r="AI98" s="166">
        <v>1.05862023787461E-2</v>
      </c>
      <c r="AJ98" s="166">
        <v>1.62430220638552E-3</v>
      </c>
    </row>
    <row r="99" spans="1:36">
      <c r="A99" s="3">
        <v>161</v>
      </c>
      <c r="B99" s="3">
        <v>9938</v>
      </c>
      <c r="C99" s="3" t="s">
        <v>162</v>
      </c>
      <c r="D99" s="3" t="s">
        <v>163</v>
      </c>
      <c r="E99" s="5" t="s">
        <v>149</v>
      </c>
      <c r="F99" s="3" t="s">
        <v>215</v>
      </c>
      <c r="G99" s="3" t="s">
        <v>216</v>
      </c>
      <c r="H99" s="3" t="s">
        <v>152</v>
      </c>
      <c r="I99" s="3" t="s">
        <v>166</v>
      </c>
      <c r="J99" s="3" t="s">
        <v>30</v>
      </c>
      <c r="K99" s="3" t="s">
        <v>30</v>
      </c>
      <c r="L99" s="3" t="s">
        <v>154</v>
      </c>
      <c r="M99" s="3" t="s">
        <v>31</v>
      </c>
      <c r="N99" s="3" t="s">
        <v>167</v>
      </c>
      <c r="O99" s="3" t="s">
        <v>156</v>
      </c>
      <c r="P99" s="3" t="s">
        <v>168</v>
      </c>
      <c r="Q99" s="3" t="s">
        <v>169</v>
      </c>
      <c r="R99" s="3" t="s">
        <v>159</v>
      </c>
      <c r="S99" s="3" t="s">
        <v>34</v>
      </c>
      <c r="T99" s="155">
        <v>4.8460000000000001</v>
      </c>
      <c r="U99" s="3" t="s">
        <v>217</v>
      </c>
      <c r="V99" s="166">
        <v>6.4999999999999997E-3</v>
      </c>
      <c r="W99" s="166">
        <v>2.8850000000000001E-2</v>
      </c>
      <c r="X99" s="5" t="s">
        <v>161</v>
      </c>
      <c r="Y99" s="5" t="s">
        <v>156</v>
      </c>
      <c r="Z99" s="155">
        <v>139108.98000000001</v>
      </c>
      <c r="AA99" s="164">
        <v>1</v>
      </c>
      <c r="AB99" s="174">
        <v>105.89</v>
      </c>
      <c r="AD99" s="155">
        <v>147.30199999999999</v>
      </c>
      <c r="AG99" s="3" t="s">
        <v>36</v>
      </c>
      <c r="AH99" s="166">
        <v>6.7000000000000002E-5</v>
      </c>
      <c r="AI99" s="166">
        <v>1.14696631509126E-2</v>
      </c>
      <c r="AJ99" s="166">
        <v>1.7598566979911399E-3</v>
      </c>
    </row>
    <row r="100" spans="1:36">
      <c r="A100" s="3">
        <v>161</v>
      </c>
      <c r="B100" s="3">
        <v>9938</v>
      </c>
      <c r="C100" s="3" t="s">
        <v>218</v>
      </c>
      <c r="D100" s="3" t="s">
        <v>219</v>
      </c>
      <c r="E100" s="5" t="s">
        <v>149</v>
      </c>
      <c r="F100" s="3" t="s">
        <v>220</v>
      </c>
      <c r="G100" s="3" t="s">
        <v>221</v>
      </c>
      <c r="H100" s="3" t="s">
        <v>152</v>
      </c>
      <c r="I100" s="3" t="s">
        <v>166</v>
      </c>
      <c r="J100" s="3" t="s">
        <v>30</v>
      </c>
      <c r="K100" s="3" t="s">
        <v>30</v>
      </c>
      <c r="L100" s="3" t="s">
        <v>154</v>
      </c>
      <c r="M100" s="3" t="s">
        <v>31</v>
      </c>
      <c r="N100" s="3" t="s">
        <v>167</v>
      </c>
      <c r="O100" s="3" t="s">
        <v>156</v>
      </c>
      <c r="P100" s="3" t="s">
        <v>222</v>
      </c>
      <c r="Q100" s="3" t="s">
        <v>158</v>
      </c>
      <c r="R100" s="3" t="s">
        <v>159</v>
      </c>
      <c r="S100" s="3" t="s">
        <v>34</v>
      </c>
      <c r="T100" s="155">
        <v>3.51</v>
      </c>
      <c r="U100" s="3" t="s">
        <v>223</v>
      </c>
      <c r="V100" s="166">
        <v>1.17E-2</v>
      </c>
      <c r="W100" s="166">
        <v>2.8479999999999998E-2</v>
      </c>
      <c r="X100" s="5" t="s">
        <v>161</v>
      </c>
      <c r="Y100" s="5" t="s">
        <v>156</v>
      </c>
      <c r="Z100" s="155">
        <v>41160</v>
      </c>
      <c r="AA100" s="164">
        <v>1</v>
      </c>
      <c r="AB100" s="174">
        <v>111.54</v>
      </c>
      <c r="AD100" s="155">
        <v>45.91</v>
      </c>
      <c r="AG100" s="3" t="s">
        <v>36</v>
      </c>
      <c r="AH100" s="166">
        <v>6.0000000000000002E-5</v>
      </c>
      <c r="AI100" s="166">
        <v>3.5747572460603002E-3</v>
      </c>
      <c r="AJ100" s="166">
        <v>5.4849566202569801E-4</v>
      </c>
    </row>
    <row r="101" spans="1:36">
      <c r="A101" s="3">
        <v>161</v>
      </c>
      <c r="B101" s="3">
        <v>9938</v>
      </c>
      <c r="C101" s="3" t="s">
        <v>218</v>
      </c>
      <c r="D101" s="3" t="s">
        <v>219</v>
      </c>
      <c r="E101" s="5" t="s">
        <v>149</v>
      </c>
      <c r="F101" s="3" t="s">
        <v>224</v>
      </c>
      <c r="G101" s="3" t="s">
        <v>225</v>
      </c>
      <c r="H101" s="3" t="s">
        <v>152</v>
      </c>
      <c r="I101" s="3" t="s">
        <v>166</v>
      </c>
      <c r="J101" s="3" t="s">
        <v>30</v>
      </c>
      <c r="K101" s="3" t="s">
        <v>30</v>
      </c>
      <c r="L101" s="3" t="s">
        <v>154</v>
      </c>
      <c r="M101" s="3" t="s">
        <v>31</v>
      </c>
      <c r="N101" s="3" t="s">
        <v>167</v>
      </c>
      <c r="O101" s="3" t="s">
        <v>156</v>
      </c>
      <c r="P101" s="3" t="s">
        <v>185</v>
      </c>
      <c r="Q101" s="3" t="s">
        <v>169</v>
      </c>
      <c r="R101" s="3" t="s">
        <v>159</v>
      </c>
      <c r="S101" s="3" t="s">
        <v>34</v>
      </c>
      <c r="T101" s="155">
        <v>4.6689999999999996</v>
      </c>
      <c r="U101" s="3" t="s">
        <v>226</v>
      </c>
      <c r="V101" s="166">
        <v>1.8700000000000001E-2</v>
      </c>
      <c r="W101" s="166">
        <v>2.946E-2</v>
      </c>
      <c r="X101" s="5" t="s">
        <v>161</v>
      </c>
      <c r="Y101" s="5" t="s">
        <v>156</v>
      </c>
      <c r="Z101" s="155">
        <v>206800.37</v>
      </c>
      <c r="AA101" s="164">
        <v>1</v>
      </c>
      <c r="AB101" s="174">
        <v>109.28</v>
      </c>
      <c r="AD101" s="155">
        <v>225.99100000000001</v>
      </c>
      <c r="AG101" s="3" t="s">
        <v>36</v>
      </c>
      <c r="AH101" s="166">
        <v>2.12E-4</v>
      </c>
      <c r="AI101" s="166">
        <v>1.75967533510391E-2</v>
      </c>
      <c r="AJ101" s="166">
        <v>2.69997155454911E-3</v>
      </c>
    </row>
    <row r="102" spans="1:36">
      <c r="A102" s="3">
        <v>161</v>
      </c>
      <c r="B102" s="3">
        <v>9938</v>
      </c>
      <c r="C102" s="3" t="s">
        <v>227</v>
      </c>
      <c r="D102" s="3" t="s">
        <v>228</v>
      </c>
      <c r="E102" s="5" t="s">
        <v>149</v>
      </c>
      <c r="F102" s="3" t="s">
        <v>229</v>
      </c>
      <c r="G102" s="3" t="s">
        <v>230</v>
      </c>
      <c r="H102" s="3" t="s">
        <v>152</v>
      </c>
      <c r="I102" s="3" t="s">
        <v>153</v>
      </c>
      <c r="J102" s="3" t="s">
        <v>30</v>
      </c>
      <c r="K102" s="3" t="s">
        <v>30</v>
      </c>
      <c r="L102" s="3" t="s">
        <v>154</v>
      </c>
      <c r="M102" s="3" t="s">
        <v>31</v>
      </c>
      <c r="N102" s="3" t="s">
        <v>231</v>
      </c>
      <c r="O102" s="3" t="s">
        <v>156</v>
      </c>
      <c r="P102" s="3" t="s">
        <v>232</v>
      </c>
      <c r="Q102" s="3" t="s">
        <v>158</v>
      </c>
      <c r="R102" s="3" t="s">
        <v>159</v>
      </c>
      <c r="S102" s="3" t="s">
        <v>34</v>
      </c>
      <c r="T102" s="155">
        <v>2.5110000000000001</v>
      </c>
      <c r="U102" s="3" t="s">
        <v>173</v>
      </c>
      <c r="V102" s="166">
        <v>7.2499999999999995E-2</v>
      </c>
      <c r="W102" s="166">
        <v>5.4579999999999997E-2</v>
      </c>
      <c r="X102" s="5" t="s">
        <v>161</v>
      </c>
      <c r="Y102" s="5" t="s">
        <v>156</v>
      </c>
      <c r="Z102" s="155">
        <v>214400</v>
      </c>
      <c r="AA102" s="164">
        <v>1</v>
      </c>
      <c r="AB102" s="174">
        <v>107.9</v>
      </c>
      <c r="AD102" s="155">
        <v>231.33799999999999</v>
      </c>
      <c r="AG102" s="3" t="s">
        <v>36</v>
      </c>
      <c r="AH102" s="166">
        <v>3.3500000000000001E-4</v>
      </c>
      <c r="AI102" s="166">
        <v>1.8013030094931201E-2</v>
      </c>
      <c r="AJ102" s="166">
        <v>2.7638433009393401E-3</v>
      </c>
    </row>
    <row r="103" spans="1:36">
      <c r="A103" s="3">
        <v>161</v>
      </c>
      <c r="B103" s="3">
        <v>9938</v>
      </c>
      <c r="C103" s="3" t="s">
        <v>516</v>
      </c>
      <c r="D103" s="3" t="s">
        <v>517</v>
      </c>
      <c r="E103" s="5" t="s">
        <v>149</v>
      </c>
      <c r="F103" s="3" t="s">
        <v>518</v>
      </c>
      <c r="G103" s="3" t="s">
        <v>519</v>
      </c>
      <c r="H103" s="3" t="s">
        <v>152</v>
      </c>
      <c r="I103" s="3" t="s">
        <v>153</v>
      </c>
      <c r="J103" s="3" t="s">
        <v>30</v>
      </c>
      <c r="K103" s="3" t="s">
        <v>30</v>
      </c>
      <c r="L103" s="3" t="s">
        <v>154</v>
      </c>
      <c r="M103" s="3" t="s">
        <v>31</v>
      </c>
      <c r="N103" s="3" t="s">
        <v>167</v>
      </c>
      <c r="O103" s="3" t="s">
        <v>156</v>
      </c>
      <c r="P103" s="3" t="s">
        <v>168</v>
      </c>
      <c r="Q103" s="3" t="s">
        <v>169</v>
      </c>
      <c r="R103" s="3" t="s">
        <v>159</v>
      </c>
      <c r="S103" s="3" t="s">
        <v>34</v>
      </c>
      <c r="T103" s="155">
        <v>4.5410000000000004</v>
      </c>
      <c r="U103" s="3" t="s">
        <v>476</v>
      </c>
      <c r="V103" s="166">
        <v>2.5499999999999998E-2</v>
      </c>
      <c r="W103" s="166">
        <v>4.9320000000000003E-2</v>
      </c>
      <c r="X103" s="5" t="s">
        <v>161</v>
      </c>
      <c r="Y103" s="5" t="s">
        <v>156</v>
      </c>
      <c r="Z103" s="155">
        <v>163461.54</v>
      </c>
      <c r="AA103" s="164">
        <v>1</v>
      </c>
      <c r="AB103" s="174">
        <v>90.63</v>
      </c>
      <c r="AD103" s="155">
        <v>148.14500000000001</v>
      </c>
      <c r="AG103" s="3" t="s">
        <v>36</v>
      </c>
      <c r="AH103" s="166">
        <v>5.8999999999999998E-5</v>
      </c>
      <c r="AI103" s="166">
        <v>1.1535279317212301E-2</v>
      </c>
      <c r="AJ103" s="166">
        <v>1.7699245655683901E-3</v>
      </c>
    </row>
    <row r="104" spans="1:36">
      <c r="A104" s="3">
        <v>161</v>
      </c>
      <c r="B104" s="3">
        <v>9938</v>
      </c>
      <c r="C104" s="3" t="s">
        <v>516</v>
      </c>
      <c r="D104" s="3" t="s">
        <v>517</v>
      </c>
      <c r="E104" s="5" t="s">
        <v>149</v>
      </c>
      <c r="F104" s="3" t="s">
        <v>520</v>
      </c>
      <c r="G104" s="3" t="s">
        <v>521</v>
      </c>
      <c r="H104" s="3" t="s">
        <v>152</v>
      </c>
      <c r="I104" s="3" t="s">
        <v>166</v>
      </c>
      <c r="J104" s="3" t="s">
        <v>30</v>
      </c>
      <c r="K104" s="3" t="s">
        <v>30</v>
      </c>
      <c r="L104" s="3" t="s">
        <v>154</v>
      </c>
      <c r="M104" s="3" t="s">
        <v>31</v>
      </c>
      <c r="N104" s="3" t="s">
        <v>167</v>
      </c>
      <c r="O104" s="3" t="s">
        <v>156</v>
      </c>
      <c r="P104" s="3" t="s">
        <v>168</v>
      </c>
      <c r="Q104" s="3" t="s">
        <v>169</v>
      </c>
      <c r="R104" s="3" t="s">
        <v>159</v>
      </c>
      <c r="S104" s="3" t="s">
        <v>34</v>
      </c>
      <c r="T104" s="155">
        <v>3.726</v>
      </c>
      <c r="U104" s="3" t="s">
        <v>522</v>
      </c>
      <c r="V104" s="166">
        <v>5.0000000000000001E-3</v>
      </c>
      <c r="W104" s="166">
        <v>2.9350000000000001E-2</v>
      </c>
      <c r="X104" s="5" t="s">
        <v>161</v>
      </c>
      <c r="Y104" s="5" t="s">
        <v>156</v>
      </c>
      <c r="Z104" s="155">
        <v>186792.46</v>
      </c>
      <c r="AA104" s="164">
        <v>1</v>
      </c>
      <c r="AB104" s="174">
        <v>108.26</v>
      </c>
      <c r="AD104" s="155">
        <v>202.22200000000001</v>
      </c>
      <c r="AG104" s="3" t="s">
        <v>36</v>
      </c>
      <c r="AH104" s="166">
        <v>1.3999999999999999E-4</v>
      </c>
      <c r="AI104" s="166">
        <v>1.5745915385541299E-2</v>
      </c>
      <c r="AJ104" s="166">
        <v>2.4159867899033898E-3</v>
      </c>
    </row>
    <row r="105" spans="1:36">
      <c r="A105" s="3">
        <v>161</v>
      </c>
      <c r="B105" s="3">
        <v>9938</v>
      </c>
      <c r="C105" s="3" t="s">
        <v>516</v>
      </c>
      <c r="D105" s="3" t="s">
        <v>517</v>
      </c>
      <c r="E105" s="5" t="s">
        <v>149</v>
      </c>
      <c r="F105" s="3" t="s">
        <v>523</v>
      </c>
      <c r="G105" s="3" t="s">
        <v>524</v>
      </c>
      <c r="H105" s="3" t="s">
        <v>152</v>
      </c>
      <c r="I105" s="3" t="s">
        <v>166</v>
      </c>
      <c r="J105" s="3" t="s">
        <v>30</v>
      </c>
      <c r="K105" s="3" t="s">
        <v>30</v>
      </c>
      <c r="L105" s="3" t="s">
        <v>154</v>
      </c>
      <c r="M105" s="3" t="s">
        <v>31</v>
      </c>
      <c r="N105" s="3" t="s">
        <v>167</v>
      </c>
      <c r="O105" s="3" t="s">
        <v>156</v>
      </c>
      <c r="P105" s="3" t="s">
        <v>168</v>
      </c>
      <c r="Q105" s="3" t="s">
        <v>169</v>
      </c>
      <c r="R105" s="3" t="s">
        <v>159</v>
      </c>
      <c r="S105" s="3" t="s">
        <v>34</v>
      </c>
      <c r="T105" s="155">
        <v>2.8519999999999999</v>
      </c>
      <c r="U105" s="3" t="s">
        <v>73</v>
      </c>
      <c r="V105" s="166">
        <v>3.3399999999999999E-2</v>
      </c>
      <c r="W105" s="166">
        <v>2.8539999999999999E-2</v>
      </c>
      <c r="X105" s="5" t="s">
        <v>161</v>
      </c>
      <c r="Y105" s="5" t="s">
        <v>156</v>
      </c>
      <c r="Z105" s="155">
        <v>180000</v>
      </c>
      <c r="AA105" s="164">
        <v>1</v>
      </c>
      <c r="AB105" s="174">
        <v>106.04</v>
      </c>
      <c r="AD105" s="155">
        <v>190.87200000000001</v>
      </c>
      <c r="AG105" s="3" t="s">
        <v>36</v>
      </c>
      <c r="AH105" s="166">
        <v>1.6699999999999999E-4</v>
      </c>
      <c r="AI105" s="166">
        <v>1.48621887677563E-2</v>
      </c>
      <c r="AJ105" s="166">
        <v>2.2803915080682698E-3</v>
      </c>
    </row>
    <row r="106" spans="1:36">
      <c r="A106" s="3">
        <v>161</v>
      </c>
      <c r="B106" s="3">
        <v>9938</v>
      </c>
      <c r="C106" s="3" t="s">
        <v>233</v>
      </c>
      <c r="D106" s="3" t="s">
        <v>234</v>
      </c>
      <c r="E106" s="5" t="s">
        <v>149</v>
      </c>
      <c r="F106" s="3" t="s">
        <v>235</v>
      </c>
      <c r="G106" s="3" t="s">
        <v>236</v>
      </c>
      <c r="H106" s="3" t="s">
        <v>152</v>
      </c>
      <c r="I106" s="3" t="s">
        <v>166</v>
      </c>
      <c r="J106" s="3" t="s">
        <v>30</v>
      </c>
      <c r="K106" s="3" t="s">
        <v>237</v>
      </c>
      <c r="L106" s="3" t="s">
        <v>154</v>
      </c>
      <c r="M106" s="3" t="s">
        <v>31</v>
      </c>
      <c r="N106" s="3" t="s">
        <v>238</v>
      </c>
      <c r="O106" s="3" t="s">
        <v>156</v>
      </c>
      <c r="P106" s="3" t="s">
        <v>239</v>
      </c>
      <c r="Q106" s="3" t="s">
        <v>169</v>
      </c>
      <c r="R106" s="3" t="s">
        <v>159</v>
      </c>
      <c r="S106" s="3" t="s">
        <v>34</v>
      </c>
      <c r="T106" s="155">
        <v>2.2280000000000002</v>
      </c>
      <c r="U106" s="3" t="s">
        <v>240</v>
      </c>
      <c r="V106" s="166">
        <v>3.2800000000000003E-2</v>
      </c>
      <c r="W106" s="166">
        <v>4.6530000000000002E-2</v>
      </c>
      <c r="X106" s="5" t="s">
        <v>161</v>
      </c>
      <c r="Y106" s="5" t="s">
        <v>156</v>
      </c>
      <c r="Z106" s="155">
        <v>93750</v>
      </c>
      <c r="AA106" s="164">
        <v>1</v>
      </c>
      <c r="AB106" s="174">
        <v>117.77</v>
      </c>
      <c r="AD106" s="155">
        <v>110.40900000000001</v>
      </c>
      <c r="AG106" s="3" t="s">
        <v>36</v>
      </c>
      <c r="AH106" s="166">
        <v>6.6000000000000005E-5</v>
      </c>
      <c r="AI106" s="166">
        <v>8.5969915596839606E-3</v>
      </c>
      <c r="AJ106" s="166">
        <v>1.3190860951901001E-3</v>
      </c>
    </row>
    <row r="107" spans="1:36">
      <c r="A107" s="3">
        <v>161</v>
      </c>
      <c r="B107" s="3">
        <v>9938</v>
      </c>
      <c r="C107" s="3" t="s">
        <v>525</v>
      </c>
      <c r="D107" s="3" t="s">
        <v>526</v>
      </c>
      <c r="E107" s="5" t="s">
        <v>149</v>
      </c>
      <c r="F107" s="3" t="s">
        <v>527</v>
      </c>
      <c r="G107" s="3" t="s">
        <v>528</v>
      </c>
      <c r="H107" s="3" t="s">
        <v>152</v>
      </c>
      <c r="I107" s="3" t="s">
        <v>166</v>
      </c>
      <c r="J107" s="3" t="s">
        <v>30</v>
      </c>
      <c r="K107" s="3" t="s">
        <v>30</v>
      </c>
      <c r="L107" s="3" t="s">
        <v>154</v>
      </c>
      <c r="M107" s="3" t="s">
        <v>31</v>
      </c>
      <c r="N107" s="3" t="s">
        <v>194</v>
      </c>
      <c r="O107" s="3" t="s">
        <v>156</v>
      </c>
      <c r="P107" s="3" t="s">
        <v>179</v>
      </c>
      <c r="Q107" s="3" t="s">
        <v>169</v>
      </c>
      <c r="R107" s="3" t="s">
        <v>159</v>
      </c>
      <c r="S107" s="3" t="s">
        <v>34</v>
      </c>
      <c r="T107" s="155">
        <v>3.1419999999999999</v>
      </c>
      <c r="U107" s="3" t="s">
        <v>529</v>
      </c>
      <c r="V107" s="166">
        <v>7.4999999999999997E-3</v>
      </c>
      <c r="W107" s="166">
        <v>3.075E-2</v>
      </c>
      <c r="X107" s="5" t="s">
        <v>161</v>
      </c>
      <c r="Y107" s="5" t="s">
        <v>156</v>
      </c>
      <c r="Z107" s="155">
        <v>0</v>
      </c>
      <c r="AA107" s="164">
        <v>1</v>
      </c>
      <c r="AB107" s="174">
        <v>0</v>
      </c>
      <c r="AC107" s="155">
        <v>0.39700000000000002</v>
      </c>
      <c r="AD107" s="155">
        <v>0.39700000000000002</v>
      </c>
      <c r="AG107" s="3" t="s">
        <v>36</v>
      </c>
      <c r="AH107" s="166">
        <v>0</v>
      </c>
      <c r="AI107" s="166">
        <v>3.0874127521601199E-5</v>
      </c>
      <c r="AJ107" s="166">
        <v>4.737195800663E-6</v>
      </c>
    </row>
    <row r="108" spans="1:36">
      <c r="A108" s="3">
        <v>161</v>
      </c>
      <c r="B108" s="3">
        <v>9938</v>
      </c>
      <c r="C108" s="3" t="s">
        <v>241</v>
      </c>
      <c r="D108" s="3" t="s">
        <v>242</v>
      </c>
      <c r="E108" s="5" t="s">
        <v>149</v>
      </c>
      <c r="F108" s="3" t="s">
        <v>243</v>
      </c>
      <c r="G108" s="3" t="s">
        <v>244</v>
      </c>
      <c r="H108" s="3" t="s">
        <v>152</v>
      </c>
      <c r="I108" s="3" t="s">
        <v>166</v>
      </c>
      <c r="J108" s="3" t="s">
        <v>30</v>
      </c>
      <c r="K108" s="3" t="s">
        <v>30</v>
      </c>
      <c r="L108" s="3" t="s">
        <v>154</v>
      </c>
      <c r="M108" s="3" t="s">
        <v>31</v>
      </c>
      <c r="N108" s="3" t="s">
        <v>245</v>
      </c>
      <c r="O108" s="3" t="s">
        <v>156</v>
      </c>
      <c r="P108" s="3" t="s">
        <v>246</v>
      </c>
      <c r="Q108" s="3" t="s">
        <v>169</v>
      </c>
      <c r="R108" s="3" t="s">
        <v>159</v>
      </c>
      <c r="S108" s="3" t="s">
        <v>34</v>
      </c>
      <c r="T108" s="155">
        <v>3.5009999999999999</v>
      </c>
      <c r="U108" s="3" t="s">
        <v>247</v>
      </c>
      <c r="V108" s="166">
        <v>2E-3</v>
      </c>
      <c r="W108" s="166">
        <v>2.5520000000000001E-2</v>
      </c>
      <c r="X108" s="5" t="s">
        <v>161</v>
      </c>
      <c r="Y108" s="5" t="s">
        <v>156</v>
      </c>
      <c r="Z108" s="155">
        <v>239037.83</v>
      </c>
      <c r="AA108" s="164">
        <v>1</v>
      </c>
      <c r="AB108" s="174">
        <v>106.62</v>
      </c>
      <c r="AD108" s="155">
        <v>254.86199999999999</v>
      </c>
      <c r="AG108" s="3" t="s">
        <v>36</v>
      </c>
      <c r="AH108" s="166">
        <v>7.4999999999999993E-5</v>
      </c>
      <c r="AI108" s="166">
        <v>1.9844760627035499E-2</v>
      </c>
      <c r="AJ108" s="166">
        <v>3.0448963016617E-3</v>
      </c>
    </row>
    <row r="109" spans="1:36">
      <c r="A109" s="3">
        <v>161</v>
      </c>
      <c r="B109" s="3">
        <v>9938</v>
      </c>
      <c r="C109" s="3" t="s">
        <v>241</v>
      </c>
      <c r="D109" s="3" t="s">
        <v>242</v>
      </c>
      <c r="E109" s="5" t="s">
        <v>149</v>
      </c>
      <c r="F109" s="3" t="s">
        <v>530</v>
      </c>
      <c r="G109" s="3" t="s">
        <v>531</v>
      </c>
      <c r="H109" s="3" t="s">
        <v>152</v>
      </c>
      <c r="I109" s="3" t="s">
        <v>166</v>
      </c>
      <c r="J109" s="3" t="s">
        <v>30</v>
      </c>
      <c r="K109" s="3" t="s">
        <v>30</v>
      </c>
      <c r="L109" s="3" t="s">
        <v>154</v>
      </c>
      <c r="M109" s="3" t="s">
        <v>31</v>
      </c>
      <c r="N109" s="3" t="s">
        <v>245</v>
      </c>
      <c r="O109" s="3" t="s">
        <v>156</v>
      </c>
      <c r="P109" s="3" t="s">
        <v>246</v>
      </c>
      <c r="Q109" s="3" t="s">
        <v>169</v>
      </c>
      <c r="R109" s="3" t="s">
        <v>159</v>
      </c>
      <c r="S109" s="3" t="s">
        <v>34</v>
      </c>
      <c r="T109" s="155">
        <v>4.5570000000000004</v>
      </c>
      <c r="U109" s="3" t="s">
        <v>532</v>
      </c>
      <c r="V109" s="166">
        <v>2.4E-2</v>
      </c>
      <c r="W109" s="166">
        <v>2.545E-2</v>
      </c>
      <c r="X109" s="5" t="s">
        <v>161</v>
      </c>
      <c r="Y109" s="5" t="s">
        <v>156</v>
      </c>
      <c r="Z109" s="155">
        <v>150000</v>
      </c>
      <c r="AA109" s="164">
        <v>1</v>
      </c>
      <c r="AB109" s="174">
        <v>104.06</v>
      </c>
      <c r="AD109" s="155">
        <v>156.09</v>
      </c>
      <c r="AG109" s="3" t="s">
        <v>36</v>
      </c>
      <c r="AH109" s="166">
        <v>6.7999999999999999E-5</v>
      </c>
      <c r="AI109" s="166">
        <v>1.2153899182483999E-2</v>
      </c>
      <c r="AJ109" s="166">
        <v>1.8648429863698001E-3</v>
      </c>
    </row>
    <row r="110" spans="1:36">
      <c r="A110" s="3">
        <v>161</v>
      </c>
      <c r="B110" s="3">
        <v>9938</v>
      </c>
      <c r="C110" s="3" t="s">
        <v>241</v>
      </c>
      <c r="D110" s="3" t="s">
        <v>242</v>
      </c>
      <c r="E110" s="5" t="s">
        <v>149</v>
      </c>
      <c r="F110" s="3" t="s">
        <v>248</v>
      </c>
      <c r="G110" s="3" t="s">
        <v>249</v>
      </c>
      <c r="H110" s="3" t="s">
        <v>152</v>
      </c>
      <c r="I110" s="3" t="s">
        <v>153</v>
      </c>
      <c r="J110" s="3" t="s">
        <v>30</v>
      </c>
      <c r="K110" s="3" t="s">
        <v>30</v>
      </c>
      <c r="L110" s="3" t="s">
        <v>154</v>
      </c>
      <c r="M110" s="3" t="s">
        <v>31</v>
      </c>
      <c r="N110" s="3" t="s">
        <v>245</v>
      </c>
      <c r="O110" s="3" t="s">
        <v>156</v>
      </c>
      <c r="P110" s="3" t="s">
        <v>246</v>
      </c>
      <c r="Q110" s="3" t="s">
        <v>169</v>
      </c>
      <c r="R110" s="3" t="s">
        <v>159</v>
      </c>
      <c r="S110" s="3" t="s">
        <v>34</v>
      </c>
      <c r="T110" s="155">
        <v>2.4689999999999999</v>
      </c>
      <c r="U110" s="3" t="s">
        <v>250</v>
      </c>
      <c r="V110" s="166">
        <v>2.6800000000000001E-2</v>
      </c>
      <c r="W110" s="166">
        <v>4.4679999999999997E-2</v>
      </c>
      <c r="X110" s="5" t="s">
        <v>161</v>
      </c>
      <c r="Y110" s="5" t="s">
        <v>156</v>
      </c>
      <c r="Z110" s="155">
        <v>145730.94</v>
      </c>
      <c r="AA110" s="164">
        <v>1</v>
      </c>
      <c r="AB110" s="174">
        <v>97.92</v>
      </c>
      <c r="AD110" s="155">
        <v>142.69999999999999</v>
      </c>
      <c r="AG110" s="3" t="s">
        <v>36</v>
      </c>
      <c r="AH110" s="166">
        <v>7.3999999999999996E-5</v>
      </c>
      <c r="AI110" s="166">
        <v>1.11112704859762E-2</v>
      </c>
      <c r="AJ110" s="166">
        <v>1.7048664403348801E-3</v>
      </c>
    </row>
    <row r="111" spans="1:36">
      <c r="A111" s="3">
        <v>161</v>
      </c>
      <c r="B111" s="3">
        <v>9938</v>
      </c>
      <c r="C111" s="3" t="s">
        <v>241</v>
      </c>
      <c r="D111" s="3" t="s">
        <v>242</v>
      </c>
      <c r="E111" s="5" t="s">
        <v>149</v>
      </c>
      <c r="F111" s="3" t="s">
        <v>251</v>
      </c>
      <c r="G111" s="3" t="s">
        <v>252</v>
      </c>
      <c r="H111" s="3" t="s">
        <v>152</v>
      </c>
      <c r="I111" s="3" t="s">
        <v>166</v>
      </c>
      <c r="J111" s="3" t="s">
        <v>30</v>
      </c>
      <c r="K111" s="3" t="s">
        <v>30</v>
      </c>
      <c r="L111" s="3" t="s">
        <v>154</v>
      </c>
      <c r="M111" s="3" t="s">
        <v>31</v>
      </c>
      <c r="N111" s="3" t="s">
        <v>245</v>
      </c>
      <c r="O111" s="3" t="s">
        <v>156</v>
      </c>
      <c r="P111" s="3" t="s">
        <v>185</v>
      </c>
      <c r="Q111" s="3" t="s">
        <v>169</v>
      </c>
      <c r="R111" s="3" t="s">
        <v>159</v>
      </c>
      <c r="S111" s="3" t="s">
        <v>34</v>
      </c>
      <c r="T111" s="155">
        <v>4.6669999999999998</v>
      </c>
      <c r="U111" s="3" t="s">
        <v>253</v>
      </c>
      <c r="V111" s="166">
        <v>3.3203000000000003E-2</v>
      </c>
      <c r="W111" s="166">
        <v>2.9989999999999999E-2</v>
      </c>
      <c r="X111" s="5" t="s">
        <v>161</v>
      </c>
      <c r="Y111" s="5" t="s">
        <v>156</v>
      </c>
      <c r="Z111" s="155">
        <v>190000</v>
      </c>
      <c r="AA111" s="164">
        <v>1</v>
      </c>
      <c r="AB111" s="174">
        <v>109.04</v>
      </c>
      <c r="AD111" s="155">
        <v>207.17599999999999</v>
      </c>
      <c r="AG111" s="3" t="s">
        <v>36</v>
      </c>
      <c r="AH111" s="166">
        <v>1.5200000000000001E-4</v>
      </c>
      <c r="AI111" s="166">
        <v>1.6131694644309701E-2</v>
      </c>
      <c r="AJ111" s="166">
        <v>2.4751791309126098E-3</v>
      </c>
    </row>
    <row r="112" spans="1:36">
      <c r="A112" s="3">
        <v>161</v>
      </c>
      <c r="B112" s="3">
        <v>9938</v>
      </c>
      <c r="C112" s="3" t="s">
        <v>254</v>
      </c>
      <c r="D112" s="3" t="s">
        <v>255</v>
      </c>
      <c r="E112" s="5" t="s">
        <v>149</v>
      </c>
      <c r="F112" s="3" t="s">
        <v>256</v>
      </c>
      <c r="G112" s="3" t="s">
        <v>257</v>
      </c>
      <c r="H112" s="3" t="s">
        <v>152</v>
      </c>
      <c r="I112" s="3" t="s">
        <v>166</v>
      </c>
      <c r="J112" s="3" t="s">
        <v>30</v>
      </c>
      <c r="K112" s="3" t="s">
        <v>30</v>
      </c>
      <c r="L112" s="3" t="s">
        <v>154</v>
      </c>
      <c r="M112" s="3" t="s">
        <v>31</v>
      </c>
      <c r="N112" s="3" t="s">
        <v>167</v>
      </c>
      <c r="O112" s="3" t="s">
        <v>156</v>
      </c>
      <c r="P112" s="3" t="s">
        <v>258</v>
      </c>
      <c r="Q112" s="3" t="s">
        <v>169</v>
      </c>
      <c r="R112" s="3" t="s">
        <v>159</v>
      </c>
      <c r="S112" s="3" t="s">
        <v>34</v>
      </c>
      <c r="T112" s="155">
        <v>2.6059999999999999</v>
      </c>
      <c r="U112" s="3" t="s">
        <v>259</v>
      </c>
      <c r="V112" s="166">
        <v>2.7E-2</v>
      </c>
      <c r="W112" s="166">
        <v>3.0329999999999999E-2</v>
      </c>
      <c r="X112" s="5" t="s">
        <v>161</v>
      </c>
      <c r="Y112" s="5" t="s">
        <v>156</v>
      </c>
      <c r="Z112" s="155">
        <v>34200</v>
      </c>
      <c r="AA112" s="164">
        <v>1</v>
      </c>
      <c r="AB112" s="174">
        <v>110.04</v>
      </c>
      <c r="AD112" s="155">
        <v>37.634</v>
      </c>
      <c r="AG112" s="3" t="s">
        <v>36</v>
      </c>
      <c r="AH112" s="166">
        <v>8.7000000000000001E-5</v>
      </c>
      <c r="AI112" s="166">
        <v>2.9303347593430998E-3</v>
      </c>
      <c r="AJ112" s="166">
        <v>4.4961819590803599E-4</v>
      </c>
    </row>
    <row r="113" spans="1:36">
      <c r="A113" s="3">
        <v>161</v>
      </c>
      <c r="B113" s="3">
        <v>9938</v>
      </c>
      <c r="C113" s="3" t="s">
        <v>254</v>
      </c>
      <c r="D113" s="3" t="s">
        <v>255</v>
      </c>
      <c r="E113" s="5" t="s">
        <v>149</v>
      </c>
      <c r="F113" s="3" t="s">
        <v>260</v>
      </c>
      <c r="G113" s="3" t="s">
        <v>261</v>
      </c>
      <c r="H113" s="3" t="s">
        <v>152</v>
      </c>
      <c r="I113" s="3" t="s">
        <v>166</v>
      </c>
      <c r="J113" s="3" t="s">
        <v>30</v>
      </c>
      <c r="K113" s="3" t="s">
        <v>30</v>
      </c>
      <c r="L113" s="3" t="s">
        <v>154</v>
      </c>
      <c r="M113" s="3" t="s">
        <v>31</v>
      </c>
      <c r="N113" s="3" t="s">
        <v>167</v>
      </c>
      <c r="O113" s="3" t="s">
        <v>156</v>
      </c>
      <c r="P113" s="3" t="s">
        <v>258</v>
      </c>
      <c r="Q113" s="3" t="s">
        <v>169</v>
      </c>
      <c r="R113" s="3" t="s">
        <v>159</v>
      </c>
      <c r="S113" s="3" t="s">
        <v>34</v>
      </c>
      <c r="T113" s="155">
        <v>1.996</v>
      </c>
      <c r="U113" s="3" t="s">
        <v>262</v>
      </c>
      <c r="V113" s="166">
        <v>1.7999999999999999E-2</v>
      </c>
      <c r="W113" s="166">
        <v>3.0210000000000001E-2</v>
      </c>
      <c r="X113" s="5" t="s">
        <v>161</v>
      </c>
      <c r="Y113" s="5" t="s">
        <v>156</v>
      </c>
      <c r="Z113" s="155">
        <v>84375</v>
      </c>
      <c r="AA113" s="164">
        <v>1</v>
      </c>
      <c r="AB113" s="174">
        <v>116.94</v>
      </c>
      <c r="AD113" s="155">
        <v>98.668000000000006</v>
      </c>
      <c r="AG113" s="3" t="s">
        <v>36</v>
      </c>
      <c r="AH113" s="166">
        <v>1.1400000000000001E-4</v>
      </c>
      <c r="AI113" s="166">
        <v>7.6827627892544596E-3</v>
      </c>
      <c r="AJ113" s="166">
        <v>1.17881069180927E-3</v>
      </c>
    </row>
    <row r="114" spans="1:36">
      <c r="A114" s="3">
        <v>161</v>
      </c>
      <c r="B114" s="3">
        <v>9938</v>
      </c>
      <c r="C114" s="3" t="s">
        <v>263</v>
      </c>
      <c r="D114" s="3" t="s">
        <v>264</v>
      </c>
      <c r="E114" s="5" t="s">
        <v>149</v>
      </c>
      <c r="F114" s="3" t="s">
        <v>265</v>
      </c>
      <c r="G114" s="3" t="s">
        <v>266</v>
      </c>
      <c r="H114" s="3" t="s">
        <v>152</v>
      </c>
      <c r="I114" s="3" t="s">
        <v>166</v>
      </c>
      <c r="J114" s="3" t="s">
        <v>30</v>
      </c>
      <c r="K114" s="3" t="s">
        <v>30</v>
      </c>
      <c r="L114" s="3" t="s">
        <v>154</v>
      </c>
      <c r="M114" s="3" t="s">
        <v>31</v>
      </c>
      <c r="N114" s="3" t="s">
        <v>155</v>
      </c>
      <c r="O114" s="3" t="s">
        <v>156</v>
      </c>
      <c r="P114" s="3" t="s">
        <v>168</v>
      </c>
      <c r="Q114" s="3" t="s">
        <v>169</v>
      </c>
      <c r="R114" s="3" t="s">
        <v>159</v>
      </c>
      <c r="S114" s="3" t="s">
        <v>34</v>
      </c>
      <c r="T114" s="155">
        <v>3.544</v>
      </c>
      <c r="U114" s="3" t="s">
        <v>267</v>
      </c>
      <c r="V114" s="166">
        <v>4.4000000000000003E-3</v>
      </c>
      <c r="W114" s="166">
        <v>2.6939999999999999E-2</v>
      </c>
      <c r="X114" s="5" t="s">
        <v>161</v>
      </c>
      <c r="Y114" s="5" t="s">
        <v>156</v>
      </c>
      <c r="Z114" s="155">
        <v>120000</v>
      </c>
      <c r="AA114" s="164">
        <v>1</v>
      </c>
      <c r="AB114" s="174">
        <v>109.63</v>
      </c>
      <c r="AD114" s="155">
        <v>131.55600000000001</v>
      </c>
      <c r="AG114" s="3" t="s">
        <v>36</v>
      </c>
      <c r="AH114" s="166">
        <v>1.06E-4</v>
      </c>
      <c r="AI114" s="166">
        <v>1.0243566921973601E-2</v>
      </c>
      <c r="AJ114" s="166">
        <v>1.5717296682354099E-3</v>
      </c>
    </row>
    <row r="115" spans="1:36">
      <c r="A115" s="3">
        <v>161</v>
      </c>
      <c r="B115" s="3">
        <v>9938</v>
      </c>
      <c r="C115" s="3" t="s">
        <v>268</v>
      </c>
      <c r="D115" s="3" t="s">
        <v>269</v>
      </c>
      <c r="E115" s="5" t="s">
        <v>149</v>
      </c>
      <c r="F115" s="3" t="s">
        <v>270</v>
      </c>
      <c r="G115" s="3" t="s">
        <v>271</v>
      </c>
      <c r="H115" s="3" t="s">
        <v>152</v>
      </c>
      <c r="I115" s="3" t="s">
        <v>153</v>
      </c>
      <c r="J115" s="3" t="s">
        <v>30</v>
      </c>
      <c r="K115" s="3" t="s">
        <v>30</v>
      </c>
      <c r="L115" s="3" t="s">
        <v>154</v>
      </c>
      <c r="M115" s="3" t="s">
        <v>31</v>
      </c>
      <c r="N115" s="3" t="s">
        <v>155</v>
      </c>
      <c r="O115" s="3" t="s">
        <v>156</v>
      </c>
      <c r="P115" s="3" t="s">
        <v>272</v>
      </c>
      <c r="Q115" s="3" t="s">
        <v>158</v>
      </c>
      <c r="R115" s="3" t="s">
        <v>159</v>
      </c>
      <c r="S115" s="3" t="s">
        <v>34</v>
      </c>
      <c r="T115" s="155">
        <v>4.6740000000000004</v>
      </c>
      <c r="U115" s="3" t="s">
        <v>273</v>
      </c>
      <c r="V115" s="166">
        <v>1.95E-2</v>
      </c>
      <c r="W115" s="166">
        <v>4.5440000000000001E-2</v>
      </c>
      <c r="X115" s="5" t="s">
        <v>161</v>
      </c>
      <c r="Y115" s="5" t="s">
        <v>156</v>
      </c>
      <c r="Z115" s="155">
        <v>200878.88</v>
      </c>
      <c r="AA115" s="164">
        <v>1</v>
      </c>
      <c r="AB115" s="174">
        <v>89.16</v>
      </c>
      <c r="AD115" s="155">
        <v>179.10400000000001</v>
      </c>
      <c r="AG115" s="3" t="s">
        <v>36</v>
      </c>
      <c r="AH115" s="166">
        <v>2.1000000000000001E-4</v>
      </c>
      <c r="AI115" s="166">
        <v>1.3945846703592999E-2</v>
      </c>
      <c r="AJ115" s="166">
        <v>2.1397918498175699E-3</v>
      </c>
    </row>
    <row r="116" spans="1:36">
      <c r="A116" s="3">
        <v>161</v>
      </c>
      <c r="B116" s="3">
        <v>9938</v>
      </c>
      <c r="C116" s="3" t="s">
        <v>274</v>
      </c>
      <c r="D116" s="3" t="s">
        <v>275</v>
      </c>
      <c r="E116" s="5" t="s">
        <v>149</v>
      </c>
      <c r="F116" s="3" t="s">
        <v>276</v>
      </c>
      <c r="G116" s="3" t="s">
        <v>277</v>
      </c>
      <c r="H116" s="3" t="s">
        <v>152</v>
      </c>
      <c r="I116" s="3" t="s">
        <v>153</v>
      </c>
      <c r="J116" s="3" t="s">
        <v>30</v>
      </c>
      <c r="K116" s="3" t="s">
        <v>30</v>
      </c>
      <c r="L116" s="3" t="s">
        <v>154</v>
      </c>
      <c r="M116" s="3" t="s">
        <v>31</v>
      </c>
      <c r="N116" s="3" t="s">
        <v>194</v>
      </c>
      <c r="O116" s="3" t="s">
        <v>156</v>
      </c>
      <c r="P116" s="3" t="s">
        <v>179</v>
      </c>
      <c r="Q116" s="3" t="s">
        <v>169</v>
      </c>
      <c r="R116" s="3" t="s">
        <v>159</v>
      </c>
      <c r="S116" s="3" t="s">
        <v>34</v>
      </c>
      <c r="T116" s="155">
        <v>1.798</v>
      </c>
      <c r="U116" s="3" t="s">
        <v>240</v>
      </c>
      <c r="V116" s="166">
        <v>2.1999999999999999E-2</v>
      </c>
      <c r="W116" s="166">
        <v>4.87E-2</v>
      </c>
      <c r="X116" s="5" t="s">
        <v>161</v>
      </c>
      <c r="Y116" s="5" t="s">
        <v>156</v>
      </c>
      <c r="Z116" s="155">
        <v>204000</v>
      </c>
      <c r="AA116" s="164">
        <v>1</v>
      </c>
      <c r="AB116" s="174">
        <v>96.03</v>
      </c>
      <c r="AD116" s="155">
        <v>195.90100000000001</v>
      </c>
      <c r="AG116" s="3" t="s">
        <v>36</v>
      </c>
      <c r="AH116" s="166">
        <v>2.3499999999999999E-4</v>
      </c>
      <c r="AI116" s="166">
        <v>1.52537858576951E-2</v>
      </c>
      <c r="AJ116" s="166">
        <v>2.3404765125339699E-3</v>
      </c>
    </row>
    <row r="117" spans="1:36">
      <c r="A117" s="3">
        <v>161</v>
      </c>
      <c r="B117" s="3">
        <v>9938</v>
      </c>
      <c r="C117" s="3" t="s">
        <v>278</v>
      </c>
      <c r="D117" s="3" t="s">
        <v>279</v>
      </c>
      <c r="E117" s="5" t="s">
        <v>149</v>
      </c>
      <c r="F117" s="3" t="s">
        <v>280</v>
      </c>
      <c r="G117" s="3" t="s">
        <v>281</v>
      </c>
      <c r="H117" s="3" t="s">
        <v>152</v>
      </c>
      <c r="I117" s="3" t="s">
        <v>153</v>
      </c>
      <c r="J117" s="3" t="s">
        <v>30</v>
      </c>
      <c r="K117" s="3" t="s">
        <v>30</v>
      </c>
      <c r="L117" s="3" t="s">
        <v>154</v>
      </c>
      <c r="M117" s="3" t="s">
        <v>31</v>
      </c>
      <c r="N117" s="3" t="s">
        <v>282</v>
      </c>
      <c r="O117" s="3" t="s">
        <v>156</v>
      </c>
      <c r="P117" s="3" t="s">
        <v>283</v>
      </c>
      <c r="Q117" s="3" t="s">
        <v>283</v>
      </c>
      <c r="R117" s="3" t="s">
        <v>283</v>
      </c>
      <c r="S117" s="3" t="s">
        <v>34</v>
      </c>
      <c r="T117" s="155">
        <v>1.675</v>
      </c>
      <c r="U117" s="3" t="s">
        <v>284</v>
      </c>
      <c r="V117" s="166">
        <v>6.5000000000000002E-2</v>
      </c>
      <c r="W117" s="166">
        <v>6.9779999999999995E-2</v>
      </c>
      <c r="X117" s="5" t="s">
        <v>161</v>
      </c>
      <c r="Y117" s="5" t="s">
        <v>156</v>
      </c>
      <c r="Z117" s="155">
        <v>54000</v>
      </c>
      <c r="AA117" s="164">
        <v>1</v>
      </c>
      <c r="AB117" s="174">
        <v>101</v>
      </c>
      <c r="AD117" s="155">
        <v>54.54</v>
      </c>
      <c r="AG117" s="3" t="s">
        <v>36</v>
      </c>
      <c r="AH117" s="166">
        <v>1.84E-4</v>
      </c>
      <c r="AI117" s="166">
        <v>4.2467400948983103E-3</v>
      </c>
      <c r="AJ117" s="166">
        <v>6.5160187376903599E-4</v>
      </c>
    </row>
    <row r="118" spans="1:36">
      <c r="A118" s="3">
        <v>161</v>
      </c>
      <c r="B118" s="3">
        <v>9938</v>
      </c>
      <c r="C118" s="3" t="s">
        <v>285</v>
      </c>
      <c r="D118" s="3" t="s">
        <v>286</v>
      </c>
      <c r="E118" s="5" t="s">
        <v>149</v>
      </c>
      <c r="F118" s="3" t="s">
        <v>287</v>
      </c>
      <c r="G118" s="3" t="s">
        <v>288</v>
      </c>
      <c r="H118" s="3" t="s">
        <v>152</v>
      </c>
      <c r="I118" s="3" t="s">
        <v>166</v>
      </c>
      <c r="J118" s="3" t="s">
        <v>30</v>
      </c>
      <c r="K118" s="3" t="s">
        <v>30</v>
      </c>
      <c r="L118" s="3" t="s">
        <v>154</v>
      </c>
      <c r="M118" s="3" t="s">
        <v>31</v>
      </c>
      <c r="N118" s="3" t="s">
        <v>231</v>
      </c>
      <c r="O118" s="3" t="s">
        <v>156</v>
      </c>
      <c r="P118" s="3" t="s">
        <v>246</v>
      </c>
      <c r="Q118" s="3" t="s">
        <v>169</v>
      </c>
      <c r="R118" s="3" t="s">
        <v>159</v>
      </c>
      <c r="S118" s="3" t="s">
        <v>34</v>
      </c>
      <c r="T118" s="155">
        <v>0.4</v>
      </c>
      <c r="U118" s="3" t="s">
        <v>289</v>
      </c>
      <c r="V118" s="166">
        <v>4.4999999999999998E-2</v>
      </c>
      <c r="W118" s="166">
        <v>5.4760000000000003E-2</v>
      </c>
      <c r="X118" s="5" t="s">
        <v>161</v>
      </c>
      <c r="Y118" s="5" t="s">
        <v>156</v>
      </c>
      <c r="Z118" s="155">
        <v>30500</v>
      </c>
      <c r="AA118" s="164">
        <v>1</v>
      </c>
      <c r="AB118" s="174">
        <v>120.41</v>
      </c>
      <c r="AD118" s="155">
        <v>36.725000000000001</v>
      </c>
      <c r="AG118" s="3" t="s">
        <v>36</v>
      </c>
      <c r="AH118" s="166">
        <v>2.0999999999999999E-5</v>
      </c>
      <c r="AI118" s="166">
        <v>2.8595845676960998E-3</v>
      </c>
      <c r="AJ118" s="166">
        <v>4.3876258515331001E-4</v>
      </c>
    </row>
    <row r="119" spans="1:36">
      <c r="A119" s="3">
        <v>161</v>
      </c>
      <c r="B119" s="3">
        <v>9938</v>
      </c>
      <c r="C119" s="3" t="s">
        <v>285</v>
      </c>
      <c r="D119" s="3" t="s">
        <v>286</v>
      </c>
      <c r="E119" s="5" t="s">
        <v>149</v>
      </c>
      <c r="F119" s="3" t="s">
        <v>293</v>
      </c>
      <c r="G119" s="3" t="s">
        <v>294</v>
      </c>
      <c r="H119" s="3" t="s">
        <v>152</v>
      </c>
      <c r="I119" s="3" t="s">
        <v>166</v>
      </c>
      <c r="J119" s="3" t="s">
        <v>30</v>
      </c>
      <c r="K119" s="3" t="s">
        <v>30</v>
      </c>
      <c r="L119" s="3" t="s">
        <v>154</v>
      </c>
      <c r="M119" s="3" t="s">
        <v>31</v>
      </c>
      <c r="N119" s="3" t="s">
        <v>231</v>
      </c>
      <c r="O119" s="3" t="s">
        <v>156</v>
      </c>
      <c r="P119" s="3" t="s">
        <v>246</v>
      </c>
      <c r="Q119" s="3" t="s">
        <v>169</v>
      </c>
      <c r="R119" s="3" t="s">
        <v>159</v>
      </c>
      <c r="S119" s="3" t="s">
        <v>34</v>
      </c>
      <c r="T119" s="155">
        <v>4.915</v>
      </c>
      <c r="U119" s="3" t="s">
        <v>295</v>
      </c>
      <c r="V119" s="166">
        <v>2.3900000000000001E-2</v>
      </c>
      <c r="W119" s="166">
        <v>2.6040000000000001E-2</v>
      </c>
      <c r="X119" s="5" t="s">
        <v>161</v>
      </c>
      <c r="Y119" s="5" t="s">
        <v>156</v>
      </c>
      <c r="Z119" s="155">
        <v>110000</v>
      </c>
      <c r="AA119" s="164">
        <v>1</v>
      </c>
      <c r="AB119" s="174">
        <v>117.27</v>
      </c>
      <c r="AD119" s="155">
        <v>128.99700000000001</v>
      </c>
      <c r="AG119" s="3" t="s">
        <v>36</v>
      </c>
      <c r="AH119" s="166">
        <v>2.8E-5</v>
      </c>
      <c r="AI119" s="166">
        <v>1.00443111848478E-2</v>
      </c>
      <c r="AJ119" s="166">
        <v>1.54115670903162E-3</v>
      </c>
    </row>
    <row r="120" spans="1:36">
      <c r="A120" s="3">
        <v>161</v>
      </c>
      <c r="B120" s="3">
        <v>9938</v>
      </c>
      <c r="C120" s="3" t="s">
        <v>285</v>
      </c>
      <c r="D120" s="3" t="s">
        <v>286</v>
      </c>
      <c r="E120" s="5" t="s">
        <v>149</v>
      </c>
      <c r="F120" s="3" t="s">
        <v>296</v>
      </c>
      <c r="G120" s="3" t="s">
        <v>297</v>
      </c>
      <c r="H120" s="3" t="s">
        <v>152</v>
      </c>
      <c r="I120" s="3" t="s">
        <v>166</v>
      </c>
      <c r="J120" s="3" t="s">
        <v>30</v>
      </c>
      <c r="K120" s="3" t="s">
        <v>30</v>
      </c>
      <c r="L120" s="3" t="s">
        <v>154</v>
      </c>
      <c r="M120" s="3" t="s">
        <v>31</v>
      </c>
      <c r="N120" s="3" t="s">
        <v>231</v>
      </c>
      <c r="O120" s="3" t="s">
        <v>156</v>
      </c>
      <c r="P120" s="3" t="s">
        <v>246</v>
      </c>
      <c r="Q120" s="3" t="s">
        <v>169</v>
      </c>
      <c r="R120" s="3" t="s">
        <v>159</v>
      </c>
      <c r="S120" s="3" t="s">
        <v>34</v>
      </c>
      <c r="T120" s="155">
        <v>6.8730000000000002</v>
      </c>
      <c r="U120" s="3" t="s">
        <v>298</v>
      </c>
      <c r="V120" s="166">
        <v>0.03</v>
      </c>
      <c r="W120" s="166">
        <v>2.632E-2</v>
      </c>
      <c r="X120" s="5" t="s">
        <v>161</v>
      </c>
      <c r="Y120" s="5" t="s">
        <v>156</v>
      </c>
      <c r="Z120" s="155">
        <v>120000</v>
      </c>
      <c r="AA120" s="164">
        <v>1</v>
      </c>
      <c r="AB120" s="174">
        <v>111.48</v>
      </c>
      <c r="AD120" s="155">
        <v>133.77600000000001</v>
      </c>
      <c r="AG120" s="3" t="s">
        <v>36</v>
      </c>
      <c r="AH120" s="166">
        <v>2.9E-5</v>
      </c>
      <c r="AI120" s="166">
        <v>1.04164265297968E-2</v>
      </c>
      <c r="AJ120" s="166">
        <v>1.5982525167826599E-3</v>
      </c>
    </row>
    <row r="121" spans="1:36">
      <c r="A121" s="3">
        <v>161</v>
      </c>
      <c r="B121" s="3">
        <v>9938</v>
      </c>
      <c r="C121" s="3" t="s">
        <v>299</v>
      </c>
      <c r="D121" s="3" t="s">
        <v>300</v>
      </c>
      <c r="E121" s="5" t="s">
        <v>149</v>
      </c>
      <c r="F121" s="3" t="s">
        <v>301</v>
      </c>
      <c r="G121" s="3" t="s">
        <v>302</v>
      </c>
      <c r="H121" s="3" t="s">
        <v>152</v>
      </c>
      <c r="I121" s="3" t="s">
        <v>166</v>
      </c>
      <c r="J121" s="3" t="s">
        <v>30</v>
      </c>
      <c r="K121" s="3" t="s">
        <v>30</v>
      </c>
      <c r="L121" s="3" t="s">
        <v>154</v>
      </c>
      <c r="M121" s="3" t="s">
        <v>31</v>
      </c>
      <c r="N121" s="3" t="s">
        <v>303</v>
      </c>
      <c r="O121" s="3" t="s">
        <v>156</v>
      </c>
      <c r="P121" s="3" t="s">
        <v>185</v>
      </c>
      <c r="Q121" s="3" t="s">
        <v>169</v>
      </c>
      <c r="R121" s="3" t="s">
        <v>159</v>
      </c>
      <c r="S121" s="3" t="s">
        <v>34</v>
      </c>
      <c r="T121" s="155">
        <v>0.95499999999999996</v>
      </c>
      <c r="U121" s="3" t="s">
        <v>304</v>
      </c>
      <c r="V121" s="166">
        <v>1.0500000000000001E-2</v>
      </c>
      <c r="W121" s="166">
        <v>3.5189999999999999E-2</v>
      </c>
      <c r="X121" s="5" t="s">
        <v>161</v>
      </c>
      <c r="Y121" s="5" t="s">
        <v>156</v>
      </c>
      <c r="Z121" s="155">
        <v>73333.33</v>
      </c>
      <c r="AA121" s="164">
        <v>1</v>
      </c>
      <c r="AB121" s="174">
        <v>115.19</v>
      </c>
      <c r="AD121" s="155">
        <v>84.472999999999999</v>
      </c>
      <c r="AG121" s="3" t="s">
        <v>36</v>
      </c>
      <c r="AH121" s="166">
        <v>2.0000000000000001E-4</v>
      </c>
      <c r="AI121" s="166">
        <v>6.57743755317651E-3</v>
      </c>
      <c r="AJ121" s="166">
        <v>1.00921425339811E-3</v>
      </c>
    </row>
    <row r="122" spans="1:36">
      <c r="A122" s="3">
        <v>161</v>
      </c>
      <c r="B122" s="3">
        <v>9938</v>
      </c>
      <c r="C122" s="3" t="s">
        <v>299</v>
      </c>
      <c r="D122" s="3" t="s">
        <v>300</v>
      </c>
      <c r="E122" s="5" t="s">
        <v>149</v>
      </c>
      <c r="F122" s="3" t="s">
        <v>305</v>
      </c>
      <c r="G122" s="3" t="s">
        <v>306</v>
      </c>
      <c r="H122" s="3" t="s">
        <v>152</v>
      </c>
      <c r="I122" s="3" t="s">
        <v>153</v>
      </c>
      <c r="J122" s="3" t="s">
        <v>30</v>
      </c>
      <c r="K122" s="3" t="s">
        <v>30</v>
      </c>
      <c r="L122" s="3" t="s">
        <v>154</v>
      </c>
      <c r="M122" s="3" t="s">
        <v>31</v>
      </c>
      <c r="N122" s="3" t="s">
        <v>303</v>
      </c>
      <c r="O122" s="3" t="s">
        <v>156</v>
      </c>
      <c r="P122" s="3" t="s">
        <v>185</v>
      </c>
      <c r="Q122" s="3" t="s">
        <v>169</v>
      </c>
      <c r="R122" s="3" t="s">
        <v>159</v>
      </c>
      <c r="S122" s="3" t="s">
        <v>34</v>
      </c>
      <c r="T122" s="155">
        <v>1.651</v>
      </c>
      <c r="U122" s="3" t="s">
        <v>307</v>
      </c>
      <c r="V122" s="166">
        <v>2.18E-2</v>
      </c>
      <c r="W122" s="166">
        <v>4.9270000000000001E-2</v>
      </c>
      <c r="X122" s="5" t="s">
        <v>161</v>
      </c>
      <c r="Y122" s="5" t="s">
        <v>156</v>
      </c>
      <c r="Z122" s="155">
        <v>108888.89</v>
      </c>
      <c r="AA122" s="164">
        <v>1</v>
      </c>
      <c r="AB122" s="174">
        <v>96.03</v>
      </c>
      <c r="AD122" s="155">
        <v>104.566</v>
      </c>
      <c r="AG122" s="3" t="s">
        <v>36</v>
      </c>
      <c r="AH122" s="166">
        <v>4.0900000000000002E-4</v>
      </c>
      <c r="AI122" s="166">
        <v>8.1419990703045196E-3</v>
      </c>
      <c r="AJ122" s="166">
        <v>1.24927396823968E-3</v>
      </c>
    </row>
    <row r="123" spans="1:36">
      <c r="A123" s="3">
        <v>161</v>
      </c>
      <c r="B123" s="3">
        <v>9938</v>
      </c>
      <c r="C123" s="3" t="s">
        <v>299</v>
      </c>
      <c r="D123" s="3" t="s">
        <v>300</v>
      </c>
      <c r="E123" s="5" t="s">
        <v>149</v>
      </c>
      <c r="F123" s="3" t="s">
        <v>533</v>
      </c>
      <c r="G123" s="3" t="s">
        <v>534</v>
      </c>
      <c r="H123" s="3" t="s">
        <v>152</v>
      </c>
      <c r="I123" s="3" t="s">
        <v>153</v>
      </c>
      <c r="J123" s="3" t="s">
        <v>30</v>
      </c>
      <c r="K123" s="3" t="s">
        <v>30</v>
      </c>
      <c r="L123" s="3" t="s">
        <v>154</v>
      </c>
      <c r="M123" s="3" t="s">
        <v>31</v>
      </c>
      <c r="N123" s="3" t="s">
        <v>303</v>
      </c>
      <c r="O123" s="3" t="s">
        <v>156</v>
      </c>
      <c r="P123" s="3" t="s">
        <v>185</v>
      </c>
      <c r="Q123" s="3" t="s">
        <v>169</v>
      </c>
      <c r="R123" s="3" t="s">
        <v>159</v>
      </c>
      <c r="S123" s="3" t="s">
        <v>34</v>
      </c>
      <c r="T123" s="155">
        <v>2.4969999999999999</v>
      </c>
      <c r="U123" s="3" t="s">
        <v>535</v>
      </c>
      <c r="V123" s="166">
        <v>4.6800000000000001E-2</v>
      </c>
      <c r="W123" s="166">
        <v>4.9529999999999998E-2</v>
      </c>
      <c r="X123" s="5" t="s">
        <v>161</v>
      </c>
      <c r="Y123" s="5" t="s">
        <v>156</v>
      </c>
      <c r="Z123" s="155">
        <v>135384.60999999999</v>
      </c>
      <c r="AA123" s="164">
        <v>1</v>
      </c>
      <c r="AB123" s="174">
        <v>100.26</v>
      </c>
      <c r="AD123" s="155">
        <v>135.73699999999999</v>
      </c>
      <c r="AG123" s="3" t="s">
        <v>36</v>
      </c>
      <c r="AH123" s="166">
        <v>3.8099999999999999E-4</v>
      </c>
      <c r="AI123" s="166">
        <v>1.0569088815055401E-2</v>
      </c>
      <c r="AJ123" s="166">
        <v>1.6216763734128001E-3</v>
      </c>
    </row>
    <row r="124" spans="1:36">
      <c r="A124" s="3">
        <v>161</v>
      </c>
      <c r="B124" s="3">
        <v>9938</v>
      </c>
      <c r="C124" s="3" t="s">
        <v>308</v>
      </c>
      <c r="D124" s="3" t="s">
        <v>309</v>
      </c>
      <c r="E124" s="5" t="s">
        <v>149</v>
      </c>
      <c r="F124" s="3" t="s">
        <v>310</v>
      </c>
      <c r="G124" s="3" t="s">
        <v>311</v>
      </c>
      <c r="H124" s="3" t="s">
        <v>152</v>
      </c>
      <c r="I124" s="3" t="s">
        <v>166</v>
      </c>
      <c r="J124" s="3" t="s">
        <v>30</v>
      </c>
      <c r="K124" s="3" t="s">
        <v>30</v>
      </c>
      <c r="L124" s="3" t="s">
        <v>154</v>
      </c>
      <c r="M124" s="3" t="s">
        <v>31</v>
      </c>
      <c r="N124" s="3" t="s">
        <v>167</v>
      </c>
      <c r="O124" s="3" t="s">
        <v>156</v>
      </c>
      <c r="P124" s="3" t="s">
        <v>168</v>
      </c>
      <c r="Q124" s="3" t="s">
        <v>169</v>
      </c>
      <c r="R124" s="3" t="s">
        <v>159</v>
      </c>
      <c r="S124" s="3" t="s">
        <v>34</v>
      </c>
      <c r="T124" s="155">
        <v>1.494</v>
      </c>
      <c r="U124" s="3" t="s">
        <v>312</v>
      </c>
      <c r="V124" s="166">
        <v>1.5800000000000002E-2</v>
      </c>
      <c r="W124" s="166">
        <v>3.048E-2</v>
      </c>
      <c r="X124" s="5" t="s">
        <v>161</v>
      </c>
      <c r="Y124" s="5" t="s">
        <v>156</v>
      </c>
      <c r="Z124" s="155">
        <v>40702.36</v>
      </c>
      <c r="AA124" s="164">
        <v>1</v>
      </c>
      <c r="AB124" s="174">
        <v>118.01</v>
      </c>
      <c r="AD124" s="155">
        <v>48.033000000000001</v>
      </c>
      <c r="AG124" s="3" t="s">
        <v>36</v>
      </c>
      <c r="AH124" s="166">
        <v>1.03E-4</v>
      </c>
      <c r="AI124" s="166">
        <v>3.74006328114814E-3</v>
      </c>
      <c r="AJ124" s="166">
        <v>5.7385952225768395E-4</v>
      </c>
    </row>
    <row r="125" spans="1:36">
      <c r="A125" s="3">
        <v>161</v>
      </c>
      <c r="B125" s="3">
        <v>9938</v>
      </c>
      <c r="C125" s="3" t="s">
        <v>308</v>
      </c>
      <c r="D125" s="3" t="s">
        <v>309</v>
      </c>
      <c r="E125" s="5" t="s">
        <v>149</v>
      </c>
      <c r="F125" s="3" t="s">
        <v>313</v>
      </c>
      <c r="G125" s="3" t="s">
        <v>314</v>
      </c>
      <c r="H125" s="3" t="s">
        <v>152</v>
      </c>
      <c r="I125" s="3" t="s">
        <v>166</v>
      </c>
      <c r="J125" s="3" t="s">
        <v>30</v>
      </c>
      <c r="K125" s="3" t="s">
        <v>30</v>
      </c>
      <c r="L125" s="3" t="s">
        <v>154</v>
      </c>
      <c r="M125" s="3" t="s">
        <v>31</v>
      </c>
      <c r="N125" s="3" t="s">
        <v>167</v>
      </c>
      <c r="O125" s="3" t="s">
        <v>156</v>
      </c>
      <c r="P125" s="3" t="s">
        <v>168</v>
      </c>
      <c r="Q125" s="3" t="s">
        <v>169</v>
      </c>
      <c r="R125" s="3" t="s">
        <v>159</v>
      </c>
      <c r="S125" s="3" t="s">
        <v>34</v>
      </c>
      <c r="T125" s="155">
        <v>4.1360000000000001</v>
      </c>
      <c r="U125" s="3" t="s">
        <v>315</v>
      </c>
      <c r="V125" s="166">
        <v>8.3999999999999995E-3</v>
      </c>
      <c r="W125" s="166">
        <v>2.7830000000000001E-2</v>
      </c>
      <c r="X125" s="5" t="s">
        <v>161</v>
      </c>
      <c r="Y125" s="5" t="s">
        <v>156</v>
      </c>
      <c r="Z125" s="155">
        <v>105549.46</v>
      </c>
      <c r="AA125" s="164">
        <v>1</v>
      </c>
      <c r="AB125" s="174">
        <v>109.55</v>
      </c>
      <c r="AD125" s="155">
        <v>115.629</v>
      </c>
      <c r="AG125" s="3" t="s">
        <v>36</v>
      </c>
      <c r="AH125" s="166">
        <v>1.3799999999999999E-4</v>
      </c>
      <c r="AI125" s="166">
        <v>9.0034497817667002E-3</v>
      </c>
      <c r="AJ125" s="166">
        <v>1.3814513290399701E-3</v>
      </c>
    </row>
    <row r="126" spans="1:36">
      <c r="A126" s="3">
        <v>161</v>
      </c>
      <c r="B126" s="3">
        <v>9938</v>
      </c>
      <c r="C126" s="3" t="s">
        <v>536</v>
      </c>
      <c r="D126" s="3" t="s">
        <v>537</v>
      </c>
      <c r="E126" s="5" t="s">
        <v>149</v>
      </c>
      <c r="F126" s="3" t="s">
        <v>538</v>
      </c>
      <c r="G126" s="3" t="s">
        <v>539</v>
      </c>
      <c r="H126" s="3" t="s">
        <v>152</v>
      </c>
      <c r="I126" s="3" t="s">
        <v>153</v>
      </c>
      <c r="J126" s="3" t="s">
        <v>30</v>
      </c>
      <c r="K126" s="3" t="s">
        <v>30</v>
      </c>
      <c r="L126" s="3" t="s">
        <v>154</v>
      </c>
      <c r="M126" s="3" t="s">
        <v>31</v>
      </c>
      <c r="N126" s="3" t="s">
        <v>155</v>
      </c>
      <c r="O126" s="3" t="s">
        <v>156</v>
      </c>
      <c r="P126" s="3" t="s">
        <v>185</v>
      </c>
      <c r="Q126" s="3" t="s">
        <v>169</v>
      </c>
      <c r="R126" s="3" t="s">
        <v>159</v>
      </c>
      <c r="S126" s="3" t="s">
        <v>34</v>
      </c>
      <c r="T126" s="155">
        <v>2.2650000000000001</v>
      </c>
      <c r="U126" s="3" t="s">
        <v>540</v>
      </c>
      <c r="V126" s="166">
        <v>4.7E-2</v>
      </c>
      <c r="W126" s="166">
        <v>4.6940000000000003E-2</v>
      </c>
      <c r="X126" s="5" t="s">
        <v>161</v>
      </c>
      <c r="Y126" s="5" t="s">
        <v>156</v>
      </c>
      <c r="Z126" s="155">
        <v>122144.38</v>
      </c>
      <c r="AA126" s="164">
        <v>1</v>
      </c>
      <c r="AB126" s="174">
        <v>102.82</v>
      </c>
      <c r="AD126" s="155">
        <v>125.589</v>
      </c>
      <c r="AG126" s="3" t="s">
        <v>36</v>
      </c>
      <c r="AH126" s="166">
        <v>2.22E-4</v>
      </c>
      <c r="AI126" s="166">
        <v>9.7789367657724197E-3</v>
      </c>
      <c r="AJ126" s="166">
        <v>1.50043877837049E-3</v>
      </c>
    </row>
    <row r="127" spans="1:36">
      <c r="A127" s="3">
        <v>161</v>
      </c>
      <c r="B127" s="3">
        <v>9938</v>
      </c>
      <c r="C127" s="3" t="s">
        <v>316</v>
      </c>
      <c r="D127" s="3" t="s">
        <v>317</v>
      </c>
      <c r="E127" s="5" t="s">
        <v>149</v>
      </c>
      <c r="F127" s="3" t="s">
        <v>541</v>
      </c>
      <c r="G127" s="3" t="s">
        <v>542</v>
      </c>
      <c r="H127" s="3" t="s">
        <v>152</v>
      </c>
      <c r="I127" s="3" t="s">
        <v>153</v>
      </c>
      <c r="J127" s="3" t="s">
        <v>30</v>
      </c>
      <c r="K127" s="3" t="s">
        <v>30</v>
      </c>
      <c r="L127" s="3" t="s">
        <v>154</v>
      </c>
      <c r="M127" s="3" t="s">
        <v>31</v>
      </c>
      <c r="N127" s="3" t="s">
        <v>155</v>
      </c>
      <c r="O127" s="3" t="s">
        <v>156</v>
      </c>
      <c r="P127" s="3" t="s">
        <v>185</v>
      </c>
      <c r="Q127" s="3" t="s">
        <v>169</v>
      </c>
      <c r="R127" s="3" t="s">
        <v>159</v>
      </c>
      <c r="S127" s="3" t="s">
        <v>34</v>
      </c>
      <c r="T127" s="155">
        <v>8.4480000000000004</v>
      </c>
      <c r="U127" s="3" t="s">
        <v>543</v>
      </c>
      <c r="V127" s="166">
        <v>5.5100000000000003E-2</v>
      </c>
      <c r="W127" s="166">
        <v>5.0360000000000002E-2</v>
      </c>
      <c r="X127" s="5" t="s">
        <v>161</v>
      </c>
      <c r="Y127" s="5" t="s">
        <v>156</v>
      </c>
      <c r="Z127" s="155">
        <v>150000</v>
      </c>
      <c r="AA127" s="164">
        <v>1</v>
      </c>
      <c r="AB127" s="174">
        <v>104.55</v>
      </c>
      <c r="AD127" s="155">
        <v>156.82499999999999</v>
      </c>
      <c r="AG127" s="3" t="s">
        <v>36</v>
      </c>
      <c r="AH127" s="166">
        <v>2.9999999999999997E-4</v>
      </c>
      <c r="AI127" s="166">
        <v>1.22111297283173E-2</v>
      </c>
      <c r="AJ127" s="166">
        <v>1.8736241997401701E-3</v>
      </c>
    </row>
    <row r="128" spans="1:36">
      <c r="A128" s="3">
        <v>161</v>
      </c>
      <c r="B128" s="3">
        <v>9938</v>
      </c>
      <c r="C128" s="3" t="s">
        <v>316</v>
      </c>
      <c r="D128" s="3" t="s">
        <v>317</v>
      </c>
      <c r="E128" s="5" t="s">
        <v>149</v>
      </c>
      <c r="F128" s="3" t="s">
        <v>318</v>
      </c>
      <c r="G128" s="3" t="s">
        <v>319</v>
      </c>
      <c r="H128" s="3" t="s">
        <v>152</v>
      </c>
      <c r="I128" s="3" t="s">
        <v>153</v>
      </c>
      <c r="J128" s="3" t="s">
        <v>30</v>
      </c>
      <c r="K128" s="3" t="s">
        <v>30</v>
      </c>
      <c r="L128" s="3" t="s">
        <v>154</v>
      </c>
      <c r="M128" s="3" t="s">
        <v>31</v>
      </c>
      <c r="N128" s="3" t="s">
        <v>155</v>
      </c>
      <c r="O128" s="3" t="s">
        <v>156</v>
      </c>
      <c r="P128" s="3" t="s">
        <v>185</v>
      </c>
      <c r="Q128" s="3" t="s">
        <v>169</v>
      </c>
      <c r="R128" s="3" t="s">
        <v>159</v>
      </c>
      <c r="S128" s="3" t="s">
        <v>34</v>
      </c>
      <c r="T128" s="155">
        <v>5.9889999999999999</v>
      </c>
      <c r="U128" s="3" t="s">
        <v>320</v>
      </c>
      <c r="V128" s="166">
        <v>2.5000000000000001E-2</v>
      </c>
      <c r="W128" s="166">
        <v>4.7199999999999999E-2</v>
      </c>
      <c r="X128" s="5" t="s">
        <v>161</v>
      </c>
      <c r="Y128" s="5" t="s">
        <v>156</v>
      </c>
      <c r="Z128" s="155">
        <v>80000</v>
      </c>
      <c r="AA128" s="164">
        <v>1</v>
      </c>
      <c r="AB128" s="174">
        <v>88.03</v>
      </c>
      <c r="AD128" s="155">
        <v>70.424000000000007</v>
      </c>
      <c r="AG128" s="3" t="s">
        <v>36</v>
      </c>
      <c r="AH128" s="166">
        <v>6.0000000000000002E-5</v>
      </c>
      <c r="AI128" s="166">
        <v>5.4835428024040799E-3</v>
      </c>
      <c r="AJ128" s="166">
        <v>8.41371660401734E-4</v>
      </c>
    </row>
    <row r="129" spans="1:36">
      <c r="A129" s="3">
        <v>161</v>
      </c>
      <c r="B129" s="3">
        <v>9938</v>
      </c>
      <c r="C129" s="3" t="s">
        <v>321</v>
      </c>
      <c r="D129" s="3" t="s">
        <v>322</v>
      </c>
      <c r="E129" s="5" t="s">
        <v>149</v>
      </c>
      <c r="F129" s="3" t="s">
        <v>323</v>
      </c>
      <c r="G129" s="3" t="s">
        <v>324</v>
      </c>
      <c r="H129" s="3" t="s">
        <v>152</v>
      </c>
      <c r="I129" s="3" t="s">
        <v>166</v>
      </c>
      <c r="J129" s="3" t="s">
        <v>30</v>
      </c>
      <c r="K129" s="3" t="s">
        <v>30</v>
      </c>
      <c r="L129" s="3" t="s">
        <v>154</v>
      </c>
      <c r="M129" s="3" t="s">
        <v>31</v>
      </c>
      <c r="N129" s="3" t="s">
        <v>245</v>
      </c>
      <c r="O129" s="3" t="s">
        <v>156</v>
      </c>
      <c r="P129" s="3" t="s">
        <v>246</v>
      </c>
      <c r="Q129" s="3" t="s">
        <v>169</v>
      </c>
      <c r="R129" s="3" t="s">
        <v>159</v>
      </c>
      <c r="S129" s="3" t="s">
        <v>34</v>
      </c>
      <c r="T129" s="155">
        <v>2.0939999999999999</v>
      </c>
      <c r="U129" s="3" t="s">
        <v>325</v>
      </c>
      <c r="V129" s="166">
        <v>1.8599999999999998E-2</v>
      </c>
      <c r="W129" s="166">
        <v>2.5940000000000001E-2</v>
      </c>
      <c r="X129" s="5" t="s">
        <v>161</v>
      </c>
      <c r="Y129" s="5" t="s">
        <v>156</v>
      </c>
      <c r="Z129" s="155">
        <v>67200</v>
      </c>
      <c r="AA129" s="164">
        <v>1</v>
      </c>
      <c r="AB129" s="174">
        <v>105.1</v>
      </c>
      <c r="AD129" s="155">
        <v>70.626999999999995</v>
      </c>
      <c r="AG129" s="3" t="s">
        <v>36</v>
      </c>
      <c r="AH129" s="166">
        <v>2.5999999999999998E-5</v>
      </c>
      <c r="AI129" s="166">
        <v>5.49936490704807E-3</v>
      </c>
      <c r="AJ129" s="166">
        <v>8.4379933734984305E-4</v>
      </c>
    </row>
    <row r="130" spans="1:36">
      <c r="A130" s="3">
        <v>161</v>
      </c>
      <c r="B130" s="3">
        <v>9938</v>
      </c>
      <c r="C130" s="3" t="s">
        <v>321</v>
      </c>
      <c r="D130" s="3" t="s">
        <v>322</v>
      </c>
      <c r="E130" s="5" t="s">
        <v>149</v>
      </c>
      <c r="F130" s="3" t="s">
        <v>326</v>
      </c>
      <c r="G130" s="3" t="s">
        <v>327</v>
      </c>
      <c r="H130" s="3" t="s">
        <v>152</v>
      </c>
      <c r="I130" s="3" t="s">
        <v>166</v>
      </c>
      <c r="J130" s="3" t="s">
        <v>30</v>
      </c>
      <c r="K130" s="3" t="s">
        <v>30</v>
      </c>
      <c r="L130" s="3" t="s">
        <v>154</v>
      </c>
      <c r="M130" s="3" t="s">
        <v>31</v>
      </c>
      <c r="N130" s="3" t="s">
        <v>245</v>
      </c>
      <c r="O130" s="3" t="s">
        <v>156</v>
      </c>
      <c r="P130" s="3" t="s">
        <v>246</v>
      </c>
      <c r="Q130" s="3" t="s">
        <v>169</v>
      </c>
      <c r="R130" s="3" t="s">
        <v>159</v>
      </c>
      <c r="S130" s="3" t="s">
        <v>34</v>
      </c>
      <c r="T130" s="155">
        <v>0.73199999999999998</v>
      </c>
      <c r="U130" s="3" t="s">
        <v>328</v>
      </c>
      <c r="V130" s="166">
        <v>8.3000000000000001E-3</v>
      </c>
      <c r="W130" s="166">
        <v>3.2770000000000001E-2</v>
      </c>
      <c r="X130" s="5" t="s">
        <v>161</v>
      </c>
      <c r="Y130" s="5" t="s">
        <v>156</v>
      </c>
      <c r="Z130" s="155">
        <v>212051.5</v>
      </c>
      <c r="AA130" s="164">
        <v>1</v>
      </c>
      <c r="AB130" s="174">
        <v>116.83</v>
      </c>
      <c r="AD130" s="155">
        <v>247.74</v>
      </c>
      <c r="AG130" s="3" t="s">
        <v>36</v>
      </c>
      <c r="AH130" s="166">
        <v>1.3899999999999999E-4</v>
      </c>
      <c r="AI130" s="166">
        <v>1.9290179749371101E-2</v>
      </c>
      <c r="AJ130" s="166">
        <v>2.9598037527965699E-3</v>
      </c>
    </row>
    <row r="131" spans="1:36">
      <c r="A131" s="3">
        <v>161</v>
      </c>
      <c r="B131" s="3">
        <v>9938</v>
      </c>
      <c r="C131" s="3" t="s">
        <v>321</v>
      </c>
      <c r="D131" s="3" t="s">
        <v>322</v>
      </c>
      <c r="E131" s="5" t="s">
        <v>149</v>
      </c>
      <c r="F131" s="3" t="s">
        <v>329</v>
      </c>
      <c r="G131" s="3" t="s">
        <v>330</v>
      </c>
      <c r="H131" s="3" t="s">
        <v>152</v>
      </c>
      <c r="I131" s="3" t="s">
        <v>166</v>
      </c>
      <c r="J131" s="3" t="s">
        <v>30</v>
      </c>
      <c r="K131" s="3" t="s">
        <v>30</v>
      </c>
      <c r="L131" s="3" t="s">
        <v>154</v>
      </c>
      <c r="M131" s="3" t="s">
        <v>31</v>
      </c>
      <c r="N131" s="3" t="s">
        <v>245</v>
      </c>
      <c r="O131" s="3" t="s">
        <v>156</v>
      </c>
      <c r="P131" s="3" t="s">
        <v>246</v>
      </c>
      <c r="Q131" s="3" t="s">
        <v>169</v>
      </c>
      <c r="R131" s="3" t="s">
        <v>159</v>
      </c>
      <c r="S131" s="3" t="s">
        <v>34</v>
      </c>
      <c r="T131" s="155">
        <v>2.1339999999999999</v>
      </c>
      <c r="U131" s="3" t="s">
        <v>331</v>
      </c>
      <c r="V131" s="166">
        <v>1E-3</v>
      </c>
      <c r="W131" s="166">
        <v>2.5329999999999998E-2</v>
      </c>
      <c r="X131" s="5" t="s">
        <v>161</v>
      </c>
      <c r="Y131" s="5" t="s">
        <v>156</v>
      </c>
      <c r="Z131" s="155">
        <v>85000</v>
      </c>
      <c r="AA131" s="164">
        <v>1</v>
      </c>
      <c r="AB131" s="174">
        <v>110.05</v>
      </c>
      <c r="AD131" s="155">
        <v>93.543000000000006</v>
      </c>
      <c r="AG131" s="3" t="s">
        <v>36</v>
      </c>
      <c r="AH131" s="166">
        <v>2.6999999999999999E-5</v>
      </c>
      <c r="AI131" s="166">
        <v>7.2836575967551399E-3</v>
      </c>
      <c r="AJ131" s="166">
        <v>1.1175736757799799E-3</v>
      </c>
    </row>
    <row r="132" spans="1:36">
      <c r="A132" s="3">
        <v>161</v>
      </c>
      <c r="B132" s="3">
        <v>9938</v>
      </c>
      <c r="C132" s="3" t="s">
        <v>321</v>
      </c>
      <c r="D132" s="3" t="s">
        <v>322</v>
      </c>
      <c r="E132" s="5" t="s">
        <v>149</v>
      </c>
      <c r="F132" s="3" t="s">
        <v>332</v>
      </c>
      <c r="G132" s="3" t="s">
        <v>333</v>
      </c>
      <c r="H132" s="3" t="s">
        <v>152</v>
      </c>
      <c r="I132" s="3" t="s">
        <v>153</v>
      </c>
      <c r="J132" s="3" t="s">
        <v>30</v>
      </c>
      <c r="K132" s="3" t="s">
        <v>30</v>
      </c>
      <c r="L132" s="3" t="s">
        <v>154</v>
      </c>
      <c r="M132" s="3" t="s">
        <v>31</v>
      </c>
      <c r="N132" s="3" t="s">
        <v>245</v>
      </c>
      <c r="O132" s="3" t="s">
        <v>156</v>
      </c>
      <c r="P132" s="3" t="s">
        <v>246</v>
      </c>
      <c r="Q132" s="3" t="s">
        <v>169</v>
      </c>
      <c r="R132" s="3" t="s">
        <v>159</v>
      </c>
      <c r="S132" s="3" t="s">
        <v>34</v>
      </c>
      <c r="T132" s="155">
        <v>2.1890000000000001</v>
      </c>
      <c r="U132" s="3" t="s">
        <v>334</v>
      </c>
      <c r="V132" s="166">
        <v>2.76E-2</v>
      </c>
      <c r="W132" s="166">
        <v>4.4830000000000002E-2</v>
      </c>
      <c r="X132" s="5" t="s">
        <v>161</v>
      </c>
      <c r="Y132" s="5" t="s">
        <v>156</v>
      </c>
      <c r="Z132" s="155">
        <v>300000</v>
      </c>
      <c r="AA132" s="164">
        <v>1</v>
      </c>
      <c r="AB132" s="174">
        <v>97.55</v>
      </c>
      <c r="AD132" s="155">
        <v>292.64999999999998</v>
      </c>
      <c r="AG132" s="3" t="s">
        <v>36</v>
      </c>
      <c r="AH132" s="166">
        <v>1.3799999999999999E-4</v>
      </c>
      <c r="AI132" s="166">
        <v>2.2787101004253602E-2</v>
      </c>
      <c r="AJ132" s="166">
        <v>3.4963565888982101E-3</v>
      </c>
    </row>
    <row r="133" spans="1:36">
      <c r="A133" s="3">
        <v>161</v>
      </c>
      <c r="B133" s="3">
        <v>9938</v>
      </c>
      <c r="C133" s="3" t="s">
        <v>321</v>
      </c>
      <c r="D133" s="3" t="s">
        <v>322</v>
      </c>
      <c r="E133" s="5" t="s">
        <v>149</v>
      </c>
      <c r="F133" s="3" t="s">
        <v>335</v>
      </c>
      <c r="G133" s="3" t="s">
        <v>336</v>
      </c>
      <c r="H133" s="3" t="s">
        <v>152</v>
      </c>
      <c r="I133" s="3" t="s">
        <v>166</v>
      </c>
      <c r="J133" s="3" t="s">
        <v>30</v>
      </c>
      <c r="K133" s="3" t="s">
        <v>30</v>
      </c>
      <c r="L133" s="3" t="s">
        <v>154</v>
      </c>
      <c r="M133" s="3" t="s">
        <v>31</v>
      </c>
      <c r="N133" s="3" t="s">
        <v>245</v>
      </c>
      <c r="O133" s="3" t="s">
        <v>156</v>
      </c>
      <c r="P133" s="3" t="s">
        <v>246</v>
      </c>
      <c r="Q133" s="3" t="s">
        <v>169</v>
      </c>
      <c r="R133" s="3" t="s">
        <v>159</v>
      </c>
      <c r="S133" s="3" t="s">
        <v>34</v>
      </c>
      <c r="T133" s="155">
        <v>4.13</v>
      </c>
      <c r="U133" s="3" t="s">
        <v>337</v>
      </c>
      <c r="V133" s="166">
        <v>2.0199999999999999E-2</v>
      </c>
      <c r="W133" s="166">
        <v>2.5430000000000001E-2</v>
      </c>
      <c r="X133" s="5" t="s">
        <v>161</v>
      </c>
      <c r="Y133" s="5" t="s">
        <v>156</v>
      </c>
      <c r="Z133" s="155">
        <v>84000</v>
      </c>
      <c r="AA133" s="164">
        <v>1</v>
      </c>
      <c r="AB133" s="174">
        <v>105.02</v>
      </c>
      <c r="AD133" s="155">
        <v>88.216999999999999</v>
      </c>
      <c r="AG133" s="3" t="s">
        <v>36</v>
      </c>
      <c r="AH133" s="166">
        <v>2.4000000000000001E-5</v>
      </c>
      <c r="AI133" s="166">
        <v>6.8689736267624696E-3</v>
      </c>
      <c r="AJ133" s="166">
        <v>1.0539463178934399E-3</v>
      </c>
    </row>
    <row r="134" spans="1:36">
      <c r="A134" s="3">
        <v>161</v>
      </c>
      <c r="B134" s="3">
        <v>9938</v>
      </c>
      <c r="C134" s="3" t="s">
        <v>321</v>
      </c>
      <c r="D134" s="3" t="s">
        <v>322</v>
      </c>
      <c r="E134" s="5" t="s">
        <v>149</v>
      </c>
      <c r="F134" s="3" t="s">
        <v>338</v>
      </c>
      <c r="G134" s="3" t="s">
        <v>339</v>
      </c>
      <c r="H134" s="3" t="s">
        <v>152</v>
      </c>
      <c r="I134" s="3" t="s">
        <v>166</v>
      </c>
      <c r="J134" s="3" t="s">
        <v>30</v>
      </c>
      <c r="K134" s="3" t="s">
        <v>30</v>
      </c>
      <c r="L134" s="3" t="s">
        <v>154</v>
      </c>
      <c r="M134" s="3" t="s">
        <v>31</v>
      </c>
      <c r="N134" s="3" t="s">
        <v>245</v>
      </c>
      <c r="O134" s="3" t="s">
        <v>156</v>
      </c>
      <c r="P134" s="3" t="s">
        <v>246</v>
      </c>
      <c r="Q134" s="3" t="s">
        <v>169</v>
      </c>
      <c r="R134" s="3" t="s">
        <v>159</v>
      </c>
      <c r="S134" s="3" t="s">
        <v>34</v>
      </c>
      <c r="T134" s="155">
        <v>4.1289999999999996</v>
      </c>
      <c r="U134" s="3" t="s">
        <v>340</v>
      </c>
      <c r="V134" s="166">
        <v>1E-3</v>
      </c>
      <c r="W134" s="166">
        <v>2.5350000000000001E-2</v>
      </c>
      <c r="X134" s="5" t="s">
        <v>161</v>
      </c>
      <c r="Y134" s="5" t="s">
        <v>156</v>
      </c>
      <c r="Z134" s="155">
        <v>89000</v>
      </c>
      <c r="AA134" s="164">
        <v>1</v>
      </c>
      <c r="AB134" s="174">
        <v>104.89</v>
      </c>
      <c r="AD134" s="155">
        <v>93.352000000000004</v>
      </c>
      <c r="AG134" s="3" t="s">
        <v>36</v>
      </c>
      <c r="AH134" s="166">
        <v>2.0999999999999999E-5</v>
      </c>
      <c r="AI134" s="166">
        <v>7.2688321601202203E-3</v>
      </c>
      <c r="AJ134" s="166">
        <v>1.11529892336403E-3</v>
      </c>
    </row>
    <row r="135" spans="1:36">
      <c r="A135" s="3">
        <v>161</v>
      </c>
      <c r="B135" s="3">
        <v>9938</v>
      </c>
      <c r="C135" s="3" t="s">
        <v>321</v>
      </c>
      <c r="D135" s="3" t="s">
        <v>322</v>
      </c>
      <c r="E135" s="5" t="s">
        <v>149</v>
      </c>
      <c r="F135" s="3" t="s">
        <v>341</v>
      </c>
      <c r="G135" s="3" t="s">
        <v>342</v>
      </c>
      <c r="H135" s="3" t="s">
        <v>152</v>
      </c>
      <c r="I135" s="3" t="s">
        <v>153</v>
      </c>
      <c r="J135" s="3" t="s">
        <v>30</v>
      </c>
      <c r="K135" s="3" t="s">
        <v>30</v>
      </c>
      <c r="L135" s="3" t="s">
        <v>154</v>
      </c>
      <c r="M135" s="3" t="s">
        <v>31</v>
      </c>
      <c r="N135" s="3" t="s">
        <v>245</v>
      </c>
      <c r="O135" s="3" t="s">
        <v>156</v>
      </c>
      <c r="P135" s="3" t="s">
        <v>343</v>
      </c>
      <c r="Q135" s="3" t="s">
        <v>158</v>
      </c>
      <c r="R135" s="3" t="s">
        <v>159</v>
      </c>
      <c r="S135" s="3" t="s">
        <v>34</v>
      </c>
      <c r="T135" s="155">
        <v>5.7640000000000002</v>
      </c>
      <c r="U135" s="3" t="s">
        <v>344</v>
      </c>
      <c r="V135" s="166">
        <v>4.5900000000000003E-2</v>
      </c>
      <c r="W135" s="166">
        <v>4.548E-2</v>
      </c>
      <c r="X135" s="5" t="s">
        <v>161</v>
      </c>
      <c r="Y135" s="5" t="s">
        <v>156</v>
      </c>
      <c r="Z135" s="155">
        <v>250000</v>
      </c>
      <c r="AA135" s="164">
        <v>1</v>
      </c>
      <c r="AB135" s="174">
        <v>100.58</v>
      </c>
      <c r="AD135" s="155">
        <v>251.45</v>
      </c>
      <c r="AG135" s="3" t="s">
        <v>36</v>
      </c>
      <c r="AH135" s="166">
        <v>1.34E-4</v>
      </c>
      <c r="AI135" s="166">
        <v>1.9579075850058299E-2</v>
      </c>
      <c r="AJ135" s="166">
        <v>3.0041307509942102E-3</v>
      </c>
    </row>
    <row r="136" spans="1:36">
      <c r="A136" s="3">
        <v>161</v>
      </c>
      <c r="B136" s="3">
        <v>9938</v>
      </c>
      <c r="C136" s="3" t="s">
        <v>321</v>
      </c>
      <c r="D136" s="3" t="s">
        <v>322</v>
      </c>
      <c r="E136" s="5" t="s">
        <v>149</v>
      </c>
      <c r="F136" s="3" t="s">
        <v>345</v>
      </c>
      <c r="G136" s="3" t="s">
        <v>346</v>
      </c>
      <c r="H136" s="3" t="s">
        <v>152</v>
      </c>
      <c r="I136" s="3" t="s">
        <v>166</v>
      </c>
      <c r="J136" s="3" t="s">
        <v>30</v>
      </c>
      <c r="K136" s="3" t="s">
        <v>30</v>
      </c>
      <c r="L136" s="3" t="s">
        <v>154</v>
      </c>
      <c r="M136" s="3" t="s">
        <v>31</v>
      </c>
      <c r="N136" s="3" t="s">
        <v>245</v>
      </c>
      <c r="O136" s="3" t="s">
        <v>156</v>
      </c>
      <c r="P136" s="3" t="s">
        <v>343</v>
      </c>
      <c r="Q136" s="3" t="s">
        <v>158</v>
      </c>
      <c r="R136" s="3" t="s">
        <v>159</v>
      </c>
      <c r="S136" s="3" t="s">
        <v>34</v>
      </c>
      <c r="T136" s="155">
        <v>6.6959999999999997</v>
      </c>
      <c r="U136" s="3" t="s">
        <v>347</v>
      </c>
      <c r="V136" s="166">
        <v>2.5999999999999999E-2</v>
      </c>
      <c r="W136" s="166">
        <v>2.554E-2</v>
      </c>
      <c r="X136" s="5" t="s">
        <v>161</v>
      </c>
      <c r="Y136" s="5" t="s">
        <v>156</v>
      </c>
      <c r="Z136" s="155">
        <v>250000</v>
      </c>
      <c r="AA136" s="164">
        <v>1</v>
      </c>
      <c r="AB136" s="174">
        <v>101.17</v>
      </c>
      <c r="AD136" s="155">
        <v>252.92500000000001</v>
      </c>
      <c r="AG136" s="3" t="s">
        <v>36</v>
      </c>
      <c r="AH136" s="166">
        <v>1.36E-4</v>
      </c>
      <c r="AI136" s="166">
        <v>1.9693926265166001E-2</v>
      </c>
      <c r="AJ136" s="166">
        <v>3.0217529138803299E-3</v>
      </c>
    </row>
    <row r="137" spans="1:36">
      <c r="A137" s="3">
        <v>161</v>
      </c>
      <c r="B137" s="3">
        <v>9938</v>
      </c>
      <c r="C137" s="3" t="s">
        <v>321</v>
      </c>
      <c r="D137" s="3" t="s">
        <v>322</v>
      </c>
      <c r="E137" s="5" t="s">
        <v>149</v>
      </c>
      <c r="F137" s="3" t="s">
        <v>348</v>
      </c>
      <c r="G137" s="3" t="s">
        <v>349</v>
      </c>
      <c r="H137" s="3" t="s">
        <v>152</v>
      </c>
      <c r="I137" s="3" t="s">
        <v>166</v>
      </c>
      <c r="J137" s="3" t="s">
        <v>30</v>
      </c>
      <c r="K137" s="3" t="s">
        <v>30</v>
      </c>
      <c r="L137" s="3" t="s">
        <v>154</v>
      </c>
      <c r="M137" s="3" t="s">
        <v>31</v>
      </c>
      <c r="N137" s="3" t="s">
        <v>245</v>
      </c>
      <c r="O137" s="3" t="s">
        <v>156</v>
      </c>
      <c r="P137" s="3" t="s">
        <v>185</v>
      </c>
      <c r="Q137" s="3" t="s">
        <v>169</v>
      </c>
      <c r="R137" s="3" t="s">
        <v>159</v>
      </c>
      <c r="S137" s="3" t="s">
        <v>34</v>
      </c>
      <c r="T137" s="155">
        <v>4.968</v>
      </c>
      <c r="U137" s="3" t="s">
        <v>350</v>
      </c>
      <c r="V137" s="166">
        <v>3.1E-2</v>
      </c>
      <c r="W137" s="166">
        <v>2.972E-2</v>
      </c>
      <c r="X137" s="5" t="s">
        <v>161</v>
      </c>
      <c r="Y137" s="5" t="s">
        <v>156</v>
      </c>
      <c r="Z137" s="155">
        <v>180000</v>
      </c>
      <c r="AA137" s="164">
        <v>1</v>
      </c>
      <c r="AB137" s="174">
        <v>105.8</v>
      </c>
      <c r="AD137" s="155">
        <v>190.44</v>
      </c>
      <c r="AG137" s="3" t="s">
        <v>36</v>
      </c>
      <c r="AH137" s="166">
        <v>1.17E-4</v>
      </c>
      <c r="AI137" s="166">
        <v>1.4828551222450199E-2</v>
      </c>
      <c r="AJ137" s="166">
        <v>2.27523030510772E-3</v>
      </c>
    </row>
    <row r="138" spans="1:36">
      <c r="A138" s="3">
        <v>161</v>
      </c>
      <c r="B138" s="3">
        <v>9938</v>
      </c>
      <c r="C138" s="3" t="s">
        <v>351</v>
      </c>
      <c r="D138" s="3" t="s">
        <v>352</v>
      </c>
      <c r="E138" s="5" t="s">
        <v>149</v>
      </c>
      <c r="F138" s="3" t="s">
        <v>544</v>
      </c>
      <c r="G138" s="3" t="s">
        <v>545</v>
      </c>
      <c r="H138" s="3" t="s">
        <v>152</v>
      </c>
      <c r="I138" s="3" t="s">
        <v>166</v>
      </c>
      <c r="J138" s="3" t="s">
        <v>30</v>
      </c>
      <c r="K138" s="3" t="s">
        <v>30</v>
      </c>
      <c r="L138" s="3" t="s">
        <v>154</v>
      </c>
      <c r="M138" s="3" t="s">
        <v>31</v>
      </c>
      <c r="N138" s="3" t="s">
        <v>167</v>
      </c>
      <c r="O138" s="3" t="s">
        <v>156</v>
      </c>
      <c r="P138" s="3" t="s">
        <v>168</v>
      </c>
      <c r="Q138" s="3" t="s">
        <v>169</v>
      </c>
      <c r="R138" s="3" t="s">
        <v>159</v>
      </c>
      <c r="S138" s="3" t="s">
        <v>34</v>
      </c>
      <c r="T138" s="155">
        <v>5.1689999999999996</v>
      </c>
      <c r="U138" s="3" t="s">
        <v>546</v>
      </c>
      <c r="V138" s="166">
        <v>3.5000000000000001E-3</v>
      </c>
      <c r="W138" s="166">
        <v>2.9669999999999998E-2</v>
      </c>
      <c r="X138" s="5" t="s">
        <v>161</v>
      </c>
      <c r="Y138" s="5" t="s">
        <v>156</v>
      </c>
      <c r="Z138" s="155">
        <v>236842.1</v>
      </c>
      <c r="AA138" s="164">
        <v>1</v>
      </c>
      <c r="AB138" s="174">
        <v>101.29</v>
      </c>
      <c r="AD138" s="155">
        <v>239.89699999999999</v>
      </c>
      <c r="AG138" s="3" t="s">
        <v>36</v>
      </c>
      <c r="AH138" s="166">
        <v>6.7999999999999999E-5</v>
      </c>
      <c r="AI138" s="166">
        <v>1.8679533379073701E-2</v>
      </c>
      <c r="AJ138" s="166">
        <v>2.8661087514062098E-3</v>
      </c>
    </row>
    <row r="139" spans="1:36">
      <c r="A139" s="3">
        <v>161</v>
      </c>
      <c r="B139" s="3">
        <v>9938</v>
      </c>
      <c r="C139" s="3" t="s">
        <v>351</v>
      </c>
      <c r="D139" s="3" t="s">
        <v>352</v>
      </c>
      <c r="E139" s="5" t="s">
        <v>149</v>
      </c>
      <c r="F139" s="3" t="s">
        <v>353</v>
      </c>
      <c r="G139" s="3" t="s">
        <v>354</v>
      </c>
      <c r="H139" s="3" t="s">
        <v>152</v>
      </c>
      <c r="I139" s="3" t="s">
        <v>166</v>
      </c>
      <c r="J139" s="3" t="s">
        <v>30</v>
      </c>
      <c r="K139" s="3" t="s">
        <v>30</v>
      </c>
      <c r="L139" s="3" t="s">
        <v>154</v>
      </c>
      <c r="M139" s="3" t="s">
        <v>31</v>
      </c>
      <c r="N139" s="3" t="s">
        <v>167</v>
      </c>
      <c r="O139" s="3" t="s">
        <v>156</v>
      </c>
      <c r="P139" s="3" t="s">
        <v>168</v>
      </c>
      <c r="Q139" s="3" t="s">
        <v>169</v>
      </c>
      <c r="R139" s="3" t="s">
        <v>159</v>
      </c>
      <c r="S139" s="3" t="s">
        <v>34</v>
      </c>
      <c r="T139" s="155">
        <v>2.5139999999999998</v>
      </c>
      <c r="U139" s="3" t="s">
        <v>259</v>
      </c>
      <c r="V139" s="166">
        <v>2.81E-2</v>
      </c>
      <c r="W139" s="166">
        <v>2.8070000000000001E-2</v>
      </c>
      <c r="X139" s="5" t="s">
        <v>161</v>
      </c>
      <c r="Y139" s="5" t="s">
        <v>156</v>
      </c>
      <c r="Z139" s="155">
        <v>90474.5</v>
      </c>
      <c r="AA139" s="164">
        <v>1</v>
      </c>
      <c r="AB139" s="174">
        <v>121.01</v>
      </c>
      <c r="AD139" s="155">
        <v>109.483</v>
      </c>
      <c r="AG139" s="3" t="s">
        <v>36</v>
      </c>
      <c r="AH139" s="166">
        <v>6.6000000000000005E-5</v>
      </c>
      <c r="AI139" s="166">
        <v>8.5248746442039402E-3</v>
      </c>
      <c r="AJ139" s="166">
        <v>1.30802078009967E-3</v>
      </c>
    </row>
    <row r="140" spans="1:36">
      <c r="A140" s="3">
        <v>161</v>
      </c>
      <c r="B140" s="3">
        <v>9938</v>
      </c>
      <c r="C140" s="3" t="s">
        <v>351</v>
      </c>
      <c r="D140" s="3" t="s">
        <v>352</v>
      </c>
      <c r="E140" s="5" t="s">
        <v>149</v>
      </c>
      <c r="F140" s="3" t="s">
        <v>547</v>
      </c>
      <c r="G140" s="3" t="s">
        <v>548</v>
      </c>
      <c r="H140" s="3" t="s">
        <v>152</v>
      </c>
      <c r="I140" s="3" t="s">
        <v>166</v>
      </c>
      <c r="J140" s="3" t="s">
        <v>30</v>
      </c>
      <c r="K140" s="3" t="s">
        <v>30</v>
      </c>
      <c r="L140" s="3" t="s">
        <v>154</v>
      </c>
      <c r="M140" s="3" t="s">
        <v>31</v>
      </c>
      <c r="N140" s="3" t="s">
        <v>167</v>
      </c>
      <c r="O140" s="3" t="s">
        <v>156</v>
      </c>
      <c r="P140" s="3" t="s">
        <v>168</v>
      </c>
      <c r="Q140" s="3" t="s">
        <v>169</v>
      </c>
      <c r="R140" s="3" t="s">
        <v>159</v>
      </c>
      <c r="S140" s="3" t="s">
        <v>34</v>
      </c>
      <c r="T140" s="155">
        <v>1.673</v>
      </c>
      <c r="U140" s="3" t="s">
        <v>240</v>
      </c>
      <c r="V140" s="166">
        <v>3.6999999999999998E-2</v>
      </c>
      <c r="W140" s="166">
        <v>2.9180000000000001E-2</v>
      </c>
      <c r="X140" s="5" t="s">
        <v>161</v>
      </c>
      <c r="Y140" s="5" t="s">
        <v>156</v>
      </c>
      <c r="Z140" s="155">
        <v>2491.89</v>
      </c>
      <c r="AA140" s="164">
        <v>1</v>
      </c>
      <c r="AB140" s="174">
        <v>121.5</v>
      </c>
      <c r="AD140" s="155">
        <v>3.028</v>
      </c>
      <c r="AG140" s="3" t="s">
        <v>36</v>
      </c>
      <c r="AH140" s="166">
        <v>1.1E-5</v>
      </c>
      <c r="AI140" s="166">
        <v>2.35746739048726E-4</v>
      </c>
      <c r="AJ140" s="166">
        <v>3.6171984502566597E-5</v>
      </c>
    </row>
    <row r="141" spans="1:36">
      <c r="A141" s="3">
        <v>161</v>
      </c>
      <c r="B141" s="3">
        <v>9938</v>
      </c>
      <c r="C141" s="3" t="s">
        <v>355</v>
      </c>
      <c r="D141" s="3" t="s">
        <v>356</v>
      </c>
      <c r="E141" s="5" t="s">
        <v>149</v>
      </c>
      <c r="F141" s="3" t="s">
        <v>357</v>
      </c>
      <c r="G141" s="3" t="s">
        <v>358</v>
      </c>
      <c r="H141" s="3" t="s">
        <v>152</v>
      </c>
      <c r="I141" s="3" t="s">
        <v>153</v>
      </c>
      <c r="J141" s="3" t="s">
        <v>30</v>
      </c>
      <c r="K141" s="3" t="s">
        <v>30</v>
      </c>
      <c r="L141" s="3" t="s">
        <v>154</v>
      </c>
      <c r="M141" s="3" t="s">
        <v>31</v>
      </c>
      <c r="N141" s="3" t="s">
        <v>155</v>
      </c>
      <c r="O141" s="3" t="s">
        <v>156</v>
      </c>
      <c r="P141" s="3" t="s">
        <v>359</v>
      </c>
      <c r="Q141" s="3" t="s">
        <v>158</v>
      </c>
      <c r="R141" s="3" t="s">
        <v>159</v>
      </c>
      <c r="S141" s="3" t="s">
        <v>34</v>
      </c>
      <c r="T141" s="155">
        <v>1.196</v>
      </c>
      <c r="U141" s="3" t="s">
        <v>360</v>
      </c>
      <c r="V141" s="166">
        <v>4.1000000000000002E-2</v>
      </c>
      <c r="W141" s="166">
        <v>4.9340000000000002E-2</v>
      </c>
      <c r="X141" s="5" t="s">
        <v>161</v>
      </c>
      <c r="Y141" s="5" t="s">
        <v>156</v>
      </c>
      <c r="Z141" s="155">
        <v>100000</v>
      </c>
      <c r="AA141" s="164">
        <v>1</v>
      </c>
      <c r="AB141" s="174">
        <v>102.14</v>
      </c>
      <c r="AD141" s="155">
        <v>102.14</v>
      </c>
      <c r="AG141" s="3" t="s">
        <v>36</v>
      </c>
      <c r="AH141" s="166">
        <v>1.3999999999999999E-4</v>
      </c>
      <c r="AI141" s="166">
        <v>7.9530992536287794E-3</v>
      </c>
      <c r="AJ141" s="166">
        <v>1.22028997775521E-3</v>
      </c>
    </row>
    <row r="142" spans="1:36">
      <c r="A142" s="3">
        <v>161</v>
      </c>
      <c r="B142" s="3">
        <v>9938</v>
      </c>
      <c r="C142" s="3" t="s">
        <v>361</v>
      </c>
      <c r="D142" s="3" t="s">
        <v>362</v>
      </c>
      <c r="E142" s="5" t="s">
        <v>149</v>
      </c>
      <c r="F142" s="3" t="s">
        <v>363</v>
      </c>
      <c r="G142" s="3" t="s">
        <v>364</v>
      </c>
      <c r="H142" s="3" t="s">
        <v>152</v>
      </c>
      <c r="I142" s="3" t="s">
        <v>166</v>
      </c>
      <c r="J142" s="3" t="s">
        <v>30</v>
      </c>
      <c r="K142" s="3" t="s">
        <v>30</v>
      </c>
      <c r="L142" s="3" t="s">
        <v>154</v>
      </c>
      <c r="M142" s="3" t="s">
        <v>31</v>
      </c>
      <c r="N142" s="3" t="s">
        <v>167</v>
      </c>
      <c r="O142" s="3" t="s">
        <v>156</v>
      </c>
      <c r="P142" s="3" t="s">
        <v>179</v>
      </c>
      <c r="Q142" s="3" t="s">
        <v>169</v>
      </c>
      <c r="R142" s="3" t="s">
        <v>159</v>
      </c>
      <c r="S142" s="3" t="s">
        <v>34</v>
      </c>
      <c r="T142" s="155">
        <v>1.379</v>
      </c>
      <c r="U142" s="3" t="s">
        <v>365</v>
      </c>
      <c r="V142" s="166">
        <v>2.0500000000000001E-2</v>
      </c>
      <c r="W142" s="166">
        <v>3.0210000000000001E-2</v>
      </c>
      <c r="X142" s="5" t="s">
        <v>161</v>
      </c>
      <c r="Y142" s="5" t="s">
        <v>156</v>
      </c>
      <c r="Z142" s="155">
        <v>62600</v>
      </c>
      <c r="AA142" s="164">
        <v>1</v>
      </c>
      <c r="AB142" s="174">
        <v>118.88</v>
      </c>
      <c r="AD142" s="155">
        <v>74.418999999999997</v>
      </c>
      <c r="AG142" s="3" t="s">
        <v>36</v>
      </c>
      <c r="AH142" s="166">
        <v>1.2400000000000001E-4</v>
      </c>
      <c r="AI142" s="166">
        <v>5.7946028880349401E-3</v>
      </c>
      <c r="AJ142" s="166">
        <v>8.8909940689022699E-4</v>
      </c>
    </row>
    <row r="143" spans="1:36">
      <c r="A143" s="3">
        <v>161</v>
      </c>
      <c r="B143" s="3">
        <v>9938</v>
      </c>
      <c r="C143" s="3" t="s">
        <v>369</v>
      </c>
      <c r="D143" s="3" t="s">
        <v>370</v>
      </c>
      <c r="E143" s="5" t="s">
        <v>149</v>
      </c>
      <c r="F143" s="3" t="s">
        <v>371</v>
      </c>
      <c r="G143" s="3" t="s">
        <v>372</v>
      </c>
      <c r="H143" s="3" t="s">
        <v>152</v>
      </c>
      <c r="I143" s="3" t="s">
        <v>166</v>
      </c>
      <c r="J143" s="3" t="s">
        <v>30</v>
      </c>
      <c r="K143" s="3" t="s">
        <v>30</v>
      </c>
      <c r="L143" s="3" t="s">
        <v>154</v>
      </c>
      <c r="M143" s="3" t="s">
        <v>31</v>
      </c>
      <c r="N143" s="3" t="s">
        <v>245</v>
      </c>
      <c r="O143" s="3" t="s">
        <v>156</v>
      </c>
      <c r="P143" s="3" t="s">
        <v>246</v>
      </c>
      <c r="Q143" s="3" t="s">
        <v>169</v>
      </c>
      <c r="R143" s="3" t="s">
        <v>159</v>
      </c>
      <c r="S143" s="3" t="s">
        <v>34</v>
      </c>
      <c r="T143" s="155">
        <v>3.04</v>
      </c>
      <c r="U143" s="3" t="s">
        <v>373</v>
      </c>
      <c r="V143" s="166">
        <v>1E-3</v>
      </c>
      <c r="W143" s="166">
        <v>2.5440000000000001E-2</v>
      </c>
      <c r="X143" s="5" t="s">
        <v>161</v>
      </c>
      <c r="Y143" s="5" t="s">
        <v>156</v>
      </c>
      <c r="Z143" s="155">
        <v>25217</v>
      </c>
      <c r="AA143" s="164">
        <v>1</v>
      </c>
      <c r="AB143" s="174">
        <v>107.76</v>
      </c>
      <c r="AD143" s="155">
        <v>27.173999999999999</v>
      </c>
      <c r="AG143" s="3" t="s">
        <v>36</v>
      </c>
      <c r="AH143" s="166">
        <v>6.9999999999999999E-6</v>
      </c>
      <c r="AI143" s="166">
        <v>2.1158825167392598E-3</v>
      </c>
      <c r="AJ143" s="166">
        <v>3.2465208177885E-4</v>
      </c>
    </row>
    <row r="144" spans="1:36">
      <c r="A144" s="3">
        <v>161</v>
      </c>
      <c r="B144" s="3">
        <v>9938</v>
      </c>
      <c r="C144" s="3" t="s">
        <v>369</v>
      </c>
      <c r="D144" s="3" t="s">
        <v>370</v>
      </c>
      <c r="E144" s="5" t="s">
        <v>149</v>
      </c>
      <c r="F144" s="3" t="s">
        <v>374</v>
      </c>
      <c r="G144" s="3" t="s">
        <v>375</v>
      </c>
      <c r="H144" s="3" t="s">
        <v>152</v>
      </c>
      <c r="I144" s="3" t="s">
        <v>153</v>
      </c>
      <c r="J144" s="3" t="s">
        <v>30</v>
      </c>
      <c r="K144" s="3" t="s">
        <v>30</v>
      </c>
      <c r="L144" s="3" t="s">
        <v>154</v>
      </c>
      <c r="M144" s="3" t="s">
        <v>31</v>
      </c>
      <c r="N144" s="3" t="s">
        <v>245</v>
      </c>
      <c r="O144" s="3" t="s">
        <v>156</v>
      </c>
      <c r="P144" s="3" t="s">
        <v>246</v>
      </c>
      <c r="Q144" s="3" t="s">
        <v>169</v>
      </c>
      <c r="R144" s="3" t="s">
        <v>159</v>
      </c>
      <c r="S144" s="3" t="s">
        <v>34</v>
      </c>
      <c r="T144" s="155">
        <v>2.8170000000000002</v>
      </c>
      <c r="U144" s="3" t="s">
        <v>376</v>
      </c>
      <c r="V144" s="166">
        <v>2.7400000000000001E-2</v>
      </c>
      <c r="W144" s="166">
        <v>4.4889999999999999E-2</v>
      </c>
      <c r="X144" s="5" t="s">
        <v>161</v>
      </c>
      <c r="Y144" s="5" t="s">
        <v>156</v>
      </c>
      <c r="Z144" s="155">
        <v>170000</v>
      </c>
      <c r="AA144" s="164">
        <v>1</v>
      </c>
      <c r="AB144" s="174">
        <v>96.57</v>
      </c>
      <c r="AD144" s="155">
        <v>164.16900000000001</v>
      </c>
      <c r="AG144" s="3" t="s">
        <v>36</v>
      </c>
      <c r="AH144" s="166">
        <v>5.3999999999999998E-5</v>
      </c>
      <c r="AI144" s="166">
        <v>1.2782967998521501E-2</v>
      </c>
      <c r="AJ144" s="166">
        <v>1.9613646500694702E-3</v>
      </c>
    </row>
    <row r="145" spans="1:36">
      <c r="A145" s="3">
        <v>161</v>
      </c>
      <c r="B145" s="3">
        <v>9938</v>
      </c>
      <c r="C145" s="3" t="s">
        <v>369</v>
      </c>
      <c r="D145" s="3" t="s">
        <v>370</v>
      </c>
      <c r="E145" s="5" t="s">
        <v>149</v>
      </c>
      <c r="F145" s="3" t="s">
        <v>377</v>
      </c>
      <c r="G145" s="3" t="s">
        <v>378</v>
      </c>
      <c r="H145" s="3" t="s">
        <v>152</v>
      </c>
      <c r="I145" s="3" t="s">
        <v>166</v>
      </c>
      <c r="J145" s="3" t="s">
        <v>30</v>
      </c>
      <c r="K145" s="3" t="s">
        <v>30</v>
      </c>
      <c r="L145" s="3" t="s">
        <v>154</v>
      </c>
      <c r="M145" s="3" t="s">
        <v>31</v>
      </c>
      <c r="N145" s="3" t="s">
        <v>245</v>
      </c>
      <c r="O145" s="3" t="s">
        <v>156</v>
      </c>
      <c r="P145" s="3" t="s">
        <v>343</v>
      </c>
      <c r="Q145" s="3" t="s">
        <v>158</v>
      </c>
      <c r="R145" s="3" t="s">
        <v>159</v>
      </c>
      <c r="S145" s="3" t="s">
        <v>34</v>
      </c>
      <c r="T145" s="155">
        <v>1.157</v>
      </c>
      <c r="U145" s="3" t="s">
        <v>379</v>
      </c>
      <c r="V145" s="166">
        <v>5.0000000000000001E-3</v>
      </c>
      <c r="W145" s="166">
        <v>2.9350000000000001E-2</v>
      </c>
      <c r="X145" s="5" t="s">
        <v>161</v>
      </c>
      <c r="Y145" s="5" t="s">
        <v>156</v>
      </c>
      <c r="Z145" s="155">
        <v>45000</v>
      </c>
      <c r="AA145" s="164">
        <v>1</v>
      </c>
      <c r="AB145" s="174">
        <v>114.73</v>
      </c>
      <c r="AD145" s="155">
        <v>51.628999999999998</v>
      </c>
      <c r="AG145" s="3" t="s">
        <v>36</v>
      </c>
      <c r="AH145" s="166">
        <v>5.8999999999999998E-5</v>
      </c>
      <c r="AI145" s="166">
        <v>4.0200370551789003E-3</v>
      </c>
      <c r="AJ145" s="166">
        <v>6.1681751631618401E-4</v>
      </c>
    </row>
    <row r="146" spans="1:36">
      <c r="A146" s="3">
        <v>161</v>
      </c>
      <c r="B146" s="3">
        <v>9938</v>
      </c>
      <c r="C146" s="3" t="s">
        <v>369</v>
      </c>
      <c r="D146" s="3" t="s">
        <v>370</v>
      </c>
      <c r="E146" s="5" t="s">
        <v>149</v>
      </c>
      <c r="F146" s="3" t="s">
        <v>549</v>
      </c>
      <c r="G146" s="3" t="s">
        <v>550</v>
      </c>
      <c r="H146" s="3" t="s">
        <v>152</v>
      </c>
      <c r="I146" s="3" t="s">
        <v>166</v>
      </c>
      <c r="J146" s="3" t="s">
        <v>30</v>
      </c>
      <c r="K146" s="3" t="s">
        <v>30</v>
      </c>
      <c r="L146" s="3" t="s">
        <v>154</v>
      </c>
      <c r="M146" s="3" t="s">
        <v>31</v>
      </c>
      <c r="N146" s="3" t="s">
        <v>245</v>
      </c>
      <c r="O146" s="3" t="s">
        <v>156</v>
      </c>
      <c r="P146" s="3" t="s">
        <v>185</v>
      </c>
      <c r="Q146" s="3" t="s">
        <v>169</v>
      </c>
      <c r="R146" s="3" t="s">
        <v>159</v>
      </c>
      <c r="S146" s="3" t="s">
        <v>34</v>
      </c>
      <c r="T146" s="155">
        <v>3.5310000000000001</v>
      </c>
      <c r="U146" s="3" t="s">
        <v>551</v>
      </c>
      <c r="V146" s="166">
        <v>3.3599999999999998E-2</v>
      </c>
      <c r="W146" s="166">
        <v>2.955E-2</v>
      </c>
      <c r="X146" s="5" t="s">
        <v>161</v>
      </c>
      <c r="Y146" s="5" t="s">
        <v>156</v>
      </c>
      <c r="Z146" s="155">
        <v>168000</v>
      </c>
      <c r="AA146" s="164">
        <v>1</v>
      </c>
      <c r="AB146" s="174">
        <v>108.97</v>
      </c>
      <c r="AD146" s="155">
        <v>183.07</v>
      </c>
      <c r="AG146" s="3" t="s">
        <v>36</v>
      </c>
      <c r="AH146" s="166">
        <v>1.44E-4</v>
      </c>
      <c r="AI146" s="166">
        <v>1.42546573244774E-2</v>
      </c>
      <c r="AJ146" s="166">
        <v>2.1871744479308401E-3</v>
      </c>
    </row>
    <row r="147" spans="1:36">
      <c r="A147" s="3">
        <v>161</v>
      </c>
      <c r="B147" s="3">
        <v>9938</v>
      </c>
      <c r="C147" s="3" t="s">
        <v>369</v>
      </c>
      <c r="D147" s="3" t="s">
        <v>370</v>
      </c>
      <c r="E147" s="5" t="s">
        <v>149</v>
      </c>
      <c r="F147" s="3" t="s">
        <v>386</v>
      </c>
      <c r="G147" s="3" t="s">
        <v>387</v>
      </c>
      <c r="H147" s="3" t="s">
        <v>152</v>
      </c>
      <c r="I147" s="3" t="s">
        <v>166</v>
      </c>
      <c r="J147" s="3" t="s">
        <v>30</v>
      </c>
      <c r="K147" s="3" t="s">
        <v>30</v>
      </c>
      <c r="L147" s="3" t="s">
        <v>154</v>
      </c>
      <c r="M147" s="3" t="s">
        <v>31</v>
      </c>
      <c r="N147" s="3" t="s">
        <v>245</v>
      </c>
      <c r="O147" s="3" t="s">
        <v>156</v>
      </c>
      <c r="P147" s="3" t="s">
        <v>246</v>
      </c>
      <c r="Q147" s="3" t="s">
        <v>169</v>
      </c>
      <c r="R147" s="3" t="s">
        <v>159</v>
      </c>
      <c r="S147" s="3" t="s">
        <v>34</v>
      </c>
      <c r="T147" s="155">
        <v>2.9409999999999998</v>
      </c>
      <c r="U147" s="3" t="s">
        <v>376</v>
      </c>
      <c r="V147" s="166">
        <v>1E-3</v>
      </c>
      <c r="W147" s="166">
        <v>2.562E-2</v>
      </c>
      <c r="X147" s="5" t="s">
        <v>161</v>
      </c>
      <c r="Y147" s="5" t="s">
        <v>156</v>
      </c>
      <c r="Z147" s="155">
        <v>321435.45</v>
      </c>
      <c r="AA147" s="164">
        <v>1</v>
      </c>
      <c r="AB147" s="174">
        <v>106.57</v>
      </c>
      <c r="AD147" s="155">
        <v>342.55399999999997</v>
      </c>
      <c r="AG147" s="3" t="s">
        <v>36</v>
      </c>
      <c r="AH147" s="166">
        <v>1.44E-4</v>
      </c>
      <c r="AI147" s="166">
        <v>2.6672841644288101E-2</v>
      </c>
      <c r="AJ147" s="166">
        <v>4.0925682301683301E-3</v>
      </c>
    </row>
    <row r="148" spans="1:36">
      <c r="A148" s="3">
        <v>161</v>
      </c>
      <c r="B148" s="3">
        <v>9938</v>
      </c>
      <c r="C148" s="3" t="s">
        <v>388</v>
      </c>
      <c r="D148" s="3" t="s">
        <v>389</v>
      </c>
      <c r="E148" s="5" t="s">
        <v>149</v>
      </c>
      <c r="F148" s="3" t="s">
        <v>390</v>
      </c>
      <c r="G148" s="3" t="s">
        <v>391</v>
      </c>
      <c r="H148" s="3" t="s">
        <v>152</v>
      </c>
      <c r="I148" s="3" t="s">
        <v>166</v>
      </c>
      <c r="J148" s="3" t="s">
        <v>30</v>
      </c>
      <c r="K148" s="3" t="s">
        <v>30</v>
      </c>
      <c r="L148" s="3" t="s">
        <v>154</v>
      </c>
      <c r="M148" s="3" t="s">
        <v>31</v>
      </c>
      <c r="N148" s="3" t="s">
        <v>392</v>
      </c>
      <c r="O148" s="3" t="s">
        <v>156</v>
      </c>
      <c r="P148" s="3" t="s">
        <v>359</v>
      </c>
      <c r="Q148" s="3" t="s">
        <v>158</v>
      </c>
      <c r="R148" s="3" t="s">
        <v>159</v>
      </c>
      <c r="S148" s="3" t="s">
        <v>34</v>
      </c>
      <c r="T148" s="155">
        <v>2.7869999999999999</v>
      </c>
      <c r="U148" s="3" t="s">
        <v>393</v>
      </c>
      <c r="V148" s="166">
        <v>0.01</v>
      </c>
      <c r="W148" s="166">
        <v>3.2149999999999998E-2</v>
      </c>
      <c r="X148" s="5" t="s">
        <v>161</v>
      </c>
      <c r="Y148" s="5" t="s">
        <v>156</v>
      </c>
      <c r="Z148" s="155">
        <v>161730.81</v>
      </c>
      <c r="AA148" s="164">
        <v>1</v>
      </c>
      <c r="AB148" s="174">
        <v>109.08</v>
      </c>
      <c r="AD148" s="155">
        <v>176.416</v>
      </c>
      <c r="AG148" s="3" t="s">
        <v>36</v>
      </c>
      <c r="AH148" s="166">
        <v>9.7999999999999997E-5</v>
      </c>
      <c r="AI148" s="166">
        <v>1.3736574308147601E-2</v>
      </c>
      <c r="AJ148" s="166">
        <v>2.1076819768436799E-3</v>
      </c>
    </row>
    <row r="149" spans="1:36">
      <c r="A149" s="3">
        <v>161</v>
      </c>
      <c r="B149" s="3">
        <v>9938</v>
      </c>
      <c r="C149" s="3" t="s">
        <v>388</v>
      </c>
      <c r="D149" s="3" t="s">
        <v>389</v>
      </c>
      <c r="E149" s="5" t="s">
        <v>149</v>
      </c>
      <c r="F149" s="3" t="s">
        <v>394</v>
      </c>
      <c r="G149" s="3" t="s">
        <v>395</v>
      </c>
      <c r="H149" s="3" t="s">
        <v>152</v>
      </c>
      <c r="I149" s="3" t="s">
        <v>166</v>
      </c>
      <c r="J149" s="3" t="s">
        <v>30</v>
      </c>
      <c r="K149" s="3" t="s">
        <v>30</v>
      </c>
      <c r="L149" s="3" t="s">
        <v>154</v>
      </c>
      <c r="M149" s="3" t="s">
        <v>31</v>
      </c>
      <c r="N149" s="3" t="s">
        <v>392</v>
      </c>
      <c r="O149" s="3" t="s">
        <v>156</v>
      </c>
      <c r="P149" s="3" t="s">
        <v>359</v>
      </c>
      <c r="Q149" s="3" t="s">
        <v>158</v>
      </c>
      <c r="R149" s="3" t="s">
        <v>159</v>
      </c>
      <c r="S149" s="3" t="s">
        <v>34</v>
      </c>
      <c r="T149" s="155">
        <v>0.97</v>
      </c>
      <c r="U149" s="3" t="s">
        <v>124</v>
      </c>
      <c r="V149" s="166">
        <v>3.5400000000000001E-2</v>
      </c>
      <c r="W149" s="166">
        <v>4.1360000000000001E-2</v>
      </c>
      <c r="X149" s="5" t="s">
        <v>161</v>
      </c>
      <c r="Y149" s="5" t="s">
        <v>156</v>
      </c>
      <c r="Z149" s="155">
        <v>80250</v>
      </c>
      <c r="AA149" s="164">
        <v>1</v>
      </c>
      <c r="AB149" s="174">
        <v>109.63</v>
      </c>
      <c r="AD149" s="155">
        <v>87.977999999999994</v>
      </c>
      <c r="AG149" s="3" t="s">
        <v>36</v>
      </c>
      <c r="AH149" s="166">
        <v>8.0000000000000007E-5</v>
      </c>
      <c r="AI149" s="166">
        <v>6.8503853790698697E-3</v>
      </c>
      <c r="AJ149" s="166">
        <v>1.0510942156324299E-3</v>
      </c>
    </row>
    <row r="150" spans="1:36">
      <c r="A150" s="3">
        <v>161</v>
      </c>
      <c r="B150" s="3">
        <v>9938</v>
      </c>
      <c r="C150" s="3" t="s">
        <v>396</v>
      </c>
      <c r="D150" s="3" t="s">
        <v>397</v>
      </c>
      <c r="E150" s="5" t="s">
        <v>149</v>
      </c>
      <c r="F150" s="3" t="s">
        <v>398</v>
      </c>
      <c r="G150" s="3" t="s">
        <v>399</v>
      </c>
      <c r="H150" s="3" t="s">
        <v>152</v>
      </c>
      <c r="I150" s="3" t="s">
        <v>166</v>
      </c>
      <c r="J150" s="3" t="s">
        <v>30</v>
      </c>
      <c r="K150" s="3" t="s">
        <v>30</v>
      </c>
      <c r="L150" s="3" t="s">
        <v>154</v>
      </c>
      <c r="M150" s="3" t="s">
        <v>31</v>
      </c>
      <c r="N150" s="3" t="s">
        <v>167</v>
      </c>
      <c r="O150" s="3" t="s">
        <v>156</v>
      </c>
      <c r="P150" s="3" t="s">
        <v>168</v>
      </c>
      <c r="Q150" s="3" t="s">
        <v>169</v>
      </c>
      <c r="R150" s="3" t="s">
        <v>159</v>
      </c>
      <c r="S150" s="3" t="s">
        <v>34</v>
      </c>
      <c r="T150" s="155">
        <v>3.4809999999999999</v>
      </c>
      <c r="U150" s="3" t="s">
        <v>400</v>
      </c>
      <c r="V150" s="166">
        <v>1.43E-2</v>
      </c>
      <c r="W150" s="166">
        <v>2.8119999999999999E-2</v>
      </c>
      <c r="X150" s="5" t="s">
        <v>161</v>
      </c>
      <c r="Y150" s="5" t="s">
        <v>156</v>
      </c>
      <c r="Z150" s="155">
        <v>203225.8</v>
      </c>
      <c r="AA150" s="164">
        <v>1</v>
      </c>
      <c r="AB150" s="174">
        <v>113.61</v>
      </c>
      <c r="AD150" s="155">
        <v>230.88499999999999</v>
      </c>
      <c r="AG150" s="3" t="s">
        <v>36</v>
      </c>
      <c r="AH150" s="166">
        <v>1.05E-4</v>
      </c>
      <c r="AI150" s="166">
        <v>1.7977775407504198E-2</v>
      </c>
      <c r="AJ150" s="166">
        <v>2.7584339705180802E-3</v>
      </c>
    </row>
    <row r="151" spans="1:36">
      <c r="A151" s="3">
        <v>161</v>
      </c>
      <c r="B151" s="3">
        <v>9938</v>
      </c>
      <c r="C151" s="3" t="s">
        <v>396</v>
      </c>
      <c r="D151" s="3" t="s">
        <v>397</v>
      </c>
      <c r="E151" s="5" t="s">
        <v>149</v>
      </c>
      <c r="F151" s="3" t="s">
        <v>401</v>
      </c>
      <c r="G151" s="3" t="s">
        <v>402</v>
      </c>
      <c r="H151" s="3" t="s">
        <v>152</v>
      </c>
      <c r="I151" s="3" t="s">
        <v>166</v>
      </c>
      <c r="J151" s="3" t="s">
        <v>30</v>
      </c>
      <c r="K151" s="3" t="s">
        <v>30</v>
      </c>
      <c r="L151" s="3" t="s">
        <v>154</v>
      </c>
      <c r="M151" s="3" t="s">
        <v>31</v>
      </c>
      <c r="N151" s="3" t="s">
        <v>167</v>
      </c>
      <c r="O151" s="3" t="s">
        <v>156</v>
      </c>
      <c r="P151" s="3" t="s">
        <v>168</v>
      </c>
      <c r="Q151" s="3" t="s">
        <v>169</v>
      </c>
      <c r="R151" s="3" t="s">
        <v>159</v>
      </c>
      <c r="S151" s="3" t="s">
        <v>34</v>
      </c>
      <c r="T151" s="155">
        <v>5.3339999999999996</v>
      </c>
      <c r="U151" s="3" t="s">
        <v>403</v>
      </c>
      <c r="V151" s="166">
        <v>3.61E-2</v>
      </c>
      <c r="W151" s="166">
        <v>2.9340000000000001E-2</v>
      </c>
      <c r="X151" s="5" t="s">
        <v>161</v>
      </c>
      <c r="Y151" s="5" t="s">
        <v>156</v>
      </c>
      <c r="Z151" s="155">
        <v>140000</v>
      </c>
      <c r="AA151" s="164">
        <v>1</v>
      </c>
      <c r="AB151" s="174">
        <v>113.95</v>
      </c>
      <c r="AD151" s="155">
        <v>159.53</v>
      </c>
      <c r="AG151" s="3" t="s">
        <v>36</v>
      </c>
      <c r="AH151" s="166">
        <v>6.3999999999999997E-5</v>
      </c>
      <c r="AI151" s="166">
        <v>1.24217537099217E-2</v>
      </c>
      <c r="AJ151" s="166">
        <v>1.90594145438897E-3</v>
      </c>
    </row>
    <row r="152" spans="1:36">
      <c r="A152" s="3">
        <v>161</v>
      </c>
      <c r="B152" s="3">
        <v>9938</v>
      </c>
      <c r="C152" s="3" t="s">
        <v>396</v>
      </c>
      <c r="D152" s="3" t="s">
        <v>397</v>
      </c>
      <c r="E152" s="5" t="s">
        <v>149</v>
      </c>
      <c r="F152" s="3" t="s">
        <v>404</v>
      </c>
      <c r="G152" s="3" t="s">
        <v>405</v>
      </c>
      <c r="H152" s="3" t="s">
        <v>152</v>
      </c>
      <c r="I152" s="3" t="s">
        <v>166</v>
      </c>
      <c r="J152" s="3" t="s">
        <v>30</v>
      </c>
      <c r="K152" s="3" t="s">
        <v>30</v>
      </c>
      <c r="L152" s="3" t="s">
        <v>154</v>
      </c>
      <c r="M152" s="3" t="s">
        <v>31</v>
      </c>
      <c r="N152" s="3" t="s">
        <v>167</v>
      </c>
      <c r="O152" s="3" t="s">
        <v>156</v>
      </c>
      <c r="P152" s="3" t="s">
        <v>168</v>
      </c>
      <c r="Q152" s="3" t="s">
        <v>169</v>
      </c>
      <c r="R152" s="3" t="s">
        <v>159</v>
      </c>
      <c r="S152" s="3" t="s">
        <v>34</v>
      </c>
      <c r="T152" s="155">
        <v>0.54500000000000004</v>
      </c>
      <c r="U152" s="3" t="s">
        <v>406</v>
      </c>
      <c r="V152" s="166">
        <v>2.1499999999999998E-2</v>
      </c>
      <c r="W152" s="166">
        <v>5.0410000000000003E-2</v>
      </c>
      <c r="X152" s="5" t="s">
        <v>161</v>
      </c>
      <c r="Y152" s="5" t="s">
        <v>156</v>
      </c>
      <c r="Z152" s="155">
        <v>53436.39</v>
      </c>
      <c r="AA152" s="164">
        <v>1</v>
      </c>
      <c r="AB152" s="174">
        <v>120.11</v>
      </c>
      <c r="AD152" s="155">
        <v>64.182000000000002</v>
      </c>
      <c r="AG152" s="3" t="s">
        <v>36</v>
      </c>
      <c r="AH152" s="166">
        <v>9.2E-5</v>
      </c>
      <c r="AI152" s="166">
        <v>4.9975463042442499E-3</v>
      </c>
      <c r="AJ152" s="166">
        <v>7.6680240921855804E-4</v>
      </c>
    </row>
    <row r="153" spans="1:36">
      <c r="A153" s="3">
        <v>161</v>
      </c>
      <c r="B153" s="3">
        <v>9938</v>
      </c>
      <c r="C153" s="3" t="s">
        <v>396</v>
      </c>
      <c r="D153" s="3" t="s">
        <v>397</v>
      </c>
      <c r="E153" s="5" t="s">
        <v>149</v>
      </c>
      <c r="F153" s="3" t="s">
        <v>410</v>
      </c>
      <c r="G153" s="3" t="s">
        <v>411</v>
      </c>
      <c r="H153" s="3" t="s">
        <v>152</v>
      </c>
      <c r="I153" s="3" t="s">
        <v>166</v>
      </c>
      <c r="J153" s="3" t="s">
        <v>30</v>
      </c>
      <c r="K153" s="3" t="s">
        <v>30</v>
      </c>
      <c r="L153" s="3" t="s">
        <v>154</v>
      </c>
      <c r="M153" s="3" t="s">
        <v>31</v>
      </c>
      <c r="N153" s="3" t="s">
        <v>167</v>
      </c>
      <c r="O153" s="3" t="s">
        <v>156</v>
      </c>
      <c r="P153" s="3" t="s">
        <v>168</v>
      </c>
      <c r="Q153" s="3" t="s">
        <v>169</v>
      </c>
      <c r="R153" s="3" t="s">
        <v>159</v>
      </c>
      <c r="S153" s="3" t="s">
        <v>34</v>
      </c>
      <c r="T153" s="155">
        <v>4.4290000000000003</v>
      </c>
      <c r="U153" s="3" t="s">
        <v>382</v>
      </c>
      <c r="V153" s="166">
        <v>2.5000000000000001E-3</v>
      </c>
      <c r="W153" s="166">
        <v>2.7029999999999998E-2</v>
      </c>
      <c r="X153" s="5" t="s">
        <v>161</v>
      </c>
      <c r="Y153" s="5" t="s">
        <v>156</v>
      </c>
      <c r="Z153" s="155">
        <v>89440</v>
      </c>
      <c r="AA153" s="164">
        <v>1</v>
      </c>
      <c r="AB153" s="174">
        <v>104.64</v>
      </c>
      <c r="AD153" s="155">
        <v>93.59</v>
      </c>
      <c r="AG153" s="3" t="s">
        <v>36</v>
      </c>
      <c r="AH153" s="166">
        <v>6.7000000000000002E-5</v>
      </c>
      <c r="AI153" s="166">
        <v>7.2873574152800599E-3</v>
      </c>
      <c r="AJ153" s="166">
        <v>1.1181413603167201E-3</v>
      </c>
    </row>
    <row r="154" spans="1:36">
      <c r="A154" s="3">
        <v>161</v>
      </c>
      <c r="B154" s="3">
        <v>9938</v>
      </c>
      <c r="C154" s="3" t="s">
        <v>412</v>
      </c>
      <c r="D154" s="3" t="s">
        <v>413</v>
      </c>
      <c r="E154" s="5" t="s">
        <v>149</v>
      </c>
      <c r="F154" s="3" t="s">
        <v>414</v>
      </c>
      <c r="G154" s="3" t="s">
        <v>415</v>
      </c>
      <c r="H154" s="3" t="s">
        <v>152</v>
      </c>
      <c r="I154" s="3" t="s">
        <v>153</v>
      </c>
      <c r="J154" s="3" t="s">
        <v>30</v>
      </c>
      <c r="K154" s="3" t="s">
        <v>30</v>
      </c>
      <c r="L154" s="3" t="s">
        <v>154</v>
      </c>
      <c r="M154" s="3" t="s">
        <v>31</v>
      </c>
      <c r="N154" s="3" t="s">
        <v>155</v>
      </c>
      <c r="O154" s="3" t="s">
        <v>156</v>
      </c>
      <c r="P154" s="3" t="s">
        <v>222</v>
      </c>
      <c r="Q154" s="3" t="s">
        <v>158</v>
      </c>
      <c r="R154" s="3" t="s">
        <v>159</v>
      </c>
      <c r="S154" s="3" t="s">
        <v>34</v>
      </c>
      <c r="T154" s="155">
        <v>4.8319999999999999</v>
      </c>
      <c r="U154" s="3" t="s">
        <v>416</v>
      </c>
      <c r="V154" s="166">
        <v>2.98E-2</v>
      </c>
      <c r="W154" s="166">
        <v>4.6370000000000001E-2</v>
      </c>
      <c r="X154" s="5" t="s">
        <v>161</v>
      </c>
      <c r="Y154" s="5" t="s">
        <v>156</v>
      </c>
      <c r="Z154" s="155">
        <v>150000</v>
      </c>
      <c r="AA154" s="164">
        <v>1</v>
      </c>
      <c r="AB154" s="174">
        <v>93.38</v>
      </c>
      <c r="AD154" s="155">
        <v>140.07</v>
      </c>
      <c r="AG154" s="3" t="s">
        <v>36</v>
      </c>
      <c r="AH154" s="166">
        <v>3.8200000000000002E-4</v>
      </c>
      <c r="AI154" s="166">
        <v>1.09065068773819E-2</v>
      </c>
      <c r="AJ154" s="166">
        <v>1.6734483765828501E-3</v>
      </c>
    </row>
    <row r="155" spans="1:36">
      <c r="A155" s="3">
        <v>161</v>
      </c>
      <c r="B155" s="3">
        <v>9938</v>
      </c>
      <c r="C155" s="3" t="s">
        <v>412</v>
      </c>
      <c r="D155" s="3" t="s">
        <v>413</v>
      </c>
      <c r="E155" s="5" t="s">
        <v>149</v>
      </c>
      <c r="F155" s="3" t="s">
        <v>417</v>
      </c>
      <c r="G155" s="3" t="s">
        <v>418</v>
      </c>
      <c r="H155" s="3" t="s">
        <v>152</v>
      </c>
      <c r="I155" s="3" t="s">
        <v>153</v>
      </c>
      <c r="J155" s="3" t="s">
        <v>30</v>
      </c>
      <c r="K155" s="3" t="s">
        <v>30</v>
      </c>
      <c r="L155" s="3" t="s">
        <v>154</v>
      </c>
      <c r="M155" s="3" t="s">
        <v>31</v>
      </c>
      <c r="N155" s="3" t="s">
        <v>155</v>
      </c>
      <c r="O155" s="3" t="s">
        <v>156</v>
      </c>
      <c r="P155" s="3" t="s">
        <v>359</v>
      </c>
      <c r="Q155" s="3" t="s">
        <v>158</v>
      </c>
      <c r="R155" s="3" t="s">
        <v>159</v>
      </c>
      <c r="S155" s="3" t="s">
        <v>34</v>
      </c>
      <c r="T155" s="155">
        <v>8.0039999999999996</v>
      </c>
      <c r="U155" s="3" t="s">
        <v>419</v>
      </c>
      <c r="V155" s="166">
        <v>5.1799999999999999E-2</v>
      </c>
      <c r="W155" s="166">
        <v>5.271E-2</v>
      </c>
      <c r="X155" s="5" t="s">
        <v>161</v>
      </c>
      <c r="Y155" s="5" t="s">
        <v>156</v>
      </c>
      <c r="Z155" s="155">
        <v>120000</v>
      </c>
      <c r="AA155" s="164">
        <v>1</v>
      </c>
      <c r="AB155" s="174">
        <v>100.08</v>
      </c>
      <c r="AD155" s="155">
        <v>120.096</v>
      </c>
      <c r="AG155" s="3" t="s">
        <v>36</v>
      </c>
      <c r="AH155" s="166">
        <v>0</v>
      </c>
      <c r="AI155" s="166">
        <v>9.3512375951028091E-3</v>
      </c>
      <c r="AJ155" s="166">
        <v>1.43481442303202E-3</v>
      </c>
    </row>
    <row r="156" spans="1:36">
      <c r="A156" s="3">
        <v>161</v>
      </c>
      <c r="B156" s="3">
        <v>9938</v>
      </c>
      <c r="C156" s="3" t="s">
        <v>420</v>
      </c>
      <c r="D156" s="3" t="s">
        <v>421</v>
      </c>
      <c r="E156" s="5" t="s">
        <v>149</v>
      </c>
      <c r="F156" s="3" t="s">
        <v>422</v>
      </c>
      <c r="G156" s="3" t="s">
        <v>423</v>
      </c>
      <c r="H156" s="3" t="s">
        <v>152</v>
      </c>
      <c r="I156" s="3" t="s">
        <v>166</v>
      </c>
      <c r="J156" s="3" t="s">
        <v>30</v>
      </c>
      <c r="K156" s="3" t="s">
        <v>30</v>
      </c>
      <c r="L156" s="3" t="s">
        <v>154</v>
      </c>
      <c r="M156" s="3" t="s">
        <v>31</v>
      </c>
      <c r="N156" s="3" t="s">
        <v>167</v>
      </c>
      <c r="O156" s="3" t="s">
        <v>156</v>
      </c>
      <c r="P156" s="3" t="s">
        <v>424</v>
      </c>
      <c r="Q156" s="3" t="s">
        <v>169</v>
      </c>
      <c r="R156" s="3" t="s">
        <v>159</v>
      </c>
      <c r="S156" s="3" t="s">
        <v>34</v>
      </c>
      <c r="T156" s="155">
        <v>2.4140000000000001</v>
      </c>
      <c r="U156" s="3" t="s">
        <v>425</v>
      </c>
      <c r="V156" s="166">
        <v>1.34E-2</v>
      </c>
      <c r="W156" s="166">
        <v>2.8539999999999999E-2</v>
      </c>
      <c r="X156" s="5" t="s">
        <v>161</v>
      </c>
      <c r="Y156" s="5" t="s">
        <v>156</v>
      </c>
      <c r="Z156" s="155">
        <v>147944.41</v>
      </c>
      <c r="AA156" s="164">
        <v>1</v>
      </c>
      <c r="AB156" s="174">
        <v>116.33</v>
      </c>
      <c r="AD156" s="155">
        <v>172.10400000000001</v>
      </c>
      <c r="AG156" s="3" t="s">
        <v>36</v>
      </c>
      <c r="AH156" s="166">
        <v>6.7000000000000002E-5</v>
      </c>
      <c r="AI156" s="166">
        <v>1.34008034436337E-2</v>
      </c>
      <c r="AJ156" s="166">
        <v>2.0561627127528201E-3</v>
      </c>
    </row>
    <row r="157" spans="1:36">
      <c r="A157" s="3">
        <v>161</v>
      </c>
      <c r="B157" s="3">
        <v>9938</v>
      </c>
      <c r="C157" s="3" t="s">
        <v>420</v>
      </c>
      <c r="D157" s="3" t="s">
        <v>421</v>
      </c>
      <c r="E157" s="5" t="s">
        <v>149</v>
      </c>
      <c r="F157" s="3" t="s">
        <v>426</v>
      </c>
      <c r="G157" s="3" t="s">
        <v>427</v>
      </c>
      <c r="H157" s="3" t="s">
        <v>152</v>
      </c>
      <c r="I157" s="3" t="s">
        <v>166</v>
      </c>
      <c r="J157" s="3" t="s">
        <v>30</v>
      </c>
      <c r="K157" s="3" t="s">
        <v>30</v>
      </c>
      <c r="L157" s="3" t="s">
        <v>154</v>
      </c>
      <c r="M157" s="3" t="s">
        <v>31</v>
      </c>
      <c r="N157" s="3" t="s">
        <v>167</v>
      </c>
      <c r="O157" s="3" t="s">
        <v>156</v>
      </c>
      <c r="P157" s="3" t="s">
        <v>424</v>
      </c>
      <c r="Q157" s="3" t="s">
        <v>169</v>
      </c>
      <c r="R157" s="3" t="s">
        <v>159</v>
      </c>
      <c r="S157" s="3" t="s">
        <v>34</v>
      </c>
      <c r="T157" s="155">
        <v>6.157</v>
      </c>
      <c r="U157" s="3" t="s">
        <v>428</v>
      </c>
      <c r="V157" s="166">
        <v>8.9999999999999993E-3</v>
      </c>
      <c r="W157" s="166">
        <v>2.7810000000000001E-2</v>
      </c>
      <c r="X157" s="5" t="s">
        <v>161</v>
      </c>
      <c r="Y157" s="5" t="s">
        <v>156</v>
      </c>
      <c r="Z157" s="155">
        <v>406640</v>
      </c>
      <c r="AA157" s="164">
        <v>1</v>
      </c>
      <c r="AB157" s="174">
        <v>104.46</v>
      </c>
      <c r="AD157" s="155">
        <v>424.77600000000001</v>
      </c>
      <c r="AG157" s="3" t="s">
        <v>36</v>
      </c>
      <c r="AH157" s="166">
        <v>1.5100000000000001E-4</v>
      </c>
      <c r="AI157" s="166">
        <v>3.30750620110212E-2</v>
      </c>
      <c r="AJ157" s="166">
        <v>5.0748978981075502E-3</v>
      </c>
    </row>
    <row r="158" spans="1:36">
      <c r="A158" s="3">
        <v>161</v>
      </c>
      <c r="B158" s="3">
        <v>9938</v>
      </c>
      <c r="C158" s="3" t="s">
        <v>429</v>
      </c>
      <c r="D158" s="3" t="s">
        <v>430</v>
      </c>
      <c r="E158" s="5" t="s">
        <v>149</v>
      </c>
      <c r="F158" s="3" t="s">
        <v>434</v>
      </c>
      <c r="G158" s="3" t="s">
        <v>435</v>
      </c>
      <c r="H158" s="3" t="s">
        <v>152</v>
      </c>
      <c r="I158" s="3" t="s">
        <v>166</v>
      </c>
      <c r="J158" s="3" t="s">
        <v>30</v>
      </c>
      <c r="K158" s="3" t="s">
        <v>30</v>
      </c>
      <c r="L158" s="3" t="s">
        <v>154</v>
      </c>
      <c r="M158" s="3" t="s">
        <v>31</v>
      </c>
      <c r="N158" s="3" t="s">
        <v>245</v>
      </c>
      <c r="O158" s="3" t="s">
        <v>156</v>
      </c>
      <c r="P158" s="3" t="s">
        <v>246</v>
      </c>
      <c r="Q158" s="3" t="s">
        <v>169</v>
      </c>
      <c r="R158" s="3" t="s">
        <v>159</v>
      </c>
      <c r="S158" s="3" t="s">
        <v>34</v>
      </c>
      <c r="T158" s="155">
        <v>3.073</v>
      </c>
      <c r="U158" s="3" t="s">
        <v>433</v>
      </c>
      <c r="V158" s="166">
        <v>1E-3</v>
      </c>
      <c r="W158" s="166">
        <v>2.538E-2</v>
      </c>
      <c r="X158" s="5" t="s">
        <v>161</v>
      </c>
      <c r="Y158" s="5" t="s">
        <v>156</v>
      </c>
      <c r="Z158" s="155">
        <v>276921.40000000002</v>
      </c>
      <c r="AA158" s="164">
        <v>1</v>
      </c>
      <c r="AB158" s="174">
        <v>107.45</v>
      </c>
      <c r="AD158" s="155">
        <v>297.55200000000002</v>
      </c>
      <c r="AG158" s="3" t="s">
        <v>36</v>
      </c>
      <c r="AH158" s="166">
        <v>2.81E-4</v>
      </c>
      <c r="AI158" s="166">
        <v>2.3168797155257902E-2</v>
      </c>
      <c r="AJ158" s="166">
        <v>3.5549224350877699E-3</v>
      </c>
    </row>
    <row r="159" spans="1:36">
      <c r="A159" s="3">
        <v>161</v>
      </c>
      <c r="B159" s="3">
        <v>9938</v>
      </c>
      <c r="C159" s="3" t="s">
        <v>429</v>
      </c>
      <c r="D159" s="3" t="s">
        <v>430</v>
      </c>
      <c r="E159" s="5" t="s">
        <v>149</v>
      </c>
      <c r="F159" s="3" t="s">
        <v>436</v>
      </c>
      <c r="G159" s="3" t="s">
        <v>437</v>
      </c>
      <c r="H159" s="3" t="s">
        <v>152</v>
      </c>
      <c r="I159" s="3" t="s">
        <v>166</v>
      </c>
      <c r="J159" s="3" t="s">
        <v>30</v>
      </c>
      <c r="K159" s="3" t="s">
        <v>30</v>
      </c>
      <c r="L159" s="3" t="s">
        <v>154</v>
      </c>
      <c r="M159" s="3" t="s">
        <v>31</v>
      </c>
      <c r="N159" s="3" t="s">
        <v>245</v>
      </c>
      <c r="O159" s="3" t="s">
        <v>156</v>
      </c>
      <c r="P159" s="3" t="s">
        <v>246</v>
      </c>
      <c r="Q159" s="3" t="s">
        <v>169</v>
      </c>
      <c r="R159" s="3" t="s">
        <v>159</v>
      </c>
      <c r="S159" s="3" t="s">
        <v>34</v>
      </c>
      <c r="T159" s="155">
        <v>3.4510000000000001</v>
      </c>
      <c r="U159" s="3" t="s">
        <v>438</v>
      </c>
      <c r="V159" s="166">
        <v>1.3899999999999999E-2</v>
      </c>
      <c r="W159" s="166">
        <v>2.521E-2</v>
      </c>
      <c r="X159" s="5" t="s">
        <v>161</v>
      </c>
      <c r="Y159" s="5" t="s">
        <v>156</v>
      </c>
      <c r="Z159" s="155">
        <v>309422.23</v>
      </c>
      <c r="AA159" s="164">
        <v>1</v>
      </c>
      <c r="AB159" s="174">
        <v>107.22</v>
      </c>
      <c r="AD159" s="155">
        <v>331.76299999999998</v>
      </c>
      <c r="AG159" s="3" t="s">
        <v>36</v>
      </c>
      <c r="AH159" s="166">
        <v>1.93E-4</v>
      </c>
      <c r="AI159" s="166">
        <v>2.5832584790250902E-2</v>
      </c>
      <c r="AJ159" s="166">
        <v>3.9636427653875596E-3</v>
      </c>
    </row>
    <row r="160" spans="1:36">
      <c r="A160" s="3">
        <v>161</v>
      </c>
      <c r="B160" s="3">
        <v>9938</v>
      </c>
      <c r="C160" s="3" t="s">
        <v>429</v>
      </c>
      <c r="D160" s="3" t="s">
        <v>430</v>
      </c>
      <c r="E160" s="5" t="s">
        <v>149</v>
      </c>
      <c r="F160" s="3" t="s">
        <v>439</v>
      </c>
      <c r="G160" s="3" t="s">
        <v>440</v>
      </c>
      <c r="H160" s="3" t="s">
        <v>152</v>
      </c>
      <c r="I160" s="3" t="s">
        <v>166</v>
      </c>
      <c r="J160" s="3" t="s">
        <v>30</v>
      </c>
      <c r="K160" s="3" t="s">
        <v>30</v>
      </c>
      <c r="L160" s="3" t="s">
        <v>154</v>
      </c>
      <c r="M160" s="3" t="s">
        <v>31</v>
      </c>
      <c r="N160" s="3" t="s">
        <v>245</v>
      </c>
      <c r="O160" s="3" t="s">
        <v>156</v>
      </c>
      <c r="P160" s="3" t="s">
        <v>246</v>
      </c>
      <c r="Q160" s="3" t="s">
        <v>169</v>
      </c>
      <c r="R160" s="3" t="s">
        <v>159</v>
      </c>
      <c r="S160" s="3" t="s">
        <v>34</v>
      </c>
      <c r="T160" s="155">
        <v>1.542</v>
      </c>
      <c r="U160" s="3" t="s">
        <v>441</v>
      </c>
      <c r="V160" s="166">
        <v>6.0000000000000001E-3</v>
      </c>
      <c r="W160" s="166">
        <v>2.7130000000000001E-2</v>
      </c>
      <c r="X160" s="5" t="s">
        <v>161</v>
      </c>
      <c r="Y160" s="5" t="s">
        <v>156</v>
      </c>
      <c r="Z160" s="155">
        <v>16666.66</v>
      </c>
      <c r="AA160" s="164">
        <v>1</v>
      </c>
      <c r="AB160" s="174">
        <v>116.21</v>
      </c>
      <c r="AD160" s="155">
        <v>19.367999999999999</v>
      </c>
      <c r="AG160" s="3" t="s">
        <v>36</v>
      </c>
      <c r="AH160" s="166">
        <v>2.5000000000000001E-5</v>
      </c>
      <c r="AI160" s="166">
        <v>1.5081086328769899E-3</v>
      </c>
      <c r="AJ160" s="166">
        <v>2.3139782258170801E-4</v>
      </c>
    </row>
    <row r="161" spans="1:36">
      <c r="A161" s="3">
        <v>161</v>
      </c>
      <c r="B161" s="3">
        <v>9938</v>
      </c>
      <c r="C161" s="3" t="s">
        <v>429</v>
      </c>
      <c r="D161" s="3" t="s">
        <v>430</v>
      </c>
      <c r="E161" s="5" t="s">
        <v>149</v>
      </c>
      <c r="F161" s="3" t="s">
        <v>442</v>
      </c>
      <c r="G161" s="3" t="s">
        <v>443</v>
      </c>
      <c r="H161" s="3" t="s">
        <v>152</v>
      </c>
      <c r="I161" s="3" t="s">
        <v>166</v>
      </c>
      <c r="J161" s="3" t="s">
        <v>30</v>
      </c>
      <c r="K161" s="3" t="s">
        <v>30</v>
      </c>
      <c r="L161" s="3" t="s">
        <v>154</v>
      </c>
      <c r="M161" s="3" t="s">
        <v>31</v>
      </c>
      <c r="N161" s="3" t="s">
        <v>245</v>
      </c>
      <c r="O161" s="3" t="s">
        <v>156</v>
      </c>
      <c r="P161" s="3" t="s">
        <v>246</v>
      </c>
      <c r="Q161" s="3" t="s">
        <v>169</v>
      </c>
      <c r="R161" s="3" t="s">
        <v>159</v>
      </c>
      <c r="S161" s="3" t="s">
        <v>34</v>
      </c>
      <c r="T161" s="155">
        <v>2.5369999999999999</v>
      </c>
      <c r="U161" s="3" t="s">
        <v>444</v>
      </c>
      <c r="V161" s="166">
        <v>1.7500000000000002E-2</v>
      </c>
      <c r="W161" s="166">
        <v>2.5860000000000001E-2</v>
      </c>
      <c r="X161" s="5" t="s">
        <v>161</v>
      </c>
      <c r="Y161" s="5" t="s">
        <v>156</v>
      </c>
      <c r="Z161" s="155">
        <v>253899.24</v>
      </c>
      <c r="AA161" s="164">
        <v>1</v>
      </c>
      <c r="AB161" s="174">
        <v>117.2</v>
      </c>
      <c r="AD161" s="155">
        <v>297.57</v>
      </c>
      <c r="AG161" s="3" t="s">
        <v>36</v>
      </c>
      <c r="AH161" s="166">
        <v>1.1400000000000001E-4</v>
      </c>
      <c r="AI161" s="166">
        <v>2.31701882063555E-2</v>
      </c>
      <c r="AJ161" s="166">
        <v>3.5551358720962599E-3</v>
      </c>
    </row>
    <row r="162" spans="1:36">
      <c r="A162" s="3">
        <v>161</v>
      </c>
      <c r="B162" s="3">
        <v>9938</v>
      </c>
      <c r="C162" s="3" t="s">
        <v>429</v>
      </c>
      <c r="D162" s="3" t="s">
        <v>430</v>
      </c>
      <c r="E162" s="5" t="s">
        <v>149</v>
      </c>
      <c r="F162" s="3" t="s">
        <v>445</v>
      </c>
      <c r="G162" s="3" t="s">
        <v>446</v>
      </c>
      <c r="H162" s="3" t="s">
        <v>152</v>
      </c>
      <c r="I162" s="3" t="s">
        <v>166</v>
      </c>
      <c r="J162" s="3" t="s">
        <v>30</v>
      </c>
      <c r="K162" s="3" t="s">
        <v>30</v>
      </c>
      <c r="L162" s="3" t="s">
        <v>154</v>
      </c>
      <c r="M162" s="3" t="s">
        <v>31</v>
      </c>
      <c r="N162" s="3" t="s">
        <v>245</v>
      </c>
      <c r="O162" s="3" t="s">
        <v>156</v>
      </c>
      <c r="P162" s="3" t="s">
        <v>246</v>
      </c>
      <c r="Q162" s="3" t="s">
        <v>169</v>
      </c>
      <c r="R162" s="3" t="s">
        <v>159</v>
      </c>
      <c r="S162" s="3" t="s">
        <v>34</v>
      </c>
      <c r="T162" s="155">
        <v>4.9800000000000004</v>
      </c>
      <c r="U162" s="3" t="s">
        <v>447</v>
      </c>
      <c r="V162" s="166">
        <v>2.6100000000000002E-2</v>
      </c>
      <c r="W162" s="166">
        <v>2.5860000000000001E-2</v>
      </c>
      <c r="X162" s="5" t="s">
        <v>161</v>
      </c>
      <c r="Y162" s="5" t="s">
        <v>156</v>
      </c>
      <c r="Z162" s="155">
        <v>250000</v>
      </c>
      <c r="AA162" s="164">
        <v>1</v>
      </c>
      <c r="AB162" s="174">
        <v>101.11</v>
      </c>
      <c r="AD162" s="155">
        <v>252.77500000000001</v>
      </c>
      <c r="AG162" s="3" t="s">
        <v>36</v>
      </c>
      <c r="AH162" s="166">
        <v>7.2999999999999999E-5</v>
      </c>
      <c r="AI162" s="166">
        <v>1.9682246561934701E-2</v>
      </c>
      <c r="AJ162" s="166">
        <v>3.0199608295190302E-3</v>
      </c>
    </row>
    <row r="163" spans="1:36">
      <c r="A163" s="3">
        <v>161</v>
      </c>
      <c r="B163" s="3">
        <v>9938</v>
      </c>
      <c r="C163" s="3" t="s">
        <v>429</v>
      </c>
      <c r="D163" s="3" t="s">
        <v>430</v>
      </c>
      <c r="E163" s="5" t="s">
        <v>149</v>
      </c>
      <c r="F163" s="3" t="s">
        <v>448</v>
      </c>
      <c r="G163" s="3" t="s">
        <v>449</v>
      </c>
      <c r="H163" s="3" t="s">
        <v>152</v>
      </c>
      <c r="I163" s="3" t="s">
        <v>166</v>
      </c>
      <c r="J163" s="3" t="s">
        <v>30</v>
      </c>
      <c r="K163" s="3" t="s">
        <v>30</v>
      </c>
      <c r="L163" s="3" t="s">
        <v>154</v>
      </c>
      <c r="M163" s="3" t="s">
        <v>31</v>
      </c>
      <c r="N163" s="3" t="s">
        <v>245</v>
      </c>
      <c r="O163" s="3" t="s">
        <v>156</v>
      </c>
      <c r="P163" s="3" t="s">
        <v>185</v>
      </c>
      <c r="Q163" s="3" t="s">
        <v>169</v>
      </c>
      <c r="R163" s="3" t="s">
        <v>159</v>
      </c>
      <c r="S163" s="3" t="s">
        <v>34</v>
      </c>
      <c r="T163" s="155">
        <v>6.2939999999999996</v>
      </c>
      <c r="U163" s="3" t="s">
        <v>450</v>
      </c>
      <c r="V163" s="166">
        <v>3.4500000000000003E-2</v>
      </c>
      <c r="W163" s="166">
        <v>2.9739999999999999E-2</v>
      </c>
      <c r="X163" s="5" t="s">
        <v>161</v>
      </c>
      <c r="Y163" s="5" t="s">
        <v>156</v>
      </c>
      <c r="Z163" s="155">
        <v>140000</v>
      </c>
      <c r="AA163" s="164">
        <v>1</v>
      </c>
      <c r="AB163" s="174">
        <v>108.65</v>
      </c>
      <c r="AD163" s="155">
        <v>152.11000000000001</v>
      </c>
      <c r="AG163" s="3" t="s">
        <v>36</v>
      </c>
      <c r="AH163" s="166">
        <v>9.5000000000000005E-5</v>
      </c>
      <c r="AI163" s="166">
        <v>1.1843997723413701E-2</v>
      </c>
      <c r="AJ163" s="166">
        <v>1.8172930146499501E-3</v>
      </c>
    </row>
    <row r="164" spans="1:36">
      <c r="A164" s="3">
        <v>161</v>
      </c>
      <c r="B164" s="3">
        <v>9938</v>
      </c>
      <c r="C164" s="3" t="s">
        <v>429</v>
      </c>
      <c r="D164" s="3" t="s">
        <v>430</v>
      </c>
      <c r="E164" s="5" t="s">
        <v>149</v>
      </c>
      <c r="F164" s="3" t="s">
        <v>552</v>
      </c>
      <c r="G164" s="3" t="s">
        <v>553</v>
      </c>
      <c r="H164" s="3" t="s">
        <v>152</v>
      </c>
      <c r="I164" s="3" t="s">
        <v>166</v>
      </c>
      <c r="J164" s="3" t="s">
        <v>30</v>
      </c>
      <c r="K164" s="3" t="s">
        <v>30</v>
      </c>
      <c r="L164" s="3" t="s">
        <v>154</v>
      </c>
      <c r="M164" s="3" t="s">
        <v>31</v>
      </c>
      <c r="N164" s="3" t="s">
        <v>245</v>
      </c>
      <c r="O164" s="3" t="s">
        <v>156</v>
      </c>
      <c r="P164" s="3" t="s">
        <v>185</v>
      </c>
      <c r="Q164" s="3" t="s">
        <v>169</v>
      </c>
      <c r="R164" s="3" t="s">
        <v>159</v>
      </c>
      <c r="S164" s="3" t="s">
        <v>34</v>
      </c>
      <c r="T164" s="155">
        <v>0.86299999999999999</v>
      </c>
      <c r="U164" s="3" t="s">
        <v>554</v>
      </c>
      <c r="V164" s="166">
        <v>2.9700000000000001E-2</v>
      </c>
      <c r="W164" s="166">
        <v>3.5630000000000002E-2</v>
      </c>
      <c r="X164" s="5" t="s">
        <v>161</v>
      </c>
      <c r="Y164" s="5" t="s">
        <v>156</v>
      </c>
      <c r="Z164" s="155">
        <v>50000</v>
      </c>
      <c r="AA164" s="164">
        <v>1</v>
      </c>
      <c r="AB164" s="174">
        <v>118.52</v>
      </c>
      <c r="AD164" s="155">
        <v>59.26</v>
      </c>
      <c r="AG164" s="3" t="s">
        <v>36</v>
      </c>
      <c r="AH164" s="166">
        <v>7.1000000000000005E-5</v>
      </c>
      <c r="AI164" s="166">
        <v>4.6142614232430098E-3</v>
      </c>
      <c r="AJ164" s="166">
        <v>7.0799279500463998E-4</v>
      </c>
    </row>
    <row r="165" spans="1:36">
      <c r="A165" s="3">
        <v>161</v>
      </c>
      <c r="B165" s="3">
        <v>9938</v>
      </c>
      <c r="C165" s="3" t="s">
        <v>451</v>
      </c>
      <c r="D165" s="3" t="s">
        <v>452</v>
      </c>
      <c r="E165" s="5" t="s">
        <v>149</v>
      </c>
      <c r="F165" s="3" t="s">
        <v>453</v>
      </c>
      <c r="G165" s="3" t="s">
        <v>454</v>
      </c>
      <c r="H165" s="3" t="s">
        <v>152</v>
      </c>
      <c r="I165" s="3" t="s">
        <v>153</v>
      </c>
      <c r="J165" s="3" t="s">
        <v>30</v>
      </c>
      <c r="K165" s="3" t="s">
        <v>30</v>
      </c>
      <c r="L165" s="3" t="s">
        <v>154</v>
      </c>
      <c r="M165" s="3" t="s">
        <v>31</v>
      </c>
      <c r="N165" s="3" t="s">
        <v>455</v>
      </c>
      <c r="O165" s="3" t="s">
        <v>156</v>
      </c>
      <c r="P165" s="3" t="s">
        <v>185</v>
      </c>
      <c r="Q165" s="3" t="s">
        <v>169</v>
      </c>
      <c r="R165" s="3" t="s">
        <v>159</v>
      </c>
      <c r="S165" s="3" t="s">
        <v>34</v>
      </c>
      <c r="T165" s="155">
        <v>0.64</v>
      </c>
      <c r="U165" s="3" t="s">
        <v>456</v>
      </c>
      <c r="V165" s="166">
        <v>2.29E-2</v>
      </c>
      <c r="W165" s="166">
        <v>4.5589999999999999E-2</v>
      </c>
      <c r="X165" s="5" t="s">
        <v>161</v>
      </c>
      <c r="Y165" s="5" t="s">
        <v>156</v>
      </c>
      <c r="Z165" s="155">
        <v>53653.84</v>
      </c>
      <c r="AA165" s="164">
        <v>1</v>
      </c>
      <c r="AB165" s="174">
        <v>99.39</v>
      </c>
      <c r="AD165" s="155">
        <v>53.326999999999998</v>
      </c>
      <c r="AG165" s="3" t="s">
        <v>36</v>
      </c>
      <c r="AH165" s="166">
        <v>1.6200000000000001E-4</v>
      </c>
      <c r="AI165" s="166">
        <v>4.1522553117063002E-3</v>
      </c>
      <c r="AJ165" s="166">
        <v>6.3710452747639805E-4</v>
      </c>
    </row>
    <row r="166" spans="1:36">
      <c r="A166" s="3">
        <v>161</v>
      </c>
      <c r="B166" s="3">
        <v>9938</v>
      </c>
      <c r="C166" s="3" t="s">
        <v>457</v>
      </c>
      <c r="D166" s="3" t="s">
        <v>458</v>
      </c>
      <c r="E166" s="5" t="s">
        <v>149</v>
      </c>
      <c r="F166" s="3" t="s">
        <v>459</v>
      </c>
      <c r="G166" s="3" t="s">
        <v>460</v>
      </c>
      <c r="H166" s="3" t="s">
        <v>152</v>
      </c>
      <c r="I166" s="3" t="s">
        <v>166</v>
      </c>
      <c r="J166" s="3" t="s">
        <v>30</v>
      </c>
      <c r="K166" s="3" t="s">
        <v>30</v>
      </c>
      <c r="L166" s="3" t="s">
        <v>154</v>
      </c>
      <c r="M166" s="3" t="s">
        <v>31</v>
      </c>
      <c r="N166" s="3" t="s">
        <v>231</v>
      </c>
      <c r="O166" s="3" t="s">
        <v>156</v>
      </c>
      <c r="P166" s="3" t="s">
        <v>185</v>
      </c>
      <c r="Q166" s="3" t="s">
        <v>169</v>
      </c>
      <c r="R166" s="3" t="s">
        <v>159</v>
      </c>
      <c r="S166" s="3" t="s">
        <v>34</v>
      </c>
      <c r="T166" s="155">
        <v>1.6040000000000001</v>
      </c>
      <c r="U166" s="3" t="s">
        <v>461</v>
      </c>
      <c r="V166" s="166">
        <v>1.9400000000000001E-2</v>
      </c>
      <c r="W166" s="166">
        <v>2.6460000000000001E-2</v>
      </c>
      <c r="X166" s="5" t="s">
        <v>161</v>
      </c>
      <c r="Y166" s="5" t="s">
        <v>156</v>
      </c>
      <c r="Z166" s="155">
        <v>88021.11</v>
      </c>
      <c r="AA166" s="164">
        <v>1</v>
      </c>
      <c r="AB166" s="174">
        <v>119.07</v>
      </c>
      <c r="AD166" s="155">
        <v>104.807</v>
      </c>
      <c r="AG166" s="3" t="s">
        <v>36</v>
      </c>
      <c r="AH166" s="166">
        <v>3.6499999999999998E-4</v>
      </c>
      <c r="AI166" s="166">
        <v>8.1607437956531907E-3</v>
      </c>
      <c r="AJ166" s="166">
        <v>1.2521500797717099E-3</v>
      </c>
    </row>
    <row r="167" spans="1:36">
      <c r="A167" s="3">
        <v>161</v>
      </c>
      <c r="B167" s="3">
        <v>9938</v>
      </c>
      <c r="C167" s="3" t="s">
        <v>555</v>
      </c>
      <c r="D167" s="3" t="s">
        <v>556</v>
      </c>
      <c r="E167" s="5" t="s">
        <v>149</v>
      </c>
      <c r="F167" s="3" t="s">
        <v>557</v>
      </c>
      <c r="G167" s="3" t="s">
        <v>558</v>
      </c>
      <c r="H167" s="3" t="s">
        <v>152</v>
      </c>
      <c r="I167" s="3" t="s">
        <v>166</v>
      </c>
      <c r="J167" s="3" t="s">
        <v>30</v>
      </c>
      <c r="K167" s="3" t="s">
        <v>30</v>
      </c>
      <c r="L167" s="3" t="s">
        <v>154</v>
      </c>
      <c r="M167" s="3" t="s">
        <v>31</v>
      </c>
      <c r="N167" s="3" t="s">
        <v>155</v>
      </c>
      <c r="O167" s="3" t="s">
        <v>156</v>
      </c>
      <c r="P167" s="3" t="s">
        <v>168</v>
      </c>
      <c r="Q167" s="3" t="s">
        <v>169</v>
      </c>
      <c r="R167" s="3" t="s">
        <v>159</v>
      </c>
      <c r="S167" s="3" t="s">
        <v>34</v>
      </c>
      <c r="T167" s="155">
        <v>1.054</v>
      </c>
      <c r="U167" s="3" t="s">
        <v>559</v>
      </c>
      <c r="V167" s="166">
        <v>2.2499999999999999E-2</v>
      </c>
      <c r="W167" s="166">
        <v>3.107E-2</v>
      </c>
      <c r="X167" s="5" t="s">
        <v>161</v>
      </c>
      <c r="Y167" s="5" t="s">
        <v>156</v>
      </c>
      <c r="Z167" s="155">
        <v>56700</v>
      </c>
      <c r="AA167" s="164">
        <v>1</v>
      </c>
      <c r="AB167" s="174">
        <v>120.29</v>
      </c>
      <c r="AD167" s="155">
        <v>68.203999999999994</v>
      </c>
      <c r="AG167" s="3" t="s">
        <v>36</v>
      </c>
      <c r="AH167" s="166">
        <v>1.3899999999999999E-4</v>
      </c>
      <c r="AI167" s="166">
        <v>5.31071667639687E-3</v>
      </c>
      <c r="AJ167" s="166">
        <v>8.1485394916298198E-4</v>
      </c>
    </row>
    <row r="168" spans="1:36">
      <c r="A168" s="3">
        <v>161</v>
      </c>
      <c r="B168" s="3">
        <v>9938</v>
      </c>
      <c r="C168" s="3" t="s">
        <v>467</v>
      </c>
      <c r="D168" s="3" t="s">
        <v>468</v>
      </c>
      <c r="E168" s="5" t="s">
        <v>149</v>
      </c>
      <c r="F168" s="3" t="s">
        <v>469</v>
      </c>
      <c r="G168" s="3" t="s">
        <v>470</v>
      </c>
      <c r="H168" s="3" t="s">
        <v>152</v>
      </c>
      <c r="I168" s="3" t="s">
        <v>166</v>
      </c>
      <c r="J168" s="3" t="s">
        <v>30</v>
      </c>
      <c r="K168" s="3" t="s">
        <v>30</v>
      </c>
      <c r="L168" s="3" t="s">
        <v>154</v>
      </c>
      <c r="M168" s="3" t="s">
        <v>31</v>
      </c>
      <c r="N168" s="3" t="s">
        <v>167</v>
      </c>
      <c r="O168" s="3" t="s">
        <v>156</v>
      </c>
      <c r="P168" s="3" t="s">
        <v>168</v>
      </c>
      <c r="Q168" s="3" t="s">
        <v>169</v>
      </c>
      <c r="R168" s="3" t="s">
        <v>159</v>
      </c>
      <c r="S168" s="3" t="s">
        <v>34</v>
      </c>
      <c r="T168" s="155">
        <v>5.8140000000000001</v>
      </c>
      <c r="U168" s="3" t="s">
        <v>471</v>
      </c>
      <c r="V168" s="166">
        <v>2.5000000000000001E-2</v>
      </c>
      <c r="W168" s="166">
        <v>2.9170000000000001E-2</v>
      </c>
      <c r="X168" s="5" t="s">
        <v>161</v>
      </c>
      <c r="Y168" s="5" t="s">
        <v>156</v>
      </c>
      <c r="Z168" s="155">
        <v>55100</v>
      </c>
      <c r="AA168" s="164">
        <v>1</v>
      </c>
      <c r="AB168" s="174">
        <v>116.08</v>
      </c>
      <c r="AD168" s="155">
        <v>63.96</v>
      </c>
      <c r="AG168" s="3" t="s">
        <v>36</v>
      </c>
      <c r="AH168" s="166">
        <v>4.1E-5</v>
      </c>
      <c r="AI168" s="166">
        <v>4.9802316869986003E-3</v>
      </c>
      <c r="AJ168" s="166">
        <v>7.6414572743706299E-4</v>
      </c>
    </row>
    <row r="169" spans="1:36">
      <c r="A169" s="3">
        <v>161</v>
      </c>
      <c r="B169" s="3">
        <v>9938</v>
      </c>
      <c r="C169" s="3" t="s">
        <v>472</v>
      </c>
      <c r="D169" s="3" t="s">
        <v>473</v>
      </c>
      <c r="E169" s="5" t="s">
        <v>149</v>
      </c>
      <c r="F169" s="3" t="s">
        <v>474</v>
      </c>
      <c r="G169" s="3" t="s">
        <v>475</v>
      </c>
      <c r="H169" s="3" t="s">
        <v>152</v>
      </c>
      <c r="I169" s="3" t="s">
        <v>153</v>
      </c>
      <c r="J169" s="3" t="s">
        <v>30</v>
      </c>
      <c r="K169" s="3" t="s">
        <v>30</v>
      </c>
      <c r="L169" s="3" t="s">
        <v>154</v>
      </c>
      <c r="M169" s="3" t="s">
        <v>31</v>
      </c>
      <c r="N169" s="3" t="s">
        <v>231</v>
      </c>
      <c r="O169" s="3" t="s">
        <v>156</v>
      </c>
      <c r="P169" s="3" t="s">
        <v>232</v>
      </c>
      <c r="Q169" s="3" t="s">
        <v>158</v>
      </c>
      <c r="R169" s="3" t="s">
        <v>159</v>
      </c>
      <c r="S169" s="3" t="s">
        <v>34</v>
      </c>
      <c r="T169" s="155">
        <v>3.9990000000000001</v>
      </c>
      <c r="U169" s="3" t="s">
        <v>476</v>
      </c>
      <c r="V169" s="166">
        <v>6.7699999999999996E-2</v>
      </c>
      <c r="W169" s="166">
        <v>5.2019999999999997E-2</v>
      </c>
      <c r="X169" s="5" t="s">
        <v>161</v>
      </c>
      <c r="Y169" s="5" t="s">
        <v>156</v>
      </c>
      <c r="Z169" s="155">
        <v>108000</v>
      </c>
      <c r="AA169" s="164">
        <v>1</v>
      </c>
      <c r="AB169" s="174">
        <v>108.36</v>
      </c>
      <c r="AD169" s="155">
        <v>117.029</v>
      </c>
      <c r="AG169" s="3" t="s">
        <v>36</v>
      </c>
      <c r="AH169" s="166">
        <v>1.6000000000000001E-4</v>
      </c>
      <c r="AI169" s="166">
        <v>9.1124110234293201E-3</v>
      </c>
      <c r="AJ169" s="166">
        <v>1.3981698820121301E-3</v>
      </c>
    </row>
    <row r="170" spans="1:36">
      <c r="A170" s="3">
        <v>161</v>
      </c>
      <c r="B170" s="3">
        <v>9938</v>
      </c>
      <c r="C170" s="3" t="s">
        <v>477</v>
      </c>
      <c r="D170" s="3" t="s">
        <v>478</v>
      </c>
      <c r="E170" s="5" t="s">
        <v>149</v>
      </c>
      <c r="F170" s="3" t="s">
        <v>479</v>
      </c>
      <c r="G170" s="3" t="s">
        <v>480</v>
      </c>
      <c r="H170" s="3" t="s">
        <v>152</v>
      </c>
      <c r="I170" s="3" t="s">
        <v>166</v>
      </c>
      <c r="J170" s="3" t="s">
        <v>30</v>
      </c>
      <c r="K170" s="3" t="s">
        <v>30</v>
      </c>
      <c r="L170" s="3" t="s">
        <v>154</v>
      </c>
      <c r="M170" s="3" t="s">
        <v>31</v>
      </c>
      <c r="N170" s="3" t="s">
        <v>178</v>
      </c>
      <c r="O170" s="3" t="s">
        <v>156</v>
      </c>
      <c r="P170" s="3" t="s">
        <v>168</v>
      </c>
      <c r="Q170" s="3" t="s">
        <v>169</v>
      </c>
      <c r="R170" s="3" t="s">
        <v>159</v>
      </c>
      <c r="S170" s="3" t="s">
        <v>34</v>
      </c>
      <c r="T170" s="155">
        <v>3.0470000000000002</v>
      </c>
      <c r="U170" s="3" t="s">
        <v>481</v>
      </c>
      <c r="V170" s="166">
        <v>2.1999999999999999E-2</v>
      </c>
      <c r="W170" s="166">
        <v>2.912E-2</v>
      </c>
      <c r="X170" s="5" t="s">
        <v>161</v>
      </c>
      <c r="Y170" s="5" t="s">
        <v>156</v>
      </c>
      <c r="Z170" s="155">
        <v>100000.07</v>
      </c>
      <c r="AA170" s="164">
        <v>1</v>
      </c>
      <c r="AB170" s="174">
        <v>107.59</v>
      </c>
      <c r="AD170" s="155">
        <v>107.59</v>
      </c>
      <c r="AG170" s="3" t="s">
        <v>36</v>
      </c>
      <c r="AH170" s="166">
        <v>1.34E-4</v>
      </c>
      <c r="AI170" s="166">
        <v>8.3774676685890396E-3</v>
      </c>
      <c r="AJ170" s="166">
        <v>1.2854032759974799E-3</v>
      </c>
    </row>
    <row r="171" spans="1:36">
      <c r="A171" s="3">
        <v>161</v>
      </c>
      <c r="B171" s="3">
        <v>9938</v>
      </c>
      <c r="C171" s="3" t="s">
        <v>482</v>
      </c>
      <c r="D171" s="3" t="s">
        <v>483</v>
      </c>
      <c r="E171" s="5" t="s">
        <v>149</v>
      </c>
      <c r="F171" s="3" t="s">
        <v>484</v>
      </c>
      <c r="G171" s="3" t="s">
        <v>485</v>
      </c>
      <c r="H171" s="3" t="s">
        <v>152</v>
      </c>
      <c r="I171" s="3" t="s">
        <v>486</v>
      </c>
      <c r="J171" s="3" t="s">
        <v>30</v>
      </c>
      <c r="K171" s="3" t="s">
        <v>30</v>
      </c>
      <c r="L171" s="3" t="s">
        <v>154</v>
      </c>
      <c r="M171" s="3" t="s">
        <v>31</v>
      </c>
      <c r="N171" s="3" t="s">
        <v>487</v>
      </c>
      <c r="O171" s="3" t="s">
        <v>156</v>
      </c>
      <c r="P171" s="3" t="s">
        <v>359</v>
      </c>
      <c r="Q171" s="3" t="s">
        <v>158</v>
      </c>
      <c r="R171" s="3" t="s">
        <v>159</v>
      </c>
      <c r="S171" s="3" t="s">
        <v>34</v>
      </c>
      <c r="T171" s="155">
        <v>2.4950000000000001</v>
      </c>
      <c r="U171" s="3" t="s">
        <v>488</v>
      </c>
      <c r="V171" s="166">
        <v>4.6899999999999997E-2</v>
      </c>
      <c r="W171" s="166">
        <v>5.987E-2</v>
      </c>
      <c r="X171" s="5" t="s">
        <v>161</v>
      </c>
      <c r="Y171" s="5" t="s">
        <v>156</v>
      </c>
      <c r="Z171" s="155">
        <v>167696.63</v>
      </c>
      <c r="AA171" s="164">
        <v>1</v>
      </c>
      <c r="AB171" s="174">
        <v>92.95</v>
      </c>
      <c r="AD171" s="155">
        <v>155.874</v>
      </c>
      <c r="AG171" s="3" t="s">
        <v>36</v>
      </c>
      <c r="AH171" s="166">
        <v>1.46E-4</v>
      </c>
      <c r="AI171" s="166">
        <v>1.21370817790815E-2</v>
      </c>
      <c r="AJ171" s="166">
        <v>1.8622625949815501E-3</v>
      </c>
    </row>
    <row r="172" spans="1:36">
      <c r="A172" s="3">
        <v>161</v>
      </c>
      <c r="B172" s="3">
        <v>9938</v>
      </c>
      <c r="C172" s="3" t="s">
        <v>321</v>
      </c>
      <c r="D172" s="3" t="s">
        <v>322</v>
      </c>
      <c r="E172" s="5" t="s">
        <v>149</v>
      </c>
      <c r="F172" s="3" t="s">
        <v>489</v>
      </c>
      <c r="G172" s="3" t="s">
        <v>490</v>
      </c>
      <c r="H172" s="3" t="s">
        <v>152</v>
      </c>
      <c r="I172" s="3" t="s">
        <v>486</v>
      </c>
      <c r="J172" s="3" t="s">
        <v>30</v>
      </c>
      <c r="K172" s="3" t="s">
        <v>30</v>
      </c>
      <c r="L172" s="3" t="s">
        <v>154</v>
      </c>
      <c r="M172" s="3" t="s">
        <v>31</v>
      </c>
      <c r="N172" s="3" t="s">
        <v>491</v>
      </c>
      <c r="O172" s="3" t="s">
        <v>156</v>
      </c>
      <c r="P172" s="3" t="s">
        <v>492</v>
      </c>
      <c r="Q172" s="3" t="s">
        <v>493</v>
      </c>
      <c r="R172" s="3" t="s">
        <v>159</v>
      </c>
      <c r="S172" s="3" t="s">
        <v>86</v>
      </c>
      <c r="T172" s="155">
        <v>4.6920000000000002</v>
      </c>
      <c r="U172" s="3" t="s">
        <v>494</v>
      </c>
      <c r="V172" s="166">
        <v>3.2750000000000001E-2</v>
      </c>
      <c r="W172" s="166">
        <v>5.3719999999999997E-2</v>
      </c>
      <c r="X172" s="5" t="s">
        <v>161</v>
      </c>
      <c r="Y172" s="5" t="s">
        <v>156</v>
      </c>
      <c r="Z172" s="155">
        <v>14000</v>
      </c>
      <c r="AA172" s="164">
        <v>3.306</v>
      </c>
      <c r="AB172" s="174">
        <v>99.813000000000002</v>
      </c>
      <c r="AD172" s="155">
        <v>46.198</v>
      </c>
      <c r="AG172" s="3" t="s">
        <v>36</v>
      </c>
      <c r="AH172" s="166">
        <v>1.9000000000000001E-5</v>
      </c>
      <c r="AI172" s="166">
        <v>3.59716166882959E-3</v>
      </c>
      <c r="AJ172" s="166">
        <v>5.5193330208159097E-4</v>
      </c>
    </row>
    <row r="173" spans="1:36">
      <c r="A173" s="3">
        <v>161</v>
      </c>
      <c r="B173" s="3">
        <v>9938</v>
      </c>
      <c r="C173" s="3" t="s">
        <v>495</v>
      </c>
      <c r="D173" s="3" t="s">
        <v>496</v>
      </c>
      <c r="E173" s="5" t="s">
        <v>149</v>
      </c>
      <c r="F173" s="3" t="s">
        <v>497</v>
      </c>
      <c r="G173" s="3" t="s">
        <v>498</v>
      </c>
      <c r="H173" s="3" t="s">
        <v>152</v>
      </c>
      <c r="I173" s="3" t="s">
        <v>486</v>
      </c>
      <c r="J173" s="3" t="s">
        <v>81</v>
      </c>
      <c r="K173" s="3" t="s">
        <v>30</v>
      </c>
      <c r="L173" s="3" t="s">
        <v>154</v>
      </c>
      <c r="M173" s="3" t="s">
        <v>131</v>
      </c>
      <c r="N173" s="3" t="s">
        <v>491</v>
      </c>
      <c r="O173" s="3" t="s">
        <v>156</v>
      </c>
      <c r="P173" s="3" t="s">
        <v>492</v>
      </c>
      <c r="Q173" s="3" t="s">
        <v>493</v>
      </c>
      <c r="R173" s="3" t="s">
        <v>159</v>
      </c>
      <c r="S173" s="3" t="s">
        <v>86</v>
      </c>
      <c r="T173" s="155">
        <v>4.8289999999999997</v>
      </c>
      <c r="U173" s="3" t="s">
        <v>499</v>
      </c>
      <c r="V173" s="166">
        <v>3.0769999999999999E-2</v>
      </c>
      <c r="W173" s="166">
        <v>6.0100000000000001E-2</v>
      </c>
      <c r="X173" s="5" t="s">
        <v>161</v>
      </c>
      <c r="Y173" s="5" t="s">
        <v>156</v>
      </c>
      <c r="Z173" s="155">
        <v>14000</v>
      </c>
      <c r="AA173" s="164">
        <v>3.306</v>
      </c>
      <c r="AB173" s="174">
        <v>100.04</v>
      </c>
      <c r="AD173" s="155">
        <v>46.302</v>
      </c>
      <c r="AG173" s="3" t="s">
        <v>36</v>
      </c>
      <c r="AH173" s="166">
        <v>2.3E-5</v>
      </c>
      <c r="AI173" s="166">
        <v>3.6053188661630199E-3</v>
      </c>
      <c r="AJ173" s="166">
        <v>5.5318490800716801E-4</v>
      </c>
    </row>
    <row r="174" spans="1:36">
      <c r="A174" s="3">
        <v>161</v>
      </c>
      <c r="B174" s="3">
        <v>9942</v>
      </c>
      <c r="C174" s="3" t="s">
        <v>147</v>
      </c>
      <c r="D174" s="3" t="s">
        <v>148</v>
      </c>
      <c r="E174" s="5" t="s">
        <v>149</v>
      </c>
      <c r="F174" s="3" t="s">
        <v>150</v>
      </c>
      <c r="G174" s="3" t="s">
        <v>151</v>
      </c>
      <c r="H174" s="3" t="s">
        <v>152</v>
      </c>
      <c r="I174" s="3" t="s">
        <v>153</v>
      </c>
      <c r="J174" s="3" t="s">
        <v>30</v>
      </c>
      <c r="K174" s="3" t="s">
        <v>30</v>
      </c>
      <c r="L174" s="3" t="s">
        <v>154</v>
      </c>
      <c r="M174" s="3" t="s">
        <v>31</v>
      </c>
      <c r="N174" s="3" t="s">
        <v>155</v>
      </c>
      <c r="O174" s="3" t="s">
        <v>156</v>
      </c>
      <c r="P174" s="3" t="s">
        <v>157</v>
      </c>
      <c r="Q174" s="3" t="s">
        <v>158</v>
      </c>
      <c r="R174" s="3" t="s">
        <v>159</v>
      </c>
      <c r="S174" s="3" t="s">
        <v>34</v>
      </c>
      <c r="T174" s="155">
        <v>5.9370000000000003</v>
      </c>
      <c r="U174" s="3" t="s">
        <v>160</v>
      </c>
      <c r="V174" s="166">
        <v>5.1299999999999998E-2</v>
      </c>
      <c r="W174" s="166">
        <v>5.1470000000000002E-2</v>
      </c>
      <c r="X174" s="5" t="s">
        <v>161</v>
      </c>
      <c r="Y174" s="5" t="s">
        <v>156</v>
      </c>
      <c r="Z174" s="155">
        <v>100000</v>
      </c>
      <c r="AA174" s="164">
        <v>1</v>
      </c>
      <c r="AB174" s="174">
        <v>100.43</v>
      </c>
      <c r="AD174" s="155">
        <v>100.43</v>
      </c>
      <c r="AG174" s="3" t="s">
        <v>36</v>
      </c>
      <c r="AH174" s="166">
        <v>2.9399999999999999E-4</v>
      </c>
      <c r="AI174" s="166">
        <v>6.3041338140085801E-3</v>
      </c>
      <c r="AJ174" s="166">
        <v>1.01642447406793E-3</v>
      </c>
    </row>
    <row r="175" spans="1:36">
      <c r="A175" s="3">
        <v>161</v>
      </c>
      <c r="B175" s="3">
        <v>9942</v>
      </c>
      <c r="C175" s="3" t="s">
        <v>162</v>
      </c>
      <c r="D175" s="3" t="s">
        <v>163</v>
      </c>
      <c r="E175" s="5" t="s">
        <v>149</v>
      </c>
      <c r="F175" s="3" t="s">
        <v>164</v>
      </c>
      <c r="G175" s="3" t="s">
        <v>165</v>
      </c>
      <c r="H175" s="3" t="s">
        <v>152</v>
      </c>
      <c r="I175" s="3" t="s">
        <v>166</v>
      </c>
      <c r="J175" s="3" t="s">
        <v>30</v>
      </c>
      <c r="K175" s="3" t="s">
        <v>30</v>
      </c>
      <c r="L175" s="3" t="s">
        <v>154</v>
      </c>
      <c r="M175" s="3" t="s">
        <v>31</v>
      </c>
      <c r="N175" s="3" t="s">
        <v>167</v>
      </c>
      <c r="O175" s="3" t="s">
        <v>156</v>
      </c>
      <c r="P175" s="3" t="s">
        <v>168</v>
      </c>
      <c r="Q175" s="3" t="s">
        <v>169</v>
      </c>
      <c r="R175" s="3" t="s">
        <v>159</v>
      </c>
      <c r="S175" s="3" t="s">
        <v>34</v>
      </c>
      <c r="T175" s="155">
        <v>1.7490000000000001</v>
      </c>
      <c r="U175" s="3" t="s">
        <v>170</v>
      </c>
      <c r="V175" s="166">
        <v>2.3400000000000001E-2</v>
      </c>
      <c r="W175" s="166">
        <v>2.9860000000000001E-2</v>
      </c>
      <c r="X175" s="5" t="s">
        <v>161</v>
      </c>
      <c r="Y175" s="5" t="s">
        <v>156</v>
      </c>
      <c r="Z175" s="155">
        <v>326873.83</v>
      </c>
      <c r="AA175" s="164">
        <v>1</v>
      </c>
      <c r="AB175" s="174">
        <v>118.73</v>
      </c>
      <c r="AD175" s="155">
        <v>388.09699999999998</v>
      </c>
      <c r="AG175" s="3" t="s">
        <v>36</v>
      </c>
      <c r="AH175" s="166">
        <v>2.0100000000000001E-4</v>
      </c>
      <c r="AI175" s="166">
        <v>2.4361418915765699E-2</v>
      </c>
      <c r="AJ175" s="166">
        <v>3.9278262707530898E-3</v>
      </c>
    </row>
    <row r="176" spans="1:36">
      <c r="A176" s="3">
        <v>161</v>
      </c>
      <c r="B176" s="3">
        <v>9942</v>
      </c>
      <c r="C176" s="3" t="s">
        <v>162</v>
      </c>
      <c r="D176" s="3" t="s">
        <v>163</v>
      </c>
      <c r="E176" s="5" t="s">
        <v>149</v>
      </c>
      <c r="F176" s="3" t="s">
        <v>171</v>
      </c>
      <c r="G176" s="3" t="s">
        <v>172</v>
      </c>
      <c r="H176" s="3" t="s">
        <v>152</v>
      </c>
      <c r="I176" s="3" t="s">
        <v>153</v>
      </c>
      <c r="J176" s="3" t="s">
        <v>30</v>
      </c>
      <c r="K176" s="3" t="s">
        <v>30</v>
      </c>
      <c r="L176" s="3" t="s">
        <v>154</v>
      </c>
      <c r="M176" s="3" t="s">
        <v>31</v>
      </c>
      <c r="N176" s="3" t="s">
        <v>167</v>
      </c>
      <c r="O176" s="3" t="s">
        <v>156</v>
      </c>
      <c r="P176" s="3" t="s">
        <v>168</v>
      </c>
      <c r="Q176" s="3" t="s">
        <v>169</v>
      </c>
      <c r="R176" s="3" t="s">
        <v>159</v>
      </c>
      <c r="S176" s="3" t="s">
        <v>34</v>
      </c>
      <c r="T176" s="155">
        <v>2.12</v>
      </c>
      <c r="U176" s="3" t="s">
        <v>173</v>
      </c>
      <c r="V176" s="166">
        <v>0.05</v>
      </c>
      <c r="W176" s="166">
        <v>4.5929999999999999E-2</v>
      </c>
      <c r="X176" s="5" t="s">
        <v>161</v>
      </c>
      <c r="Y176" s="5" t="s">
        <v>156</v>
      </c>
      <c r="Z176" s="155">
        <v>157500</v>
      </c>
      <c r="AA176" s="164">
        <v>1</v>
      </c>
      <c r="AB176" s="174">
        <v>103.14</v>
      </c>
      <c r="AD176" s="155">
        <v>162.446</v>
      </c>
      <c r="AG176" s="3" t="s">
        <v>36</v>
      </c>
      <c r="AH176" s="166">
        <v>3.19E-4</v>
      </c>
      <c r="AI176" s="166">
        <v>1.01969348748733E-2</v>
      </c>
      <c r="AJ176" s="166">
        <v>1.64406633378674E-3</v>
      </c>
    </row>
    <row r="177" spans="1:36">
      <c r="A177" s="3">
        <v>161</v>
      </c>
      <c r="B177" s="3">
        <v>9942</v>
      </c>
      <c r="C177" s="3" t="s">
        <v>174</v>
      </c>
      <c r="D177" s="3" t="s">
        <v>175</v>
      </c>
      <c r="E177" s="5" t="s">
        <v>149</v>
      </c>
      <c r="F177" s="3" t="s">
        <v>500</v>
      </c>
      <c r="G177" s="3" t="s">
        <v>501</v>
      </c>
      <c r="H177" s="3" t="s">
        <v>152</v>
      </c>
      <c r="I177" s="3" t="s">
        <v>166</v>
      </c>
      <c r="J177" s="3" t="s">
        <v>30</v>
      </c>
      <c r="K177" s="3" t="s">
        <v>30</v>
      </c>
      <c r="L177" s="3" t="s">
        <v>154</v>
      </c>
      <c r="M177" s="3" t="s">
        <v>31</v>
      </c>
      <c r="N177" s="3" t="s">
        <v>178</v>
      </c>
      <c r="O177" s="3" t="s">
        <v>156</v>
      </c>
      <c r="P177" s="3" t="s">
        <v>179</v>
      </c>
      <c r="Q177" s="3" t="s">
        <v>169</v>
      </c>
      <c r="R177" s="3" t="s">
        <v>159</v>
      </c>
      <c r="S177" s="3" t="s">
        <v>34</v>
      </c>
      <c r="T177" s="155">
        <v>1.319</v>
      </c>
      <c r="U177" s="3" t="s">
        <v>502</v>
      </c>
      <c r="V177" s="166">
        <v>3.2000000000000001E-2</v>
      </c>
      <c r="W177" s="166">
        <v>3.4700000000000002E-2</v>
      </c>
      <c r="X177" s="5" t="s">
        <v>161</v>
      </c>
      <c r="Y177" s="5" t="s">
        <v>156</v>
      </c>
      <c r="Z177" s="155">
        <v>45650</v>
      </c>
      <c r="AA177" s="164">
        <v>1</v>
      </c>
      <c r="AB177" s="174">
        <v>110.31</v>
      </c>
      <c r="AD177" s="155">
        <v>50.356999999999999</v>
      </c>
      <c r="AG177" s="3" t="s">
        <v>36</v>
      </c>
      <c r="AH177" s="166">
        <v>7.6000000000000004E-5</v>
      </c>
      <c r="AI177" s="166">
        <v>3.1609500046512998E-3</v>
      </c>
      <c r="AJ177" s="166">
        <v>5.0964447152015296E-4</v>
      </c>
    </row>
    <row r="178" spans="1:36">
      <c r="A178" s="3">
        <v>161</v>
      </c>
      <c r="B178" s="3">
        <v>9942</v>
      </c>
      <c r="C178" s="3" t="s">
        <v>174</v>
      </c>
      <c r="D178" s="3" t="s">
        <v>175</v>
      </c>
      <c r="E178" s="5" t="s">
        <v>149</v>
      </c>
      <c r="F178" s="3" t="s">
        <v>176</v>
      </c>
      <c r="G178" s="3" t="s">
        <v>177</v>
      </c>
      <c r="H178" s="3" t="s">
        <v>152</v>
      </c>
      <c r="I178" s="3" t="s">
        <v>153</v>
      </c>
      <c r="J178" s="3" t="s">
        <v>30</v>
      </c>
      <c r="K178" s="3" t="s">
        <v>30</v>
      </c>
      <c r="L178" s="3" t="s">
        <v>154</v>
      </c>
      <c r="M178" s="3" t="s">
        <v>31</v>
      </c>
      <c r="N178" s="3" t="s">
        <v>178</v>
      </c>
      <c r="O178" s="3" t="s">
        <v>156</v>
      </c>
      <c r="P178" s="3" t="s">
        <v>179</v>
      </c>
      <c r="Q178" s="3" t="s">
        <v>169</v>
      </c>
      <c r="R178" s="3" t="s">
        <v>159</v>
      </c>
      <c r="S178" s="3" t="s">
        <v>34</v>
      </c>
      <c r="T178" s="155">
        <v>1.391</v>
      </c>
      <c r="U178" s="3" t="s">
        <v>180</v>
      </c>
      <c r="V178" s="166">
        <v>5.7000000000000002E-2</v>
      </c>
      <c r="W178" s="166">
        <v>5.339E-2</v>
      </c>
      <c r="X178" s="5" t="s">
        <v>161</v>
      </c>
      <c r="Y178" s="5" t="s">
        <v>156</v>
      </c>
      <c r="Z178" s="155">
        <v>45100</v>
      </c>
      <c r="AA178" s="164">
        <v>1</v>
      </c>
      <c r="AB178" s="174">
        <v>100.89</v>
      </c>
      <c r="AD178" s="155">
        <v>45.500999999999998</v>
      </c>
      <c r="AG178" s="3" t="s">
        <v>36</v>
      </c>
      <c r="AH178" s="166">
        <v>6.2000000000000003E-5</v>
      </c>
      <c r="AI178" s="166">
        <v>2.8561869091246802E-3</v>
      </c>
      <c r="AJ178" s="166">
        <v>4.6050708354186898E-4</v>
      </c>
    </row>
    <row r="179" spans="1:36">
      <c r="A179" s="3">
        <v>161</v>
      </c>
      <c r="B179" s="3">
        <v>9942</v>
      </c>
      <c r="C179" s="3" t="s">
        <v>503</v>
      </c>
      <c r="D179" s="3" t="s">
        <v>504</v>
      </c>
      <c r="E179" s="5" t="s">
        <v>149</v>
      </c>
      <c r="F179" s="3" t="s">
        <v>505</v>
      </c>
      <c r="G179" s="3" t="s">
        <v>506</v>
      </c>
      <c r="H179" s="3" t="s">
        <v>152</v>
      </c>
      <c r="I179" s="3" t="s">
        <v>166</v>
      </c>
      <c r="J179" s="3" t="s">
        <v>30</v>
      </c>
      <c r="K179" s="3" t="s">
        <v>30</v>
      </c>
      <c r="L179" s="3" t="s">
        <v>154</v>
      </c>
      <c r="M179" s="3" t="s">
        <v>31</v>
      </c>
      <c r="N179" s="3" t="s">
        <v>178</v>
      </c>
      <c r="O179" s="3" t="s">
        <v>156</v>
      </c>
      <c r="P179" s="3" t="s">
        <v>179</v>
      </c>
      <c r="Q179" s="3" t="s">
        <v>169</v>
      </c>
      <c r="R179" s="3" t="s">
        <v>159</v>
      </c>
      <c r="S179" s="3" t="s">
        <v>34</v>
      </c>
      <c r="T179" s="155">
        <v>2.3919999999999999</v>
      </c>
      <c r="U179" s="3" t="s">
        <v>507</v>
      </c>
      <c r="V179" s="166">
        <v>3.2300000000000002E-2</v>
      </c>
      <c r="W179" s="166">
        <v>2.954E-2</v>
      </c>
      <c r="X179" s="5" t="s">
        <v>161</v>
      </c>
      <c r="Y179" s="5" t="s">
        <v>156</v>
      </c>
      <c r="Z179" s="155">
        <v>58480</v>
      </c>
      <c r="AA179" s="164">
        <v>1</v>
      </c>
      <c r="AB179" s="174">
        <v>110.84</v>
      </c>
      <c r="AD179" s="155">
        <v>64.819000000000003</v>
      </c>
      <c r="AG179" s="3" t="s">
        <v>36</v>
      </c>
      <c r="AH179" s="166">
        <v>1.13E-4</v>
      </c>
      <c r="AI179" s="166">
        <v>4.0687953026910997E-3</v>
      </c>
      <c r="AJ179" s="166">
        <v>6.5601766200425497E-4</v>
      </c>
    </row>
    <row r="180" spans="1:36">
      <c r="A180" s="3">
        <v>161</v>
      </c>
      <c r="B180" s="3">
        <v>9942</v>
      </c>
      <c r="C180" s="3" t="s">
        <v>181</v>
      </c>
      <c r="D180" s="3" t="s">
        <v>182</v>
      </c>
      <c r="E180" s="5" t="s">
        <v>149</v>
      </c>
      <c r="F180" s="3" t="s">
        <v>183</v>
      </c>
      <c r="G180" s="3" t="s">
        <v>184</v>
      </c>
      <c r="H180" s="3" t="s">
        <v>152</v>
      </c>
      <c r="I180" s="3" t="s">
        <v>166</v>
      </c>
      <c r="J180" s="3" t="s">
        <v>30</v>
      </c>
      <c r="K180" s="3" t="s">
        <v>30</v>
      </c>
      <c r="L180" s="3" t="s">
        <v>154</v>
      </c>
      <c r="M180" s="3" t="s">
        <v>31</v>
      </c>
      <c r="N180" s="3" t="s">
        <v>167</v>
      </c>
      <c r="O180" s="3" t="s">
        <v>156</v>
      </c>
      <c r="P180" s="3" t="s">
        <v>185</v>
      </c>
      <c r="Q180" s="3" t="s">
        <v>169</v>
      </c>
      <c r="R180" s="3" t="s">
        <v>159</v>
      </c>
      <c r="S180" s="3" t="s">
        <v>34</v>
      </c>
      <c r="T180" s="155">
        <v>6.1760000000000002</v>
      </c>
      <c r="U180" s="3" t="s">
        <v>186</v>
      </c>
      <c r="V180" s="166">
        <v>2.5600000000000001E-2</v>
      </c>
      <c r="W180" s="166">
        <v>3.1919999999999997E-2</v>
      </c>
      <c r="X180" s="5" t="s">
        <v>161</v>
      </c>
      <c r="Y180" s="5" t="s">
        <v>156</v>
      </c>
      <c r="Z180" s="155">
        <v>180000</v>
      </c>
      <c r="AA180" s="164">
        <v>1</v>
      </c>
      <c r="AB180" s="174">
        <v>108.14</v>
      </c>
      <c r="AD180" s="155">
        <v>194.65199999999999</v>
      </c>
      <c r="AG180" s="3" t="s">
        <v>36</v>
      </c>
      <c r="AH180" s="166">
        <v>1.7100000000000001E-4</v>
      </c>
      <c r="AI180" s="166">
        <v>1.2218582646265E-2</v>
      </c>
      <c r="AJ180" s="166">
        <v>1.97001948348373E-3</v>
      </c>
    </row>
    <row r="181" spans="1:36">
      <c r="A181" s="3">
        <v>161</v>
      </c>
      <c r="B181" s="3">
        <v>9942</v>
      </c>
      <c r="C181" s="3" t="s">
        <v>181</v>
      </c>
      <c r="D181" s="3" t="s">
        <v>182</v>
      </c>
      <c r="E181" s="5" t="s">
        <v>149</v>
      </c>
      <c r="F181" s="3" t="s">
        <v>187</v>
      </c>
      <c r="G181" s="3" t="s">
        <v>188</v>
      </c>
      <c r="H181" s="3" t="s">
        <v>152</v>
      </c>
      <c r="I181" s="3" t="s">
        <v>153</v>
      </c>
      <c r="J181" s="3" t="s">
        <v>30</v>
      </c>
      <c r="K181" s="3" t="s">
        <v>30</v>
      </c>
      <c r="L181" s="3" t="s">
        <v>154</v>
      </c>
      <c r="M181" s="3" t="s">
        <v>31</v>
      </c>
      <c r="N181" s="3" t="s">
        <v>167</v>
      </c>
      <c r="O181" s="3" t="s">
        <v>156</v>
      </c>
      <c r="P181" s="3" t="s">
        <v>185</v>
      </c>
      <c r="Q181" s="3" t="s">
        <v>169</v>
      </c>
      <c r="R181" s="3" t="s">
        <v>159</v>
      </c>
      <c r="S181" s="3" t="s">
        <v>34</v>
      </c>
      <c r="T181" s="155">
        <v>3.4430000000000001</v>
      </c>
      <c r="U181" s="3" t="s">
        <v>189</v>
      </c>
      <c r="V181" s="166">
        <v>2.41E-2</v>
      </c>
      <c r="W181" s="166">
        <v>4.8230000000000002E-2</v>
      </c>
      <c r="X181" s="5" t="s">
        <v>161</v>
      </c>
      <c r="Y181" s="5" t="s">
        <v>156</v>
      </c>
      <c r="Z181" s="155">
        <v>200000</v>
      </c>
      <c r="AA181" s="164">
        <v>1</v>
      </c>
      <c r="AB181" s="174">
        <v>93.59</v>
      </c>
      <c r="AD181" s="155">
        <v>187.18</v>
      </c>
      <c r="AG181" s="3" t="s">
        <v>36</v>
      </c>
      <c r="AH181" s="166">
        <v>9.7E-5</v>
      </c>
      <c r="AI181" s="166">
        <v>1.17495545883314E-2</v>
      </c>
      <c r="AJ181" s="166">
        <v>1.89439742164727E-3</v>
      </c>
    </row>
    <row r="182" spans="1:36">
      <c r="A182" s="3">
        <v>161</v>
      </c>
      <c r="B182" s="3">
        <v>9942</v>
      </c>
      <c r="C182" s="3" t="s">
        <v>190</v>
      </c>
      <c r="D182" s="3" t="s">
        <v>191</v>
      </c>
      <c r="E182" s="5" t="s">
        <v>149</v>
      </c>
      <c r="F182" s="3" t="s">
        <v>192</v>
      </c>
      <c r="G182" s="3" t="s">
        <v>193</v>
      </c>
      <c r="H182" s="3" t="s">
        <v>152</v>
      </c>
      <c r="I182" s="3" t="s">
        <v>153</v>
      </c>
      <c r="J182" s="3" t="s">
        <v>30</v>
      </c>
      <c r="K182" s="3" t="s">
        <v>30</v>
      </c>
      <c r="L182" s="3" t="s">
        <v>154</v>
      </c>
      <c r="M182" s="3" t="s">
        <v>31</v>
      </c>
      <c r="N182" s="3" t="s">
        <v>194</v>
      </c>
      <c r="O182" s="3" t="s">
        <v>156</v>
      </c>
      <c r="P182" s="3" t="s">
        <v>179</v>
      </c>
      <c r="Q182" s="3" t="s">
        <v>169</v>
      </c>
      <c r="R182" s="3" t="s">
        <v>159</v>
      </c>
      <c r="S182" s="3" t="s">
        <v>34</v>
      </c>
      <c r="T182" s="155">
        <v>2.5489999999999999</v>
      </c>
      <c r="U182" s="3" t="s">
        <v>195</v>
      </c>
      <c r="V182" s="166">
        <v>0.04</v>
      </c>
      <c r="W182" s="166">
        <v>4.802E-2</v>
      </c>
      <c r="X182" s="5" t="s">
        <v>161</v>
      </c>
      <c r="Y182" s="5" t="s">
        <v>156</v>
      </c>
      <c r="Z182" s="155">
        <v>230357.19</v>
      </c>
      <c r="AA182" s="164">
        <v>1</v>
      </c>
      <c r="AB182" s="174">
        <v>99.07</v>
      </c>
      <c r="AD182" s="155">
        <v>228.215</v>
      </c>
      <c r="AG182" s="3" t="s">
        <v>36</v>
      </c>
      <c r="AH182" s="166">
        <v>3.97E-4</v>
      </c>
      <c r="AI182" s="166">
        <v>1.43253715728045E-2</v>
      </c>
      <c r="AJ182" s="166">
        <v>2.3097000628952199E-3</v>
      </c>
    </row>
    <row r="183" spans="1:36">
      <c r="A183" s="3">
        <v>161</v>
      </c>
      <c r="B183" s="3">
        <v>9942</v>
      </c>
      <c r="C183" s="3" t="s">
        <v>196</v>
      </c>
      <c r="D183" s="3" t="s">
        <v>197</v>
      </c>
      <c r="E183" s="5" t="s">
        <v>149</v>
      </c>
      <c r="F183" s="3" t="s">
        <v>201</v>
      </c>
      <c r="G183" s="3" t="s">
        <v>202</v>
      </c>
      <c r="H183" s="3" t="s">
        <v>152</v>
      </c>
      <c r="I183" s="3" t="s">
        <v>153</v>
      </c>
      <c r="J183" s="3" t="s">
        <v>30</v>
      </c>
      <c r="K183" s="3" t="s">
        <v>30</v>
      </c>
      <c r="L183" s="3" t="s">
        <v>154</v>
      </c>
      <c r="M183" s="3" t="s">
        <v>31</v>
      </c>
      <c r="N183" s="3" t="s">
        <v>167</v>
      </c>
      <c r="O183" s="3" t="s">
        <v>156</v>
      </c>
      <c r="P183" s="3" t="s">
        <v>168</v>
      </c>
      <c r="Q183" s="3" t="s">
        <v>169</v>
      </c>
      <c r="R183" s="3" t="s">
        <v>159</v>
      </c>
      <c r="S183" s="3" t="s">
        <v>34</v>
      </c>
      <c r="T183" s="155">
        <v>4.4089999999999998</v>
      </c>
      <c r="U183" s="3" t="s">
        <v>203</v>
      </c>
      <c r="V183" s="166">
        <v>2.4400000000000002E-2</v>
      </c>
      <c r="W183" s="166">
        <v>4.6960000000000002E-2</v>
      </c>
      <c r="X183" s="5" t="s">
        <v>161</v>
      </c>
      <c r="Y183" s="5" t="s">
        <v>156</v>
      </c>
      <c r="Z183" s="155">
        <v>200000</v>
      </c>
      <c r="AA183" s="164">
        <v>1</v>
      </c>
      <c r="AB183" s="174">
        <v>92.45</v>
      </c>
      <c r="AD183" s="155">
        <v>184.9</v>
      </c>
      <c r="AG183" s="3" t="s">
        <v>36</v>
      </c>
      <c r="AH183" s="166">
        <v>1.65E-4</v>
      </c>
      <c r="AI183" s="166">
        <v>1.1606435748383799E-2</v>
      </c>
      <c r="AJ183" s="166">
        <v>1.8713221672325101E-3</v>
      </c>
    </row>
    <row r="184" spans="1:36">
      <c r="A184" s="3">
        <v>161</v>
      </c>
      <c r="B184" s="3">
        <v>9942</v>
      </c>
      <c r="C184" s="3" t="s">
        <v>196</v>
      </c>
      <c r="D184" s="3" t="s">
        <v>197</v>
      </c>
      <c r="E184" s="5" t="s">
        <v>149</v>
      </c>
      <c r="F184" s="3" t="s">
        <v>204</v>
      </c>
      <c r="G184" s="3" t="s">
        <v>205</v>
      </c>
      <c r="H184" s="3" t="s">
        <v>152</v>
      </c>
      <c r="I184" s="3" t="s">
        <v>166</v>
      </c>
      <c r="J184" s="3" t="s">
        <v>30</v>
      </c>
      <c r="K184" s="3" t="s">
        <v>30</v>
      </c>
      <c r="L184" s="3" t="s">
        <v>154</v>
      </c>
      <c r="M184" s="3" t="s">
        <v>31</v>
      </c>
      <c r="N184" s="3" t="s">
        <v>167</v>
      </c>
      <c r="O184" s="3" t="s">
        <v>156</v>
      </c>
      <c r="P184" s="3" t="s">
        <v>168</v>
      </c>
      <c r="Q184" s="3" t="s">
        <v>169</v>
      </c>
      <c r="R184" s="3" t="s">
        <v>159</v>
      </c>
      <c r="S184" s="3" t="s">
        <v>34</v>
      </c>
      <c r="T184" s="155">
        <v>4.6059999999999999</v>
      </c>
      <c r="U184" s="3" t="s">
        <v>203</v>
      </c>
      <c r="V184" s="166">
        <v>9.1999999999999998E-3</v>
      </c>
      <c r="W184" s="166">
        <v>2.8729999999999999E-2</v>
      </c>
      <c r="X184" s="5" t="s">
        <v>161</v>
      </c>
      <c r="Y184" s="5" t="s">
        <v>156</v>
      </c>
      <c r="Z184" s="155">
        <v>260000</v>
      </c>
      <c r="AA184" s="164">
        <v>1</v>
      </c>
      <c r="AB184" s="174">
        <v>109.54</v>
      </c>
      <c r="AD184" s="155">
        <v>284.80399999999997</v>
      </c>
      <c r="AG184" s="3" t="s">
        <v>36</v>
      </c>
      <c r="AH184" s="166">
        <v>1.01E-4</v>
      </c>
      <c r="AI184" s="166">
        <v>1.78775517949308E-2</v>
      </c>
      <c r="AJ184" s="166">
        <v>2.88242313962405E-3</v>
      </c>
    </row>
    <row r="185" spans="1:36">
      <c r="A185" s="3">
        <v>161</v>
      </c>
      <c r="B185" s="3">
        <v>9942</v>
      </c>
      <c r="C185" s="3" t="s">
        <v>206</v>
      </c>
      <c r="D185" s="3" t="s">
        <v>207</v>
      </c>
      <c r="E185" s="5" t="s">
        <v>149</v>
      </c>
      <c r="F185" s="3" t="s">
        <v>208</v>
      </c>
      <c r="G185" s="3" t="s">
        <v>209</v>
      </c>
      <c r="H185" s="3" t="s">
        <v>152</v>
      </c>
      <c r="I185" s="3" t="s">
        <v>153</v>
      </c>
      <c r="J185" s="3" t="s">
        <v>30</v>
      </c>
      <c r="K185" s="3" t="s">
        <v>82</v>
      </c>
      <c r="L185" s="3" t="s">
        <v>154</v>
      </c>
      <c r="M185" s="3" t="s">
        <v>31</v>
      </c>
      <c r="N185" s="3" t="s">
        <v>210</v>
      </c>
      <c r="O185" s="3" t="s">
        <v>156</v>
      </c>
      <c r="P185" s="3" t="s">
        <v>157</v>
      </c>
      <c r="Q185" s="3" t="s">
        <v>158</v>
      </c>
      <c r="R185" s="3" t="s">
        <v>159</v>
      </c>
      <c r="S185" s="3" t="s">
        <v>34</v>
      </c>
      <c r="T185" s="155">
        <v>0.89500000000000002</v>
      </c>
      <c r="U185" s="3" t="s">
        <v>211</v>
      </c>
      <c r="V185" s="166">
        <v>3.4500000000000003E-2</v>
      </c>
      <c r="W185" s="166">
        <v>5.1270000000000003E-2</v>
      </c>
      <c r="X185" s="5" t="s">
        <v>161</v>
      </c>
      <c r="Y185" s="5" t="s">
        <v>156</v>
      </c>
      <c r="Z185" s="155">
        <v>230431.38</v>
      </c>
      <c r="AA185" s="164">
        <v>1</v>
      </c>
      <c r="AB185" s="174">
        <v>98.92</v>
      </c>
      <c r="AD185" s="155">
        <v>227.94300000000001</v>
      </c>
      <c r="AG185" s="3" t="s">
        <v>36</v>
      </c>
      <c r="AH185" s="166">
        <v>4.1399999999999998E-4</v>
      </c>
      <c r="AI185" s="166">
        <v>1.4308288516563E-2</v>
      </c>
      <c r="AJ185" s="166">
        <v>2.3069457374053099E-3</v>
      </c>
    </row>
    <row r="186" spans="1:36">
      <c r="A186" s="3">
        <v>161</v>
      </c>
      <c r="B186" s="3">
        <v>9942</v>
      </c>
      <c r="C186" s="3" t="s">
        <v>206</v>
      </c>
      <c r="D186" s="3" t="s">
        <v>207</v>
      </c>
      <c r="E186" s="5" t="s">
        <v>149</v>
      </c>
      <c r="F186" s="3" t="s">
        <v>212</v>
      </c>
      <c r="G186" s="3" t="s">
        <v>213</v>
      </c>
      <c r="H186" s="3" t="s">
        <v>152</v>
      </c>
      <c r="I186" s="3" t="s">
        <v>153</v>
      </c>
      <c r="J186" s="3" t="s">
        <v>30</v>
      </c>
      <c r="K186" s="3" t="s">
        <v>82</v>
      </c>
      <c r="L186" s="3" t="s">
        <v>154</v>
      </c>
      <c r="M186" s="3" t="s">
        <v>31</v>
      </c>
      <c r="N186" s="3" t="s">
        <v>210</v>
      </c>
      <c r="O186" s="3" t="s">
        <v>156</v>
      </c>
      <c r="P186" s="3" t="s">
        <v>157</v>
      </c>
      <c r="Q186" s="3" t="s">
        <v>158</v>
      </c>
      <c r="R186" s="3" t="s">
        <v>159</v>
      </c>
      <c r="S186" s="3" t="s">
        <v>34</v>
      </c>
      <c r="T186" s="155">
        <v>2.8079999999999998</v>
      </c>
      <c r="U186" s="3" t="s">
        <v>214</v>
      </c>
      <c r="V186" s="166">
        <v>1.4999999999999999E-2</v>
      </c>
      <c r="W186" s="166">
        <v>5.0139999999999997E-2</v>
      </c>
      <c r="X186" s="5" t="s">
        <v>161</v>
      </c>
      <c r="Y186" s="5" t="s">
        <v>156</v>
      </c>
      <c r="Z186" s="155">
        <v>98000</v>
      </c>
      <c r="AA186" s="164">
        <v>1</v>
      </c>
      <c r="AB186" s="174">
        <v>90.97</v>
      </c>
      <c r="AD186" s="155">
        <v>89.150999999999996</v>
      </c>
      <c r="AG186" s="3" t="s">
        <v>36</v>
      </c>
      <c r="AH186" s="166">
        <v>8.2999999999999998E-5</v>
      </c>
      <c r="AI186" s="166">
        <v>5.5961098476466501E-3</v>
      </c>
      <c r="AJ186" s="166">
        <v>9.0226876150394E-4</v>
      </c>
    </row>
    <row r="187" spans="1:36">
      <c r="A187" s="3">
        <v>161</v>
      </c>
      <c r="B187" s="3">
        <v>9942</v>
      </c>
      <c r="C187" s="3" t="s">
        <v>162</v>
      </c>
      <c r="D187" s="3" t="s">
        <v>163</v>
      </c>
      <c r="E187" s="5" t="s">
        <v>149</v>
      </c>
      <c r="F187" s="3" t="s">
        <v>215</v>
      </c>
      <c r="G187" s="3" t="s">
        <v>216</v>
      </c>
      <c r="H187" s="3" t="s">
        <v>152</v>
      </c>
      <c r="I187" s="3" t="s">
        <v>166</v>
      </c>
      <c r="J187" s="3" t="s">
        <v>30</v>
      </c>
      <c r="K187" s="3" t="s">
        <v>30</v>
      </c>
      <c r="L187" s="3" t="s">
        <v>154</v>
      </c>
      <c r="M187" s="3" t="s">
        <v>31</v>
      </c>
      <c r="N187" s="3" t="s">
        <v>167</v>
      </c>
      <c r="O187" s="3" t="s">
        <v>156</v>
      </c>
      <c r="P187" s="3" t="s">
        <v>168</v>
      </c>
      <c r="Q187" s="3" t="s">
        <v>169</v>
      </c>
      <c r="R187" s="3" t="s">
        <v>159</v>
      </c>
      <c r="S187" s="3" t="s">
        <v>34</v>
      </c>
      <c r="T187" s="155">
        <v>4.8460000000000001</v>
      </c>
      <c r="U187" s="3" t="s">
        <v>217</v>
      </c>
      <c r="V187" s="166">
        <v>6.4999999999999997E-3</v>
      </c>
      <c r="W187" s="166">
        <v>2.8850000000000001E-2</v>
      </c>
      <c r="X187" s="5" t="s">
        <v>161</v>
      </c>
      <c r="Y187" s="5" t="s">
        <v>156</v>
      </c>
      <c r="Z187" s="155">
        <v>216938.62</v>
      </c>
      <c r="AA187" s="164">
        <v>1</v>
      </c>
      <c r="AB187" s="174">
        <v>105.89</v>
      </c>
      <c r="AD187" s="155">
        <v>229.71600000000001</v>
      </c>
      <c r="AG187" s="3" t="s">
        <v>36</v>
      </c>
      <c r="AH187" s="166">
        <v>1.0399999999999999E-4</v>
      </c>
      <c r="AI187" s="166">
        <v>1.4419618880830799E-2</v>
      </c>
      <c r="AJ187" s="166">
        <v>2.3248956906086098E-3</v>
      </c>
    </row>
    <row r="188" spans="1:36">
      <c r="A188" s="3">
        <v>161</v>
      </c>
      <c r="B188" s="3">
        <v>9942</v>
      </c>
      <c r="C188" s="3" t="s">
        <v>218</v>
      </c>
      <c r="D188" s="3" t="s">
        <v>219</v>
      </c>
      <c r="E188" s="5" t="s">
        <v>149</v>
      </c>
      <c r="F188" s="3" t="s">
        <v>224</v>
      </c>
      <c r="G188" s="3" t="s">
        <v>225</v>
      </c>
      <c r="H188" s="3" t="s">
        <v>152</v>
      </c>
      <c r="I188" s="3" t="s">
        <v>166</v>
      </c>
      <c r="J188" s="3" t="s">
        <v>30</v>
      </c>
      <c r="K188" s="3" t="s">
        <v>30</v>
      </c>
      <c r="L188" s="3" t="s">
        <v>154</v>
      </c>
      <c r="M188" s="3" t="s">
        <v>31</v>
      </c>
      <c r="N188" s="3" t="s">
        <v>167</v>
      </c>
      <c r="O188" s="3" t="s">
        <v>156</v>
      </c>
      <c r="P188" s="3" t="s">
        <v>185</v>
      </c>
      <c r="Q188" s="3" t="s">
        <v>169</v>
      </c>
      <c r="R188" s="3" t="s">
        <v>159</v>
      </c>
      <c r="S188" s="3" t="s">
        <v>34</v>
      </c>
      <c r="T188" s="155">
        <v>4.6689999999999996</v>
      </c>
      <c r="U188" s="3" t="s">
        <v>226</v>
      </c>
      <c r="V188" s="166">
        <v>1.8700000000000001E-2</v>
      </c>
      <c r="W188" s="166">
        <v>2.946E-2</v>
      </c>
      <c r="X188" s="5" t="s">
        <v>161</v>
      </c>
      <c r="Y188" s="5" t="s">
        <v>156</v>
      </c>
      <c r="Z188" s="155">
        <v>305906.06</v>
      </c>
      <c r="AA188" s="164">
        <v>1</v>
      </c>
      <c r="AB188" s="174">
        <v>109.28</v>
      </c>
      <c r="AD188" s="155">
        <v>334.29399999999998</v>
      </c>
      <c r="AG188" s="3" t="s">
        <v>36</v>
      </c>
      <c r="AH188" s="166">
        <v>3.1300000000000002E-4</v>
      </c>
      <c r="AI188" s="166">
        <v>2.0984118358330198E-2</v>
      </c>
      <c r="AJ188" s="166">
        <v>3.3832992914506199E-3</v>
      </c>
    </row>
    <row r="189" spans="1:36">
      <c r="A189" s="3">
        <v>161</v>
      </c>
      <c r="B189" s="3">
        <v>9942</v>
      </c>
      <c r="C189" s="3" t="s">
        <v>227</v>
      </c>
      <c r="D189" s="3" t="s">
        <v>228</v>
      </c>
      <c r="E189" s="5" t="s">
        <v>149</v>
      </c>
      <c r="F189" s="3" t="s">
        <v>229</v>
      </c>
      <c r="G189" s="3" t="s">
        <v>230</v>
      </c>
      <c r="H189" s="3" t="s">
        <v>152</v>
      </c>
      <c r="I189" s="3" t="s">
        <v>153</v>
      </c>
      <c r="J189" s="3" t="s">
        <v>30</v>
      </c>
      <c r="K189" s="3" t="s">
        <v>30</v>
      </c>
      <c r="L189" s="3" t="s">
        <v>154</v>
      </c>
      <c r="M189" s="3" t="s">
        <v>31</v>
      </c>
      <c r="N189" s="3" t="s">
        <v>231</v>
      </c>
      <c r="O189" s="3" t="s">
        <v>156</v>
      </c>
      <c r="P189" s="3" t="s">
        <v>232</v>
      </c>
      <c r="Q189" s="3" t="s">
        <v>158</v>
      </c>
      <c r="R189" s="3" t="s">
        <v>159</v>
      </c>
      <c r="S189" s="3" t="s">
        <v>34</v>
      </c>
      <c r="T189" s="155">
        <v>2.5110000000000001</v>
      </c>
      <c r="U189" s="3" t="s">
        <v>173</v>
      </c>
      <c r="V189" s="166">
        <v>7.2499999999999995E-2</v>
      </c>
      <c r="W189" s="166">
        <v>5.4579999999999997E-2</v>
      </c>
      <c r="X189" s="5" t="s">
        <v>161</v>
      </c>
      <c r="Y189" s="5" t="s">
        <v>156</v>
      </c>
      <c r="Z189" s="155">
        <v>346400</v>
      </c>
      <c r="AA189" s="164">
        <v>1</v>
      </c>
      <c r="AB189" s="174">
        <v>107.9</v>
      </c>
      <c r="AD189" s="155">
        <v>373.76600000000002</v>
      </c>
      <c r="AG189" s="3" t="s">
        <v>36</v>
      </c>
      <c r="AH189" s="166">
        <v>5.4100000000000003E-4</v>
      </c>
      <c r="AI189" s="166">
        <v>2.3461797844002801E-2</v>
      </c>
      <c r="AJ189" s="166">
        <v>3.7827790839857199E-3</v>
      </c>
    </row>
    <row r="190" spans="1:36">
      <c r="A190" s="3">
        <v>161</v>
      </c>
      <c r="B190" s="3">
        <v>9942</v>
      </c>
      <c r="C190" s="3" t="s">
        <v>516</v>
      </c>
      <c r="D190" s="3" t="s">
        <v>517</v>
      </c>
      <c r="E190" s="5" t="s">
        <v>149</v>
      </c>
      <c r="F190" s="3" t="s">
        <v>518</v>
      </c>
      <c r="G190" s="3" t="s">
        <v>519</v>
      </c>
      <c r="H190" s="3" t="s">
        <v>152</v>
      </c>
      <c r="I190" s="3" t="s">
        <v>153</v>
      </c>
      <c r="J190" s="3" t="s">
        <v>30</v>
      </c>
      <c r="K190" s="3" t="s">
        <v>30</v>
      </c>
      <c r="L190" s="3" t="s">
        <v>154</v>
      </c>
      <c r="M190" s="3" t="s">
        <v>31</v>
      </c>
      <c r="N190" s="3" t="s">
        <v>167</v>
      </c>
      <c r="O190" s="3" t="s">
        <v>156</v>
      </c>
      <c r="P190" s="3" t="s">
        <v>168</v>
      </c>
      <c r="Q190" s="3" t="s">
        <v>169</v>
      </c>
      <c r="R190" s="3" t="s">
        <v>159</v>
      </c>
      <c r="S190" s="3" t="s">
        <v>34</v>
      </c>
      <c r="T190" s="155">
        <v>4.5410000000000004</v>
      </c>
      <c r="U190" s="3" t="s">
        <v>476</v>
      </c>
      <c r="V190" s="166">
        <v>2.5499999999999998E-2</v>
      </c>
      <c r="W190" s="166">
        <v>4.9320000000000003E-2</v>
      </c>
      <c r="X190" s="5" t="s">
        <v>161</v>
      </c>
      <c r="Y190" s="5" t="s">
        <v>156</v>
      </c>
      <c r="Z190" s="155">
        <v>201923.08</v>
      </c>
      <c r="AA190" s="164">
        <v>1</v>
      </c>
      <c r="AB190" s="174">
        <v>90.63</v>
      </c>
      <c r="AD190" s="155">
        <v>183.00299999999999</v>
      </c>
      <c r="AG190" s="3" t="s">
        <v>36</v>
      </c>
      <c r="AH190" s="166">
        <v>7.2000000000000002E-5</v>
      </c>
      <c r="AI190" s="166">
        <v>1.14873512948796E-2</v>
      </c>
      <c r="AJ190" s="166">
        <v>1.8521220111771799E-3</v>
      </c>
    </row>
    <row r="191" spans="1:36">
      <c r="A191" s="3">
        <v>161</v>
      </c>
      <c r="B191" s="3">
        <v>9942</v>
      </c>
      <c r="C191" s="3" t="s">
        <v>516</v>
      </c>
      <c r="D191" s="3" t="s">
        <v>517</v>
      </c>
      <c r="E191" s="5" t="s">
        <v>149</v>
      </c>
      <c r="F191" s="3" t="s">
        <v>523</v>
      </c>
      <c r="G191" s="3" t="s">
        <v>524</v>
      </c>
      <c r="H191" s="3" t="s">
        <v>152</v>
      </c>
      <c r="I191" s="3" t="s">
        <v>166</v>
      </c>
      <c r="J191" s="3" t="s">
        <v>30</v>
      </c>
      <c r="K191" s="3" t="s">
        <v>30</v>
      </c>
      <c r="L191" s="3" t="s">
        <v>154</v>
      </c>
      <c r="M191" s="3" t="s">
        <v>31</v>
      </c>
      <c r="N191" s="3" t="s">
        <v>167</v>
      </c>
      <c r="O191" s="3" t="s">
        <v>156</v>
      </c>
      <c r="P191" s="3" t="s">
        <v>168</v>
      </c>
      <c r="Q191" s="3" t="s">
        <v>169</v>
      </c>
      <c r="R191" s="3" t="s">
        <v>159</v>
      </c>
      <c r="S191" s="3" t="s">
        <v>34</v>
      </c>
      <c r="T191" s="155">
        <v>2.8519999999999999</v>
      </c>
      <c r="U191" s="3" t="s">
        <v>73</v>
      </c>
      <c r="V191" s="166">
        <v>3.3399999999999999E-2</v>
      </c>
      <c r="W191" s="166">
        <v>2.8539999999999999E-2</v>
      </c>
      <c r="X191" s="5" t="s">
        <v>161</v>
      </c>
      <c r="Y191" s="5" t="s">
        <v>156</v>
      </c>
      <c r="Z191" s="155">
        <v>280000</v>
      </c>
      <c r="AA191" s="164">
        <v>1</v>
      </c>
      <c r="AB191" s="174">
        <v>106.04</v>
      </c>
      <c r="AD191" s="155">
        <v>296.91199999999998</v>
      </c>
      <c r="AG191" s="3" t="s">
        <v>36</v>
      </c>
      <c r="AH191" s="166">
        <v>2.5999999999999998E-4</v>
      </c>
      <c r="AI191" s="166">
        <v>1.86375881607579E-2</v>
      </c>
      <c r="AJ191" s="166">
        <v>3.0049648854371998E-3</v>
      </c>
    </row>
    <row r="192" spans="1:36">
      <c r="A192" s="3">
        <v>161</v>
      </c>
      <c r="B192" s="3">
        <v>9942</v>
      </c>
      <c r="C192" s="3" t="s">
        <v>233</v>
      </c>
      <c r="D192" s="3" t="s">
        <v>234</v>
      </c>
      <c r="E192" s="5" t="s">
        <v>149</v>
      </c>
      <c r="F192" s="3" t="s">
        <v>235</v>
      </c>
      <c r="G192" s="3" t="s">
        <v>236</v>
      </c>
      <c r="H192" s="3" t="s">
        <v>152</v>
      </c>
      <c r="I192" s="3" t="s">
        <v>166</v>
      </c>
      <c r="J192" s="3" t="s">
        <v>30</v>
      </c>
      <c r="K192" s="3" t="s">
        <v>237</v>
      </c>
      <c r="L192" s="3" t="s">
        <v>154</v>
      </c>
      <c r="M192" s="3" t="s">
        <v>31</v>
      </c>
      <c r="N192" s="3" t="s">
        <v>238</v>
      </c>
      <c r="O192" s="3" t="s">
        <v>156</v>
      </c>
      <c r="P192" s="3" t="s">
        <v>239</v>
      </c>
      <c r="Q192" s="3" t="s">
        <v>169</v>
      </c>
      <c r="R192" s="3" t="s">
        <v>159</v>
      </c>
      <c r="S192" s="3" t="s">
        <v>34</v>
      </c>
      <c r="T192" s="155">
        <v>2.2280000000000002</v>
      </c>
      <c r="U192" s="3" t="s">
        <v>240</v>
      </c>
      <c r="V192" s="166">
        <v>3.2800000000000003E-2</v>
      </c>
      <c r="W192" s="166">
        <v>4.6530000000000002E-2</v>
      </c>
      <c r="X192" s="5" t="s">
        <v>161</v>
      </c>
      <c r="Y192" s="5" t="s">
        <v>156</v>
      </c>
      <c r="Z192" s="155">
        <v>125000</v>
      </c>
      <c r="AA192" s="164">
        <v>1</v>
      </c>
      <c r="AB192" s="174">
        <v>117.77</v>
      </c>
      <c r="AD192" s="155">
        <v>147.21299999999999</v>
      </c>
      <c r="AG192" s="3" t="s">
        <v>36</v>
      </c>
      <c r="AH192" s="166">
        <v>8.7999999999999998E-5</v>
      </c>
      <c r="AI192" s="166">
        <v>9.24073781832856E-3</v>
      </c>
      <c r="AJ192" s="166">
        <v>1.4898973204094999E-3</v>
      </c>
    </row>
    <row r="193" spans="1:36">
      <c r="A193" s="3">
        <v>161</v>
      </c>
      <c r="B193" s="3">
        <v>9942</v>
      </c>
      <c r="C193" s="3" t="s">
        <v>525</v>
      </c>
      <c r="D193" s="3" t="s">
        <v>526</v>
      </c>
      <c r="E193" s="5" t="s">
        <v>149</v>
      </c>
      <c r="F193" s="3" t="s">
        <v>527</v>
      </c>
      <c r="G193" s="3" t="s">
        <v>528</v>
      </c>
      <c r="H193" s="3" t="s">
        <v>152</v>
      </c>
      <c r="I193" s="3" t="s">
        <v>166</v>
      </c>
      <c r="J193" s="3" t="s">
        <v>30</v>
      </c>
      <c r="K193" s="3" t="s">
        <v>30</v>
      </c>
      <c r="L193" s="3" t="s">
        <v>154</v>
      </c>
      <c r="M193" s="3" t="s">
        <v>31</v>
      </c>
      <c r="N193" s="3" t="s">
        <v>194</v>
      </c>
      <c r="O193" s="3" t="s">
        <v>156</v>
      </c>
      <c r="P193" s="3" t="s">
        <v>179</v>
      </c>
      <c r="Q193" s="3" t="s">
        <v>169</v>
      </c>
      <c r="R193" s="3" t="s">
        <v>159</v>
      </c>
      <c r="S193" s="3" t="s">
        <v>34</v>
      </c>
      <c r="T193" s="155">
        <v>3.1419999999999999</v>
      </c>
      <c r="U193" s="3" t="s">
        <v>529</v>
      </c>
      <c r="V193" s="166">
        <v>7.4999999999999997E-3</v>
      </c>
      <c r="W193" s="166">
        <v>3.075E-2</v>
      </c>
      <c r="X193" s="5" t="s">
        <v>161</v>
      </c>
      <c r="Y193" s="5" t="s">
        <v>156</v>
      </c>
      <c r="Z193" s="155">
        <v>0</v>
      </c>
      <c r="AA193" s="164">
        <v>1</v>
      </c>
      <c r="AB193" s="174">
        <v>0</v>
      </c>
      <c r="AC193" s="155">
        <v>0.56000000000000005</v>
      </c>
      <c r="AD193" s="155">
        <v>0.56000000000000005</v>
      </c>
      <c r="AG193" s="3" t="s">
        <v>36</v>
      </c>
      <c r="AH193" s="166">
        <v>0</v>
      </c>
      <c r="AI193" s="166">
        <v>3.5143835491874699E-5</v>
      </c>
      <c r="AJ193" s="166">
        <v>5.6662906531555696E-6</v>
      </c>
    </row>
    <row r="194" spans="1:36">
      <c r="A194" s="3">
        <v>161</v>
      </c>
      <c r="B194" s="3">
        <v>9942</v>
      </c>
      <c r="C194" s="3" t="s">
        <v>241</v>
      </c>
      <c r="D194" s="3" t="s">
        <v>242</v>
      </c>
      <c r="E194" s="5" t="s">
        <v>149</v>
      </c>
      <c r="F194" s="3" t="s">
        <v>243</v>
      </c>
      <c r="G194" s="3" t="s">
        <v>244</v>
      </c>
      <c r="H194" s="3" t="s">
        <v>152</v>
      </c>
      <c r="I194" s="3" t="s">
        <v>166</v>
      </c>
      <c r="J194" s="3" t="s">
        <v>30</v>
      </c>
      <c r="K194" s="3" t="s">
        <v>30</v>
      </c>
      <c r="L194" s="3" t="s">
        <v>154</v>
      </c>
      <c r="M194" s="3" t="s">
        <v>31</v>
      </c>
      <c r="N194" s="3" t="s">
        <v>245</v>
      </c>
      <c r="O194" s="3" t="s">
        <v>156</v>
      </c>
      <c r="P194" s="3" t="s">
        <v>246</v>
      </c>
      <c r="Q194" s="3" t="s">
        <v>169</v>
      </c>
      <c r="R194" s="3" t="s">
        <v>159</v>
      </c>
      <c r="S194" s="3" t="s">
        <v>34</v>
      </c>
      <c r="T194" s="155">
        <v>3.5009999999999999</v>
      </c>
      <c r="U194" s="3" t="s">
        <v>247</v>
      </c>
      <c r="V194" s="166">
        <v>2E-3</v>
      </c>
      <c r="W194" s="166">
        <v>2.5520000000000001E-2</v>
      </c>
      <c r="X194" s="5" t="s">
        <v>161</v>
      </c>
      <c r="Y194" s="5" t="s">
        <v>156</v>
      </c>
      <c r="Z194" s="155">
        <v>614244.85</v>
      </c>
      <c r="AA194" s="164">
        <v>1</v>
      </c>
      <c r="AB194" s="174">
        <v>106.62</v>
      </c>
      <c r="AD194" s="155">
        <v>654.90800000000002</v>
      </c>
      <c r="AG194" s="3" t="s">
        <v>36</v>
      </c>
      <c r="AH194" s="166">
        <v>1.93E-4</v>
      </c>
      <c r="AI194" s="166">
        <v>4.1109496957315E-2</v>
      </c>
      <c r="AJ194" s="166">
        <v>6.6281427483638397E-3</v>
      </c>
    </row>
    <row r="195" spans="1:36">
      <c r="A195" s="3">
        <v>161</v>
      </c>
      <c r="B195" s="3">
        <v>9942</v>
      </c>
      <c r="C195" s="3" t="s">
        <v>241</v>
      </c>
      <c r="D195" s="3" t="s">
        <v>242</v>
      </c>
      <c r="E195" s="5" t="s">
        <v>149</v>
      </c>
      <c r="F195" s="3" t="s">
        <v>560</v>
      </c>
      <c r="G195" s="3" t="s">
        <v>561</v>
      </c>
      <c r="H195" s="3" t="s">
        <v>152</v>
      </c>
      <c r="I195" s="3" t="s">
        <v>166</v>
      </c>
      <c r="J195" s="3" t="s">
        <v>30</v>
      </c>
      <c r="K195" s="3" t="s">
        <v>30</v>
      </c>
      <c r="L195" s="3" t="s">
        <v>154</v>
      </c>
      <c r="M195" s="3" t="s">
        <v>31</v>
      </c>
      <c r="N195" s="3" t="s">
        <v>245</v>
      </c>
      <c r="O195" s="3" t="s">
        <v>156</v>
      </c>
      <c r="P195" s="3" t="s">
        <v>246</v>
      </c>
      <c r="Q195" s="3" t="s">
        <v>169</v>
      </c>
      <c r="R195" s="3" t="s">
        <v>159</v>
      </c>
      <c r="S195" s="3" t="s">
        <v>34</v>
      </c>
      <c r="T195" s="155">
        <v>4.633</v>
      </c>
      <c r="U195" s="3" t="s">
        <v>532</v>
      </c>
      <c r="V195" s="166">
        <v>2.47E-2</v>
      </c>
      <c r="W195" s="166">
        <v>2.5909999999999999E-2</v>
      </c>
      <c r="X195" s="5" t="s">
        <v>161</v>
      </c>
      <c r="Y195" s="5" t="s">
        <v>156</v>
      </c>
      <c r="Z195" s="155">
        <v>200200</v>
      </c>
      <c r="AA195" s="164">
        <v>1</v>
      </c>
      <c r="AB195" s="174">
        <v>105.47</v>
      </c>
      <c r="AD195" s="155">
        <v>211.15100000000001</v>
      </c>
      <c r="AG195" s="3" t="s">
        <v>36</v>
      </c>
      <c r="AH195" s="166">
        <v>7.7000000000000001E-5</v>
      </c>
      <c r="AI195" s="166">
        <v>1.3254244555548101E-2</v>
      </c>
      <c r="AJ195" s="166">
        <v>2.13700072825301E-3</v>
      </c>
    </row>
    <row r="196" spans="1:36">
      <c r="A196" s="3">
        <v>161</v>
      </c>
      <c r="B196" s="3">
        <v>9942</v>
      </c>
      <c r="C196" s="3" t="s">
        <v>241</v>
      </c>
      <c r="D196" s="3" t="s">
        <v>242</v>
      </c>
      <c r="E196" s="5" t="s">
        <v>149</v>
      </c>
      <c r="F196" s="3" t="s">
        <v>248</v>
      </c>
      <c r="G196" s="3" t="s">
        <v>249</v>
      </c>
      <c r="H196" s="3" t="s">
        <v>152</v>
      </c>
      <c r="I196" s="3" t="s">
        <v>153</v>
      </c>
      <c r="J196" s="3" t="s">
        <v>30</v>
      </c>
      <c r="K196" s="3" t="s">
        <v>30</v>
      </c>
      <c r="L196" s="3" t="s">
        <v>154</v>
      </c>
      <c r="M196" s="3" t="s">
        <v>31</v>
      </c>
      <c r="N196" s="3" t="s">
        <v>245</v>
      </c>
      <c r="O196" s="3" t="s">
        <v>156</v>
      </c>
      <c r="P196" s="3" t="s">
        <v>246</v>
      </c>
      <c r="Q196" s="3" t="s">
        <v>169</v>
      </c>
      <c r="R196" s="3" t="s">
        <v>159</v>
      </c>
      <c r="S196" s="3" t="s">
        <v>34</v>
      </c>
      <c r="T196" s="155">
        <v>2.4689999999999999</v>
      </c>
      <c r="U196" s="3" t="s">
        <v>250</v>
      </c>
      <c r="V196" s="166">
        <v>2.6800000000000001E-2</v>
      </c>
      <c r="W196" s="166">
        <v>4.4679999999999997E-2</v>
      </c>
      <c r="X196" s="5" t="s">
        <v>161</v>
      </c>
      <c r="Y196" s="5" t="s">
        <v>156</v>
      </c>
      <c r="Z196" s="155">
        <v>205737.79</v>
      </c>
      <c r="AA196" s="164">
        <v>1</v>
      </c>
      <c r="AB196" s="174">
        <v>97.92</v>
      </c>
      <c r="AD196" s="155">
        <v>201.458</v>
      </c>
      <c r="AG196" s="3" t="s">
        <v>36</v>
      </c>
      <c r="AH196" s="166">
        <v>1.05E-4</v>
      </c>
      <c r="AI196" s="166">
        <v>1.2645832806295099E-2</v>
      </c>
      <c r="AJ196" s="166">
        <v>2.0389056353352399E-3</v>
      </c>
    </row>
    <row r="197" spans="1:36">
      <c r="A197" s="3">
        <v>161</v>
      </c>
      <c r="B197" s="3">
        <v>9942</v>
      </c>
      <c r="C197" s="3" t="s">
        <v>241</v>
      </c>
      <c r="D197" s="3" t="s">
        <v>242</v>
      </c>
      <c r="E197" s="5" t="s">
        <v>149</v>
      </c>
      <c r="F197" s="3" t="s">
        <v>251</v>
      </c>
      <c r="G197" s="3" t="s">
        <v>252</v>
      </c>
      <c r="H197" s="3" t="s">
        <v>152</v>
      </c>
      <c r="I197" s="3" t="s">
        <v>166</v>
      </c>
      <c r="J197" s="3" t="s">
        <v>30</v>
      </c>
      <c r="K197" s="3" t="s">
        <v>30</v>
      </c>
      <c r="L197" s="3" t="s">
        <v>154</v>
      </c>
      <c r="M197" s="3" t="s">
        <v>31</v>
      </c>
      <c r="N197" s="3" t="s">
        <v>245</v>
      </c>
      <c r="O197" s="3" t="s">
        <v>156</v>
      </c>
      <c r="P197" s="3" t="s">
        <v>185</v>
      </c>
      <c r="Q197" s="3" t="s">
        <v>169</v>
      </c>
      <c r="R197" s="3" t="s">
        <v>159</v>
      </c>
      <c r="S197" s="3" t="s">
        <v>34</v>
      </c>
      <c r="T197" s="155">
        <v>4.6669999999999998</v>
      </c>
      <c r="U197" s="3" t="s">
        <v>253</v>
      </c>
      <c r="V197" s="166">
        <v>3.3203000000000003E-2</v>
      </c>
      <c r="W197" s="166">
        <v>2.9989999999999999E-2</v>
      </c>
      <c r="X197" s="5" t="s">
        <v>161</v>
      </c>
      <c r="Y197" s="5" t="s">
        <v>156</v>
      </c>
      <c r="Z197" s="155">
        <v>270000</v>
      </c>
      <c r="AA197" s="164">
        <v>1</v>
      </c>
      <c r="AB197" s="174">
        <v>109.04</v>
      </c>
      <c r="AD197" s="155">
        <v>294.40800000000002</v>
      </c>
      <c r="AG197" s="3" t="s">
        <v>36</v>
      </c>
      <c r="AH197" s="166">
        <v>2.1499999999999999E-4</v>
      </c>
      <c r="AI197" s="166">
        <v>1.8480408522499599E-2</v>
      </c>
      <c r="AJ197" s="166">
        <v>2.9796225884834398E-3</v>
      </c>
    </row>
    <row r="198" spans="1:36">
      <c r="A198" s="3">
        <v>161</v>
      </c>
      <c r="B198" s="3">
        <v>9942</v>
      </c>
      <c r="C198" s="3" t="s">
        <v>254</v>
      </c>
      <c r="D198" s="3" t="s">
        <v>255</v>
      </c>
      <c r="E198" s="5" t="s">
        <v>149</v>
      </c>
      <c r="F198" s="3" t="s">
        <v>256</v>
      </c>
      <c r="G198" s="3" t="s">
        <v>257</v>
      </c>
      <c r="H198" s="3" t="s">
        <v>152</v>
      </c>
      <c r="I198" s="3" t="s">
        <v>166</v>
      </c>
      <c r="J198" s="3" t="s">
        <v>30</v>
      </c>
      <c r="K198" s="3" t="s">
        <v>30</v>
      </c>
      <c r="L198" s="3" t="s">
        <v>154</v>
      </c>
      <c r="M198" s="3" t="s">
        <v>31</v>
      </c>
      <c r="N198" s="3" t="s">
        <v>167</v>
      </c>
      <c r="O198" s="3" t="s">
        <v>156</v>
      </c>
      <c r="P198" s="3" t="s">
        <v>258</v>
      </c>
      <c r="Q198" s="3" t="s">
        <v>169</v>
      </c>
      <c r="R198" s="3" t="s">
        <v>159</v>
      </c>
      <c r="S198" s="3" t="s">
        <v>34</v>
      </c>
      <c r="T198" s="155">
        <v>2.6059999999999999</v>
      </c>
      <c r="U198" s="3" t="s">
        <v>259</v>
      </c>
      <c r="V198" s="166">
        <v>2.7E-2</v>
      </c>
      <c r="W198" s="166">
        <v>3.0329999999999999E-2</v>
      </c>
      <c r="X198" s="5" t="s">
        <v>161</v>
      </c>
      <c r="Y198" s="5" t="s">
        <v>156</v>
      </c>
      <c r="Z198" s="155">
        <v>51300</v>
      </c>
      <c r="AA198" s="164">
        <v>1</v>
      </c>
      <c r="AB198" s="174">
        <v>110.04</v>
      </c>
      <c r="AD198" s="155">
        <v>56.451000000000001</v>
      </c>
      <c r="AG198" s="3" t="s">
        <v>36</v>
      </c>
      <c r="AH198" s="166">
        <v>1.2999999999999999E-4</v>
      </c>
      <c r="AI198" s="166">
        <v>3.5434793582631401E-3</v>
      </c>
      <c r="AJ198" s="166">
        <v>5.7132022405517605E-4</v>
      </c>
    </row>
    <row r="199" spans="1:36">
      <c r="A199" s="3">
        <v>161</v>
      </c>
      <c r="B199" s="3">
        <v>9942</v>
      </c>
      <c r="C199" s="3" t="s">
        <v>254</v>
      </c>
      <c r="D199" s="3" t="s">
        <v>255</v>
      </c>
      <c r="E199" s="5" t="s">
        <v>149</v>
      </c>
      <c r="F199" s="3" t="s">
        <v>260</v>
      </c>
      <c r="G199" s="3" t="s">
        <v>261</v>
      </c>
      <c r="H199" s="3" t="s">
        <v>152</v>
      </c>
      <c r="I199" s="3" t="s">
        <v>166</v>
      </c>
      <c r="J199" s="3" t="s">
        <v>30</v>
      </c>
      <c r="K199" s="3" t="s">
        <v>30</v>
      </c>
      <c r="L199" s="3" t="s">
        <v>154</v>
      </c>
      <c r="M199" s="3" t="s">
        <v>31</v>
      </c>
      <c r="N199" s="3" t="s">
        <v>167</v>
      </c>
      <c r="O199" s="3" t="s">
        <v>156</v>
      </c>
      <c r="P199" s="3" t="s">
        <v>258</v>
      </c>
      <c r="Q199" s="3" t="s">
        <v>169</v>
      </c>
      <c r="R199" s="3" t="s">
        <v>159</v>
      </c>
      <c r="S199" s="3" t="s">
        <v>34</v>
      </c>
      <c r="T199" s="155">
        <v>1.996</v>
      </c>
      <c r="U199" s="3" t="s">
        <v>262</v>
      </c>
      <c r="V199" s="166">
        <v>1.7999999999999999E-2</v>
      </c>
      <c r="W199" s="166">
        <v>3.0210000000000001E-2</v>
      </c>
      <c r="X199" s="5" t="s">
        <v>161</v>
      </c>
      <c r="Y199" s="5" t="s">
        <v>156</v>
      </c>
      <c r="Z199" s="155">
        <v>245833.33</v>
      </c>
      <c r="AA199" s="164">
        <v>1</v>
      </c>
      <c r="AB199" s="174">
        <v>116.94</v>
      </c>
      <c r="AD199" s="155">
        <v>287.47699999999998</v>
      </c>
      <c r="AG199" s="3" t="s">
        <v>36</v>
      </c>
      <c r="AH199" s="166">
        <v>3.3199999999999999E-4</v>
      </c>
      <c r="AI199" s="166">
        <v>1.8045370944370601E-2</v>
      </c>
      <c r="AJ199" s="166">
        <v>2.9094808601199001E-3</v>
      </c>
    </row>
    <row r="200" spans="1:36">
      <c r="A200" s="3">
        <v>161</v>
      </c>
      <c r="B200" s="3">
        <v>9942</v>
      </c>
      <c r="C200" s="3" t="s">
        <v>263</v>
      </c>
      <c r="D200" s="3" t="s">
        <v>264</v>
      </c>
      <c r="E200" s="5" t="s">
        <v>149</v>
      </c>
      <c r="F200" s="3" t="s">
        <v>265</v>
      </c>
      <c r="G200" s="3" t="s">
        <v>266</v>
      </c>
      <c r="H200" s="3" t="s">
        <v>152</v>
      </c>
      <c r="I200" s="3" t="s">
        <v>166</v>
      </c>
      <c r="J200" s="3" t="s">
        <v>30</v>
      </c>
      <c r="K200" s="3" t="s">
        <v>30</v>
      </c>
      <c r="L200" s="3" t="s">
        <v>154</v>
      </c>
      <c r="M200" s="3" t="s">
        <v>31</v>
      </c>
      <c r="N200" s="3" t="s">
        <v>155</v>
      </c>
      <c r="O200" s="3" t="s">
        <v>156</v>
      </c>
      <c r="P200" s="3" t="s">
        <v>168</v>
      </c>
      <c r="Q200" s="3" t="s">
        <v>169</v>
      </c>
      <c r="R200" s="3" t="s">
        <v>159</v>
      </c>
      <c r="S200" s="3" t="s">
        <v>34</v>
      </c>
      <c r="T200" s="155">
        <v>3.544</v>
      </c>
      <c r="U200" s="3" t="s">
        <v>267</v>
      </c>
      <c r="V200" s="166">
        <v>4.4000000000000003E-3</v>
      </c>
      <c r="W200" s="166">
        <v>2.6939999999999999E-2</v>
      </c>
      <c r="X200" s="5" t="s">
        <v>161</v>
      </c>
      <c r="Y200" s="5" t="s">
        <v>156</v>
      </c>
      <c r="Z200" s="155">
        <v>170000</v>
      </c>
      <c r="AA200" s="164">
        <v>1</v>
      </c>
      <c r="AB200" s="174">
        <v>109.63</v>
      </c>
      <c r="AD200" s="155">
        <v>186.37100000000001</v>
      </c>
      <c r="AG200" s="3" t="s">
        <v>36</v>
      </c>
      <c r="AH200" s="166">
        <v>1.4999999999999999E-4</v>
      </c>
      <c r="AI200" s="166">
        <v>1.16987725087184E-2</v>
      </c>
      <c r="AJ200" s="166">
        <v>1.8862097546202799E-3</v>
      </c>
    </row>
    <row r="201" spans="1:36">
      <c r="A201" s="3">
        <v>161</v>
      </c>
      <c r="B201" s="3">
        <v>9942</v>
      </c>
      <c r="C201" s="3" t="s">
        <v>268</v>
      </c>
      <c r="D201" s="3" t="s">
        <v>269</v>
      </c>
      <c r="E201" s="5" t="s">
        <v>149</v>
      </c>
      <c r="F201" s="3" t="s">
        <v>270</v>
      </c>
      <c r="G201" s="3" t="s">
        <v>271</v>
      </c>
      <c r="H201" s="3" t="s">
        <v>152</v>
      </c>
      <c r="I201" s="3" t="s">
        <v>153</v>
      </c>
      <c r="J201" s="3" t="s">
        <v>30</v>
      </c>
      <c r="K201" s="3" t="s">
        <v>30</v>
      </c>
      <c r="L201" s="3" t="s">
        <v>154</v>
      </c>
      <c r="M201" s="3" t="s">
        <v>31</v>
      </c>
      <c r="N201" s="3" t="s">
        <v>155</v>
      </c>
      <c r="O201" s="3" t="s">
        <v>156</v>
      </c>
      <c r="P201" s="3" t="s">
        <v>272</v>
      </c>
      <c r="Q201" s="3" t="s">
        <v>158</v>
      </c>
      <c r="R201" s="3" t="s">
        <v>159</v>
      </c>
      <c r="S201" s="3" t="s">
        <v>34</v>
      </c>
      <c r="T201" s="155">
        <v>4.6740000000000004</v>
      </c>
      <c r="U201" s="3" t="s">
        <v>273</v>
      </c>
      <c r="V201" s="166">
        <v>1.95E-2</v>
      </c>
      <c r="W201" s="166">
        <v>4.5440000000000001E-2</v>
      </c>
      <c r="X201" s="5" t="s">
        <v>161</v>
      </c>
      <c r="Y201" s="5" t="s">
        <v>156</v>
      </c>
      <c r="Z201" s="155">
        <v>283056.59999999998</v>
      </c>
      <c r="AA201" s="164">
        <v>1</v>
      </c>
      <c r="AB201" s="174">
        <v>89.16</v>
      </c>
      <c r="AD201" s="155">
        <v>252.37299999999999</v>
      </c>
      <c r="AG201" s="3" t="s">
        <v>36</v>
      </c>
      <c r="AH201" s="166">
        <v>2.9599999999999998E-4</v>
      </c>
      <c r="AI201" s="166">
        <v>1.5841828446325101E-2</v>
      </c>
      <c r="AJ201" s="166">
        <v>2.5542005645644299E-3</v>
      </c>
    </row>
    <row r="202" spans="1:36">
      <c r="A202" s="3">
        <v>161</v>
      </c>
      <c r="B202" s="3">
        <v>9942</v>
      </c>
      <c r="C202" s="3" t="s">
        <v>274</v>
      </c>
      <c r="D202" s="3" t="s">
        <v>275</v>
      </c>
      <c r="E202" s="5" t="s">
        <v>149</v>
      </c>
      <c r="F202" s="3" t="s">
        <v>276</v>
      </c>
      <c r="G202" s="3" t="s">
        <v>277</v>
      </c>
      <c r="H202" s="3" t="s">
        <v>152</v>
      </c>
      <c r="I202" s="3" t="s">
        <v>153</v>
      </c>
      <c r="J202" s="3" t="s">
        <v>30</v>
      </c>
      <c r="K202" s="3" t="s">
        <v>30</v>
      </c>
      <c r="L202" s="3" t="s">
        <v>154</v>
      </c>
      <c r="M202" s="3" t="s">
        <v>31</v>
      </c>
      <c r="N202" s="3" t="s">
        <v>194</v>
      </c>
      <c r="O202" s="3" t="s">
        <v>156</v>
      </c>
      <c r="P202" s="3" t="s">
        <v>179</v>
      </c>
      <c r="Q202" s="3" t="s">
        <v>169</v>
      </c>
      <c r="R202" s="3" t="s">
        <v>159</v>
      </c>
      <c r="S202" s="3" t="s">
        <v>34</v>
      </c>
      <c r="T202" s="155">
        <v>1.798</v>
      </c>
      <c r="U202" s="3" t="s">
        <v>240</v>
      </c>
      <c r="V202" s="166">
        <v>2.1999999999999999E-2</v>
      </c>
      <c r="W202" s="166">
        <v>4.87E-2</v>
      </c>
      <c r="X202" s="5" t="s">
        <v>161</v>
      </c>
      <c r="Y202" s="5" t="s">
        <v>156</v>
      </c>
      <c r="Z202" s="155">
        <v>152000</v>
      </c>
      <c r="AA202" s="164">
        <v>1</v>
      </c>
      <c r="AB202" s="174">
        <v>96.03</v>
      </c>
      <c r="AD202" s="155">
        <v>145.96600000000001</v>
      </c>
      <c r="AG202" s="3" t="s">
        <v>36</v>
      </c>
      <c r="AH202" s="166">
        <v>1.75E-4</v>
      </c>
      <c r="AI202" s="166">
        <v>9.1624681334466808E-3</v>
      </c>
      <c r="AJ202" s="166">
        <v>1.4772777876332799E-3</v>
      </c>
    </row>
    <row r="203" spans="1:36">
      <c r="A203" s="3">
        <v>161</v>
      </c>
      <c r="B203" s="3">
        <v>9942</v>
      </c>
      <c r="C203" s="3" t="s">
        <v>278</v>
      </c>
      <c r="D203" s="3" t="s">
        <v>279</v>
      </c>
      <c r="E203" s="5" t="s">
        <v>149</v>
      </c>
      <c r="F203" s="3" t="s">
        <v>280</v>
      </c>
      <c r="G203" s="3" t="s">
        <v>281</v>
      </c>
      <c r="H203" s="3" t="s">
        <v>152</v>
      </c>
      <c r="I203" s="3" t="s">
        <v>153</v>
      </c>
      <c r="J203" s="3" t="s">
        <v>30</v>
      </c>
      <c r="K203" s="3" t="s">
        <v>30</v>
      </c>
      <c r="L203" s="3" t="s">
        <v>154</v>
      </c>
      <c r="M203" s="3" t="s">
        <v>31</v>
      </c>
      <c r="N203" s="3" t="s">
        <v>282</v>
      </c>
      <c r="O203" s="3" t="s">
        <v>156</v>
      </c>
      <c r="P203" s="3" t="s">
        <v>283</v>
      </c>
      <c r="Q203" s="3" t="s">
        <v>283</v>
      </c>
      <c r="R203" s="3" t="s">
        <v>283</v>
      </c>
      <c r="S203" s="3" t="s">
        <v>34</v>
      </c>
      <c r="T203" s="155">
        <v>1.675</v>
      </c>
      <c r="U203" s="3" t="s">
        <v>284</v>
      </c>
      <c r="V203" s="166">
        <v>6.5000000000000002E-2</v>
      </c>
      <c r="W203" s="166">
        <v>6.9779999999999995E-2</v>
      </c>
      <c r="X203" s="5" t="s">
        <v>161</v>
      </c>
      <c r="Y203" s="5" t="s">
        <v>156</v>
      </c>
      <c r="Z203" s="155">
        <v>80000</v>
      </c>
      <c r="AA203" s="164">
        <v>1</v>
      </c>
      <c r="AB203" s="174">
        <v>101</v>
      </c>
      <c r="AD203" s="155">
        <v>80.8</v>
      </c>
      <c r="AG203" s="3" t="s">
        <v>36</v>
      </c>
      <c r="AH203" s="166">
        <v>2.72E-4</v>
      </c>
      <c r="AI203" s="166">
        <v>5.0719308191963797E-3</v>
      </c>
      <c r="AJ203" s="166">
        <v>8.1775463013730005E-4</v>
      </c>
    </row>
    <row r="204" spans="1:36">
      <c r="A204" s="3">
        <v>161</v>
      </c>
      <c r="B204" s="3">
        <v>9942</v>
      </c>
      <c r="C204" s="3" t="s">
        <v>285</v>
      </c>
      <c r="D204" s="3" t="s">
        <v>286</v>
      </c>
      <c r="E204" s="5" t="s">
        <v>149</v>
      </c>
      <c r="F204" s="3" t="s">
        <v>287</v>
      </c>
      <c r="G204" s="3" t="s">
        <v>288</v>
      </c>
      <c r="H204" s="3" t="s">
        <v>152</v>
      </c>
      <c r="I204" s="3" t="s">
        <v>166</v>
      </c>
      <c r="J204" s="3" t="s">
        <v>30</v>
      </c>
      <c r="K204" s="3" t="s">
        <v>30</v>
      </c>
      <c r="L204" s="3" t="s">
        <v>154</v>
      </c>
      <c r="M204" s="3" t="s">
        <v>31</v>
      </c>
      <c r="N204" s="3" t="s">
        <v>231</v>
      </c>
      <c r="O204" s="3" t="s">
        <v>156</v>
      </c>
      <c r="P204" s="3" t="s">
        <v>246</v>
      </c>
      <c r="Q204" s="3" t="s">
        <v>169</v>
      </c>
      <c r="R204" s="3" t="s">
        <v>159</v>
      </c>
      <c r="S204" s="3" t="s">
        <v>34</v>
      </c>
      <c r="T204" s="155">
        <v>0.4</v>
      </c>
      <c r="U204" s="3" t="s">
        <v>289</v>
      </c>
      <c r="V204" s="166">
        <v>4.4999999999999998E-2</v>
      </c>
      <c r="W204" s="166">
        <v>5.4760000000000003E-2</v>
      </c>
      <c r="X204" s="5" t="s">
        <v>161</v>
      </c>
      <c r="Y204" s="5" t="s">
        <v>156</v>
      </c>
      <c r="Z204" s="155">
        <v>117000</v>
      </c>
      <c r="AA204" s="164">
        <v>1</v>
      </c>
      <c r="AB204" s="174">
        <v>120.41</v>
      </c>
      <c r="AD204" s="155">
        <v>140.88</v>
      </c>
      <c r="AG204" s="3" t="s">
        <v>36</v>
      </c>
      <c r="AH204" s="166">
        <v>7.8999999999999996E-5</v>
      </c>
      <c r="AI204" s="166">
        <v>8.8432189632319403E-3</v>
      </c>
      <c r="AJ204" s="166">
        <v>1.42580478919992E-3</v>
      </c>
    </row>
    <row r="205" spans="1:36">
      <c r="A205" s="3">
        <v>161</v>
      </c>
      <c r="B205" s="3">
        <v>9942</v>
      </c>
      <c r="C205" s="3" t="s">
        <v>285</v>
      </c>
      <c r="D205" s="3" t="s">
        <v>286</v>
      </c>
      <c r="E205" s="5" t="s">
        <v>149</v>
      </c>
      <c r="F205" s="3" t="s">
        <v>293</v>
      </c>
      <c r="G205" s="3" t="s">
        <v>294</v>
      </c>
      <c r="H205" s="3" t="s">
        <v>152</v>
      </c>
      <c r="I205" s="3" t="s">
        <v>166</v>
      </c>
      <c r="J205" s="3" t="s">
        <v>30</v>
      </c>
      <c r="K205" s="3" t="s">
        <v>30</v>
      </c>
      <c r="L205" s="3" t="s">
        <v>154</v>
      </c>
      <c r="M205" s="3" t="s">
        <v>31</v>
      </c>
      <c r="N205" s="3" t="s">
        <v>231</v>
      </c>
      <c r="O205" s="3" t="s">
        <v>156</v>
      </c>
      <c r="P205" s="3" t="s">
        <v>246</v>
      </c>
      <c r="Q205" s="3" t="s">
        <v>169</v>
      </c>
      <c r="R205" s="3" t="s">
        <v>159</v>
      </c>
      <c r="S205" s="3" t="s">
        <v>34</v>
      </c>
      <c r="T205" s="155">
        <v>4.915</v>
      </c>
      <c r="U205" s="3" t="s">
        <v>295</v>
      </c>
      <c r="V205" s="166">
        <v>2.3900000000000001E-2</v>
      </c>
      <c r="W205" s="166">
        <v>2.6040000000000001E-2</v>
      </c>
      <c r="X205" s="5" t="s">
        <v>161</v>
      </c>
      <c r="Y205" s="5" t="s">
        <v>156</v>
      </c>
      <c r="Z205" s="155">
        <v>160000</v>
      </c>
      <c r="AA205" s="164">
        <v>1</v>
      </c>
      <c r="AB205" s="174">
        <v>117.27</v>
      </c>
      <c r="AD205" s="155">
        <v>187.63200000000001</v>
      </c>
      <c r="AG205" s="3" t="s">
        <v>36</v>
      </c>
      <c r="AH205" s="166">
        <v>4.1E-5</v>
      </c>
      <c r="AI205" s="166">
        <v>1.17779272706368E-2</v>
      </c>
      <c r="AJ205" s="166">
        <v>1.8989719896277499E-3</v>
      </c>
    </row>
    <row r="206" spans="1:36">
      <c r="A206" s="3">
        <v>161</v>
      </c>
      <c r="B206" s="3">
        <v>9942</v>
      </c>
      <c r="C206" s="3" t="s">
        <v>285</v>
      </c>
      <c r="D206" s="3" t="s">
        <v>286</v>
      </c>
      <c r="E206" s="5" t="s">
        <v>149</v>
      </c>
      <c r="F206" s="3" t="s">
        <v>296</v>
      </c>
      <c r="G206" s="3" t="s">
        <v>297</v>
      </c>
      <c r="H206" s="3" t="s">
        <v>152</v>
      </c>
      <c r="I206" s="3" t="s">
        <v>166</v>
      </c>
      <c r="J206" s="3" t="s">
        <v>30</v>
      </c>
      <c r="K206" s="3" t="s">
        <v>30</v>
      </c>
      <c r="L206" s="3" t="s">
        <v>154</v>
      </c>
      <c r="M206" s="3" t="s">
        <v>31</v>
      </c>
      <c r="N206" s="3" t="s">
        <v>231</v>
      </c>
      <c r="O206" s="3" t="s">
        <v>156</v>
      </c>
      <c r="P206" s="3" t="s">
        <v>246</v>
      </c>
      <c r="Q206" s="3" t="s">
        <v>169</v>
      </c>
      <c r="R206" s="3" t="s">
        <v>159</v>
      </c>
      <c r="S206" s="3" t="s">
        <v>34</v>
      </c>
      <c r="T206" s="155">
        <v>6.8730000000000002</v>
      </c>
      <c r="U206" s="3" t="s">
        <v>298</v>
      </c>
      <c r="V206" s="166">
        <v>0.03</v>
      </c>
      <c r="W206" s="166">
        <v>2.632E-2</v>
      </c>
      <c r="X206" s="5" t="s">
        <v>161</v>
      </c>
      <c r="Y206" s="5" t="s">
        <v>156</v>
      </c>
      <c r="Z206" s="155">
        <v>180000</v>
      </c>
      <c r="AA206" s="164">
        <v>1</v>
      </c>
      <c r="AB206" s="174">
        <v>111.48</v>
      </c>
      <c r="AD206" s="155">
        <v>200.66399999999999</v>
      </c>
      <c r="AG206" s="3" t="s">
        <v>36</v>
      </c>
      <c r="AH206" s="166">
        <v>4.3999999999999999E-5</v>
      </c>
      <c r="AI206" s="166">
        <v>1.25959644294953E-2</v>
      </c>
      <c r="AJ206" s="166">
        <v>2.0308652859142499E-3</v>
      </c>
    </row>
    <row r="207" spans="1:36">
      <c r="A207" s="3">
        <v>161</v>
      </c>
      <c r="B207" s="3">
        <v>9942</v>
      </c>
      <c r="C207" s="3" t="s">
        <v>299</v>
      </c>
      <c r="D207" s="3" t="s">
        <v>300</v>
      </c>
      <c r="E207" s="5" t="s">
        <v>149</v>
      </c>
      <c r="F207" s="3" t="s">
        <v>301</v>
      </c>
      <c r="G207" s="3" t="s">
        <v>302</v>
      </c>
      <c r="H207" s="3" t="s">
        <v>152</v>
      </c>
      <c r="I207" s="3" t="s">
        <v>166</v>
      </c>
      <c r="J207" s="3" t="s">
        <v>30</v>
      </c>
      <c r="K207" s="3" t="s">
        <v>30</v>
      </c>
      <c r="L207" s="3" t="s">
        <v>154</v>
      </c>
      <c r="M207" s="3" t="s">
        <v>31</v>
      </c>
      <c r="N207" s="3" t="s">
        <v>303</v>
      </c>
      <c r="O207" s="3" t="s">
        <v>156</v>
      </c>
      <c r="P207" s="3" t="s">
        <v>185</v>
      </c>
      <c r="Q207" s="3" t="s">
        <v>169</v>
      </c>
      <c r="R207" s="3" t="s">
        <v>159</v>
      </c>
      <c r="S207" s="3" t="s">
        <v>34</v>
      </c>
      <c r="T207" s="155">
        <v>0.95499999999999996</v>
      </c>
      <c r="U207" s="3" t="s">
        <v>304</v>
      </c>
      <c r="V207" s="166">
        <v>1.0500000000000001E-2</v>
      </c>
      <c r="W207" s="166">
        <v>3.5189999999999999E-2</v>
      </c>
      <c r="X207" s="5" t="s">
        <v>161</v>
      </c>
      <c r="Y207" s="5" t="s">
        <v>156</v>
      </c>
      <c r="Z207" s="155">
        <v>106666.68</v>
      </c>
      <c r="AA207" s="164">
        <v>1</v>
      </c>
      <c r="AB207" s="174">
        <v>115.19</v>
      </c>
      <c r="AD207" s="155">
        <v>122.869</v>
      </c>
      <c r="AG207" s="3" t="s">
        <v>36</v>
      </c>
      <c r="AH207" s="166">
        <v>2.9100000000000003E-4</v>
      </c>
      <c r="AI207" s="166">
        <v>7.7126836183854198E-3</v>
      </c>
      <c r="AJ207" s="166">
        <v>1.2435269652826401E-3</v>
      </c>
    </row>
    <row r="208" spans="1:36">
      <c r="A208" s="3">
        <v>161</v>
      </c>
      <c r="B208" s="3">
        <v>9942</v>
      </c>
      <c r="C208" s="3" t="s">
        <v>299</v>
      </c>
      <c r="D208" s="3" t="s">
        <v>300</v>
      </c>
      <c r="E208" s="5" t="s">
        <v>149</v>
      </c>
      <c r="F208" s="3" t="s">
        <v>305</v>
      </c>
      <c r="G208" s="3" t="s">
        <v>306</v>
      </c>
      <c r="H208" s="3" t="s">
        <v>152</v>
      </c>
      <c r="I208" s="3" t="s">
        <v>153</v>
      </c>
      <c r="J208" s="3" t="s">
        <v>30</v>
      </c>
      <c r="K208" s="3" t="s">
        <v>30</v>
      </c>
      <c r="L208" s="3" t="s">
        <v>154</v>
      </c>
      <c r="M208" s="3" t="s">
        <v>31</v>
      </c>
      <c r="N208" s="3" t="s">
        <v>303</v>
      </c>
      <c r="O208" s="3" t="s">
        <v>156</v>
      </c>
      <c r="P208" s="3" t="s">
        <v>185</v>
      </c>
      <c r="Q208" s="3" t="s">
        <v>169</v>
      </c>
      <c r="R208" s="3" t="s">
        <v>159</v>
      </c>
      <c r="S208" s="3" t="s">
        <v>34</v>
      </c>
      <c r="T208" s="155">
        <v>1.651</v>
      </c>
      <c r="U208" s="3" t="s">
        <v>307</v>
      </c>
      <c r="V208" s="166">
        <v>2.18E-2</v>
      </c>
      <c r="W208" s="166">
        <v>4.9270000000000001E-2</v>
      </c>
      <c r="X208" s="5" t="s">
        <v>161</v>
      </c>
      <c r="Y208" s="5" t="s">
        <v>156</v>
      </c>
      <c r="Z208" s="155">
        <v>155555.54</v>
      </c>
      <c r="AA208" s="164">
        <v>1</v>
      </c>
      <c r="AB208" s="174">
        <v>96.03</v>
      </c>
      <c r="AD208" s="155">
        <v>149.38</v>
      </c>
      <c r="AG208" s="3" t="s">
        <v>36</v>
      </c>
      <c r="AH208" s="166">
        <v>5.8399999999999999E-4</v>
      </c>
      <c r="AI208" s="166">
        <v>9.3767939357308604E-3</v>
      </c>
      <c r="AJ208" s="166">
        <v>1.5118338420085501E-3</v>
      </c>
    </row>
    <row r="209" spans="1:36">
      <c r="A209" s="3">
        <v>161</v>
      </c>
      <c r="B209" s="3">
        <v>9942</v>
      </c>
      <c r="C209" s="3" t="s">
        <v>308</v>
      </c>
      <c r="D209" s="3" t="s">
        <v>309</v>
      </c>
      <c r="E209" s="5" t="s">
        <v>149</v>
      </c>
      <c r="F209" s="3" t="s">
        <v>310</v>
      </c>
      <c r="G209" s="3" t="s">
        <v>311</v>
      </c>
      <c r="H209" s="3" t="s">
        <v>152</v>
      </c>
      <c r="I209" s="3" t="s">
        <v>166</v>
      </c>
      <c r="J209" s="3" t="s">
        <v>30</v>
      </c>
      <c r="K209" s="3" t="s">
        <v>30</v>
      </c>
      <c r="L209" s="3" t="s">
        <v>154</v>
      </c>
      <c r="M209" s="3" t="s">
        <v>31</v>
      </c>
      <c r="N209" s="3" t="s">
        <v>167</v>
      </c>
      <c r="O209" s="3" t="s">
        <v>156</v>
      </c>
      <c r="P209" s="3" t="s">
        <v>168</v>
      </c>
      <c r="Q209" s="3" t="s">
        <v>169</v>
      </c>
      <c r="R209" s="3" t="s">
        <v>159</v>
      </c>
      <c r="S209" s="3" t="s">
        <v>34</v>
      </c>
      <c r="T209" s="155">
        <v>1.494</v>
      </c>
      <c r="U209" s="3" t="s">
        <v>312</v>
      </c>
      <c r="V209" s="166">
        <v>1.5800000000000002E-2</v>
      </c>
      <c r="W209" s="166">
        <v>3.048E-2</v>
      </c>
      <c r="X209" s="5" t="s">
        <v>161</v>
      </c>
      <c r="Y209" s="5" t="s">
        <v>156</v>
      </c>
      <c r="Z209" s="155">
        <v>63669.57</v>
      </c>
      <c r="AA209" s="164">
        <v>1</v>
      </c>
      <c r="AB209" s="174">
        <v>118.01</v>
      </c>
      <c r="AD209" s="155">
        <v>75.135999999999996</v>
      </c>
      <c r="AG209" s="3" t="s">
        <v>36</v>
      </c>
      <c r="AH209" s="166">
        <v>1.6200000000000001E-4</v>
      </c>
      <c r="AI209" s="166">
        <v>4.7164223375303401E-3</v>
      </c>
      <c r="AJ209" s="166">
        <v>7.6043549127302905E-4</v>
      </c>
    </row>
    <row r="210" spans="1:36">
      <c r="A210" s="3">
        <v>161</v>
      </c>
      <c r="B210" s="3">
        <v>9942</v>
      </c>
      <c r="C210" s="3" t="s">
        <v>308</v>
      </c>
      <c r="D210" s="3" t="s">
        <v>309</v>
      </c>
      <c r="E210" s="5" t="s">
        <v>149</v>
      </c>
      <c r="F210" s="3" t="s">
        <v>313</v>
      </c>
      <c r="G210" s="3" t="s">
        <v>314</v>
      </c>
      <c r="H210" s="3" t="s">
        <v>152</v>
      </c>
      <c r="I210" s="3" t="s">
        <v>166</v>
      </c>
      <c r="J210" s="3" t="s">
        <v>30</v>
      </c>
      <c r="K210" s="3" t="s">
        <v>30</v>
      </c>
      <c r="L210" s="3" t="s">
        <v>154</v>
      </c>
      <c r="M210" s="3" t="s">
        <v>31</v>
      </c>
      <c r="N210" s="3" t="s">
        <v>167</v>
      </c>
      <c r="O210" s="3" t="s">
        <v>156</v>
      </c>
      <c r="P210" s="3" t="s">
        <v>168</v>
      </c>
      <c r="Q210" s="3" t="s">
        <v>169</v>
      </c>
      <c r="R210" s="3" t="s">
        <v>159</v>
      </c>
      <c r="S210" s="3" t="s">
        <v>34</v>
      </c>
      <c r="T210" s="155">
        <v>4.1360000000000001</v>
      </c>
      <c r="U210" s="3" t="s">
        <v>315</v>
      </c>
      <c r="V210" s="166">
        <v>8.3999999999999995E-3</v>
      </c>
      <c r="W210" s="166">
        <v>2.7830000000000001E-2</v>
      </c>
      <c r="X210" s="5" t="s">
        <v>161</v>
      </c>
      <c r="Y210" s="5" t="s">
        <v>156</v>
      </c>
      <c r="Z210" s="155">
        <v>159725.28</v>
      </c>
      <c r="AA210" s="164">
        <v>1</v>
      </c>
      <c r="AB210" s="174">
        <v>109.55</v>
      </c>
      <c r="AD210" s="155">
        <v>174.97900000000001</v>
      </c>
      <c r="AG210" s="3" t="s">
        <v>36</v>
      </c>
      <c r="AH210" s="166">
        <v>2.0799999999999999E-4</v>
      </c>
      <c r="AI210" s="166">
        <v>1.09836832573562E-2</v>
      </c>
      <c r="AJ210" s="166">
        <v>1.7709148960923201E-3</v>
      </c>
    </row>
    <row r="211" spans="1:36">
      <c r="A211" s="3">
        <v>161</v>
      </c>
      <c r="B211" s="3">
        <v>9942</v>
      </c>
      <c r="C211" s="3" t="s">
        <v>316</v>
      </c>
      <c r="D211" s="3" t="s">
        <v>317</v>
      </c>
      <c r="E211" s="5" t="s">
        <v>149</v>
      </c>
      <c r="F211" s="3" t="s">
        <v>318</v>
      </c>
      <c r="G211" s="3" t="s">
        <v>319</v>
      </c>
      <c r="H211" s="3" t="s">
        <v>152</v>
      </c>
      <c r="I211" s="3" t="s">
        <v>153</v>
      </c>
      <c r="J211" s="3" t="s">
        <v>30</v>
      </c>
      <c r="K211" s="3" t="s">
        <v>30</v>
      </c>
      <c r="L211" s="3" t="s">
        <v>154</v>
      </c>
      <c r="M211" s="3" t="s">
        <v>31</v>
      </c>
      <c r="N211" s="3" t="s">
        <v>155</v>
      </c>
      <c r="O211" s="3" t="s">
        <v>156</v>
      </c>
      <c r="P211" s="3" t="s">
        <v>185</v>
      </c>
      <c r="Q211" s="3" t="s">
        <v>169</v>
      </c>
      <c r="R211" s="3" t="s">
        <v>159</v>
      </c>
      <c r="S211" s="3" t="s">
        <v>34</v>
      </c>
      <c r="T211" s="155">
        <v>5.9889999999999999</v>
      </c>
      <c r="U211" s="3" t="s">
        <v>320</v>
      </c>
      <c r="V211" s="166">
        <v>2.5000000000000001E-2</v>
      </c>
      <c r="W211" s="166">
        <v>4.7199999999999999E-2</v>
      </c>
      <c r="X211" s="5" t="s">
        <v>161</v>
      </c>
      <c r="Y211" s="5" t="s">
        <v>156</v>
      </c>
      <c r="Z211" s="155">
        <v>270000</v>
      </c>
      <c r="AA211" s="164">
        <v>1</v>
      </c>
      <c r="AB211" s="174">
        <v>88.03</v>
      </c>
      <c r="AD211" s="155">
        <v>237.68100000000001</v>
      </c>
      <c r="AG211" s="3" t="s">
        <v>36</v>
      </c>
      <c r="AH211" s="166">
        <v>2.02E-4</v>
      </c>
      <c r="AI211" s="166">
        <v>1.49195741217502E-2</v>
      </c>
      <c r="AJ211" s="166">
        <v>2.4055041862087101E-3</v>
      </c>
    </row>
    <row r="212" spans="1:36">
      <c r="A212" s="3">
        <v>161</v>
      </c>
      <c r="B212" s="3">
        <v>9942</v>
      </c>
      <c r="C212" s="3" t="s">
        <v>321</v>
      </c>
      <c r="D212" s="3" t="s">
        <v>322</v>
      </c>
      <c r="E212" s="5" t="s">
        <v>149</v>
      </c>
      <c r="F212" s="3" t="s">
        <v>323</v>
      </c>
      <c r="G212" s="3" t="s">
        <v>324</v>
      </c>
      <c r="H212" s="3" t="s">
        <v>152</v>
      </c>
      <c r="I212" s="3" t="s">
        <v>166</v>
      </c>
      <c r="J212" s="3" t="s">
        <v>30</v>
      </c>
      <c r="K212" s="3" t="s">
        <v>30</v>
      </c>
      <c r="L212" s="3" t="s">
        <v>154</v>
      </c>
      <c r="M212" s="3" t="s">
        <v>31</v>
      </c>
      <c r="N212" s="3" t="s">
        <v>245</v>
      </c>
      <c r="O212" s="3" t="s">
        <v>156</v>
      </c>
      <c r="P212" s="3" t="s">
        <v>246</v>
      </c>
      <c r="Q212" s="3" t="s">
        <v>169</v>
      </c>
      <c r="R212" s="3" t="s">
        <v>159</v>
      </c>
      <c r="S212" s="3" t="s">
        <v>34</v>
      </c>
      <c r="T212" s="155">
        <v>2.0939999999999999</v>
      </c>
      <c r="U212" s="3" t="s">
        <v>325</v>
      </c>
      <c r="V212" s="166">
        <v>1.8599999999999998E-2</v>
      </c>
      <c r="W212" s="166">
        <v>2.5940000000000001E-2</v>
      </c>
      <c r="X212" s="5" t="s">
        <v>161</v>
      </c>
      <c r="Y212" s="5" t="s">
        <v>156</v>
      </c>
      <c r="Z212" s="155">
        <v>101600</v>
      </c>
      <c r="AA212" s="164">
        <v>1</v>
      </c>
      <c r="AB212" s="174">
        <v>105.1</v>
      </c>
      <c r="AD212" s="155">
        <v>106.782</v>
      </c>
      <c r="AG212" s="3" t="s">
        <v>36</v>
      </c>
      <c r="AH212" s="166">
        <v>4.0000000000000003E-5</v>
      </c>
      <c r="AI212" s="166">
        <v>6.7028327718205499E-3</v>
      </c>
      <c r="AJ212" s="166">
        <v>1.0807072749191701E-3</v>
      </c>
    </row>
    <row r="213" spans="1:36">
      <c r="A213" s="3">
        <v>161</v>
      </c>
      <c r="B213" s="3">
        <v>9942</v>
      </c>
      <c r="C213" s="3" t="s">
        <v>321</v>
      </c>
      <c r="D213" s="3" t="s">
        <v>322</v>
      </c>
      <c r="E213" s="5" t="s">
        <v>149</v>
      </c>
      <c r="F213" s="3" t="s">
        <v>329</v>
      </c>
      <c r="G213" s="3" t="s">
        <v>330</v>
      </c>
      <c r="H213" s="3" t="s">
        <v>152</v>
      </c>
      <c r="I213" s="3" t="s">
        <v>166</v>
      </c>
      <c r="J213" s="3" t="s">
        <v>30</v>
      </c>
      <c r="K213" s="3" t="s">
        <v>30</v>
      </c>
      <c r="L213" s="3" t="s">
        <v>154</v>
      </c>
      <c r="M213" s="3" t="s">
        <v>31</v>
      </c>
      <c r="N213" s="3" t="s">
        <v>245</v>
      </c>
      <c r="O213" s="3" t="s">
        <v>156</v>
      </c>
      <c r="P213" s="3" t="s">
        <v>246</v>
      </c>
      <c r="Q213" s="3" t="s">
        <v>169</v>
      </c>
      <c r="R213" s="3" t="s">
        <v>159</v>
      </c>
      <c r="S213" s="3" t="s">
        <v>34</v>
      </c>
      <c r="T213" s="155">
        <v>2.1339999999999999</v>
      </c>
      <c r="U213" s="3" t="s">
        <v>331</v>
      </c>
      <c r="V213" s="166">
        <v>1E-3</v>
      </c>
      <c r="W213" s="166">
        <v>2.5329999999999998E-2</v>
      </c>
      <c r="X213" s="5" t="s">
        <v>161</v>
      </c>
      <c r="Y213" s="5" t="s">
        <v>156</v>
      </c>
      <c r="Z213" s="155">
        <v>122000</v>
      </c>
      <c r="AA213" s="164">
        <v>1</v>
      </c>
      <c r="AB213" s="174">
        <v>110.05</v>
      </c>
      <c r="AD213" s="155">
        <v>134.261</v>
      </c>
      <c r="AG213" s="3" t="s">
        <v>36</v>
      </c>
      <c r="AH213" s="166">
        <v>3.8999999999999999E-5</v>
      </c>
      <c r="AI213" s="166">
        <v>8.4277537588629391E-3</v>
      </c>
      <c r="AJ213" s="166">
        <v>1.3588187425354499E-3</v>
      </c>
    </row>
    <row r="214" spans="1:36">
      <c r="A214" s="3">
        <v>161</v>
      </c>
      <c r="B214" s="3">
        <v>9942</v>
      </c>
      <c r="C214" s="3" t="s">
        <v>321</v>
      </c>
      <c r="D214" s="3" t="s">
        <v>322</v>
      </c>
      <c r="E214" s="5" t="s">
        <v>149</v>
      </c>
      <c r="F214" s="3" t="s">
        <v>332</v>
      </c>
      <c r="G214" s="3" t="s">
        <v>333</v>
      </c>
      <c r="H214" s="3" t="s">
        <v>152</v>
      </c>
      <c r="I214" s="3" t="s">
        <v>153</v>
      </c>
      <c r="J214" s="3" t="s">
        <v>30</v>
      </c>
      <c r="K214" s="3" t="s">
        <v>30</v>
      </c>
      <c r="L214" s="3" t="s">
        <v>154</v>
      </c>
      <c r="M214" s="3" t="s">
        <v>31</v>
      </c>
      <c r="N214" s="3" t="s">
        <v>245</v>
      </c>
      <c r="O214" s="3" t="s">
        <v>156</v>
      </c>
      <c r="P214" s="3" t="s">
        <v>246</v>
      </c>
      <c r="Q214" s="3" t="s">
        <v>169</v>
      </c>
      <c r="R214" s="3" t="s">
        <v>159</v>
      </c>
      <c r="S214" s="3" t="s">
        <v>34</v>
      </c>
      <c r="T214" s="155">
        <v>2.1890000000000001</v>
      </c>
      <c r="U214" s="3" t="s">
        <v>334</v>
      </c>
      <c r="V214" s="166">
        <v>2.76E-2</v>
      </c>
      <c r="W214" s="166">
        <v>4.4830000000000002E-2</v>
      </c>
      <c r="X214" s="5" t="s">
        <v>161</v>
      </c>
      <c r="Y214" s="5" t="s">
        <v>156</v>
      </c>
      <c r="Z214" s="155">
        <v>380000</v>
      </c>
      <c r="AA214" s="164">
        <v>1</v>
      </c>
      <c r="AB214" s="174">
        <v>97.55</v>
      </c>
      <c r="AD214" s="155">
        <v>370.69</v>
      </c>
      <c r="AG214" s="3" t="s">
        <v>36</v>
      </c>
      <c r="AH214" s="166">
        <v>1.75E-4</v>
      </c>
      <c r="AI214" s="166">
        <v>2.3268738061483999E-2</v>
      </c>
      <c r="AJ214" s="166">
        <v>3.75165178026727E-3</v>
      </c>
    </row>
    <row r="215" spans="1:36">
      <c r="A215" s="3">
        <v>161</v>
      </c>
      <c r="B215" s="3">
        <v>9942</v>
      </c>
      <c r="C215" s="3" t="s">
        <v>321</v>
      </c>
      <c r="D215" s="3" t="s">
        <v>322</v>
      </c>
      <c r="E215" s="5" t="s">
        <v>149</v>
      </c>
      <c r="F215" s="3" t="s">
        <v>335</v>
      </c>
      <c r="G215" s="3" t="s">
        <v>336</v>
      </c>
      <c r="H215" s="3" t="s">
        <v>152</v>
      </c>
      <c r="I215" s="3" t="s">
        <v>166</v>
      </c>
      <c r="J215" s="3" t="s">
        <v>30</v>
      </c>
      <c r="K215" s="3" t="s">
        <v>30</v>
      </c>
      <c r="L215" s="3" t="s">
        <v>154</v>
      </c>
      <c r="M215" s="3" t="s">
        <v>31</v>
      </c>
      <c r="N215" s="3" t="s">
        <v>245</v>
      </c>
      <c r="O215" s="3" t="s">
        <v>156</v>
      </c>
      <c r="P215" s="3" t="s">
        <v>246</v>
      </c>
      <c r="Q215" s="3" t="s">
        <v>169</v>
      </c>
      <c r="R215" s="3" t="s">
        <v>159</v>
      </c>
      <c r="S215" s="3" t="s">
        <v>34</v>
      </c>
      <c r="T215" s="155">
        <v>4.13</v>
      </c>
      <c r="U215" s="3" t="s">
        <v>337</v>
      </c>
      <c r="V215" s="166">
        <v>2.0199999999999999E-2</v>
      </c>
      <c r="W215" s="166">
        <v>2.5430000000000001E-2</v>
      </c>
      <c r="X215" s="5" t="s">
        <v>161</v>
      </c>
      <c r="Y215" s="5" t="s">
        <v>156</v>
      </c>
      <c r="Z215" s="155">
        <v>127000</v>
      </c>
      <c r="AA215" s="164">
        <v>1</v>
      </c>
      <c r="AB215" s="174">
        <v>105.02</v>
      </c>
      <c r="AD215" s="155">
        <v>133.375</v>
      </c>
      <c r="AG215" s="3" t="s">
        <v>36</v>
      </c>
      <c r="AH215" s="166">
        <v>3.6000000000000001E-5</v>
      </c>
      <c r="AI215" s="166">
        <v>8.3721633883990804E-3</v>
      </c>
      <c r="AJ215" s="166">
        <v>1.3498558279259199E-3</v>
      </c>
    </row>
    <row r="216" spans="1:36">
      <c r="A216" s="3">
        <v>161</v>
      </c>
      <c r="B216" s="3">
        <v>9942</v>
      </c>
      <c r="C216" s="3" t="s">
        <v>321</v>
      </c>
      <c r="D216" s="3" t="s">
        <v>322</v>
      </c>
      <c r="E216" s="5" t="s">
        <v>149</v>
      </c>
      <c r="F216" s="3" t="s">
        <v>338</v>
      </c>
      <c r="G216" s="3" t="s">
        <v>339</v>
      </c>
      <c r="H216" s="3" t="s">
        <v>152</v>
      </c>
      <c r="I216" s="3" t="s">
        <v>166</v>
      </c>
      <c r="J216" s="3" t="s">
        <v>30</v>
      </c>
      <c r="K216" s="3" t="s">
        <v>30</v>
      </c>
      <c r="L216" s="3" t="s">
        <v>154</v>
      </c>
      <c r="M216" s="3" t="s">
        <v>31</v>
      </c>
      <c r="N216" s="3" t="s">
        <v>245</v>
      </c>
      <c r="O216" s="3" t="s">
        <v>156</v>
      </c>
      <c r="P216" s="3" t="s">
        <v>246</v>
      </c>
      <c r="Q216" s="3" t="s">
        <v>169</v>
      </c>
      <c r="R216" s="3" t="s">
        <v>159</v>
      </c>
      <c r="S216" s="3" t="s">
        <v>34</v>
      </c>
      <c r="T216" s="155">
        <v>4.1289999999999996</v>
      </c>
      <c r="U216" s="3" t="s">
        <v>340</v>
      </c>
      <c r="V216" s="166">
        <v>1E-3</v>
      </c>
      <c r="W216" s="166">
        <v>2.5350000000000001E-2</v>
      </c>
      <c r="X216" s="5" t="s">
        <v>161</v>
      </c>
      <c r="Y216" s="5" t="s">
        <v>156</v>
      </c>
      <c r="Z216" s="155">
        <v>127000</v>
      </c>
      <c r="AA216" s="164">
        <v>1</v>
      </c>
      <c r="AB216" s="174">
        <v>104.89</v>
      </c>
      <c r="AD216" s="155">
        <v>133.21</v>
      </c>
      <c r="AG216" s="3" t="s">
        <v>36</v>
      </c>
      <c r="AH216" s="166">
        <v>3.0000000000000001E-5</v>
      </c>
      <c r="AI216" s="166">
        <v>8.3617998267870794E-3</v>
      </c>
      <c r="AJ216" s="166">
        <v>1.34818489612597E-3</v>
      </c>
    </row>
    <row r="217" spans="1:36">
      <c r="A217" s="3">
        <v>161</v>
      </c>
      <c r="B217" s="3">
        <v>9942</v>
      </c>
      <c r="C217" s="3" t="s">
        <v>321</v>
      </c>
      <c r="D217" s="3" t="s">
        <v>322</v>
      </c>
      <c r="E217" s="5" t="s">
        <v>149</v>
      </c>
      <c r="F217" s="3" t="s">
        <v>341</v>
      </c>
      <c r="G217" s="3" t="s">
        <v>342</v>
      </c>
      <c r="H217" s="3" t="s">
        <v>152</v>
      </c>
      <c r="I217" s="3" t="s">
        <v>153</v>
      </c>
      <c r="J217" s="3" t="s">
        <v>30</v>
      </c>
      <c r="K217" s="3" t="s">
        <v>30</v>
      </c>
      <c r="L217" s="3" t="s">
        <v>154</v>
      </c>
      <c r="M217" s="3" t="s">
        <v>31</v>
      </c>
      <c r="N217" s="3" t="s">
        <v>245</v>
      </c>
      <c r="O217" s="3" t="s">
        <v>156</v>
      </c>
      <c r="P217" s="3" t="s">
        <v>343</v>
      </c>
      <c r="Q217" s="3" t="s">
        <v>158</v>
      </c>
      <c r="R217" s="3" t="s">
        <v>159</v>
      </c>
      <c r="S217" s="3" t="s">
        <v>34</v>
      </c>
      <c r="T217" s="155">
        <v>5.7640000000000002</v>
      </c>
      <c r="U217" s="3" t="s">
        <v>344</v>
      </c>
      <c r="V217" s="166">
        <v>4.5900000000000003E-2</v>
      </c>
      <c r="W217" s="166">
        <v>4.548E-2</v>
      </c>
      <c r="X217" s="5" t="s">
        <v>161</v>
      </c>
      <c r="Y217" s="5" t="s">
        <v>156</v>
      </c>
      <c r="Z217" s="155">
        <v>290000</v>
      </c>
      <c r="AA217" s="164">
        <v>1</v>
      </c>
      <c r="AB217" s="174">
        <v>100.58</v>
      </c>
      <c r="AD217" s="155">
        <v>291.68200000000002</v>
      </c>
      <c r="AG217" s="3" t="s">
        <v>36</v>
      </c>
      <c r="AH217" s="166">
        <v>1.55E-4</v>
      </c>
      <c r="AI217" s="166">
        <v>1.8309293628772799E-2</v>
      </c>
      <c r="AJ217" s="166">
        <v>2.9520334904419299E-3</v>
      </c>
    </row>
    <row r="218" spans="1:36">
      <c r="A218" s="3">
        <v>161</v>
      </c>
      <c r="B218" s="3">
        <v>9942</v>
      </c>
      <c r="C218" s="3" t="s">
        <v>321</v>
      </c>
      <c r="D218" s="3" t="s">
        <v>322</v>
      </c>
      <c r="E218" s="5" t="s">
        <v>149</v>
      </c>
      <c r="F218" s="3" t="s">
        <v>345</v>
      </c>
      <c r="G218" s="3" t="s">
        <v>346</v>
      </c>
      <c r="H218" s="3" t="s">
        <v>152</v>
      </c>
      <c r="I218" s="3" t="s">
        <v>166</v>
      </c>
      <c r="J218" s="3" t="s">
        <v>30</v>
      </c>
      <c r="K218" s="3" t="s">
        <v>30</v>
      </c>
      <c r="L218" s="3" t="s">
        <v>154</v>
      </c>
      <c r="M218" s="3" t="s">
        <v>31</v>
      </c>
      <c r="N218" s="3" t="s">
        <v>245</v>
      </c>
      <c r="O218" s="3" t="s">
        <v>156</v>
      </c>
      <c r="P218" s="3" t="s">
        <v>343</v>
      </c>
      <c r="Q218" s="3" t="s">
        <v>158</v>
      </c>
      <c r="R218" s="3" t="s">
        <v>159</v>
      </c>
      <c r="S218" s="3" t="s">
        <v>34</v>
      </c>
      <c r="T218" s="155">
        <v>6.6959999999999997</v>
      </c>
      <c r="U218" s="3" t="s">
        <v>347</v>
      </c>
      <c r="V218" s="166">
        <v>2.5999999999999999E-2</v>
      </c>
      <c r="W218" s="166">
        <v>2.554E-2</v>
      </c>
      <c r="X218" s="5" t="s">
        <v>161</v>
      </c>
      <c r="Y218" s="5" t="s">
        <v>156</v>
      </c>
      <c r="Z218" s="155">
        <v>290000</v>
      </c>
      <c r="AA218" s="164">
        <v>1</v>
      </c>
      <c r="AB218" s="174">
        <v>101.17</v>
      </c>
      <c r="AD218" s="155">
        <v>293.39299999999997</v>
      </c>
      <c r="AG218" s="3" t="s">
        <v>36</v>
      </c>
      <c r="AH218" s="166">
        <v>1.5799999999999999E-4</v>
      </c>
      <c r="AI218" s="166">
        <v>1.84166955301545E-2</v>
      </c>
      <c r="AJ218" s="166">
        <v>2.9693500519786201E-3</v>
      </c>
    </row>
    <row r="219" spans="1:36">
      <c r="A219" s="3">
        <v>161</v>
      </c>
      <c r="B219" s="3">
        <v>9942</v>
      </c>
      <c r="C219" s="3" t="s">
        <v>321</v>
      </c>
      <c r="D219" s="3" t="s">
        <v>322</v>
      </c>
      <c r="E219" s="5" t="s">
        <v>149</v>
      </c>
      <c r="F219" s="3" t="s">
        <v>348</v>
      </c>
      <c r="G219" s="3" t="s">
        <v>349</v>
      </c>
      <c r="H219" s="3" t="s">
        <v>152</v>
      </c>
      <c r="I219" s="3" t="s">
        <v>166</v>
      </c>
      <c r="J219" s="3" t="s">
        <v>30</v>
      </c>
      <c r="K219" s="3" t="s">
        <v>30</v>
      </c>
      <c r="L219" s="3" t="s">
        <v>154</v>
      </c>
      <c r="M219" s="3" t="s">
        <v>31</v>
      </c>
      <c r="N219" s="3" t="s">
        <v>245</v>
      </c>
      <c r="O219" s="3" t="s">
        <v>156</v>
      </c>
      <c r="P219" s="3" t="s">
        <v>185</v>
      </c>
      <c r="Q219" s="3" t="s">
        <v>169</v>
      </c>
      <c r="R219" s="3" t="s">
        <v>159</v>
      </c>
      <c r="S219" s="3" t="s">
        <v>34</v>
      </c>
      <c r="T219" s="155">
        <v>4.968</v>
      </c>
      <c r="U219" s="3" t="s">
        <v>350</v>
      </c>
      <c r="V219" s="166">
        <v>3.1E-2</v>
      </c>
      <c r="W219" s="166">
        <v>2.972E-2</v>
      </c>
      <c r="X219" s="5" t="s">
        <v>161</v>
      </c>
      <c r="Y219" s="5" t="s">
        <v>156</v>
      </c>
      <c r="Z219" s="155">
        <v>280000</v>
      </c>
      <c r="AA219" s="164">
        <v>1</v>
      </c>
      <c r="AB219" s="174">
        <v>105.8</v>
      </c>
      <c r="AD219" s="155">
        <v>296.24</v>
      </c>
      <c r="AG219" s="3" t="s">
        <v>36</v>
      </c>
      <c r="AH219" s="166">
        <v>1.8200000000000001E-4</v>
      </c>
      <c r="AI219" s="166">
        <v>1.8595405765825999E-2</v>
      </c>
      <c r="AJ219" s="166">
        <v>2.9981637578202201E-3</v>
      </c>
    </row>
    <row r="220" spans="1:36">
      <c r="A220" s="3">
        <v>161</v>
      </c>
      <c r="B220" s="3">
        <v>9942</v>
      </c>
      <c r="C220" s="3" t="s">
        <v>351</v>
      </c>
      <c r="D220" s="3" t="s">
        <v>352</v>
      </c>
      <c r="E220" s="5" t="s">
        <v>149</v>
      </c>
      <c r="F220" s="3" t="s">
        <v>353</v>
      </c>
      <c r="G220" s="3" t="s">
        <v>354</v>
      </c>
      <c r="H220" s="3" t="s">
        <v>152</v>
      </c>
      <c r="I220" s="3" t="s">
        <v>166</v>
      </c>
      <c r="J220" s="3" t="s">
        <v>30</v>
      </c>
      <c r="K220" s="3" t="s">
        <v>30</v>
      </c>
      <c r="L220" s="3" t="s">
        <v>154</v>
      </c>
      <c r="M220" s="3" t="s">
        <v>31</v>
      </c>
      <c r="N220" s="3" t="s">
        <v>167</v>
      </c>
      <c r="O220" s="3" t="s">
        <v>156</v>
      </c>
      <c r="P220" s="3" t="s">
        <v>168</v>
      </c>
      <c r="Q220" s="3" t="s">
        <v>169</v>
      </c>
      <c r="R220" s="3" t="s">
        <v>159</v>
      </c>
      <c r="S220" s="3" t="s">
        <v>34</v>
      </c>
      <c r="T220" s="155">
        <v>2.5139999999999998</v>
      </c>
      <c r="U220" s="3" t="s">
        <v>259</v>
      </c>
      <c r="V220" s="166">
        <v>2.81E-2</v>
      </c>
      <c r="W220" s="166">
        <v>2.8070000000000001E-2</v>
      </c>
      <c r="X220" s="5" t="s">
        <v>161</v>
      </c>
      <c r="Y220" s="5" t="s">
        <v>156</v>
      </c>
      <c r="Z220" s="155">
        <v>90000</v>
      </c>
      <c r="AA220" s="164">
        <v>1</v>
      </c>
      <c r="AB220" s="174">
        <v>121.01</v>
      </c>
      <c r="AD220" s="155">
        <v>108.90900000000001</v>
      </c>
      <c r="AG220" s="3" t="s">
        <v>36</v>
      </c>
      <c r="AH220" s="166">
        <v>6.4999999999999994E-5</v>
      </c>
      <c r="AI220" s="166">
        <v>6.8363726929190497E-3</v>
      </c>
      <c r="AJ220" s="166">
        <v>1.1022381066042499E-3</v>
      </c>
    </row>
    <row r="221" spans="1:36">
      <c r="A221" s="3">
        <v>161</v>
      </c>
      <c r="B221" s="3">
        <v>9942</v>
      </c>
      <c r="C221" s="3" t="s">
        <v>351</v>
      </c>
      <c r="D221" s="3" t="s">
        <v>352</v>
      </c>
      <c r="E221" s="5" t="s">
        <v>149</v>
      </c>
      <c r="F221" s="3" t="s">
        <v>547</v>
      </c>
      <c r="G221" s="3" t="s">
        <v>548</v>
      </c>
      <c r="H221" s="3" t="s">
        <v>152</v>
      </c>
      <c r="I221" s="3" t="s">
        <v>166</v>
      </c>
      <c r="J221" s="3" t="s">
        <v>30</v>
      </c>
      <c r="K221" s="3" t="s">
        <v>30</v>
      </c>
      <c r="L221" s="3" t="s">
        <v>154</v>
      </c>
      <c r="M221" s="3" t="s">
        <v>31</v>
      </c>
      <c r="N221" s="3" t="s">
        <v>167</v>
      </c>
      <c r="O221" s="3" t="s">
        <v>156</v>
      </c>
      <c r="P221" s="3" t="s">
        <v>168</v>
      </c>
      <c r="Q221" s="3" t="s">
        <v>169</v>
      </c>
      <c r="R221" s="3" t="s">
        <v>159</v>
      </c>
      <c r="S221" s="3" t="s">
        <v>34</v>
      </c>
      <c r="T221" s="155">
        <v>1.673</v>
      </c>
      <c r="U221" s="3" t="s">
        <v>240</v>
      </c>
      <c r="V221" s="166">
        <v>3.6999999999999998E-2</v>
      </c>
      <c r="W221" s="166">
        <v>2.9180000000000001E-2</v>
      </c>
      <c r="X221" s="5" t="s">
        <v>161</v>
      </c>
      <c r="Y221" s="5" t="s">
        <v>156</v>
      </c>
      <c r="Z221" s="155">
        <v>92174.080000000002</v>
      </c>
      <c r="AA221" s="164">
        <v>1</v>
      </c>
      <c r="AB221" s="174">
        <v>121.5</v>
      </c>
      <c r="AD221" s="155">
        <v>111.992</v>
      </c>
      <c r="AG221" s="3" t="s">
        <v>36</v>
      </c>
      <c r="AH221" s="166">
        <v>4.0900000000000002E-4</v>
      </c>
      <c r="AI221" s="166">
        <v>7.0298660501971998E-3</v>
      </c>
      <c r="AJ221" s="166">
        <v>1.1334353161986999E-3</v>
      </c>
    </row>
    <row r="222" spans="1:36">
      <c r="A222" s="3">
        <v>161</v>
      </c>
      <c r="B222" s="3">
        <v>9942</v>
      </c>
      <c r="C222" s="3" t="s">
        <v>355</v>
      </c>
      <c r="D222" s="3" t="s">
        <v>356</v>
      </c>
      <c r="E222" s="5" t="s">
        <v>149</v>
      </c>
      <c r="F222" s="3" t="s">
        <v>357</v>
      </c>
      <c r="G222" s="3" t="s">
        <v>358</v>
      </c>
      <c r="H222" s="3" t="s">
        <v>152</v>
      </c>
      <c r="I222" s="3" t="s">
        <v>153</v>
      </c>
      <c r="J222" s="3" t="s">
        <v>30</v>
      </c>
      <c r="K222" s="3" t="s">
        <v>30</v>
      </c>
      <c r="L222" s="3" t="s">
        <v>154</v>
      </c>
      <c r="M222" s="3" t="s">
        <v>31</v>
      </c>
      <c r="N222" s="3" t="s">
        <v>155</v>
      </c>
      <c r="O222" s="3" t="s">
        <v>156</v>
      </c>
      <c r="P222" s="3" t="s">
        <v>359</v>
      </c>
      <c r="Q222" s="3" t="s">
        <v>158</v>
      </c>
      <c r="R222" s="3" t="s">
        <v>159</v>
      </c>
      <c r="S222" s="3" t="s">
        <v>34</v>
      </c>
      <c r="T222" s="155">
        <v>1.196</v>
      </c>
      <c r="U222" s="3" t="s">
        <v>360</v>
      </c>
      <c r="V222" s="166">
        <v>4.1000000000000002E-2</v>
      </c>
      <c r="W222" s="166">
        <v>4.9340000000000002E-2</v>
      </c>
      <c r="X222" s="5" t="s">
        <v>161</v>
      </c>
      <c r="Y222" s="5" t="s">
        <v>156</v>
      </c>
      <c r="Z222" s="155">
        <v>130000</v>
      </c>
      <c r="AA222" s="164">
        <v>1</v>
      </c>
      <c r="AB222" s="174">
        <v>102.14</v>
      </c>
      <c r="AD222" s="155">
        <v>132.78200000000001</v>
      </c>
      <c r="AG222" s="3" t="s">
        <v>36</v>
      </c>
      <c r="AH222" s="166">
        <v>1.8200000000000001E-4</v>
      </c>
      <c r="AI222" s="166">
        <v>8.3349148271600806E-3</v>
      </c>
      <c r="AJ222" s="166">
        <v>1.3438501893427101E-3</v>
      </c>
    </row>
    <row r="223" spans="1:36">
      <c r="A223" s="3">
        <v>161</v>
      </c>
      <c r="B223" s="3">
        <v>9942</v>
      </c>
      <c r="C223" s="3" t="s">
        <v>361</v>
      </c>
      <c r="D223" s="3" t="s">
        <v>362</v>
      </c>
      <c r="E223" s="5" t="s">
        <v>149</v>
      </c>
      <c r="F223" s="3" t="s">
        <v>363</v>
      </c>
      <c r="G223" s="3" t="s">
        <v>364</v>
      </c>
      <c r="H223" s="3" t="s">
        <v>152</v>
      </c>
      <c r="I223" s="3" t="s">
        <v>166</v>
      </c>
      <c r="J223" s="3" t="s">
        <v>30</v>
      </c>
      <c r="K223" s="3" t="s">
        <v>30</v>
      </c>
      <c r="L223" s="3" t="s">
        <v>154</v>
      </c>
      <c r="M223" s="3" t="s">
        <v>31</v>
      </c>
      <c r="N223" s="3" t="s">
        <v>167</v>
      </c>
      <c r="O223" s="3" t="s">
        <v>156</v>
      </c>
      <c r="P223" s="3" t="s">
        <v>179</v>
      </c>
      <c r="Q223" s="3" t="s">
        <v>169</v>
      </c>
      <c r="R223" s="3" t="s">
        <v>159</v>
      </c>
      <c r="S223" s="3" t="s">
        <v>34</v>
      </c>
      <c r="T223" s="155">
        <v>1.379</v>
      </c>
      <c r="U223" s="3" t="s">
        <v>365</v>
      </c>
      <c r="V223" s="166">
        <v>2.0500000000000001E-2</v>
      </c>
      <c r="W223" s="166">
        <v>3.0210000000000001E-2</v>
      </c>
      <c r="X223" s="5" t="s">
        <v>161</v>
      </c>
      <c r="Y223" s="5" t="s">
        <v>156</v>
      </c>
      <c r="Z223" s="155">
        <v>97969.78</v>
      </c>
      <c r="AA223" s="164">
        <v>1</v>
      </c>
      <c r="AB223" s="174">
        <v>118.88</v>
      </c>
      <c r="AD223" s="155">
        <v>116.46599999999999</v>
      </c>
      <c r="AG223" s="3" t="s">
        <v>36</v>
      </c>
      <c r="AH223" s="166">
        <v>1.95E-4</v>
      </c>
      <c r="AI223" s="166">
        <v>7.3107661044196802E-3</v>
      </c>
      <c r="AJ223" s="166">
        <v>1.17872523203841E-3</v>
      </c>
    </row>
    <row r="224" spans="1:36">
      <c r="A224" s="3">
        <v>161</v>
      </c>
      <c r="B224" s="3">
        <v>9942</v>
      </c>
      <c r="C224" s="3" t="s">
        <v>369</v>
      </c>
      <c r="D224" s="3" t="s">
        <v>370</v>
      </c>
      <c r="E224" s="5" t="s">
        <v>149</v>
      </c>
      <c r="F224" s="3" t="s">
        <v>371</v>
      </c>
      <c r="G224" s="3" t="s">
        <v>372</v>
      </c>
      <c r="H224" s="3" t="s">
        <v>152</v>
      </c>
      <c r="I224" s="3" t="s">
        <v>166</v>
      </c>
      <c r="J224" s="3" t="s">
        <v>30</v>
      </c>
      <c r="K224" s="3" t="s">
        <v>30</v>
      </c>
      <c r="L224" s="3" t="s">
        <v>154</v>
      </c>
      <c r="M224" s="3" t="s">
        <v>31</v>
      </c>
      <c r="N224" s="3" t="s">
        <v>245</v>
      </c>
      <c r="O224" s="3" t="s">
        <v>156</v>
      </c>
      <c r="P224" s="3" t="s">
        <v>246</v>
      </c>
      <c r="Q224" s="3" t="s">
        <v>169</v>
      </c>
      <c r="R224" s="3" t="s">
        <v>159</v>
      </c>
      <c r="S224" s="3" t="s">
        <v>34</v>
      </c>
      <c r="T224" s="155">
        <v>3.04</v>
      </c>
      <c r="U224" s="3" t="s">
        <v>373</v>
      </c>
      <c r="V224" s="166">
        <v>1E-3</v>
      </c>
      <c r="W224" s="166">
        <v>2.5440000000000001E-2</v>
      </c>
      <c r="X224" s="5" t="s">
        <v>161</v>
      </c>
      <c r="Y224" s="5" t="s">
        <v>156</v>
      </c>
      <c r="Z224" s="155">
        <v>36957</v>
      </c>
      <c r="AA224" s="164">
        <v>1</v>
      </c>
      <c r="AB224" s="174">
        <v>107.76</v>
      </c>
      <c r="AD224" s="155">
        <v>39.825000000000003</v>
      </c>
      <c r="AG224" s="3" t="s">
        <v>36</v>
      </c>
      <c r="AH224" s="166">
        <v>1.1E-5</v>
      </c>
      <c r="AI224" s="166">
        <v>2.4998632553757398E-3</v>
      </c>
      <c r="AJ224" s="166">
        <v>4.0305651332159102E-4</v>
      </c>
    </row>
    <row r="225" spans="1:36">
      <c r="A225" s="3">
        <v>161</v>
      </c>
      <c r="B225" s="3">
        <v>9942</v>
      </c>
      <c r="C225" s="3" t="s">
        <v>369</v>
      </c>
      <c r="D225" s="3" t="s">
        <v>370</v>
      </c>
      <c r="E225" s="5" t="s">
        <v>149</v>
      </c>
      <c r="F225" s="3" t="s">
        <v>374</v>
      </c>
      <c r="G225" s="3" t="s">
        <v>375</v>
      </c>
      <c r="H225" s="3" t="s">
        <v>152</v>
      </c>
      <c r="I225" s="3" t="s">
        <v>153</v>
      </c>
      <c r="J225" s="3" t="s">
        <v>30</v>
      </c>
      <c r="K225" s="3" t="s">
        <v>30</v>
      </c>
      <c r="L225" s="3" t="s">
        <v>154</v>
      </c>
      <c r="M225" s="3" t="s">
        <v>31</v>
      </c>
      <c r="N225" s="3" t="s">
        <v>245</v>
      </c>
      <c r="O225" s="3" t="s">
        <v>156</v>
      </c>
      <c r="P225" s="3" t="s">
        <v>246</v>
      </c>
      <c r="Q225" s="3" t="s">
        <v>169</v>
      </c>
      <c r="R225" s="3" t="s">
        <v>159</v>
      </c>
      <c r="S225" s="3" t="s">
        <v>34</v>
      </c>
      <c r="T225" s="155">
        <v>2.8170000000000002</v>
      </c>
      <c r="U225" s="3" t="s">
        <v>376</v>
      </c>
      <c r="V225" s="166">
        <v>2.7400000000000001E-2</v>
      </c>
      <c r="W225" s="166">
        <v>4.4889999999999999E-2</v>
      </c>
      <c r="X225" s="5" t="s">
        <v>161</v>
      </c>
      <c r="Y225" s="5" t="s">
        <v>156</v>
      </c>
      <c r="Z225" s="155">
        <v>200000</v>
      </c>
      <c r="AA225" s="164">
        <v>1</v>
      </c>
      <c r="AB225" s="174">
        <v>96.57</v>
      </c>
      <c r="AD225" s="155">
        <v>193.14</v>
      </c>
      <c r="AG225" s="3" t="s">
        <v>36</v>
      </c>
      <c r="AH225" s="166">
        <v>6.3E-5</v>
      </c>
      <c r="AI225" s="166">
        <v>1.21236722576682E-2</v>
      </c>
      <c r="AJ225" s="166">
        <v>1.9547169463455202E-3</v>
      </c>
    </row>
    <row r="226" spans="1:36">
      <c r="A226" s="3">
        <v>161</v>
      </c>
      <c r="B226" s="3">
        <v>9942</v>
      </c>
      <c r="C226" s="3" t="s">
        <v>369</v>
      </c>
      <c r="D226" s="3" t="s">
        <v>370</v>
      </c>
      <c r="E226" s="5" t="s">
        <v>149</v>
      </c>
      <c r="F226" s="3" t="s">
        <v>377</v>
      </c>
      <c r="G226" s="3" t="s">
        <v>378</v>
      </c>
      <c r="H226" s="3" t="s">
        <v>152</v>
      </c>
      <c r="I226" s="3" t="s">
        <v>166</v>
      </c>
      <c r="J226" s="3" t="s">
        <v>30</v>
      </c>
      <c r="K226" s="3" t="s">
        <v>30</v>
      </c>
      <c r="L226" s="3" t="s">
        <v>154</v>
      </c>
      <c r="M226" s="3" t="s">
        <v>31</v>
      </c>
      <c r="N226" s="3" t="s">
        <v>245</v>
      </c>
      <c r="O226" s="3" t="s">
        <v>156</v>
      </c>
      <c r="P226" s="3" t="s">
        <v>343</v>
      </c>
      <c r="Q226" s="3" t="s">
        <v>158</v>
      </c>
      <c r="R226" s="3" t="s">
        <v>159</v>
      </c>
      <c r="S226" s="3" t="s">
        <v>34</v>
      </c>
      <c r="T226" s="155">
        <v>1.157</v>
      </c>
      <c r="U226" s="3" t="s">
        <v>379</v>
      </c>
      <c r="V226" s="166">
        <v>5.0000000000000001E-3</v>
      </c>
      <c r="W226" s="166">
        <v>2.9350000000000001E-2</v>
      </c>
      <c r="X226" s="5" t="s">
        <v>161</v>
      </c>
      <c r="Y226" s="5" t="s">
        <v>156</v>
      </c>
      <c r="Z226" s="155">
        <v>89000</v>
      </c>
      <c r="AA226" s="164">
        <v>1</v>
      </c>
      <c r="AB226" s="174">
        <v>114.73</v>
      </c>
      <c r="AD226" s="155">
        <v>102.11</v>
      </c>
      <c r="AG226" s="3" t="s">
        <v>36</v>
      </c>
      <c r="AH226" s="166">
        <v>1.17E-4</v>
      </c>
      <c r="AI226" s="166">
        <v>6.4095709699120897E-3</v>
      </c>
      <c r="AJ226" s="166">
        <v>1.03342425689271E-3</v>
      </c>
    </row>
    <row r="227" spans="1:36">
      <c r="A227" s="3">
        <v>161</v>
      </c>
      <c r="B227" s="3">
        <v>9942</v>
      </c>
      <c r="C227" s="3" t="s">
        <v>369</v>
      </c>
      <c r="D227" s="3" t="s">
        <v>370</v>
      </c>
      <c r="E227" s="5" t="s">
        <v>149</v>
      </c>
      <c r="F227" s="3" t="s">
        <v>383</v>
      </c>
      <c r="G227" s="3" t="s">
        <v>384</v>
      </c>
      <c r="H227" s="3" t="s">
        <v>152</v>
      </c>
      <c r="I227" s="3" t="s">
        <v>166</v>
      </c>
      <c r="J227" s="3" t="s">
        <v>30</v>
      </c>
      <c r="K227" s="3" t="s">
        <v>30</v>
      </c>
      <c r="L227" s="3" t="s">
        <v>154</v>
      </c>
      <c r="M227" s="3" t="s">
        <v>31</v>
      </c>
      <c r="N227" s="3" t="s">
        <v>245</v>
      </c>
      <c r="O227" s="3" t="s">
        <v>156</v>
      </c>
      <c r="P227" s="3" t="s">
        <v>246</v>
      </c>
      <c r="Q227" s="3" t="s">
        <v>169</v>
      </c>
      <c r="R227" s="3" t="s">
        <v>159</v>
      </c>
      <c r="S227" s="3" t="s">
        <v>34</v>
      </c>
      <c r="T227" s="155">
        <v>0.71199999999999997</v>
      </c>
      <c r="U227" s="3" t="s">
        <v>385</v>
      </c>
      <c r="V227" s="166">
        <v>3.8E-3</v>
      </c>
      <c r="W227" s="166">
        <v>3.2919999999999998E-2</v>
      </c>
      <c r="X227" s="5" t="s">
        <v>161</v>
      </c>
      <c r="Y227" s="5" t="s">
        <v>156</v>
      </c>
      <c r="Z227" s="155">
        <v>112734</v>
      </c>
      <c r="AA227" s="164">
        <v>1</v>
      </c>
      <c r="AB227" s="174">
        <v>114.65</v>
      </c>
      <c r="AD227" s="155">
        <v>129.25</v>
      </c>
      <c r="AG227" s="3" t="s">
        <v>36</v>
      </c>
      <c r="AH227" s="166">
        <v>3.8000000000000002E-5</v>
      </c>
      <c r="AI227" s="166">
        <v>8.1131767282868594E-3</v>
      </c>
      <c r="AJ227" s="166">
        <v>1.3080990398307501E-3</v>
      </c>
    </row>
    <row r="228" spans="1:36">
      <c r="A228" s="3">
        <v>161</v>
      </c>
      <c r="B228" s="3">
        <v>9942</v>
      </c>
      <c r="C228" s="3" t="s">
        <v>388</v>
      </c>
      <c r="D228" s="3" t="s">
        <v>389</v>
      </c>
      <c r="E228" s="5" t="s">
        <v>149</v>
      </c>
      <c r="F228" s="3" t="s">
        <v>390</v>
      </c>
      <c r="G228" s="3" t="s">
        <v>391</v>
      </c>
      <c r="H228" s="3" t="s">
        <v>152</v>
      </c>
      <c r="I228" s="3" t="s">
        <v>166</v>
      </c>
      <c r="J228" s="3" t="s">
        <v>30</v>
      </c>
      <c r="K228" s="3" t="s">
        <v>30</v>
      </c>
      <c r="L228" s="3" t="s">
        <v>154</v>
      </c>
      <c r="M228" s="3" t="s">
        <v>31</v>
      </c>
      <c r="N228" s="3" t="s">
        <v>392</v>
      </c>
      <c r="O228" s="3" t="s">
        <v>156</v>
      </c>
      <c r="P228" s="3" t="s">
        <v>359</v>
      </c>
      <c r="Q228" s="3" t="s">
        <v>158</v>
      </c>
      <c r="R228" s="3" t="s">
        <v>159</v>
      </c>
      <c r="S228" s="3" t="s">
        <v>34</v>
      </c>
      <c r="T228" s="155">
        <v>2.7869999999999999</v>
      </c>
      <c r="U228" s="3" t="s">
        <v>393</v>
      </c>
      <c r="V228" s="166">
        <v>0.01</v>
      </c>
      <c r="W228" s="166">
        <v>3.2149999999999998E-2</v>
      </c>
      <c r="X228" s="5" t="s">
        <v>161</v>
      </c>
      <c r="Y228" s="5" t="s">
        <v>156</v>
      </c>
      <c r="Z228" s="155">
        <v>269281.05</v>
      </c>
      <c r="AA228" s="164">
        <v>1</v>
      </c>
      <c r="AB228" s="174">
        <v>109.08</v>
      </c>
      <c r="AD228" s="155">
        <v>293.73200000000003</v>
      </c>
      <c r="AG228" s="3" t="s">
        <v>36</v>
      </c>
      <c r="AH228" s="166">
        <v>1.63E-4</v>
      </c>
      <c r="AI228" s="166">
        <v>1.84379605630276E-2</v>
      </c>
      <c r="AJ228" s="166">
        <v>2.9727786435174001E-3</v>
      </c>
    </row>
    <row r="229" spans="1:36">
      <c r="A229" s="3">
        <v>161</v>
      </c>
      <c r="B229" s="3">
        <v>9942</v>
      </c>
      <c r="C229" s="3" t="s">
        <v>388</v>
      </c>
      <c r="D229" s="3" t="s">
        <v>389</v>
      </c>
      <c r="E229" s="5" t="s">
        <v>149</v>
      </c>
      <c r="F229" s="3" t="s">
        <v>394</v>
      </c>
      <c r="G229" s="3" t="s">
        <v>395</v>
      </c>
      <c r="H229" s="3" t="s">
        <v>152</v>
      </c>
      <c r="I229" s="3" t="s">
        <v>166</v>
      </c>
      <c r="J229" s="3" t="s">
        <v>30</v>
      </c>
      <c r="K229" s="3" t="s">
        <v>30</v>
      </c>
      <c r="L229" s="3" t="s">
        <v>154</v>
      </c>
      <c r="M229" s="3" t="s">
        <v>31</v>
      </c>
      <c r="N229" s="3" t="s">
        <v>392</v>
      </c>
      <c r="O229" s="3" t="s">
        <v>156</v>
      </c>
      <c r="P229" s="3" t="s">
        <v>359</v>
      </c>
      <c r="Q229" s="3" t="s">
        <v>158</v>
      </c>
      <c r="R229" s="3" t="s">
        <v>159</v>
      </c>
      <c r="S229" s="3" t="s">
        <v>34</v>
      </c>
      <c r="T229" s="155">
        <v>0.97</v>
      </c>
      <c r="U229" s="3" t="s">
        <v>124</v>
      </c>
      <c r="V229" s="166">
        <v>3.5400000000000001E-2</v>
      </c>
      <c r="W229" s="166">
        <v>4.1360000000000001E-2</v>
      </c>
      <c r="X229" s="5" t="s">
        <v>161</v>
      </c>
      <c r="Y229" s="5" t="s">
        <v>156</v>
      </c>
      <c r="Z229" s="155">
        <v>131249.99</v>
      </c>
      <c r="AA229" s="164">
        <v>1</v>
      </c>
      <c r="AB229" s="174">
        <v>109.63</v>
      </c>
      <c r="AD229" s="155">
        <v>143.88900000000001</v>
      </c>
      <c r="AG229" s="3" t="s">
        <v>36</v>
      </c>
      <c r="AH229" s="166">
        <v>1.3100000000000001E-4</v>
      </c>
      <c r="AI229" s="166">
        <v>9.0321398516562904E-3</v>
      </c>
      <c r="AJ229" s="166">
        <v>1.4562647731283199E-3</v>
      </c>
    </row>
    <row r="230" spans="1:36">
      <c r="A230" s="3">
        <v>161</v>
      </c>
      <c r="B230" s="3">
        <v>9942</v>
      </c>
      <c r="C230" s="3" t="s">
        <v>396</v>
      </c>
      <c r="D230" s="3" t="s">
        <v>397</v>
      </c>
      <c r="E230" s="5" t="s">
        <v>149</v>
      </c>
      <c r="F230" s="3" t="s">
        <v>398</v>
      </c>
      <c r="G230" s="3" t="s">
        <v>399</v>
      </c>
      <c r="H230" s="3" t="s">
        <v>152</v>
      </c>
      <c r="I230" s="3" t="s">
        <v>166</v>
      </c>
      <c r="J230" s="3" t="s">
        <v>30</v>
      </c>
      <c r="K230" s="3" t="s">
        <v>30</v>
      </c>
      <c r="L230" s="3" t="s">
        <v>154</v>
      </c>
      <c r="M230" s="3" t="s">
        <v>31</v>
      </c>
      <c r="N230" s="3" t="s">
        <v>167</v>
      </c>
      <c r="O230" s="3" t="s">
        <v>156</v>
      </c>
      <c r="P230" s="3" t="s">
        <v>168</v>
      </c>
      <c r="Q230" s="3" t="s">
        <v>169</v>
      </c>
      <c r="R230" s="3" t="s">
        <v>159</v>
      </c>
      <c r="S230" s="3" t="s">
        <v>34</v>
      </c>
      <c r="T230" s="155">
        <v>3.4809999999999999</v>
      </c>
      <c r="U230" s="3" t="s">
        <v>400</v>
      </c>
      <c r="V230" s="166">
        <v>1.43E-2</v>
      </c>
      <c r="W230" s="166">
        <v>2.8119999999999999E-2</v>
      </c>
      <c r="X230" s="5" t="s">
        <v>161</v>
      </c>
      <c r="Y230" s="5" t="s">
        <v>156</v>
      </c>
      <c r="Z230" s="155">
        <v>156774.19</v>
      </c>
      <c r="AA230" s="164">
        <v>1</v>
      </c>
      <c r="AB230" s="174">
        <v>113.61</v>
      </c>
      <c r="AD230" s="155">
        <v>178.11099999999999</v>
      </c>
      <c r="AG230" s="3" t="s">
        <v>36</v>
      </c>
      <c r="AH230" s="166">
        <v>8.1000000000000004E-5</v>
      </c>
      <c r="AI230" s="166">
        <v>1.1180290442384401E-2</v>
      </c>
      <c r="AJ230" s="166">
        <v>1.80261415257005E-3</v>
      </c>
    </row>
    <row r="231" spans="1:36">
      <c r="A231" s="3">
        <v>161</v>
      </c>
      <c r="B231" s="3">
        <v>9942</v>
      </c>
      <c r="C231" s="3" t="s">
        <v>396</v>
      </c>
      <c r="D231" s="3" t="s">
        <v>397</v>
      </c>
      <c r="E231" s="5" t="s">
        <v>149</v>
      </c>
      <c r="F231" s="3" t="s">
        <v>401</v>
      </c>
      <c r="G231" s="3" t="s">
        <v>402</v>
      </c>
      <c r="H231" s="3" t="s">
        <v>152</v>
      </c>
      <c r="I231" s="3" t="s">
        <v>166</v>
      </c>
      <c r="J231" s="3" t="s">
        <v>30</v>
      </c>
      <c r="K231" s="3" t="s">
        <v>30</v>
      </c>
      <c r="L231" s="3" t="s">
        <v>154</v>
      </c>
      <c r="M231" s="3" t="s">
        <v>31</v>
      </c>
      <c r="N231" s="3" t="s">
        <v>167</v>
      </c>
      <c r="O231" s="3" t="s">
        <v>156</v>
      </c>
      <c r="P231" s="3" t="s">
        <v>168</v>
      </c>
      <c r="Q231" s="3" t="s">
        <v>169</v>
      </c>
      <c r="R231" s="3" t="s">
        <v>159</v>
      </c>
      <c r="S231" s="3" t="s">
        <v>34</v>
      </c>
      <c r="T231" s="155">
        <v>5.3339999999999996</v>
      </c>
      <c r="U231" s="3" t="s">
        <v>403</v>
      </c>
      <c r="V231" s="166">
        <v>3.61E-2</v>
      </c>
      <c r="W231" s="166">
        <v>2.9340000000000001E-2</v>
      </c>
      <c r="X231" s="5" t="s">
        <v>161</v>
      </c>
      <c r="Y231" s="5" t="s">
        <v>156</v>
      </c>
      <c r="Z231" s="155">
        <v>170000</v>
      </c>
      <c r="AA231" s="164">
        <v>1</v>
      </c>
      <c r="AB231" s="174">
        <v>113.95</v>
      </c>
      <c r="AD231" s="155">
        <v>193.715</v>
      </c>
      <c r="AG231" s="3" t="s">
        <v>36</v>
      </c>
      <c r="AH231" s="166">
        <v>7.7000000000000001E-5</v>
      </c>
      <c r="AI231" s="166">
        <v>1.2159765824760201E-2</v>
      </c>
      <c r="AJ231" s="166">
        <v>1.9605363635773099E-3</v>
      </c>
    </row>
    <row r="232" spans="1:36">
      <c r="A232" s="3">
        <v>161</v>
      </c>
      <c r="B232" s="3">
        <v>9942</v>
      </c>
      <c r="C232" s="3" t="s">
        <v>396</v>
      </c>
      <c r="D232" s="3" t="s">
        <v>397</v>
      </c>
      <c r="E232" s="5" t="s">
        <v>149</v>
      </c>
      <c r="F232" s="3" t="s">
        <v>404</v>
      </c>
      <c r="G232" s="3" t="s">
        <v>405</v>
      </c>
      <c r="H232" s="3" t="s">
        <v>152</v>
      </c>
      <c r="I232" s="3" t="s">
        <v>166</v>
      </c>
      <c r="J232" s="3" t="s">
        <v>30</v>
      </c>
      <c r="K232" s="3" t="s">
        <v>30</v>
      </c>
      <c r="L232" s="3" t="s">
        <v>154</v>
      </c>
      <c r="M232" s="3" t="s">
        <v>31</v>
      </c>
      <c r="N232" s="3" t="s">
        <v>167</v>
      </c>
      <c r="O232" s="3" t="s">
        <v>156</v>
      </c>
      <c r="P232" s="3" t="s">
        <v>168</v>
      </c>
      <c r="Q232" s="3" t="s">
        <v>169</v>
      </c>
      <c r="R232" s="3" t="s">
        <v>159</v>
      </c>
      <c r="S232" s="3" t="s">
        <v>34</v>
      </c>
      <c r="T232" s="155">
        <v>0.54500000000000004</v>
      </c>
      <c r="U232" s="3" t="s">
        <v>406</v>
      </c>
      <c r="V232" s="166">
        <v>2.1499999999999998E-2</v>
      </c>
      <c r="W232" s="166">
        <v>5.0410000000000003E-2</v>
      </c>
      <c r="X232" s="5" t="s">
        <v>161</v>
      </c>
      <c r="Y232" s="5" t="s">
        <v>156</v>
      </c>
      <c r="Z232" s="155">
        <v>134151.49</v>
      </c>
      <c r="AA232" s="164">
        <v>1</v>
      </c>
      <c r="AB232" s="174">
        <v>120.11</v>
      </c>
      <c r="AD232" s="155">
        <v>161.12899999999999</v>
      </c>
      <c r="AG232" s="3" t="s">
        <v>36</v>
      </c>
      <c r="AH232" s="166">
        <v>2.31E-4</v>
      </c>
      <c r="AI232" s="166">
        <v>1.0114318560281801E-2</v>
      </c>
      <c r="AJ232" s="166">
        <v>1.6307459877113501E-3</v>
      </c>
    </row>
    <row r="233" spans="1:36">
      <c r="A233" s="3">
        <v>161</v>
      </c>
      <c r="B233" s="3">
        <v>9942</v>
      </c>
      <c r="C233" s="3" t="s">
        <v>396</v>
      </c>
      <c r="D233" s="3" t="s">
        <v>397</v>
      </c>
      <c r="E233" s="5" t="s">
        <v>149</v>
      </c>
      <c r="F233" s="3" t="s">
        <v>407</v>
      </c>
      <c r="G233" s="3" t="s">
        <v>408</v>
      </c>
      <c r="H233" s="3" t="s">
        <v>152</v>
      </c>
      <c r="I233" s="3" t="s">
        <v>166</v>
      </c>
      <c r="J233" s="3" t="s">
        <v>30</v>
      </c>
      <c r="K233" s="3" t="s">
        <v>30</v>
      </c>
      <c r="L233" s="3" t="s">
        <v>154</v>
      </c>
      <c r="M233" s="3" t="s">
        <v>31</v>
      </c>
      <c r="N233" s="3" t="s">
        <v>167</v>
      </c>
      <c r="O233" s="3" t="s">
        <v>156</v>
      </c>
      <c r="P233" s="3" t="s">
        <v>168</v>
      </c>
      <c r="Q233" s="3" t="s">
        <v>169</v>
      </c>
      <c r="R233" s="3" t="s">
        <v>159</v>
      </c>
      <c r="S233" s="3" t="s">
        <v>34</v>
      </c>
      <c r="T233" s="155">
        <v>3.0649999999999999</v>
      </c>
      <c r="U233" s="3" t="s">
        <v>409</v>
      </c>
      <c r="V233" s="166">
        <v>2.2499999999999999E-2</v>
      </c>
      <c r="W233" s="166">
        <v>2.9350000000000001E-2</v>
      </c>
      <c r="X233" s="5" t="s">
        <v>161</v>
      </c>
      <c r="Y233" s="5" t="s">
        <v>156</v>
      </c>
      <c r="Z233" s="155">
        <v>35745.71</v>
      </c>
      <c r="AA233" s="164">
        <v>1</v>
      </c>
      <c r="AB233" s="174">
        <v>118.47</v>
      </c>
      <c r="AD233" s="155">
        <v>42.347999999999999</v>
      </c>
      <c r="AG233" s="3" t="s">
        <v>36</v>
      </c>
      <c r="AH233" s="166">
        <v>2.0999999999999999E-5</v>
      </c>
      <c r="AI233" s="166">
        <v>2.6582405370069399E-3</v>
      </c>
      <c r="AJ233" s="166">
        <v>4.28591908022222E-4</v>
      </c>
    </row>
    <row r="234" spans="1:36">
      <c r="A234" s="3">
        <v>161</v>
      </c>
      <c r="B234" s="3">
        <v>9942</v>
      </c>
      <c r="C234" s="3" t="s">
        <v>396</v>
      </c>
      <c r="D234" s="3" t="s">
        <v>397</v>
      </c>
      <c r="E234" s="5" t="s">
        <v>149</v>
      </c>
      <c r="F234" s="3" t="s">
        <v>410</v>
      </c>
      <c r="G234" s="3" t="s">
        <v>411</v>
      </c>
      <c r="H234" s="3" t="s">
        <v>152</v>
      </c>
      <c r="I234" s="3" t="s">
        <v>166</v>
      </c>
      <c r="J234" s="3" t="s">
        <v>30</v>
      </c>
      <c r="K234" s="3" t="s">
        <v>30</v>
      </c>
      <c r="L234" s="3" t="s">
        <v>154</v>
      </c>
      <c r="M234" s="3" t="s">
        <v>31</v>
      </c>
      <c r="N234" s="3" t="s">
        <v>167</v>
      </c>
      <c r="O234" s="3" t="s">
        <v>156</v>
      </c>
      <c r="P234" s="3" t="s">
        <v>168</v>
      </c>
      <c r="Q234" s="3" t="s">
        <v>169</v>
      </c>
      <c r="R234" s="3" t="s">
        <v>159</v>
      </c>
      <c r="S234" s="3" t="s">
        <v>34</v>
      </c>
      <c r="T234" s="155">
        <v>4.4290000000000003</v>
      </c>
      <c r="U234" s="3" t="s">
        <v>382</v>
      </c>
      <c r="V234" s="166">
        <v>2.5000000000000001E-3</v>
      </c>
      <c r="W234" s="166">
        <v>2.7029999999999998E-2</v>
      </c>
      <c r="X234" s="5" t="s">
        <v>161</v>
      </c>
      <c r="Y234" s="5" t="s">
        <v>156</v>
      </c>
      <c r="Z234" s="155">
        <v>127279.98</v>
      </c>
      <c r="AA234" s="164">
        <v>1</v>
      </c>
      <c r="AB234" s="174">
        <v>104.64</v>
      </c>
      <c r="AD234" s="155">
        <v>133.18600000000001</v>
      </c>
      <c r="AG234" s="3" t="s">
        <v>36</v>
      </c>
      <c r="AH234" s="166">
        <v>9.5000000000000005E-5</v>
      </c>
      <c r="AI234" s="166">
        <v>8.3602601111201907E-3</v>
      </c>
      <c r="AJ234" s="166">
        <v>1.3479366455759201E-3</v>
      </c>
    </row>
    <row r="235" spans="1:36">
      <c r="A235" s="3">
        <v>161</v>
      </c>
      <c r="B235" s="3">
        <v>9942</v>
      </c>
      <c r="C235" s="3" t="s">
        <v>412</v>
      </c>
      <c r="D235" s="3" t="s">
        <v>413</v>
      </c>
      <c r="E235" s="5" t="s">
        <v>149</v>
      </c>
      <c r="F235" s="3" t="s">
        <v>414</v>
      </c>
      <c r="G235" s="3" t="s">
        <v>415</v>
      </c>
      <c r="H235" s="3" t="s">
        <v>152</v>
      </c>
      <c r="I235" s="3" t="s">
        <v>153</v>
      </c>
      <c r="J235" s="3" t="s">
        <v>30</v>
      </c>
      <c r="K235" s="3" t="s">
        <v>30</v>
      </c>
      <c r="L235" s="3" t="s">
        <v>154</v>
      </c>
      <c r="M235" s="3" t="s">
        <v>31</v>
      </c>
      <c r="N235" s="3" t="s">
        <v>155</v>
      </c>
      <c r="O235" s="3" t="s">
        <v>156</v>
      </c>
      <c r="P235" s="3" t="s">
        <v>222</v>
      </c>
      <c r="Q235" s="3" t="s">
        <v>158</v>
      </c>
      <c r="R235" s="3" t="s">
        <v>159</v>
      </c>
      <c r="S235" s="3" t="s">
        <v>34</v>
      </c>
      <c r="T235" s="155">
        <v>4.8319999999999999</v>
      </c>
      <c r="U235" s="3" t="s">
        <v>416</v>
      </c>
      <c r="V235" s="166">
        <v>2.98E-2</v>
      </c>
      <c r="W235" s="166">
        <v>4.6370000000000001E-2</v>
      </c>
      <c r="X235" s="5" t="s">
        <v>161</v>
      </c>
      <c r="Y235" s="5" t="s">
        <v>156</v>
      </c>
      <c r="Z235" s="155">
        <v>200000</v>
      </c>
      <c r="AA235" s="164">
        <v>1</v>
      </c>
      <c r="AB235" s="174">
        <v>93.38</v>
      </c>
      <c r="AD235" s="155">
        <v>186.76</v>
      </c>
      <c r="AG235" s="3" t="s">
        <v>36</v>
      </c>
      <c r="AH235" s="166">
        <v>5.0900000000000001E-4</v>
      </c>
      <c r="AI235" s="166">
        <v>1.1723190591499E-2</v>
      </c>
      <c r="AJ235" s="166">
        <v>1.8901467168866599E-3</v>
      </c>
    </row>
    <row r="236" spans="1:36">
      <c r="A236" s="3">
        <v>161</v>
      </c>
      <c r="B236" s="3">
        <v>9942</v>
      </c>
      <c r="C236" s="3" t="s">
        <v>412</v>
      </c>
      <c r="D236" s="3" t="s">
        <v>413</v>
      </c>
      <c r="E236" s="5" t="s">
        <v>149</v>
      </c>
      <c r="F236" s="3" t="s">
        <v>417</v>
      </c>
      <c r="G236" s="3" t="s">
        <v>418</v>
      </c>
      <c r="H236" s="3" t="s">
        <v>152</v>
      </c>
      <c r="I236" s="3" t="s">
        <v>153</v>
      </c>
      <c r="J236" s="3" t="s">
        <v>30</v>
      </c>
      <c r="K236" s="3" t="s">
        <v>30</v>
      </c>
      <c r="L236" s="3" t="s">
        <v>154</v>
      </c>
      <c r="M236" s="3" t="s">
        <v>31</v>
      </c>
      <c r="N236" s="3" t="s">
        <v>155</v>
      </c>
      <c r="O236" s="3" t="s">
        <v>156</v>
      </c>
      <c r="P236" s="3" t="s">
        <v>359</v>
      </c>
      <c r="Q236" s="3" t="s">
        <v>158</v>
      </c>
      <c r="R236" s="3" t="s">
        <v>159</v>
      </c>
      <c r="S236" s="3" t="s">
        <v>34</v>
      </c>
      <c r="T236" s="155">
        <v>8.0039999999999996</v>
      </c>
      <c r="U236" s="3" t="s">
        <v>419</v>
      </c>
      <c r="V236" s="166">
        <v>5.1799999999999999E-2</v>
      </c>
      <c r="W236" s="166">
        <v>5.271E-2</v>
      </c>
      <c r="X236" s="5" t="s">
        <v>161</v>
      </c>
      <c r="Y236" s="5" t="s">
        <v>156</v>
      </c>
      <c r="Z236" s="155">
        <v>150000</v>
      </c>
      <c r="AA236" s="164">
        <v>1</v>
      </c>
      <c r="AB236" s="174">
        <v>100.08</v>
      </c>
      <c r="AD236" s="155">
        <v>150.12</v>
      </c>
      <c r="AG236" s="3" t="s">
        <v>36</v>
      </c>
      <c r="AH236" s="166">
        <v>0</v>
      </c>
      <c r="AI236" s="166">
        <v>9.4232457249722908E-3</v>
      </c>
      <c r="AJ236" s="166">
        <v>1.5193233301511299E-3</v>
      </c>
    </row>
    <row r="237" spans="1:36">
      <c r="A237" s="3">
        <v>161</v>
      </c>
      <c r="B237" s="3">
        <v>9942</v>
      </c>
      <c r="C237" s="3" t="s">
        <v>420</v>
      </c>
      <c r="D237" s="3" t="s">
        <v>421</v>
      </c>
      <c r="E237" s="5" t="s">
        <v>149</v>
      </c>
      <c r="F237" s="3" t="s">
        <v>422</v>
      </c>
      <c r="G237" s="3" t="s">
        <v>423</v>
      </c>
      <c r="H237" s="3" t="s">
        <v>152</v>
      </c>
      <c r="I237" s="3" t="s">
        <v>166</v>
      </c>
      <c r="J237" s="3" t="s">
        <v>30</v>
      </c>
      <c r="K237" s="3" t="s">
        <v>30</v>
      </c>
      <c r="L237" s="3" t="s">
        <v>154</v>
      </c>
      <c r="M237" s="3" t="s">
        <v>31</v>
      </c>
      <c r="N237" s="3" t="s">
        <v>167</v>
      </c>
      <c r="O237" s="3" t="s">
        <v>156</v>
      </c>
      <c r="P237" s="3" t="s">
        <v>424</v>
      </c>
      <c r="Q237" s="3" t="s">
        <v>169</v>
      </c>
      <c r="R237" s="3" t="s">
        <v>159</v>
      </c>
      <c r="S237" s="3" t="s">
        <v>34</v>
      </c>
      <c r="T237" s="155">
        <v>2.4140000000000001</v>
      </c>
      <c r="U237" s="3" t="s">
        <v>425</v>
      </c>
      <c r="V237" s="166">
        <v>1.34E-2</v>
      </c>
      <c r="W237" s="166">
        <v>2.8539999999999999E-2</v>
      </c>
      <c r="X237" s="5" t="s">
        <v>161</v>
      </c>
      <c r="Y237" s="5" t="s">
        <v>156</v>
      </c>
      <c r="Z237" s="155">
        <v>225912.25</v>
      </c>
      <c r="AA237" s="164">
        <v>1</v>
      </c>
      <c r="AB237" s="174">
        <v>116.33</v>
      </c>
      <c r="AD237" s="155">
        <v>262.80399999999997</v>
      </c>
      <c r="AG237" s="3" t="s">
        <v>36</v>
      </c>
      <c r="AH237" s="166">
        <v>1.02E-4</v>
      </c>
      <c r="AI237" s="166">
        <v>1.6496562982958301E-2</v>
      </c>
      <c r="AJ237" s="166">
        <v>2.6597643464709398E-3</v>
      </c>
    </row>
    <row r="238" spans="1:36">
      <c r="A238" s="3">
        <v>161</v>
      </c>
      <c r="B238" s="3">
        <v>9942</v>
      </c>
      <c r="C238" s="3" t="s">
        <v>420</v>
      </c>
      <c r="D238" s="3" t="s">
        <v>421</v>
      </c>
      <c r="E238" s="5" t="s">
        <v>149</v>
      </c>
      <c r="F238" s="3" t="s">
        <v>426</v>
      </c>
      <c r="G238" s="3" t="s">
        <v>427</v>
      </c>
      <c r="H238" s="3" t="s">
        <v>152</v>
      </c>
      <c r="I238" s="3" t="s">
        <v>166</v>
      </c>
      <c r="J238" s="3" t="s">
        <v>30</v>
      </c>
      <c r="K238" s="3" t="s">
        <v>30</v>
      </c>
      <c r="L238" s="3" t="s">
        <v>154</v>
      </c>
      <c r="M238" s="3" t="s">
        <v>31</v>
      </c>
      <c r="N238" s="3" t="s">
        <v>167</v>
      </c>
      <c r="O238" s="3" t="s">
        <v>156</v>
      </c>
      <c r="P238" s="3" t="s">
        <v>424</v>
      </c>
      <c r="Q238" s="3" t="s">
        <v>169</v>
      </c>
      <c r="R238" s="3" t="s">
        <v>159</v>
      </c>
      <c r="S238" s="3" t="s">
        <v>34</v>
      </c>
      <c r="T238" s="155">
        <v>6.157</v>
      </c>
      <c r="U238" s="3" t="s">
        <v>428</v>
      </c>
      <c r="V238" s="166">
        <v>8.9999999999999993E-3</v>
      </c>
      <c r="W238" s="166">
        <v>2.7810000000000001E-2</v>
      </c>
      <c r="X238" s="5" t="s">
        <v>161</v>
      </c>
      <c r="Y238" s="5" t="s">
        <v>156</v>
      </c>
      <c r="Z238" s="155">
        <v>334480</v>
      </c>
      <c r="AA238" s="164">
        <v>1</v>
      </c>
      <c r="AB238" s="174">
        <v>104.46</v>
      </c>
      <c r="AD238" s="155">
        <v>349.39800000000002</v>
      </c>
      <c r="AG238" s="3" t="s">
        <v>36</v>
      </c>
      <c r="AH238" s="166">
        <v>1.2400000000000001E-4</v>
      </c>
      <c r="AI238" s="166">
        <v>2.1932196912807699E-2</v>
      </c>
      <c r="AJ238" s="166">
        <v>3.5361593471760302E-3</v>
      </c>
    </row>
    <row r="239" spans="1:36">
      <c r="A239" s="3">
        <v>161</v>
      </c>
      <c r="B239" s="3">
        <v>9942</v>
      </c>
      <c r="C239" s="3" t="s">
        <v>429</v>
      </c>
      <c r="D239" s="3" t="s">
        <v>430</v>
      </c>
      <c r="E239" s="5" t="s">
        <v>149</v>
      </c>
      <c r="F239" s="3" t="s">
        <v>431</v>
      </c>
      <c r="G239" s="3" t="s">
        <v>432</v>
      </c>
      <c r="H239" s="3" t="s">
        <v>152</v>
      </c>
      <c r="I239" s="3" t="s">
        <v>153</v>
      </c>
      <c r="J239" s="3" t="s">
        <v>30</v>
      </c>
      <c r="K239" s="3" t="s">
        <v>30</v>
      </c>
      <c r="L239" s="3" t="s">
        <v>154</v>
      </c>
      <c r="M239" s="3" t="s">
        <v>31</v>
      </c>
      <c r="N239" s="3" t="s">
        <v>245</v>
      </c>
      <c r="O239" s="3" t="s">
        <v>156</v>
      </c>
      <c r="P239" s="3" t="s">
        <v>246</v>
      </c>
      <c r="Q239" s="3" t="s">
        <v>169</v>
      </c>
      <c r="R239" s="3" t="s">
        <v>159</v>
      </c>
      <c r="S239" s="3" t="s">
        <v>34</v>
      </c>
      <c r="T239" s="155">
        <v>2.9129999999999998</v>
      </c>
      <c r="U239" s="3" t="s">
        <v>433</v>
      </c>
      <c r="V239" s="166">
        <v>2.5000000000000001E-2</v>
      </c>
      <c r="W239" s="166">
        <v>4.462E-2</v>
      </c>
      <c r="X239" s="5" t="s">
        <v>161</v>
      </c>
      <c r="Y239" s="5" t="s">
        <v>156</v>
      </c>
      <c r="Z239" s="155">
        <v>498750</v>
      </c>
      <c r="AA239" s="164">
        <v>1</v>
      </c>
      <c r="AB239" s="174">
        <v>96.5</v>
      </c>
      <c r="AD239" s="155">
        <v>481.29399999999998</v>
      </c>
      <c r="AG239" s="3" t="s">
        <v>36</v>
      </c>
      <c r="AH239" s="166">
        <v>2.4600000000000002E-4</v>
      </c>
      <c r="AI239" s="166">
        <v>3.0211492620193101E-2</v>
      </c>
      <c r="AJ239" s="166">
        <v>4.8710419866168798E-3</v>
      </c>
    </row>
    <row r="240" spans="1:36">
      <c r="A240" s="3">
        <v>161</v>
      </c>
      <c r="B240" s="3">
        <v>9942</v>
      </c>
      <c r="C240" s="3" t="s">
        <v>429</v>
      </c>
      <c r="D240" s="3" t="s">
        <v>430</v>
      </c>
      <c r="E240" s="5" t="s">
        <v>149</v>
      </c>
      <c r="F240" s="3" t="s">
        <v>434</v>
      </c>
      <c r="G240" s="3" t="s">
        <v>435</v>
      </c>
      <c r="H240" s="3" t="s">
        <v>152</v>
      </c>
      <c r="I240" s="3" t="s">
        <v>166</v>
      </c>
      <c r="J240" s="3" t="s">
        <v>30</v>
      </c>
      <c r="K240" s="3" t="s">
        <v>30</v>
      </c>
      <c r="L240" s="3" t="s">
        <v>154</v>
      </c>
      <c r="M240" s="3" t="s">
        <v>31</v>
      </c>
      <c r="N240" s="3" t="s">
        <v>245</v>
      </c>
      <c r="O240" s="3" t="s">
        <v>156</v>
      </c>
      <c r="P240" s="3" t="s">
        <v>246</v>
      </c>
      <c r="Q240" s="3" t="s">
        <v>169</v>
      </c>
      <c r="R240" s="3" t="s">
        <v>159</v>
      </c>
      <c r="S240" s="3" t="s">
        <v>34</v>
      </c>
      <c r="T240" s="155">
        <v>3.073</v>
      </c>
      <c r="U240" s="3" t="s">
        <v>433</v>
      </c>
      <c r="V240" s="166">
        <v>1E-3</v>
      </c>
      <c r="W240" s="166">
        <v>2.538E-2</v>
      </c>
      <c r="X240" s="5" t="s">
        <v>161</v>
      </c>
      <c r="Y240" s="5" t="s">
        <v>156</v>
      </c>
      <c r="Z240" s="155">
        <v>397491.5</v>
      </c>
      <c r="AA240" s="164">
        <v>1</v>
      </c>
      <c r="AB240" s="174">
        <v>107.45</v>
      </c>
      <c r="AD240" s="155">
        <v>427.10500000000002</v>
      </c>
      <c r="AG240" s="3" t="s">
        <v>36</v>
      </c>
      <c r="AH240" s="166">
        <v>4.0400000000000001E-4</v>
      </c>
      <c r="AI240" s="166">
        <v>2.6809963721725099E-2</v>
      </c>
      <c r="AJ240" s="166">
        <v>4.3226086373803103E-3</v>
      </c>
    </row>
    <row r="241" spans="1:36">
      <c r="A241" s="3">
        <v>161</v>
      </c>
      <c r="B241" s="3">
        <v>9942</v>
      </c>
      <c r="C241" s="3" t="s">
        <v>429</v>
      </c>
      <c r="D241" s="3" t="s">
        <v>430</v>
      </c>
      <c r="E241" s="5" t="s">
        <v>149</v>
      </c>
      <c r="F241" s="3" t="s">
        <v>436</v>
      </c>
      <c r="G241" s="3" t="s">
        <v>437</v>
      </c>
      <c r="H241" s="3" t="s">
        <v>152</v>
      </c>
      <c r="I241" s="3" t="s">
        <v>166</v>
      </c>
      <c r="J241" s="3" t="s">
        <v>30</v>
      </c>
      <c r="K241" s="3" t="s">
        <v>30</v>
      </c>
      <c r="L241" s="3" t="s">
        <v>154</v>
      </c>
      <c r="M241" s="3" t="s">
        <v>31</v>
      </c>
      <c r="N241" s="3" t="s">
        <v>245</v>
      </c>
      <c r="O241" s="3" t="s">
        <v>156</v>
      </c>
      <c r="P241" s="3" t="s">
        <v>246</v>
      </c>
      <c r="Q241" s="3" t="s">
        <v>169</v>
      </c>
      <c r="R241" s="3" t="s">
        <v>159</v>
      </c>
      <c r="S241" s="3" t="s">
        <v>34</v>
      </c>
      <c r="T241" s="155">
        <v>3.4510000000000001</v>
      </c>
      <c r="U241" s="3" t="s">
        <v>438</v>
      </c>
      <c r="V241" s="166">
        <v>1.3899999999999999E-2</v>
      </c>
      <c r="W241" s="166">
        <v>2.521E-2</v>
      </c>
      <c r="X241" s="5" t="s">
        <v>161</v>
      </c>
      <c r="Y241" s="5" t="s">
        <v>156</v>
      </c>
      <c r="Z241" s="155">
        <v>659111.12</v>
      </c>
      <c r="AA241" s="164">
        <v>1</v>
      </c>
      <c r="AB241" s="174">
        <v>107.22</v>
      </c>
      <c r="AD241" s="155">
        <v>706.69899999999996</v>
      </c>
      <c r="AG241" s="3" t="s">
        <v>36</v>
      </c>
      <c r="AH241" s="166">
        <v>4.1199999999999999E-4</v>
      </c>
      <c r="AI241" s="166">
        <v>4.4360496883730498E-2</v>
      </c>
      <c r="AJ241" s="166">
        <v>7.1523060970318198E-3</v>
      </c>
    </row>
    <row r="242" spans="1:36">
      <c r="A242" s="3">
        <v>161</v>
      </c>
      <c r="B242" s="3">
        <v>9942</v>
      </c>
      <c r="C242" s="3" t="s">
        <v>429</v>
      </c>
      <c r="D242" s="3" t="s">
        <v>430</v>
      </c>
      <c r="E242" s="5" t="s">
        <v>149</v>
      </c>
      <c r="F242" s="3" t="s">
        <v>442</v>
      </c>
      <c r="G242" s="3" t="s">
        <v>443</v>
      </c>
      <c r="H242" s="3" t="s">
        <v>152</v>
      </c>
      <c r="I242" s="3" t="s">
        <v>166</v>
      </c>
      <c r="J242" s="3" t="s">
        <v>30</v>
      </c>
      <c r="K242" s="3" t="s">
        <v>30</v>
      </c>
      <c r="L242" s="3" t="s">
        <v>154</v>
      </c>
      <c r="M242" s="3" t="s">
        <v>31</v>
      </c>
      <c r="N242" s="3" t="s">
        <v>245</v>
      </c>
      <c r="O242" s="3" t="s">
        <v>156</v>
      </c>
      <c r="P242" s="3" t="s">
        <v>246</v>
      </c>
      <c r="Q242" s="3" t="s">
        <v>169</v>
      </c>
      <c r="R242" s="3" t="s">
        <v>159</v>
      </c>
      <c r="S242" s="3" t="s">
        <v>34</v>
      </c>
      <c r="T242" s="155">
        <v>2.5369999999999999</v>
      </c>
      <c r="U242" s="3" t="s">
        <v>444</v>
      </c>
      <c r="V242" s="166">
        <v>1.7500000000000002E-2</v>
      </c>
      <c r="W242" s="166">
        <v>2.5860000000000001E-2</v>
      </c>
      <c r="X242" s="5" t="s">
        <v>161</v>
      </c>
      <c r="Y242" s="5" t="s">
        <v>156</v>
      </c>
      <c r="Z242" s="155">
        <v>374343.89</v>
      </c>
      <c r="AA242" s="164">
        <v>1</v>
      </c>
      <c r="AB242" s="174">
        <v>117.2</v>
      </c>
      <c r="AD242" s="155">
        <v>438.73099999999999</v>
      </c>
      <c r="AG242" s="3" t="s">
        <v>36</v>
      </c>
      <c r="AH242" s="166">
        <v>1.6799999999999999E-4</v>
      </c>
      <c r="AI242" s="166">
        <v>2.7539770772870099E-2</v>
      </c>
      <c r="AJ242" s="166">
        <v>4.4402764677304299E-3</v>
      </c>
    </row>
    <row r="243" spans="1:36">
      <c r="A243" s="3">
        <v>161</v>
      </c>
      <c r="B243" s="3">
        <v>9942</v>
      </c>
      <c r="C243" s="3" t="s">
        <v>429</v>
      </c>
      <c r="D243" s="3" t="s">
        <v>430</v>
      </c>
      <c r="E243" s="5" t="s">
        <v>149</v>
      </c>
      <c r="F243" s="3" t="s">
        <v>445</v>
      </c>
      <c r="G243" s="3" t="s">
        <v>446</v>
      </c>
      <c r="H243" s="3" t="s">
        <v>152</v>
      </c>
      <c r="I243" s="3" t="s">
        <v>166</v>
      </c>
      <c r="J243" s="3" t="s">
        <v>30</v>
      </c>
      <c r="K243" s="3" t="s">
        <v>30</v>
      </c>
      <c r="L243" s="3" t="s">
        <v>154</v>
      </c>
      <c r="M243" s="3" t="s">
        <v>31</v>
      </c>
      <c r="N243" s="3" t="s">
        <v>245</v>
      </c>
      <c r="O243" s="3" t="s">
        <v>156</v>
      </c>
      <c r="P243" s="3" t="s">
        <v>246</v>
      </c>
      <c r="Q243" s="3" t="s">
        <v>169</v>
      </c>
      <c r="R243" s="3" t="s">
        <v>159</v>
      </c>
      <c r="S243" s="3" t="s">
        <v>34</v>
      </c>
      <c r="T243" s="155">
        <v>4.9800000000000004</v>
      </c>
      <c r="U243" s="3" t="s">
        <v>447</v>
      </c>
      <c r="V243" s="166">
        <v>2.6100000000000002E-2</v>
      </c>
      <c r="W243" s="166">
        <v>2.5860000000000001E-2</v>
      </c>
      <c r="X243" s="5" t="s">
        <v>161</v>
      </c>
      <c r="Y243" s="5" t="s">
        <v>156</v>
      </c>
      <c r="Z243" s="155">
        <v>290000</v>
      </c>
      <c r="AA243" s="164">
        <v>1</v>
      </c>
      <c r="AB243" s="174">
        <v>101.11</v>
      </c>
      <c r="AD243" s="155">
        <v>293.21899999999999</v>
      </c>
      <c r="AG243" s="3" t="s">
        <v>36</v>
      </c>
      <c r="AH243" s="166">
        <v>8.5000000000000006E-5</v>
      </c>
      <c r="AI243" s="166">
        <v>1.84057733028954E-2</v>
      </c>
      <c r="AJ243" s="166">
        <v>2.96758904572066E-3</v>
      </c>
    </row>
    <row r="244" spans="1:36">
      <c r="A244" s="3">
        <v>161</v>
      </c>
      <c r="B244" s="3">
        <v>9942</v>
      </c>
      <c r="C244" s="3" t="s">
        <v>429</v>
      </c>
      <c r="D244" s="3" t="s">
        <v>430</v>
      </c>
      <c r="E244" s="5" t="s">
        <v>149</v>
      </c>
      <c r="F244" s="3" t="s">
        <v>448</v>
      </c>
      <c r="G244" s="3" t="s">
        <v>449</v>
      </c>
      <c r="H244" s="3" t="s">
        <v>152</v>
      </c>
      <c r="I244" s="3" t="s">
        <v>166</v>
      </c>
      <c r="J244" s="3" t="s">
        <v>30</v>
      </c>
      <c r="K244" s="3" t="s">
        <v>30</v>
      </c>
      <c r="L244" s="3" t="s">
        <v>154</v>
      </c>
      <c r="M244" s="3" t="s">
        <v>31</v>
      </c>
      <c r="N244" s="3" t="s">
        <v>245</v>
      </c>
      <c r="O244" s="3" t="s">
        <v>156</v>
      </c>
      <c r="P244" s="3" t="s">
        <v>185</v>
      </c>
      <c r="Q244" s="3" t="s">
        <v>169</v>
      </c>
      <c r="R244" s="3" t="s">
        <v>159</v>
      </c>
      <c r="S244" s="3" t="s">
        <v>34</v>
      </c>
      <c r="T244" s="155">
        <v>6.2939999999999996</v>
      </c>
      <c r="U244" s="3" t="s">
        <v>450</v>
      </c>
      <c r="V244" s="166">
        <v>3.4500000000000003E-2</v>
      </c>
      <c r="W244" s="166">
        <v>2.9739999999999999E-2</v>
      </c>
      <c r="X244" s="5" t="s">
        <v>161</v>
      </c>
      <c r="Y244" s="5" t="s">
        <v>156</v>
      </c>
      <c r="Z244" s="155">
        <v>220000</v>
      </c>
      <c r="AA244" s="164">
        <v>1</v>
      </c>
      <c r="AB244" s="174">
        <v>108.65</v>
      </c>
      <c r="AD244" s="155">
        <v>239.03</v>
      </c>
      <c r="AG244" s="3" t="s">
        <v>36</v>
      </c>
      <c r="AH244" s="166">
        <v>1.4899999999999999E-4</v>
      </c>
      <c r="AI244" s="166">
        <v>1.50042527687192E-2</v>
      </c>
      <c r="AJ244" s="166">
        <v>2.4191570450707799E-3</v>
      </c>
    </row>
    <row r="245" spans="1:36">
      <c r="A245" s="3">
        <v>161</v>
      </c>
      <c r="B245" s="3">
        <v>9942</v>
      </c>
      <c r="C245" s="3" t="s">
        <v>451</v>
      </c>
      <c r="D245" s="3" t="s">
        <v>452</v>
      </c>
      <c r="E245" s="5" t="s">
        <v>149</v>
      </c>
      <c r="F245" s="3" t="s">
        <v>453</v>
      </c>
      <c r="G245" s="3" t="s">
        <v>454</v>
      </c>
      <c r="H245" s="3" t="s">
        <v>152</v>
      </c>
      <c r="I245" s="3" t="s">
        <v>153</v>
      </c>
      <c r="J245" s="3" t="s">
        <v>30</v>
      </c>
      <c r="K245" s="3" t="s">
        <v>30</v>
      </c>
      <c r="L245" s="3" t="s">
        <v>154</v>
      </c>
      <c r="M245" s="3" t="s">
        <v>31</v>
      </c>
      <c r="N245" s="3" t="s">
        <v>455</v>
      </c>
      <c r="O245" s="3" t="s">
        <v>156</v>
      </c>
      <c r="P245" s="3" t="s">
        <v>185</v>
      </c>
      <c r="Q245" s="3" t="s">
        <v>169</v>
      </c>
      <c r="R245" s="3" t="s">
        <v>159</v>
      </c>
      <c r="S245" s="3" t="s">
        <v>34</v>
      </c>
      <c r="T245" s="155">
        <v>0.64</v>
      </c>
      <c r="U245" s="3" t="s">
        <v>456</v>
      </c>
      <c r="V245" s="166">
        <v>2.29E-2</v>
      </c>
      <c r="W245" s="166">
        <v>4.5589999999999999E-2</v>
      </c>
      <c r="X245" s="5" t="s">
        <v>161</v>
      </c>
      <c r="Y245" s="5" t="s">
        <v>156</v>
      </c>
      <c r="Z245" s="155">
        <v>83076.92</v>
      </c>
      <c r="AA245" s="164">
        <v>1</v>
      </c>
      <c r="AB245" s="174">
        <v>99.39</v>
      </c>
      <c r="AD245" s="155">
        <v>82.57</v>
      </c>
      <c r="AG245" s="3" t="s">
        <v>36</v>
      </c>
      <c r="AH245" s="166">
        <v>2.5099999999999998E-4</v>
      </c>
      <c r="AI245" s="166">
        <v>5.1830456995959097E-3</v>
      </c>
      <c r="AJ245" s="166">
        <v>8.3566984056957904E-4</v>
      </c>
    </row>
    <row r="246" spans="1:36">
      <c r="A246" s="3">
        <v>161</v>
      </c>
      <c r="B246" s="3">
        <v>9942</v>
      </c>
      <c r="C246" s="3" t="s">
        <v>457</v>
      </c>
      <c r="D246" s="3" t="s">
        <v>458</v>
      </c>
      <c r="E246" s="5" t="s">
        <v>149</v>
      </c>
      <c r="F246" s="3" t="s">
        <v>459</v>
      </c>
      <c r="G246" s="3" t="s">
        <v>460</v>
      </c>
      <c r="H246" s="3" t="s">
        <v>152</v>
      </c>
      <c r="I246" s="3" t="s">
        <v>166</v>
      </c>
      <c r="J246" s="3" t="s">
        <v>30</v>
      </c>
      <c r="K246" s="3" t="s">
        <v>30</v>
      </c>
      <c r="L246" s="3" t="s">
        <v>154</v>
      </c>
      <c r="M246" s="3" t="s">
        <v>31</v>
      </c>
      <c r="N246" s="3" t="s">
        <v>231</v>
      </c>
      <c r="O246" s="3" t="s">
        <v>156</v>
      </c>
      <c r="P246" s="3" t="s">
        <v>185</v>
      </c>
      <c r="Q246" s="3" t="s">
        <v>169</v>
      </c>
      <c r="R246" s="3" t="s">
        <v>159</v>
      </c>
      <c r="S246" s="3" t="s">
        <v>34</v>
      </c>
      <c r="T246" s="155">
        <v>1.6040000000000001</v>
      </c>
      <c r="U246" s="3" t="s">
        <v>461</v>
      </c>
      <c r="V246" s="166">
        <v>1.9400000000000001E-2</v>
      </c>
      <c r="W246" s="166">
        <v>2.6460000000000001E-2</v>
      </c>
      <c r="X246" s="5" t="s">
        <v>161</v>
      </c>
      <c r="Y246" s="5" t="s">
        <v>156</v>
      </c>
      <c r="Z246" s="155">
        <v>128030.7</v>
      </c>
      <c r="AA246" s="164">
        <v>1</v>
      </c>
      <c r="AB246" s="174">
        <v>119.07</v>
      </c>
      <c r="AD246" s="155">
        <v>152.446</v>
      </c>
      <c r="AG246" s="3" t="s">
        <v>36</v>
      </c>
      <c r="AH246" s="166">
        <v>5.31E-4</v>
      </c>
      <c r="AI246" s="166">
        <v>9.5692617478441103E-3</v>
      </c>
      <c r="AJ246" s="166">
        <v>1.5428657014953399E-3</v>
      </c>
    </row>
    <row r="247" spans="1:36">
      <c r="A247" s="3">
        <v>161</v>
      </c>
      <c r="B247" s="3">
        <v>9942</v>
      </c>
      <c r="C247" s="3" t="s">
        <v>555</v>
      </c>
      <c r="D247" s="3" t="s">
        <v>556</v>
      </c>
      <c r="E247" s="5" t="s">
        <v>149</v>
      </c>
      <c r="F247" s="3" t="s">
        <v>557</v>
      </c>
      <c r="G247" s="3" t="s">
        <v>558</v>
      </c>
      <c r="H247" s="3" t="s">
        <v>152</v>
      </c>
      <c r="I247" s="3" t="s">
        <v>166</v>
      </c>
      <c r="J247" s="3" t="s">
        <v>30</v>
      </c>
      <c r="K247" s="3" t="s">
        <v>30</v>
      </c>
      <c r="L247" s="3" t="s">
        <v>154</v>
      </c>
      <c r="M247" s="3" t="s">
        <v>31</v>
      </c>
      <c r="N247" s="3" t="s">
        <v>155</v>
      </c>
      <c r="O247" s="3" t="s">
        <v>156</v>
      </c>
      <c r="P247" s="3" t="s">
        <v>168</v>
      </c>
      <c r="Q247" s="3" t="s">
        <v>169</v>
      </c>
      <c r="R247" s="3" t="s">
        <v>159</v>
      </c>
      <c r="S247" s="3" t="s">
        <v>34</v>
      </c>
      <c r="T247" s="155">
        <v>1.054</v>
      </c>
      <c r="U247" s="3" t="s">
        <v>559</v>
      </c>
      <c r="V247" s="166">
        <v>2.2499999999999999E-2</v>
      </c>
      <c r="W247" s="166">
        <v>3.107E-2</v>
      </c>
      <c r="X247" s="5" t="s">
        <v>161</v>
      </c>
      <c r="Y247" s="5" t="s">
        <v>156</v>
      </c>
      <c r="Z247" s="155">
        <v>100000</v>
      </c>
      <c r="AA247" s="164">
        <v>1</v>
      </c>
      <c r="AB247" s="174">
        <v>120.29</v>
      </c>
      <c r="AD247" s="155">
        <v>120.29</v>
      </c>
      <c r="AG247" s="3" t="s">
        <v>36</v>
      </c>
      <c r="AH247" s="166">
        <v>2.4399999999999999E-4</v>
      </c>
      <c r="AI247" s="166">
        <v>7.5507742356575903E-3</v>
      </c>
      <c r="AJ247" s="166">
        <v>1.2174220848912799E-3</v>
      </c>
    </row>
    <row r="248" spans="1:36">
      <c r="A248" s="3">
        <v>161</v>
      </c>
      <c r="B248" s="3">
        <v>9942</v>
      </c>
      <c r="C248" s="3" t="s">
        <v>467</v>
      </c>
      <c r="D248" s="3" t="s">
        <v>468</v>
      </c>
      <c r="E248" s="5" t="s">
        <v>149</v>
      </c>
      <c r="F248" s="3" t="s">
        <v>469</v>
      </c>
      <c r="G248" s="3" t="s">
        <v>470</v>
      </c>
      <c r="H248" s="3" t="s">
        <v>152</v>
      </c>
      <c r="I248" s="3" t="s">
        <v>166</v>
      </c>
      <c r="J248" s="3" t="s">
        <v>30</v>
      </c>
      <c r="K248" s="3" t="s">
        <v>30</v>
      </c>
      <c r="L248" s="3" t="s">
        <v>154</v>
      </c>
      <c r="M248" s="3" t="s">
        <v>31</v>
      </c>
      <c r="N248" s="3" t="s">
        <v>167</v>
      </c>
      <c r="O248" s="3" t="s">
        <v>156</v>
      </c>
      <c r="P248" s="3" t="s">
        <v>168</v>
      </c>
      <c r="Q248" s="3" t="s">
        <v>169</v>
      </c>
      <c r="R248" s="3" t="s">
        <v>159</v>
      </c>
      <c r="S248" s="3" t="s">
        <v>34</v>
      </c>
      <c r="T248" s="155">
        <v>5.8140000000000001</v>
      </c>
      <c r="U248" s="3" t="s">
        <v>471</v>
      </c>
      <c r="V248" s="166">
        <v>2.5000000000000001E-2</v>
      </c>
      <c r="W248" s="166">
        <v>2.9170000000000001E-2</v>
      </c>
      <c r="X248" s="5" t="s">
        <v>161</v>
      </c>
      <c r="Y248" s="5" t="s">
        <v>156</v>
      </c>
      <c r="Z248" s="155">
        <v>80750</v>
      </c>
      <c r="AA248" s="164">
        <v>1</v>
      </c>
      <c r="AB248" s="174">
        <v>116.08</v>
      </c>
      <c r="AD248" s="155">
        <v>93.734999999999999</v>
      </c>
      <c r="AG248" s="3" t="s">
        <v>36</v>
      </c>
      <c r="AH248" s="166">
        <v>6.0000000000000002E-5</v>
      </c>
      <c r="AI248" s="166">
        <v>5.8838540416466002E-3</v>
      </c>
      <c r="AJ248" s="166">
        <v>9.4866216774836302E-4</v>
      </c>
    </row>
    <row r="249" spans="1:36">
      <c r="A249" s="3">
        <v>161</v>
      </c>
      <c r="B249" s="3">
        <v>9942</v>
      </c>
      <c r="C249" s="3" t="s">
        <v>472</v>
      </c>
      <c r="D249" s="3" t="s">
        <v>473</v>
      </c>
      <c r="E249" s="5" t="s">
        <v>149</v>
      </c>
      <c r="F249" s="3" t="s">
        <v>474</v>
      </c>
      <c r="G249" s="3" t="s">
        <v>475</v>
      </c>
      <c r="H249" s="3" t="s">
        <v>152</v>
      </c>
      <c r="I249" s="3" t="s">
        <v>153</v>
      </c>
      <c r="J249" s="3" t="s">
        <v>30</v>
      </c>
      <c r="K249" s="3" t="s">
        <v>30</v>
      </c>
      <c r="L249" s="3" t="s">
        <v>154</v>
      </c>
      <c r="M249" s="3" t="s">
        <v>31</v>
      </c>
      <c r="N249" s="3" t="s">
        <v>231</v>
      </c>
      <c r="O249" s="3" t="s">
        <v>156</v>
      </c>
      <c r="P249" s="3" t="s">
        <v>232</v>
      </c>
      <c r="Q249" s="3" t="s">
        <v>158</v>
      </c>
      <c r="R249" s="3" t="s">
        <v>159</v>
      </c>
      <c r="S249" s="3" t="s">
        <v>34</v>
      </c>
      <c r="T249" s="155">
        <v>3.9990000000000001</v>
      </c>
      <c r="U249" s="3" t="s">
        <v>476</v>
      </c>
      <c r="V249" s="166">
        <v>6.7699999999999996E-2</v>
      </c>
      <c r="W249" s="166">
        <v>5.2019999999999997E-2</v>
      </c>
      <c r="X249" s="5" t="s">
        <v>161</v>
      </c>
      <c r="Y249" s="5" t="s">
        <v>156</v>
      </c>
      <c r="Z249" s="155">
        <v>153000</v>
      </c>
      <c r="AA249" s="164">
        <v>1</v>
      </c>
      <c r="AB249" s="174">
        <v>108.36</v>
      </c>
      <c r="AD249" s="155">
        <v>165.791</v>
      </c>
      <c r="AG249" s="3" t="s">
        <v>36</v>
      </c>
      <c r="AH249" s="166">
        <v>2.2699999999999999E-4</v>
      </c>
      <c r="AI249" s="166">
        <v>1.04069241096439E-2</v>
      </c>
      <c r="AJ249" s="166">
        <v>1.6779231972050401E-3</v>
      </c>
    </row>
    <row r="250" spans="1:36">
      <c r="A250" s="3">
        <v>161</v>
      </c>
      <c r="B250" s="3">
        <v>9942</v>
      </c>
      <c r="C250" s="3" t="s">
        <v>477</v>
      </c>
      <c r="D250" s="3" t="s">
        <v>478</v>
      </c>
      <c r="E250" s="5" t="s">
        <v>149</v>
      </c>
      <c r="F250" s="3" t="s">
        <v>479</v>
      </c>
      <c r="G250" s="3" t="s">
        <v>480</v>
      </c>
      <c r="H250" s="3" t="s">
        <v>152</v>
      </c>
      <c r="I250" s="3" t="s">
        <v>166</v>
      </c>
      <c r="J250" s="3" t="s">
        <v>30</v>
      </c>
      <c r="K250" s="3" t="s">
        <v>30</v>
      </c>
      <c r="L250" s="3" t="s">
        <v>154</v>
      </c>
      <c r="M250" s="3" t="s">
        <v>31</v>
      </c>
      <c r="N250" s="3" t="s">
        <v>178</v>
      </c>
      <c r="O250" s="3" t="s">
        <v>156</v>
      </c>
      <c r="P250" s="3" t="s">
        <v>168</v>
      </c>
      <c r="Q250" s="3" t="s">
        <v>169</v>
      </c>
      <c r="R250" s="3" t="s">
        <v>159</v>
      </c>
      <c r="S250" s="3" t="s">
        <v>34</v>
      </c>
      <c r="T250" s="155">
        <v>3.0470000000000002</v>
      </c>
      <c r="U250" s="3" t="s">
        <v>481</v>
      </c>
      <c r="V250" s="166">
        <v>2.1999999999999999E-2</v>
      </c>
      <c r="W250" s="166">
        <v>2.912E-2</v>
      </c>
      <c r="X250" s="5" t="s">
        <v>161</v>
      </c>
      <c r="Y250" s="5" t="s">
        <v>156</v>
      </c>
      <c r="Z250" s="155">
        <v>141666.76999999999</v>
      </c>
      <c r="AA250" s="164">
        <v>1</v>
      </c>
      <c r="AB250" s="174">
        <v>107.59</v>
      </c>
      <c r="AD250" s="155">
        <v>152.41900000000001</v>
      </c>
      <c r="AG250" s="3" t="s">
        <v>36</v>
      </c>
      <c r="AH250" s="166">
        <v>1.9000000000000001E-4</v>
      </c>
      <c r="AI250" s="166">
        <v>9.5675746625194097E-3</v>
      </c>
      <c r="AJ250" s="166">
        <v>1.5425936903254601E-3</v>
      </c>
    </row>
    <row r="251" spans="1:36">
      <c r="A251" s="3">
        <v>161</v>
      </c>
      <c r="B251" s="3">
        <v>9942</v>
      </c>
      <c r="C251" s="3" t="s">
        <v>482</v>
      </c>
      <c r="D251" s="3" t="s">
        <v>483</v>
      </c>
      <c r="E251" s="5" t="s">
        <v>149</v>
      </c>
      <c r="F251" s="3" t="s">
        <v>484</v>
      </c>
      <c r="G251" s="3" t="s">
        <v>485</v>
      </c>
      <c r="H251" s="3" t="s">
        <v>152</v>
      </c>
      <c r="I251" s="3" t="s">
        <v>486</v>
      </c>
      <c r="J251" s="3" t="s">
        <v>30</v>
      </c>
      <c r="K251" s="3" t="s">
        <v>30</v>
      </c>
      <c r="L251" s="3" t="s">
        <v>154</v>
      </c>
      <c r="M251" s="3" t="s">
        <v>31</v>
      </c>
      <c r="N251" s="3" t="s">
        <v>487</v>
      </c>
      <c r="O251" s="3" t="s">
        <v>156</v>
      </c>
      <c r="P251" s="3" t="s">
        <v>359</v>
      </c>
      <c r="Q251" s="3" t="s">
        <v>158</v>
      </c>
      <c r="R251" s="3" t="s">
        <v>159</v>
      </c>
      <c r="S251" s="3" t="s">
        <v>34</v>
      </c>
      <c r="T251" s="155">
        <v>2.4950000000000001</v>
      </c>
      <c r="U251" s="3" t="s">
        <v>488</v>
      </c>
      <c r="V251" s="166">
        <v>4.6899999999999997E-2</v>
      </c>
      <c r="W251" s="166">
        <v>5.987E-2</v>
      </c>
      <c r="X251" s="5" t="s">
        <v>161</v>
      </c>
      <c r="Y251" s="5" t="s">
        <v>156</v>
      </c>
      <c r="Z251" s="155">
        <v>238305.73</v>
      </c>
      <c r="AA251" s="164">
        <v>1</v>
      </c>
      <c r="AB251" s="174">
        <v>92.95</v>
      </c>
      <c r="AD251" s="155">
        <v>221.505</v>
      </c>
      <c r="AG251" s="3" t="s">
        <v>36</v>
      </c>
      <c r="AH251" s="166">
        <v>2.0699999999999999E-4</v>
      </c>
      <c r="AI251" s="166">
        <v>1.3904194665141501E-2</v>
      </c>
      <c r="AJ251" s="166">
        <v>2.24179311017325E-3</v>
      </c>
    </row>
    <row r="252" spans="1:36">
      <c r="A252" s="3">
        <v>161</v>
      </c>
      <c r="B252" s="3">
        <v>9942</v>
      </c>
      <c r="C252" s="3" t="s">
        <v>321</v>
      </c>
      <c r="D252" s="3" t="s">
        <v>322</v>
      </c>
      <c r="E252" s="5" t="s">
        <v>149</v>
      </c>
      <c r="F252" s="3" t="s">
        <v>489</v>
      </c>
      <c r="G252" s="3" t="s">
        <v>490</v>
      </c>
      <c r="H252" s="3" t="s">
        <v>152</v>
      </c>
      <c r="I252" s="3" t="s">
        <v>486</v>
      </c>
      <c r="J252" s="3" t="s">
        <v>30</v>
      </c>
      <c r="K252" s="3" t="s">
        <v>30</v>
      </c>
      <c r="L252" s="3" t="s">
        <v>154</v>
      </c>
      <c r="M252" s="3" t="s">
        <v>31</v>
      </c>
      <c r="N252" s="3" t="s">
        <v>491</v>
      </c>
      <c r="O252" s="3" t="s">
        <v>156</v>
      </c>
      <c r="P252" s="3" t="s">
        <v>492</v>
      </c>
      <c r="Q252" s="3" t="s">
        <v>493</v>
      </c>
      <c r="R252" s="3" t="s">
        <v>159</v>
      </c>
      <c r="S252" s="3" t="s">
        <v>86</v>
      </c>
      <c r="T252" s="155">
        <v>4.6920000000000002</v>
      </c>
      <c r="U252" s="3" t="s">
        <v>494</v>
      </c>
      <c r="V252" s="166">
        <v>3.2750000000000001E-2</v>
      </c>
      <c r="W252" s="166">
        <v>5.3719999999999997E-2</v>
      </c>
      <c r="X252" s="5" t="s">
        <v>161</v>
      </c>
      <c r="Y252" s="5" t="s">
        <v>156</v>
      </c>
      <c r="Z252" s="155">
        <v>20000</v>
      </c>
      <c r="AA252" s="164">
        <v>3.306</v>
      </c>
      <c r="AB252" s="174">
        <v>99.813000000000002</v>
      </c>
      <c r="AD252" s="155">
        <v>65.997</v>
      </c>
      <c r="AG252" s="3" t="s">
        <v>36</v>
      </c>
      <c r="AH252" s="166">
        <v>2.6999999999999999E-5</v>
      </c>
      <c r="AI252" s="166">
        <v>4.1426985127413097E-3</v>
      </c>
      <c r="AJ252" s="166">
        <v>6.6793318182401201E-4</v>
      </c>
    </row>
    <row r="253" spans="1:36">
      <c r="A253" s="3">
        <v>161</v>
      </c>
      <c r="B253" s="3">
        <v>9942</v>
      </c>
      <c r="C253" s="3" t="s">
        <v>495</v>
      </c>
      <c r="D253" s="3" t="s">
        <v>496</v>
      </c>
      <c r="E253" s="5" t="s">
        <v>149</v>
      </c>
      <c r="F253" s="3" t="s">
        <v>497</v>
      </c>
      <c r="G253" s="3" t="s">
        <v>498</v>
      </c>
      <c r="H253" s="3" t="s">
        <v>152</v>
      </c>
      <c r="I253" s="3" t="s">
        <v>486</v>
      </c>
      <c r="J253" s="3" t="s">
        <v>81</v>
      </c>
      <c r="K253" s="3" t="s">
        <v>30</v>
      </c>
      <c r="L253" s="3" t="s">
        <v>154</v>
      </c>
      <c r="M253" s="3" t="s">
        <v>131</v>
      </c>
      <c r="N253" s="3" t="s">
        <v>491</v>
      </c>
      <c r="O253" s="3" t="s">
        <v>156</v>
      </c>
      <c r="P253" s="3" t="s">
        <v>492</v>
      </c>
      <c r="Q253" s="3" t="s">
        <v>493</v>
      </c>
      <c r="R253" s="3" t="s">
        <v>159</v>
      </c>
      <c r="S253" s="3" t="s">
        <v>86</v>
      </c>
      <c r="T253" s="155">
        <v>4.8289999999999997</v>
      </c>
      <c r="U253" s="3" t="s">
        <v>499</v>
      </c>
      <c r="V253" s="166">
        <v>3.0769999999999999E-2</v>
      </c>
      <c r="W253" s="166">
        <v>6.0100000000000001E-2</v>
      </c>
      <c r="X253" s="5" t="s">
        <v>161</v>
      </c>
      <c r="Y253" s="5" t="s">
        <v>156</v>
      </c>
      <c r="Z253" s="155">
        <v>20000</v>
      </c>
      <c r="AA253" s="164">
        <v>3.306</v>
      </c>
      <c r="AB253" s="174">
        <v>100.04</v>
      </c>
      <c r="AD253" s="155">
        <v>66.146000000000001</v>
      </c>
      <c r="AG253" s="3" t="s">
        <v>36</v>
      </c>
      <c r="AH253" s="166">
        <v>3.3000000000000003E-5</v>
      </c>
      <c r="AI253" s="166">
        <v>4.1520928197991804E-3</v>
      </c>
      <c r="AJ253" s="166">
        <v>6.6944783933164801E-4</v>
      </c>
    </row>
    <row r="254" spans="1:36">
      <c r="A254" s="3">
        <v>161</v>
      </c>
      <c r="B254" s="3">
        <v>9943</v>
      </c>
      <c r="C254" s="3" t="s">
        <v>147</v>
      </c>
      <c r="D254" s="3" t="s">
        <v>148</v>
      </c>
      <c r="E254" s="5" t="s">
        <v>149</v>
      </c>
      <c r="F254" s="3" t="s">
        <v>150</v>
      </c>
      <c r="G254" s="3" t="s">
        <v>151</v>
      </c>
      <c r="H254" s="3" t="s">
        <v>152</v>
      </c>
      <c r="I254" s="3" t="s">
        <v>153</v>
      </c>
      <c r="J254" s="3" t="s">
        <v>30</v>
      </c>
      <c r="K254" s="3" t="s">
        <v>30</v>
      </c>
      <c r="L254" s="3" t="s">
        <v>154</v>
      </c>
      <c r="M254" s="3" t="s">
        <v>31</v>
      </c>
      <c r="N254" s="3" t="s">
        <v>155</v>
      </c>
      <c r="O254" s="3" t="s">
        <v>156</v>
      </c>
      <c r="P254" s="3" t="s">
        <v>157</v>
      </c>
      <c r="Q254" s="3" t="s">
        <v>158</v>
      </c>
      <c r="R254" s="3" t="s">
        <v>159</v>
      </c>
      <c r="S254" s="3" t="s">
        <v>34</v>
      </c>
      <c r="T254" s="155">
        <v>5.9370000000000003</v>
      </c>
      <c r="U254" s="3" t="s">
        <v>160</v>
      </c>
      <c r="V254" s="166">
        <v>5.1299999999999998E-2</v>
      </c>
      <c r="W254" s="166">
        <v>5.1470000000000002E-2</v>
      </c>
      <c r="X254" s="5" t="s">
        <v>161</v>
      </c>
      <c r="Y254" s="5" t="s">
        <v>156</v>
      </c>
      <c r="Z254" s="155">
        <v>880000</v>
      </c>
      <c r="AA254" s="164">
        <v>1</v>
      </c>
      <c r="AB254" s="174">
        <v>100.43</v>
      </c>
      <c r="AD254" s="155">
        <v>883.78399999999999</v>
      </c>
      <c r="AG254" s="3" t="s">
        <v>36</v>
      </c>
      <c r="AH254" s="166">
        <v>2.5839999999999999E-3</v>
      </c>
      <c r="AI254" s="166">
        <v>2.8319406868030899E-3</v>
      </c>
      <c r="AJ254" s="166">
        <v>4.5429919643826802E-4</v>
      </c>
    </row>
    <row r="255" spans="1:36">
      <c r="A255" s="3">
        <v>161</v>
      </c>
      <c r="B255" s="3">
        <v>9943</v>
      </c>
      <c r="C255" s="3" t="s">
        <v>162</v>
      </c>
      <c r="D255" s="3" t="s">
        <v>163</v>
      </c>
      <c r="E255" s="5" t="s">
        <v>149</v>
      </c>
      <c r="F255" s="3" t="s">
        <v>164</v>
      </c>
      <c r="G255" s="3" t="s">
        <v>165</v>
      </c>
      <c r="H255" s="3" t="s">
        <v>152</v>
      </c>
      <c r="I255" s="3" t="s">
        <v>166</v>
      </c>
      <c r="J255" s="3" t="s">
        <v>30</v>
      </c>
      <c r="K255" s="3" t="s">
        <v>30</v>
      </c>
      <c r="L255" s="3" t="s">
        <v>154</v>
      </c>
      <c r="M255" s="3" t="s">
        <v>31</v>
      </c>
      <c r="N255" s="3" t="s">
        <v>167</v>
      </c>
      <c r="O255" s="3" t="s">
        <v>156</v>
      </c>
      <c r="P255" s="3" t="s">
        <v>168</v>
      </c>
      <c r="Q255" s="3" t="s">
        <v>169</v>
      </c>
      <c r="R255" s="3" t="s">
        <v>159</v>
      </c>
      <c r="S255" s="3" t="s">
        <v>34</v>
      </c>
      <c r="T255" s="155">
        <v>1.7490000000000001</v>
      </c>
      <c r="U255" s="3" t="s">
        <v>170</v>
      </c>
      <c r="V255" s="166">
        <v>2.3400000000000001E-2</v>
      </c>
      <c r="W255" s="166">
        <v>2.9860000000000001E-2</v>
      </c>
      <c r="X255" s="5" t="s">
        <v>161</v>
      </c>
      <c r="Y255" s="5" t="s">
        <v>156</v>
      </c>
      <c r="Z255" s="155">
        <v>2942383.07</v>
      </c>
      <c r="AA255" s="164">
        <v>1</v>
      </c>
      <c r="AB255" s="174">
        <v>118.73</v>
      </c>
      <c r="AD255" s="155">
        <v>3493.491</v>
      </c>
      <c r="AG255" s="3" t="s">
        <v>36</v>
      </c>
      <c r="AH255" s="166">
        <v>1.805E-3</v>
      </c>
      <c r="AI255" s="166">
        <v>1.11943195265978E-2</v>
      </c>
      <c r="AJ255" s="166">
        <v>1.7957898586313901E-3</v>
      </c>
    </row>
    <row r="256" spans="1:36">
      <c r="A256" s="3">
        <v>161</v>
      </c>
      <c r="B256" s="3">
        <v>9943</v>
      </c>
      <c r="C256" s="3" t="s">
        <v>162</v>
      </c>
      <c r="D256" s="3" t="s">
        <v>163</v>
      </c>
      <c r="E256" s="5" t="s">
        <v>149</v>
      </c>
      <c r="F256" s="3" t="s">
        <v>171</v>
      </c>
      <c r="G256" s="3" t="s">
        <v>172</v>
      </c>
      <c r="H256" s="3" t="s">
        <v>152</v>
      </c>
      <c r="I256" s="3" t="s">
        <v>153</v>
      </c>
      <c r="J256" s="3" t="s">
        <v>30</v>
      </c>
      <c r="K256" s="3" t="s">
        <v>30</v>
      </c>
      <c r="L256" s="3" t="s">
        <v>154</v>
      </c>
      <c r="M256" s="3" t="s">
        <v>31</v>
      </c>
      <c r="N256" s="3" t="s">
        <v>167</v>
      </c>
      <c r="O256" s="3" t="s">
        <v>156</v>
      </c>
      <c r="P256" s="3" t="s">
        <v>168</v>
      </c>
      <c r="Q256" s="3" t="s">
        <v>169</v>
      </c>
      <c r="R256" s="3" t="s">
        <v>159</v>
      </c>
      <c r="S256" s="3" t="s">
        <v>34</v>
      </c>
      <c r="T256" s="155">
        <v>2.12</v>
      </c>
      <c r="U256" s="3" t="s">
        <v>173</v>
      </c>
      <c r="V256" s="166">
        <v>0.05</v>
      </c>
      <c r="W256" s="166">
        <v>4.5929999999999999E-2</v>
      </c>
      <c r="X256" s="5" t="s">
        <v>161</v>
      </c>
      <c r="Y256" s="5" t="s">
        <v>156</v>
      </c>
      <c r="Z256" s="155">
        <v>1487500</v>
      </c>
      <c r="AA256" s="164">
        <v>1</v>
      </c>
      <c r="AB256" s="174">
        <v>103.14</v>
      </c>
      <c r="AD256" s="155">
        <v>1534.2070000000001</v>
      </c>
      <c r="AG256" s="3" t="s">
        <v>36</v>
      </c>
      <c r="AH256" s="166">
        <v>3.016E-3</v>
      </c>
      <c r="AI256" s="166">
        <v>4.9161159754515299E-3</v>
      </c>
      <c r="AJ256" s="166">
        <v>7.8864206007300895E-4</v>
      </c>
    </row>
    <row r="257" spans="1:36">
      <c r="A257" s="3">
        <v>161</v>
      </c>
      <c r="B257" s="3">
        <v>9943</v>
      </c>
      <c r="C257" s="3" t="s">
        <v>174</v>
      </c>
      <c r="D257" s="3" t="s">
        <v>175</v>
      </c>
      <c r="E257" s="5" t="s">
        <v>149</v>
      </c>
      <c r="F257" s="3" t="s">
        <v>500</v>
      </c>
      <c r="G257" s="3" t="s">
        <v>501</v>
      </c>
      <c r="H257" s="3" t="s">
        <v>152</v>
      </c>
      <c r="I257" s="3" t="s">
        <v>166</v>
      </c>
      <c r="J257" s="3" t="s">
        <v>30</v>
      </c>
      <c r="K257" s="3" t="s">
        <v>30</v>
      </c>
      <c r="L257" s="3" t="s">
        <v>154</v>
      </c>
      <c r="M257" s="3" t="s">
        <v>31</v>
      </c>
      <c r="N257" s="3" t="s">
        <v>178</v>
      </c>
      <c r="O257" s="3" t="s">
        <v>156</v>
      </c>
      <c r="P257" s="3" t="s">
        <v>179</v>
      </c>
      <c r="Q257" s="3" t="s">
        <v>169</v>
      </c>
      <c r="R257" s="3" t="s">
        <v>159</v>
      </c>
      <c r="S257" s="3" t="s">
        <v>34</v>
      </c>
      <c r="T257" s="155">
        <v>1.319</v>
      </c>
      <c r="U257" s="3" t="s">
        <v>502</v>
      </c>
      <c r="V257" s="166">
        <v>3.2000000000000001E-2</v>
      </c>
      <c r="W257" s="166">
        <v>3.4700000000000002E-2</v>
      </c>
      <c r="X257" s="5" t="s">
        <v>161</v>
      </c>
      <c r="Y257" s="5" t="s">
        <v>156</v>
      </c>
      <c r="Z257" s="155">
        <v>154545.85999999999</v>
      </c>
      <c r="AA257" s="164">
        <v>1</v>
      </c>
      <c r="AB257" s="174">
        <v>110.31</v>
      </c>
      <c r="AD257" s="155">
        <v>170.48</v>
      </c>
      <c r="AG257" s="3" t="s">
        <v>36</v>
      </c>
      <c r="AH257" s="166">
        <v>2.5599999999999999E-4</v>
      </c>
      <c r="AI257" s="166">
        <v>5.4627368270945798E-4</v>
      </c>
      <c r="AJ257" s="166">
        <v>8.7633083647113805E-5</v>
      </c>
    </row>
    <row r="258" spans="1:36">
      <c r="A258" s="3">
        <v>161</v>
      </c>
      <c r="B258" s="3">
        <v>9943</v>
      </c>
      <c r="C258" s="3" t="s">
        <v>174</v>
      </c>
      <c r="D258" s="3" t="s">
        <v>175</v>
      </c>
      <c r="E258" s="5" t="s">
        <v>149</v>
      </c>
      <c r="F258" s="3" t="s">
        <v>176</v>
      </c>
      <c r="G258" s="3" t="s">
        <v>177</v>
      </c>
      <c r="H258" s="3" t="s">
        <v>152</v>
      </c>
      <c r="I258" s="3" t="s">
        <v>153</v>
      </c>
      <c r="J258" s="3" t="s">
        <v>30</v>
      </c>
      <c r="K258" s="3" t="s">
        <v>30</v>
      </c>
      <c r="L258" s="3" t="s">
        <v>154</v>
      </c>
      <c r="M258" s="3" t="s">
        <v>31</v>
      </c>
      <c r="N258" s="3" t="s">
        <v>178</v>
      </c>
      <c r="O258" s="3" t="s">
        <v>156</v>
      </c>
      <c r="P258" s="3" t="s">
        <v>179</v>
      </c>
      <c r="Q258" s="3" t="s">
        <v>169</v>
      </c>
      <c r="R258" s="3" t="s">
        <v>159</v>
      </c>
      <c r="S258" s="3" t="s">
        <v>34</v>
      </c>
      <c r="T258" s="155">
        <v>1.391</v>
      </c>
      <c r="U258" s="3" t="s">
        <v>180</v>
      </c>
      <c r="V258" s="166">
        <v>5.7000000000000002E-2</v>
      </c>
      <c r="W258" s="166">
        <v>5.339E-2</v>
      </c>
      <c r="X258" s="5" t="s">
        <v>161</v>
      </c>
      <c r="Y258" s="5" t="s">
        <v>156</v>
      </c>
      <c r="Z258" s="155">
        <v>179309.58</v>
      </c>
      <c r="AA258" s="164">
        <v>1</v>
      </c>
      <c r="AB258" s="174">
        <v>100.89</v>
      </c>
      <c r="AD258" s="155">
        <v>180.905</v>
      </c>
      <c r="AG258" s="3" t="s">
        <v>36</v>
      </c>
      <c r="AH258" s="166">
        <v>2.4800000000000001E-4</v>
      </c>
      <c r="AI258" s="166">
        <v>5.79681757739765E-4</v>
      </c>
      <c r="AJ258" s="166">
        <v>9.2992398448989494E-5</v>
      </c>
    </row>
    <row r="259" spans="1:36">
      <c r="A259" s="3">
        <v>161</v>
      </c>
      <c r="B259" s="3">
        <v>9943</v>
      </c>
      <c r="C259" s="3" t="s">
        <v>503</v>
      </c>
      <c r="D259" s="3" t="s">
        <v>504</v>
      </c>
      <c r="E259" s="5" t="s">
        <v>149</v>
      </c>
      <c r="F259" s="3" t="s">
        <v>505</v>
      </c>
      <c r="G259" s="3" t="s">
        <v>506</v>
      </c>
      <c r="H259" s="3" t="s">
        <v>152</v>
      </c>
      <c r="I259" s="3" t="s">
        <v>166</v>
      </c>
      <c r="J259" s="3" t="s">
        <v>30</v>
      </c>
      <c r="K259" s="3" t="s">
        <v>30</v>
      </c>
      <c r="L259" s="3" t="s">
        <v>154</v>
      </c>
      <c r="M259" s="3" t="s">
        <v>31</v>
      </c>
      <c r="N259" s="3" t="s">
        <v>178</v>
      </c>
      <c r="O259" s="3" t="s">
        <v>156</v>
      </c>
      <c r="P259" s="3" t="s">
        <v>179</v>
      </c>
      <c r="Q259" s="3" t="s">
        <v>169</v>
      </c>
      <c r="R259" s="3" t="s">
        <v>159</v>
      </c>
      <c r="S259" s="3" t="s">
        <v>34</v>
      </c>
      <c r="T259" s="155">
        <v>2.3919999999999999</v>
      </c>
      <c r="U259" s="3" t="s">
        <v>507</v>
      </c>
      <c r="V259" s="166">
        <v>3.2300000000000002E-2</v>
      </c>
      <c r="W259" s="166">
        <v>2.954E-2</v>
      </c>
      <c r="X259" s="5" t="s">
        <v>161</v>
      </c>
      <c r="Y259" s="5" t="s">
        <v>156</v>
      </c>
      <c r="Z259" s="155">
        <v>186230.04</v>
      </c>
      <c r="AA259" s="164">
        <v>1</v>
      </c>
      <c r="AB259" s="174">
        <v>110.84</v>
      </c>
      <c r="AD259" s="155">
        <v>206.417</v>
      </c>
      <c r="AG259" s="3" t="s">
        <v>36</v>
      </c>
      <c r="AH259" s="166">
        <v>3.6099999999999999E-4</v>
      </c>
      <c r="AI259" s="166">
        <v>6.6143058316179605E-4</v>
      </c>
      <c r="AJ259" s="166">
        <v>1.06106523992673E-4</v>
      </c>
    </row>
    <row r="260" spans="1:36">
      <c r="A260" s="3">
        <v>161</v>
      </c>
      <c r="B260" s="3">
        <v>9943</v>
      </c>
      <c r="C260" s="3" t="s">
        <v>181</v>
      </c>
      <c r="D260" s="3" t="s">
        <v>182</v>
      </c>
      <c r="E260" s="5" t="s">
        <v>149</v>
      </c>
      <c r="F260" s="3" t="s">
        <v>183</v>
      </c>
      <c r="G260" s="3" t="s">
        <v>184</v>
      </c>
      <c r="H260" s="3" t="s">
        <v>152</v>
      </c>
      <c r="I260" s="3" t="s">
        <v>166</v>
      </c>
      <c r="J260" s="3" t="s">
        <v>30</v>
      </c>
      <c r="K260" s="3" t="s">
        <v>30</v>
      </c>
      <c r="L260" s="3" t="s">
        <v>154</v>
      </c>
      <c r="M260" s="3" t="s">
        <v>31</v>
      </c>
      <c r="N260" s="3" t="s">
        <v>167</v>
      </c>
      <c r="O260" s="3" t="s">
        <v>156</v>
      </c>
      <c r="P260" s="3" t="s">
        <v>185</v>
      </c>
      <c r="Q260" s="3" t="s">
        <v>169</v>
      </c>
      <c r="R260" s="3" t="s">
        <v>159</v>
      </c>
      <c r="S260" s="3" t="s">
        <v>34</v>
      </c>
      <c r="T260" s="155">
        <v>6.1760000000000002</v>
      </c>
      <c r="U260" s="3" t="s">
        <v>186</v>
      </c>
      <c r="V260" s="166">
        <v>2.5600000000000001E-2</v>
      </c>
      <c r="W260" s="166">
        <v>3.1919999999999997E-2</v>
      </c>
      <c r="X260" s="5" t="s">
        <v>161</v>
      </c>
      <c r="Y260" s="5" t="s">
        <v>156</v>
      </c>
      <c r="Z260" s="155">
        <v>1560000</v>
      </c>
      <c r="AA260" s="164">
        <v>1</v>
      </c>
      <c r="AB260" s="174">
        <v>108.14</v>
      </c>
      <c r="AD260" s="155">
        <v>1686.9839999999999</v>
      </c>
      <c r="AG260" s="3" t="s">
        <v>36</v>
      </c>
      <c r="AH260" s="166">
        <v>1.485E-3</v>
      </c>
      <c r="AI260" s="166">
        <v>5.4056631796749301E-3</v>
      </c>
      <c r="AJ260" s="166">
        <v>8.6717509663471496E-4</v>
      </c>
    </row>
    <row r="261" spans="1:36">
      <c r="A261" s="3">
        <v>161</v>
      </c>
      <c r="B261" s="3">
        <v>9943</v>
      </c>
      <c r="C261" s="3" t="s">
        <v>181</v>
      </c>
      <c r="D261" s="3" t="s">
        <v>182</v>
      </c>
      <c r="E261" s="5" t="s">
        <v>149</v>
      </c>
      <c r="F261" s="3" t="s">
        <v>187</v>
      </c>
      <c r="G261" s="3" t="s">
        <v>188</v>
      </c>
      <c r="H261" s="3" t="s">
        <v>152</v>
      </c>
      <c r="I261" s="3" t="s">
        <v>153</v>
      </c>
      <c r="J261" s="3" t="s">
        <v>30</v>
      </c>
      <c r="K261" s="3" t="s">
        <v>30</v>
      </c>
      <c r="L261" s="3" t="s">
        <v>154</v>
      </c>
      <c r="M261" s="3" t="s">
        <v>31</v>
      </c>
      <c r="N261" s="3" t="s">
        <v>167</v>
      </c>
      <c r="O261" s="3" t="s">
        <v>156</v>
      </c>
      <c r="P261" s="3" t="s">
        <v>185</v>
      </c>
      <c r="Q261" s="3" t="s">
        <v>169</v>
      </c>
      <c r="R261" s="3" t="s">
        <v>159</v>
      </c>
      <c r="S261" s="3" t="s">
        <v>34</v>
      </c>
      <c r="T261" s="155">
        <v>3.4430000000000001</v>
      </c>
      <c r="U261" s="3" t="s">
        <v>189</v>
      </c>
      <c r="V261" s="166">
        <v>2.41E-2</v>
      </c>
      <c r="W261" s="166">
        <v>4.8230000000000002E-2</v>
      </c>
      <c r="X261" s="5" t="s">
        <v>161</v>
      </c>
      <c r="Y261" s="5" t="s">
        <v>156</v>
      </c>
      <c r="Z261" s="155">
        <v>2833333.35</v>
      </c>
      <c r="AA261" s="164">
        <v>1</v>
      </c>
      <c r="AB261" s="174">
        <v>93.59</v>
      </c>
      <c r="AD261" s="155">
        <v>2651.7170000000001</v>
      </c>
      <c r="AG261" s="3" t="s">
        <v>36</v>
      </c>
      <c r="AH261" s="166">
        <v>1.379E-3</v>
      </c>
      <c r="AI261" s="166">
        <v>8.4969906248367998E-3</v>
      </c>
      <c r="AJ261" s="166">
        <v>1.36308505011964E-3</v>
      </c>
    </row>
    <row r="262" spans="1:36">
      <c r="A262" s="3">
        <v>161</v>
      </c>
      <c r="B262" s="3">
        <v>9943</v>
      </c>
      <c r="C262" s="3" t="s">
        <v>190</v>
      </c>
      <c r="D262" s="3" t="s">
        <v>191</v>
      </c>
      <c r="E262" s="5" t="s">
        <v>149</v>
      </c>
      <c r="F262" s="3" t="s">
        <v>192</v>
      </c>
      <c r="G262" s="3" t="s">
        <v>193</v>
      </c>
      <c r="H262" s="3" t="s">
        <v>152</v>
      </c>
      <c r="I262" s="3" t="s">
        <v>153</v>
      </c>
      <c r="J262" s="3" t="s">
        <v>30</v>
      </c>
      <c r="K262" s="3" t="s">
        <v>30</v>
      </c>
      <c r="L262" s="3" t="s">
        <v>154</v>
      </c>
      <c r="M262" s="3" t="s">
        <v>31</v>
      </c>
      <c r="N262" s="3" t="s">
        <v>194</v>
      </c>
      <c r="O262" s="3" t="s">
        <v>156</v>
      </c>
      <c r="P262" s="3" t="s">
        <v>179</v>
      </c>
      <c r="Q262" s="3" t="s">
        <v>169</v>
      </c>
      <c r="R262" s="3" t="s">
        <v>159</v>
      </c>
      <c r="S262" s="3" t="s">
        <v>34</v>
      </c>
      <c r="T262" s="155">
        <v>2.5489999999999999</v>
      </c>
      <c r="U262" s="3" t="s">
        <v>195</v>
      </c>
      <c r="V262" s="166">
        <v>0.04</v>
      </c>
      <c r="W262" s="166">
        <v>4.802E-2</v>
      </c>
      <c r="X262" s="5" t="s">
        <v>161</v>
      </c>
      <c r="Y262" s="5" t="s">
        <v>156</v>
      </c>
      <c r="Z262" s="155">
        <v>987515.31</v>
      </c>
      <c r="AA262" s="164">
        <v>1</v>
      </c>
      <c r="AB262" s="174">
        <v>99.07</v>
      </c>
      <c r="AD262" s="155">
        <v>978.33100000000002</v>
      </c>
      <c r="AG262" s="3" t="s">
        <v>36</v>
      </c>
      <c r="AH262" s="166">
        <v>1.701E-3</v>
      </c>
      <c r="AI262" s="166">
        <v>3.1349023593178101E-3</v>
      </c>
      <c r="AJ262" s="166">
        <v>5.0290023000384098E-4</v>
      </c>
    </row>
    <row r="263" spans="1:36">
      <c r="A263" s="3">
        <v>161</v>
      </c>
      <c r="B263" s="3">
        <v>9943</v>
      </c>
      <c r="C263" s="3" t="s">
        <v>196</v>
      </c>
      <c r="D263" s="3" t="s">
        <v>197</v>
      </c>
      <c r="E263" s="5" t="s">
        <v>149</v>
      </c>
      <c r="F263" s="3" t="s">
        <v>562</v>
      </c>
      <c r="G263" s="3" t="s">
        <v>563</v>
      </c>
      <c r="H263" s="3" t="s">
        <v>152</v>
      </c>
      <c r="I263" s="3" t="s">
        <v>166</v>
      </c>
      <c r="J263" s="3" t="s">
        <v>30</v>
      </c>
      <c r="K263" s="3" t="s">
        <v>30</v>
      </c>
      <c r="L263" s="3" t="s">
        <v>154</v>
      </c>
      <c r="M263" s="3" t="s">
        <v>31</v>
      </c>
      <c r="N263" s="3" t="s">
        <v>167</v>
      </c>
      <c r="O263" s="3" t="s">
        <v>156</v>
      </c>
      <c r="P263" s="3" t="s">
        <v>168</v>
      </c>
      <c r="Q263" s="3" t="s">
        <v>169</v>
      </c>
      <c r="R263" s="3" t="s">
        <v>159</v>
      </c>
      <c r="S263" s="3" t="s">
        <v>34</v>
      </c>
      <c r="T263" s="155">
        <v>1.6990000000000001</v>
      </c>
      <c r="U263" s="3" t="s">
        <v>564</v>
      </c>
      <c r="V263" s="166">
        <v>3.2000000000000001E-2</v>
      </c>
      <c r="W263" s="166">
        <v>2.8459999999999999E-2</v>
      </c>
      <c r="X263" s="5" t="s">
        <v>161</v>
      </c>
      <c r="Y263" s="5" t="s">
        <v>156</v>
      </c>
      <c r="Z263" s="155">
        <v>1080000</v>
      </c>
      <c r="AA263" s="164">
        <v>1</v>
      </c>
      <c r="AB263" s="174">
        <v>120.07</v>
      </c>
      <c r="AD263" s="155">
        <v>1296.7560000000001</v>
      </c>
      <c r="AG263" s="3" t="s">
        <v>36</v>
      </c>
      <c r="AH263" s="166">
        <v>2.6080000000000001E-3</v>
      </c>
      <c r="AI263" s="166">
        <v>4.1552416396495404E-3</v>
      </c>
      <c r="AJ263" s="166">
        <v>6.6658279486447197E-4</v>
      </c>
    </row>
    <row r="264" spans="1:36">
      <c r="A264" s="3">
        <v>161</v>
      </c>
      <c r="B264" s="3">
        <v>9943</v>
      </c>
      <c r="C264" s="3" t="s">
        <v>196</v>
      </c>
      <c r="D264" s="3" t="s">
        <v>197</v>
      </c>
      <c r="E264" s="5" t="s">
        <v>149</v>
      </c>
      <c r="F264" s="3" t="s">
        <v>201</v>
      </c>
      <c r="G264" s="3" t="s">
        <v>202</v>
      </c>
      <c r="H264" s="3" t="s">
        <v>152</v>
      </c>
      <c r="I264" s="3" t="s">
        <v>153</v>
      </c>
      <c r="J264" s="3" t="s">
        <v>30</v>
      </c>
      <c r="K264" s="3" t="s">
        <v>30</v>
      </c>
      <c r="L264" s="3" t="s">
        <v>154</v>
      </c>
      <c r="M264" s="3" t="s">
        <v>31</v>
      </c>
      <c r="N264" s="3" t="s">
        <v>167</v>
      </c>
      <c r="O264" s="3" t="s">
        <v>156</v>
      </c>
      <c r="P264" s="3" t="s">
        <v>168</v>
      </c>
      <c r="Q264" s="3" t="s">
        <v>169</v>
      </c>
      <c r="R264" s="3" t="s">
        <v>159</v>
      </c>
      <c r="S264" s="3" t="s">
        <v>34</v>
      </c>
      <c r="T264" s="155">
        <v>4.4089999999999998</v>
      </c>
      <c r="U264" s="3" t="s">
        <v>203</v>
      </c>
      <c r="V264" s="166">
        <v>2.4400000000000002E-2</v>
      </c>
      <c r="W264" s="166">
        <v>4.6960000000000002E-2</v>
      </c>
      <c r="X264" s="5" t="s">
        <v>161</v>
      </c>
      <c r="Y264" s="5" t="s">
        <v>156</v>
      </c>
      <c r="Z264" s="155">
        <v>1600000</v>
      </c>
      <c r="AA264" s="164">
        <v>1</v>
      </c>
      <c r="AB264" s="174">
        <v>92.45</v>
      </c>
      <c r="AD264" s="155">
        <v>1479.2</v>
      </c>
      <c r="AG264" s="3" t="s">
        <v>36</v>
      </c>
      <c r="AH264" s="166">
        <v>1.317E-3</v>
      </c>
      <c r="AI264" s="166">
        <v>4.7398534754183501E-3</v>
      </c>
      <c r="AJ264" s="166">
        <v>7.6036607516257999E-4</v>
      </c>
    </row>
    <row r="265" spans="1:36">
      <c r="A265" s="3">
        <v>161</v>
      </c>
      <c r="B265" s="3">
        <v>9943</v>
      </c>
      <c r="C265" s="3" t="s">
        <v>196</v>
      </c>
      <c r="D265" s="3" t="s">
        <v>197</v>
      </c>
      <c r="E265" s="5" t="s">
        <v>149</v>
      </c>
      <c r="F265" s="3" t="s">
        <v>204</v>
      </c>
      <c r="G265" s="3" t="s">
        <v>205</v>
      </c>
      <c r="H265" s="3" t="s">
        <v>152</v>
      </c>
      <c r="I265" s="3" t="s">
        <v>166</v>
      </c>
      <c r="J265" s="3" t="s">
        <v>30</v>
      </c>
      <c r="K265" s="3" t="s">
        <v>30</v>
      </c>
      <c r="L265" s="3" t="s">
        <v>154</v>
      </c>
      <c r="M265" s="3" t="s">
        <v>31</v>
      </c>
      <c r="N265" s="3" t="s">
        <v>167</v>
      </c>
      <c r="O265" s="3" t="s">
        <v>156</v>
      </c>
      <c r="P265" s="3" t="s">
        <v>168</v>
      </c>
      <c r="Q265" s="3" t="s">
        <v>169</v>
      </c>
      <c r="R265" s="3" t="s">
        <v>159</v>
      </c>
      <c r="S265" s="3" t="s">
        <v>34</v>
      </c>
      <c r="T265" s="155">
        <v>4.6059999999999999</v>
      </c>
      <c r="U265" s="3" t="s">
        <v>203</v>
      </c>
      <c r="V265" s="166">
        <v>9.1999999999999998E-3</v>
      </c>
      <c r="W265" s="166">
        <v>2.8729999999999999E-2</v>
      </c>
      <c r="X265" s="5" t="s">
        <v>161</v>
      </c>
      <c r="Y265" s="5" t="s">
        <v>156</v>
      </c>
      <c r="Z265" s="155">
        <v>1700000</v>
      </c>
      <c r="AA265" s="164">
        <v>1</v>
      </c>
      <c r="AB265" s="174">
        <v>109.54</v>
      </c>
      <c r="AD265" s="155">
        <v>1862.18</v>
      </c>
      <c r="AG265" s="3" t="s">
        <v>36</v>
      </c>
      <c r="AH265" s="166">
        <v>6.5700000000000003E-4</v>
      </c>
      <c r="AI265" s="166">
        <v>5.9670499897610503E-3</v>
      </c>
      <c r="AJ265" s="166">
        <v>9.5723262428762401E-4</v>
      </c>
    </row>
    <row r="266" spans="1:36">
      <c r="A266" s="3">
        <v>161</v>
      </c>
      <c r="B266" s="3">
        <v>9943</v>
      </c>
      <c r="C266" s="3" t="s">
        <v>206</v>
      </c>
      <c r="D266" s="3" t="s">
        <v>207</v>
      </c>
      <c r="E266" s="5" t="s">
        <v>149</v>
      </c>
      <c r="F266" s="3" t="s">
        <v>208</v>
      </c>
      <c r="G266" s="3" t="s">
        <v>209</v>
      </c>
      <c r="H266" s="3" t="s">
        <v>152</v>
      </c>
      <c r="I266" s="3" t="s">
        <v>153</v>
      </c>
      <c r="J266" s="3" t="s">
        <v>30</v>
      </c>
      <c r="K266" s="3" t="s">
        <v>82</v>
      </c>
      <c r="L266" s="3" t="s">
        <v>154</v>
      </c>
      <c r="M266" s="3" t="s">
        <v>31</v>
      </c>
      <c r="N266" s="3" t="s">
        <v>210</v>
      </c>
      <c r="O266" s="3" t="s">
        <v>156</v>
      </c>
      <c r="P266" s="3" t="s">
        <v>157</v>
      </c>
      <c r="Q266" s="3" t="s">
        <v>158</v>
      </c>
      <c r="R266" s="3" t="s">
        <v>159</v>
      </c>
      <c r="S266" s="3" t="s">
        <v>34</v>
      </c>
      <c r="T266" s="155">
        <v>0.89500000000000002</v>
      </c>
      <c r="U266" s="3" t="s">
        <v>211</v>
      </c>
      <c r="V266" s="166">
        <v>3.4500000000000003E-2</v>
      </c>
      <c r="W266" s="166">
        <v>5.1270000000000003E-2</v>
      </c>
      <c r="X266" s="5" t="s">
        <v>161</v>
      </c>
      <c r="Y266" s="5" t="s">
        <v>156</v>
      </c>
      <c r="Z266" s="155">
        <v>1919002.06</v>
      </c>
      <c r="AA266" s="164">
        <v>1</v>
      </c>
      <c r="AB266" s="174">
        <v>98.92</v>
      </c>
      <c r="AD266" s="155">
        <v>1898.277</v>
      </c>
      <c r="AG266" s="3" t="s">
        <v>36</v>
      </c>
      <c r="AH266" s="166">
        <v>3.4450000000000001E-3</v>
      </c>
      <c r="AI266" s="166">
        <v>6.0827163782618803E-3</v>
      </c>
      <c r="AJ266" s="166">
        <v>9.7578779657485305E-4</v>
      </c>
    </row>
    <row r="267" spans="1:36">
      <c r="A267" s="3">
        <v>161</v>
      </c>
      <c r="B267" s="3">
        <v>9943</v>
      </c>
      <c r="C267" s="3" t="s">
        <v>206</v>
      </c>
      <c r="D267" s="3" t="s">
        <v>207</v>
      </c>
      <c r="E267" s="5" t="s">
        <v>149</v>
      </c>
      <c r="F267" s="3" t="s">
        <v>212</v>
      </c>
      <c r="G267" s="3" t="s">
        <v>213</v>
      </c>
      <c r="H267" s="3" t="s">
        <v>152</v>
      </c>
      <c r="I267" s="3" t="s">
        <v>153</v>
      </c>
      <c r="J267" s="3" t="s">
        <v>30</v>
      </c>
      <c r="K267" s="3" t="s">
        <v>82</v>
      </c>
      <c r="L267" s="3" t="s">
        <v>154</v>
      </c>
      <c r="M267" s="3" t="s">
        <v>31</v>
      </c>
      <c r="N267" s="3" t="s">
        <v>210</v>
      </c>
      <c r="O267" s="3" t="s">
        <v>156</v>
      </c>
      <c r="P267" s="3" t="s">
        <v>157</v>
      </c>
      <c r="Q267" s="3" t="s">
        <v>158</v>
      </c>
      <c r="R267" s="3" t="s">
        <v>159</v>
      </c>
      <c r="S267" s="3" t="s">
        <v>34</v>
      </c>
      <c r="T267" s="155">
        <v>2.8079999999999998</v>
      </c>
      <c r="U267" s="3" t="s">
        <v>214</v>
      </c>
      <c r="V267" s="166">
        <v>1.4999999999999999E-2</v>
      </c>
      <c r="W267" s="166">
        <v>5.0139999999999997E-2</v>
      </c>
      <c r="X267" s="5" t="s">
        <v>161</v>
      </c>
      <c r="Y267" s="5" t="s">
        <v>156</v>
      </c>
      <c r="Z267" s="155">
        <v>344314</v>
      </c>
      <c r="AA267" s="164">
        <v>1</v>
      </c>
      <c r="AB267" s="174">
        <v>90.97</v>
      </c>
      <c r="AD267" s="155">
        <v>313.22199999999998</v>
      </c>
      <c r="AG267" s="3" t="s">
        <v>36</v>
      </c>
      <c r="AH267" s="166">
        <v>2.9300000000000002E-4</v>
      </c>
      <c r="AI267" s="166">
        <v>1.0036698879828099E-3</v>
      </c>
      <c r="AJ267" s="166">
        <v>1.61008465228346E-4</v>
      </c>
    </row>
    <row r="268" spans="1:36">
      <c r="A268" s="3">
        <v>161</v>
      </c>
      <c r="B268" s="3">
        <v>9943</v>
      </c>
      <c r="C268" s="3" t="s">
        <v>162</v>
      </c>
      <c r="D268" s="3" t="s">
        <v>163</v>
      </c>
      <c r="E268" s="5" t="s">
        <v>149</v>
      </c>
      <c r="F268" s="3" t="s">
        <v>215</v>
      </c>
      <c r="G268" s="3" t="s">
        <v>216</v>
      </c>
      <c r="H268" s="3" t="s">
        <v>152</v>
      </c>
      <c r="I268" s="3" t="s">
        <v>166</v>
      </c>
      <c r="J268" s="3" t="s">
        <v>30</v>
      </c>
      <c r="K268" s="3" t="s">
        <v>30</v>
      </c>
      <c r="L268" s="3" t="s">
        <v>154</v>
      </c>
      <c r="M268" s="3" t="s">
        <v>31</v>
      </c>
      <c r="N268" s="3" t="s">
        <v>167</v>
      </c>
      <c r="O268" s="3" t="s">
        <v>156</v>
      </c>
      <c r="P268" s="3" t="s">
        <v>168</v>
      </c>
      <c r="Q268" s="3" t="s">
        <v>169</v>
      </c>
      <c r="R268" s="3" t="s">
        <v>159</v>
      </c>
      <c r="S268" s="3" t="s">
        <v>34</v>
      </c>
      <c r="T268" s="155">
        <v>4.8460000000000001</v>
      </c>
      <c r="U268" s="3" t="s">
        <v>217</v>
      </c>
      <c r="V268" s="166">
        <v>6.4999999999999997E-3</v>
      </c>
      <c r="W268" s="166">
        <v>2.8850000000000001E-2</v>
      </c>
      <c r="X268" s="5" t="s">
        <v>161</v>
      </c>
      <c r="Y268" s="5" t="s">
        <v>156</v>
      </c>
      <c r="Z268" s="155">
        <v>1179741.8600000001</v>
      </c>
      <c r="AA268" s="164">
        <v>1</v>
      </c>
      <c r="AB268" s="174">
        <v>105.89</v>
      </c>
      <c r="AD268" s="155">
        <v>1249.229</v>
      </c>
      <c r="AG268" s="3" t="s">
        <v>36</v>
      </c>
      <c r="AH268" s="166">
        <v>5.6599999999999999E-4</v>
      </c>
      <c r="AI268" s="166">
        <v>4.00294806964564E-3</v>
      </c>
      <c r="AJ268" s="166">
        <v>6.4215189954314601E-4</v>
      </c>
    </row>
    <row r="269" spans="1:36">
      <c r="A269" s="3">
        <v>161</v>
      </c>
      <c r="B269" s="3">
        <v>9943</v>
      </c>
      <c r="C269" s="3" t="s">
        <v>218</v>
      </c>
      <c r="D269" s="3" t="s">
        <v>219</v>
      </c>
      <c r="E269" s="5" t="s">
        <v>149</v>
      </c>
      <c r="F269" s="3" t="s">
        <v>220</v>
      </c>
      <c r="G269" s="3" t="s">
        <v>221</v>
      </c>
      <c r="H269" s="3" t="s">
        <v>152</v>
      </c>
      <c r="I269" s="3" t="s">
        <v>166</v>
      </c>
      <c r="J269" s="3" t="s">
        <v>30</v>
      </c>
      <c r="K269" s="3" t="s">
        <v>30</v>
      </c>
      <c r="L269" s="3" t="s">
        <v>154</v>
      </c>
      <c r="M269" s="3" t="s">
        <v>31</v>
      </c>
      <c r="N269" s="3" t="s">
        <v>167</v>
      </c>
      <c r="O269" s="3" t="s">
        <v>156</v>
      </c>
      <c r="P269" s="3" t="s">
        <v>222</v>
      </c>
      <c r="Q269" s="3" t="s">
        <v>158</v>
      </c>
      <c r="R269" s="3" t="s">
        <v>159</v>
      </c>
      <c r="S269" s="3" t="s">
        <v>34</v>
      </c>
      <c r="T269" s="155">
        <v>3.51</v>
      </c>
      <c r="U269" s="3" t="s">
        <v>223</v>
      </c>
      <c r="V269" s="166">
        <v>1.17E-2</v>
      </c>
      <c r="W269" s="166">
        <v>2.8479999999999998E-2</v>
      </c>
      <c r="X269" s="5" t="s">
        <v>161</v>
      </c>
      <c r="Y269" s="5" t="s">
        <v>156</v>
      </c>
      <c r="Z269" s="155">
        <v>286564</v>
      </c>
      <c r="AA269" s="164">
        <v>1</v>
      </c>
      <c r="AB269" s="174">
        <v>111.54</v>
      </c>
      <c r="AD269" s="155">
        <v>319.63299999999998</v>
      </c>
      <c r="AG269" s="3" t="s">
        <v>36</v>
      </c>
      <c r="AH269" s="166">
        <v>4.1599999999999997E-4</v>
      </c>
      <c r="AI269" s="166">
        <v>1.02421301215606E-3</v>
      </c>
      <c r="AJ269" s="166">
        <v>1.6430398792334201E-4</v>
      </c>
    </row>
    <row r="270" spans="1:36">
      <c r="A270" s="3">
        <v>161</v>
      </c>
      <c r="B270" s="3">
        <v>9943</v>
      </c>
      <c r="C270" s="3" t="s">
        <v>218</v>
      </c>
      <c r="D270" s="3" t="s">
        <v>219</v>
      </c>
      <c r="E270" s="5" t="s">
        <v>149</v>
      </c>
      <c r="F270" s="3" t="s">
        <v>224</v>
      </c>
      <c r="G270" s="3" t="s">
        <v>225</v>
      </c>
      <c r="H270" s="3" t="s">
        <v>152</v>
      </c>
      <c r="I270" s="3" t="s">
        <v>166</v>
      </c>
      <c r="J270" s="3" t="s">
        <v>30</v>
      </c>
      <c r="K270" s="3" t="s">
        <v>30</v>
      </c>
      <c r="L270" s="3" t="s">
        <v>154</v>
      </c>
      <c r="M270" s="3" t="s">
        <v>31</v>
      </c>
      <c r="N270" s="3" t="s">
        <v>167</v>
      </c>
      <c r="O270" s="3" t="s">
        <v>156</v>
      </c>
      <c r="P270" s="3" t="s">
        <v>185</v>
      </c>
      <c r="Q270" s="3" t="s">
        <v>169</v>
      </c>
      <c r="R270" s="3" t="s">
        <v>159</v>
      </c>
      <c r="S270" s="3" t="s">
        <v>34</v>
      </c>
      <c r="T270" s="155">
        <v>4.6689999999999996</v>
      </c>
      <c r="U270" s="3" t="s">
        <v>226</v>
      </c>
      <c r="V270" s="166">
        <v>1.8700000000000001E-2</v>
      </c>
      <c r="W270" s="166">
        <v>2.946E-2</v>
      </c>
      <c r="X270" s="5" t="s">
        <v>161</v>
      </c>
      <c r="Y270" s="5" t="s">
        <v>156</v>
      </c>
      <c r="Z270" s="155">
        <v>2908912.5</v>
      </c>
      <c r="AA270" s="164">
        <v>1</v>
      </c>
      <c r="AB270" s="174">
        <v>109.28</v>
      </c>
      <c r="AD270" s="155">
        <v>3178.86</v>
      </c>
      <c r="AG270" s="3" t="s">
        <v>36</v>
      </c>
      <c r="AH270" s="166">
        <v>2.9780000000000002E-3</v>
      </c>
      <c r="AI270" s="166">
        <v>1.01861334695308E-2</v>
      </c>
      <c r="AJ270" s="166">
        <v>1.63405691072037E-3</v>
      </c>
    </row>
    <row r="271" spans="1:36">
      <c r="A271" s="3">
        <v>161</v>
      </c>
      <c r="B271" s="3">
        <v>9943</v>
      </c>
      <c r="C271" s="3" t="s">
        <v>227</v>
      </c>
      <c r="D271" s="3" t="s">
        <v>228</v>
      </c>
      <c r="E271" s="5" t="s">
        <v>149</v>
      </c>
      <c r="F271" s="3" t="s">
        <v>229</v>
      </c>
      <c r="G271" s="3" t="s">
        <v>230</v>
      </c>
      <c r="H271" s="3" t="s">
        <v>152</v>
      </c>
      <c r="I271" s="3" t="s">
        <v>153</v>
      </c>
      <c r="J271" s="3" t="s">
        <v>30</v>
      </c>
      <c r="K271" s="3" t="s">
        <v>30</v>
      </c>
      <c r="L271" s="3" t="s">
        <v>154</v>
      </c>
      <c r="M271" s="3" t="s">
        <v>31</v>
      </c>
      <c r="N271" s="3" t="s">
        <v>231</v>
      </c>
      <c r="O271" s="3" t="s">
        <v>156</v>
      </c>
      <c r="P271" s="3" t="s">
        <v>232</v>
      </c>
      <c r="Q271" s="3" t="s">
        <v>158</v>
      </c>
      <c r="R271" s="3" t="s">
        <v>159</v>
      </c>
      <c r="S271" s="3" t="s">
        <v>34</v>
      </c>
      <c r="T271" s="155">
        <v>2.5110000000000001</v>
      </c>
      <c r="U271" s="3" t="s">
        <v>173</v>
      </c>
      <c r="V271" s="166">
        <v>7.2499999999999995E-2</v>
      </c>
      <c r="W271" s="166">
        <v>5.4579999999999997E-2</v>
      </c>
      <c r="X271" s="5" t="s">
        <v>161</v>
      </c>
      <c r="Y271" s="5" t="s">
        <v>156</v>
      </c>
      <c r="Z271" s="155">
        <v>1584026.95</v>
      </c>
      <c r="AA271" s="164">
        <v>1</v>
      </c>
      <c r="AB271" s="174">
        <v>107.9</v>
      </c>
      <c r="AD271" s="155">
        <v>1709.165</v>
      </c>
      <c r="AG271" s="3" t="s">
        <v>36</v>
      </c>
      <c r="AH271" s="166">
        <v>2.4750000000000002E-3</v>
      </c>
      <c r="AI271" s="166">
        <v>5.4767388047585403E-3</v>
      </c>
      <c r="AJ271" s="166">
        <v>8.7857703012587203E-4</v>
      </c>
    </row>
    <row r="272" spans="1:36">
      <c r="A272" s="3">
        <v>161</v>
      </c>
      <c r="B272" s="3">
        <v>9943</v>
      </c>
      <c r="C272" s="3" t="s">
        <v>516</v>
      </c>
      <c r="D272" s="3" t="s">
        <v>517</v>
      </c>
      <c r="E272" s="5" t="s">
        <v>149</v>
      </c>
      <c r="F272" s="3" t="s">
        <v>518</v>
      </c>
      <c r="G272" s="3" t="s">
        <v>519</v>
      </c>
      <c r="H272" s="3" t="s">
        <v>152</v>
      </c>
      <c r="I272" s="3" t="s">
        <v>153</v>
      </c>
      <c r="J272" s="3" t="s">
        <v>30</v>
      </c>
      <c r="K272" s="3" t="s">
        <v>30</v>
      </c>
      <c r="L272" s="3" t="s">
        <v>154</v>
      </c>
      <c r="M272" s="3" t="s">
        <v>31</v>
      </c>
      <c r="N272" s="3" t="s">
        <v>167</v>
      </c>
      <c r="O272" s="3" t="s">
        <v>156</v>
      </c>
      <c r="P272" s="3" t="s">
        <v>168</v>
      </c>
      <c r="Q272" s="3" t="s">
        <v>169</v>
      </c>
      <c r="R272" s="3" t="s">
        <v>159</v>
      </c>
      <c r="S272" s="3" t="s">
        <v>34</v>
      </c>
      <c r="T272" s="155">
        <v>4.5410000000000004</v>
      </c>
      <c r="U272" s="3" t="s">
        <v>476</v>
      </c>
      <c r="V272" s="166">
        <v>2.5499999999999998E-2</v>
      </c>
      <c r="W272" s="166">
        <v>4.9320000000000003E-2</v>
      </c>
      <c r="X272" s="5" t="s">
        <v>161</v>
      </c>
      <c r="Y272" s="5" t="s">
        <v>156</v>
      </c>
      <c r="Z272" s="155">
        <v>1923077</v>
      </c>
      <c r="AA272" s="164">
        <v>1</v>
      </c>
      <c r="AB272" s="174">
        <v>90.63</v>
      </c>
      <c r="AD272" s="155">
        <v>1742.885</v>
      </c>
      <c r="AG272" s="3" t="s">
        <v>36</v>
      </c>
      <c r="AH272" s="166">
        <v>6.8900000000000005E-4</v>
      </c>
      <c r="AI272" s="166">
        <v>5.5847877446759397E-3</v>
      </c>
      <c r="AJ272" s="166">
        <v>8.95910213270996E-4</v>
      </c>
    </row>
    <row r="273" spans="1:36">
      <c r="A273" s="3">
        <v>161</v>
      </c>
      <c r="B273" s="3">
        <v>9943</v>
      </c>
      <c r="C273" s="3" t="s">
        <v>233</v>
      </c>
      <c r="D273" s="3" t="s">
        <v>234</v>
      </c>
      <c r="E273" s="5" t="s">
        <v>149</v>
      </c>
      <c r="F273" s="3" t="s">
        <v>565</v>
      </c>
      <c r="G273" s="3" t="s">
        <v>566</v>
      </c>
      <c r="H273" s="3" t="s">
        <v>152</v>
      </c>
      <c r="I273" s="3" t="s">
        <v>166</v>
      </c>
      <c r="J273" s="3" t="s">
        <v>30</v>
      </c>
      <c r="K273" s="3" t="s">
        <v>237</v>
      </c>
      <c r="L273" s="3" t="s">
        <v>154</v>
      </c>
      <c r="M273" s="3" t="s">
        <v>31</v>
      </c>
      <c r="N273" s="3" t="s">
        <v>238</v>
      </c>
      <c r="O273" s="3" t="s">
        <v>156</v>
      </c>
      <c r="P273" s="3" t="s">
        <v>239</v>
      </c>
      <c r="Q273" s="3" t="s">
        <v>169</v>
      </c>
      <c r="R273" s="3" t="s">
        <v>159</v>
      </c>
      <c r="S273" s="3" t="s">
        <v>34</v>
      </c>
      <c r="T273" s="155">
        <v>1.196</v>
      </c>
      <c r="U273" s="3" t="s">
        <v>567</v>
      </c>
      <c r="V273" s="166">
        <v>0.04</v>
      </c>
      <c r="W273" s="166">
        <v>4.7600000000000003E-2</v>
      </c>
      <c r="X273" s="5" t="s">
        <v>161</v>
      </c>
      <c r="Y273" s="5" t="s">
        <v>156</v>
      </c>
      <c r="Z273" s="155">
        <v>1497925.74</v>
      </c>
      <c r="AA273" s="164">
        <v>1</v>
      </c>
      <c r="AB273" s="174">
        <v>118.67</v>
      </c>
      <c r="AD273" s="155">
        <v>1777.588</v>
      </c>
      <c r="AG273" s="3" t="s">
        <v>36</v>
      </c>
      <c r="AH273" s="166">
        <v>1.026E-3</v>
      </c>
      <c r="AI273" s="166">
        <v>5.6959903422195701E-3</v>
      </c>
      <c r="AJ273" s="166">
        <v>9.1374930536121401E-4</v>
      </c>
    </row>
    <row r="274" spans="1:36">
      <c r="A274" s="3">
        <v>161</v>
      </c>
      <c r="B274" s="3">
        <v>9943</v>
      </c>
      <c r="C274" s="3" t="s">
        <v>233</v>
      </c>
      <c r="D274" s="3" t="s">
        <v>234</v>
      </c>
      <c r="E274" s="5" t="s">
        <v>149</v>
      </c>
      <c r="F274" s="3" t="s">
        <v>568</v>
      </c>
      <c r="G274" s="3" t="s">
        <v>569</v>
      </c>
      <c r="H274" s="3" t="s">
        <v>152</v>
      </c>
      <c r="I274" s="3" t="s">
        <v>166</v>
      </c>
      <c r="J274" s="3" t="s">
        <v>30</v>
      </c>
      <c r="K274" s="3" t="s">
        <v>237</v>
      </c>
      <c r="L274" s="3" t="s">
        <v>154</v>
      </c>
      <c r="M274" s="3" t="s">
        <v>31</v>
      </c>
      <c r="N274" s="3" t="s">
        <v>238</v>
      </c>
      <c r="O274" s="3" t="s">
        <v>156</v>
      </c>
      <c r="P274" s="3" t="s">
        <v>239</v>
      </c>
      <c r="Q274" s="3" t="s">
        <v>169</v>
      </c>
      <c r="R274" s="3" t="s">
        <v>159</v>
      </c>
      <c r="S274" s="3" t="s">
        <v>34</v>
      </c>
      <c r="T274" s="155">
        <v>4.6870000000000003</v>
      </c>
      <c r="U274" s="3" t="s">
        <v>570</v>
      </c>
      <c r="V274" s="166">
        <v>1.7899999999999999E-2</v>
      </c>
      <c r="W274" s="166">
        <v>5.4170000000000003E-2</v>
      </c>
      <c r="X274" s="5" t="s">
        <v>161</v>
      </c>
      <c r="Y274" s="5" t="s">
        <v>156</v>
      </c>
      <c r="Z274" s="155">
        <v>1057890.76</v>
      </c>
      <c r="AA274" s="164">
        <v>1</v>
      </c>
      <c r="AB274" s="174">
        <v>100.05</v>
      </c>
      <c r="AD274" s="155">
        <v>1058.42</v>
      </c>
      <c r="AG274" s="3" t="s">
        <v>36</v>
      </c>
      <c r="AH274" s="166">
        <v>7.6199999999999998E-4</v>
      </c>
      <c r="AI274" s="166">
        <v>3.3915321247949301E-3</v>
      </c>
      <c r="AJ274" s="166">
        <v>5.4406871096168599E-4</v>
      </c>
    </row>
    <row r="275" spans="1:36">
      <c r="A275" s="3">
        <v>161</v>
      </c>
      <c r="B275" s="3">
        <v>9943</v>
      </c>
      <c r="C275" s="3" t="s">
        <v>241</v>
      </c>
      <c r="D275" s="3" t="s">
        <v>242</v>
      </c>
      <c r="E275" s="5" t="s">
        <v>149</v>
      </c>
      <c r="F275" s="3" t="s">
        <v>243</v>
      </c>
      <c r="G275" s="3" t="s">
        <v>244</v>
      </c>
      <c r="H275" s="3" t="s">
        <v>152</v>
      </c>
      <c r="I275" s="3" t="s">
        <v>166</v>
      </c>
      <c r="J275" s="3" t="s">
        <v>30</v>
      </c>
      <c r="K275" s="3" t="s">
        <v>30</v>
      </c>
      <c r="L275" s="3" t="s">
        <v>154</v>
      </c>
      <c r="M275" s="3" t="s">
        <v>31</v>
      </c>
      <c r="N275" s="3" t="s">
        <v>245</v>
      </c>
      <c r="O275" s="3" t="s">
        <v>156</v>
      </c>
      <c r="P275" s="3" t="s">
        <v>246</v>
      </c>
      <c r="Q275" s="3" t="s">
        <v>169</v>
      </c>
      <c r="R275" s="3" t="s">
        <v>159</v>
      </c>
      <c r="S275" s="3" t="s">
        <v>34</v>
      </c>
      <c r="T275" s="155">
        <v>3.5009999999999999</v>
      </c>
      <c r="U275" s="3" t="s">
        <v>247</v>
      </c>
      <c r="V275" s="166">
        <v>2E-3</v>
      </c>
      <c r="W275" s="166">
        <v>2.5520000000000001E-2</v>
      </c>
      <c r="X275" s="5" t="s">
        <v>161</v>
      </c>
      <c r="Y275" s="5" t="s">
        <v>156</v>
      </c>
      <c r="Z275" s="155">
        <v>2392999.19</v>
      </c>
      <c r="AA275" s="164">
        <v>1</v>
      </c>
      <c r="AB275" s="174">
        <v>106.62</v>
      </c>
      <c r="AD275" s="155">
        <v>2551.4160000000002</v>
      </c>
      <c r="AG275" s="3" t="s">
        <v>36</v>
      </c>
      <c r="AH275" s="166">
        <v>7.5199999999999996E-4</v>
      </c>
      <c r="AI275" s="166">
        <v>8.1755927158655602E-3</v>
      </c>
      <c r="AJ275" s="166">
        <v>1.3115264802445799E-3</v>
      </c>
    </row>
    <row r="276" spans="1:36">
      <c r="A276" s="3">
        <v>161</v>
      </c>
      <c r="B276" s="3">
        <v>9943</v>
      </c>
      <c r="C276" s="3" t="s">
        <v>241</v>
      </c>
      <c r="D276" s="3" t="s">
        <v>242</v>
      </c>
      <c r="E276" s="5" t="s">
        <v>149</v>
      </c>
      <c r="F276" s="3" t="s">
        <v>560</v>
      </c>
      <c r="G276" s="3" t="s">
        <v>561</v>
      </c>
      <c r="H276" s="3" t="s">
        <v>152</v>
      </c>
      <c r="I276" s="3" t="s">
        <v>166</v>
      </c>
      <c r="J276" s="3" t="s">
        <v>30</v>
      </c>
      <c r="K276" s="3" t="s">
        <v>30</v>
      </c>
      <c r="L276" s="3" t="s">
        <v>154</v>
      </c>
      <c r="M276" s="3" t="s">
        <v>31</v>
      </c>
      <c r="N276" s="3" t="s">
        <v>245</v>
      </c>
      <c r="O276" s="3" t="s">
        <v>156</v>
      </c>
      <c r="P276" s="3" t="s">
        <v>246</v>
      </c>
      <c r="Q276" s="3" t="s">
        <v>169</v>
      </c>
      <c r="R276" s="3" t="s">
        <v>159</v>
      </c>
      <c r="S276" s="3" t="s">
        <v>34</v>
      </c>
      <c r="T276" s="155">
        <v>4.633</v>
      </c>
      <c r="U276" s="3" t="s">
        <v>532</v>
      </c>
      <c r="V276" s="166">
        <v>2.47E-2</v>
      </c>
      <c r="W276" s="166">
        <v>2.5909999999999999E-2</v>
      </c>
      <c r="X276" s="5" t="s">
        <v>161</v>
      </c>
      <c r="Y276" s="5" t="s">
        <v>156</v>
      </c>
      <c r="Z276" s="155">
        <v>1456000</v>
      </c>
      <c r="AA276" s="164">
        <v>1</v>
      </c>
      <c r="AB276" s="174">
        <v>105.47</v>
      </c>
      <c r="AD276" s="155">
        <v>1535.643</v>
      </c>
      <c r="AG276" s="3" t="s">
        <v>36</v>
      </c>
      <c r="AH276" s="166">
        <v>5.5999999999999995E-4</v>
      </c>
      <c r="AI276" s="166">
        <v>4.9207164403208201E-3</v>
      </c>
      <c r="AJ276" s="166">
        <v>7.8938006546383597E-4</v>
      </c>
    </row>
    <row r="277" spans="1:36">
      <c r="A277" s="3">
        <v>161</v>
      </c>
      <c r="B277" s="3">
        <v>9943</v>
      </c>
      <c r="C277" s="3" t="s">
        <v>241</v>
      </c>
      <c r="D277" s="3" t="s">
        <v>242</v>
      </c>
      <c r="E277" s="5" t="s">
        <v>149</v>
      </c>
      <c r="F277" s="3" t="s">
        <v>248</v>
      </c>
      <c r="G277" s="3" t="s">
        <v>249</v>
      </c>
      <c r="H277" s="3" t="s">
        <v>152</v>
      </c>
      <c r="I277" s="3" t="s">
        <v>153</v>
      </c>
      <c r="J277" s="3" t="s">
        <v>30</v>
      </c>
      <c r="K277" s="3" t="s">
        <v>30</v>
      </c>
      <c r="L277" s="3" t="s">
        <v>154</v>
      </c>
      <c r="M277" s="3" t="s">
        <v>31</v>
      </c>
      <c r="N277" s="3" t="s">
        <v>245</v>
      </c>
      <c r="O277" s="3" t="s">
        <v>156</v>
      </c>
      <c r="P277" s="3" t="s">
        <v>246</v>
      </c>
      <c r="Q277" s="3" t="s">
        <v>169</v>
      </c>
      <c r="R277" s="3" t="s">
        <v>159</v>
      </c>
      <c r="S277" s="3" t="s">
        <v>34</v>
      </c>
      <c r="T277" s="155">
        <v>2.4689999999999999</v>
      </c>
      <c r="U277" s="3" t="s">
        <v>250</v>
      </c>
      <c r="V277" s="166">
        <v>2.6800000000000001E-2</v>
      </c>
      <c r="W277" s="166">
        <v>4.4679999999999997E-2</v>
      </c>
      <c r="X277" s="5" t="s">
        <v>161</v>
      </c>
      <c r="Y277" s="5" t="s">
        <v>156</v>
      </c>
      <c r="Z277" s="155">
        <v>1857072.46</v>
      </c>
      <c r="AA277" s="164">
        <v>1</v>
      </c>
      <c r="AB277" s="174">
        <v>97.92</v>
      </c>
      <c r="AD277" s="155">
        <v>1818.4449999999999</v>
      </c>
      <c r="AG277" s="3" t="s">
        <v>36</v>
      </c>
      <c r="AH277" s="166">
        <v>9.4899999999999997E-4</v>
      </c>
      <c r="AI277" s="166">
        <v>5.8269094953211998E-3</v>
      </c>
      <c r="AJ277" s="166">
        <v>9.3475132222181005E-4</v>
      </c>
    </row>
    <row r="278" spans="1:36">
      <c r="A278" s="3">
        <v>161</v>
      </c>
      <c r="B278" s="3">
        <v>9943</v>
      </c>
      <c r="C278" s="3" t="s">
        <v>241</v>
      </c>
      <c r="D278" s="3" t="s">
        <v>242</v>
      </c>
      <c r="E278" s="5" t="s">
        <v>149</v>
      </c>
      <c r="F278" s="3" t="s">
        <v>251</v>
      </c>
      <c r="G278" s="3" t="s">
        <v>252</v>
      </c>
      <c r="H278" s="3" t="s">
        <v>152</v>
      </c>
      <c r="I278" s="3" t="s">
        <v>166</v>
      </c>
      <c r="J278" s="3" t="s">
        <v>30</v>
      </c>
      <c r="K278" s="3" t="s">
        <v>30</v>
      </c>
      <c r="L278" s="3" t="s">
        <v>154</v>
      </c>
      <c r="M278" s="3" t="s">
        <v>31</v>
      </c>
      <c r="N278" s="3" t="s">
        <v>245</v>
      </c>
      <c r="O278" s="3" t="s">
        <v>156</v>
      </c>
      <c r="P278" s="3" t="s">
        <v>185</v>
      </c>
      <c r="Q278" s="3" t="s">
        <v>169</v>
      </c>
      <c r="R278" s="3" t="s">
        <v>159</v>
      </c>
      <c r="S278" s="3" t="s">
        <v>34</v>
      </c>
      <c r="T278" s="155">
        <v>4.6669999999999998</v>
      </c>
      <c r="U278" s="3" t="s">
        <v>253</v>
      </c>
      <c r="V278" s="166">
        <v>3.3203000000000003E-2</v>
      </c>
      <c r="W278" s="166">
        <v>2.9989999999999999E-2</v>
      </c>
      <c r="X278" s="5" t="s">
        <v>161</v>
      </c>
      <c r="Y278" s="5" t="s">
        <v>156</v>
      </c>
      <c r="Z278" s="155">
        <v>1200000</v>
      </c>
      <c r="AA278" s="164">
        <v>1</v>
      </c>
      <c r="AB278" s="174">
        <v>109.04</v>
      </c>
      <c r="AD278" s="155">
        <v>1308.48</v>
      </c>
      <c r="AG278" s="3" t="s">
        <v>36</v>
      </c>
      <c r="AH278" s="166">
        <v>9.5699999999999995E-4</v>
      </c>
      <c r="AI278" s="166">
        <v>4.1928092722521701E-3</v>
      </c>
      <c r="AJ278" s="166">
        <v>6.7260938482202105E-4</v>
      </c>
    </row>
    <row r="279" spans="1:36">
      <c r="A279" s="3">
        <v>161</v>
      </c>
      <c r="B279" s="3">
        <v>9943</v>
      </c>
      <c r="C279" s="3" t="s">
        <v>254</v>
      </c>
      <c r="D279" s="3" t="s">
        <v>255</v>
      </c>
      <c r="E279" s="5" t="s">
        <v>149</v>
      </c>
      <c r="F279" s="3" t="s">
        <v>256</v>
      </c>
      <c r="G279" s="3" t="s">
        <v>257</v>
      </c>
      <c r="H279" s="3" t="s">
        <v>152</v>
      </c>
      <c r="I279" s="3" t="s">
        <v>166</v>
      </c>
      <c r="J279" s="3" t="s">
        <v>30</v>
      </c>
      <c r="K279" s="3" t="s">
        <v>30</v>
      </c>
      <c r="L279" s="3" t="s">
        <v>154</v>
      </c>
      <c r="M279" s="3" t="s">
        <v>31</v>
      </c>
      <c r="N279" s="3" t="s">
        <v>167</v>
      </c>
      <c r="O279" s="3" t="s">
        <v>156</v>
      </c>
      <c r="P279" s="3" t="s">
        <v>258</v>
      </c>
      <c r="Q279" s="3" t="s">
        <v>169</v>
      </c>
      <c r="R279" s="3" t="s">
        <v>159</v>
      </c>
      <c r="S279" s="3" t="s">
        <v>34</v>
      </c>
      <c r="T279" s="155">
        <v>2.6059999999999999</v>
      </c>
      <c r="U279" s="3" t="s">
        <v>259</v>
      </c>
      <c r="V279" s="166">
        <v>2.7E-2</v>
      </c>
      <c r="W279" s="166">
        <v>3.0329999999999999E-2</v>
      </c>
      <c r="X279" s="5" t="s">
        <v>161</v>
      </c>
      <c r="Y279" s="5" t="s">
        <v>156</v>
      </c>
      <c r="Z279" s="155">
        <v>174531.6</v>
      </c>
      <c r="AA279" s="164">
        <v>1</v>
      </c>
      <c r="AB279" s="174">
        <v>110.04</v>
      </c>
      <c r="AD279" s="155">
        <v>192.05500000000001</v>
      </c>
      <c r="AG279" s="3" t="s">
        <v>36</v>
      </c>
      <c r="AH279" s="166">
        <v>4.4299999999999998E-4</v>
      </c>
      <c r="AI279" s="166">
        <v>6.1540733747815805E-4</v>
      </c>
      <c r="AJ279" s="166">
        <v>9.8723486759940199E-5</v>
      </c>
    </row>
    <row r="280" spans="1:36">
      <c r="A280" s="3">
        <v>161</v>
      </c>
      <c r="B280" s="3">
        <v>9943</v>
      </c>
      <c r="C280" s="3" t="s">
        <v>254</v>
      </c>
      <c r="D280" s="3" t="s">
        <v>255</v>
      </c>
      <c r="E280" s="5" t="s">
        <v>149</v>
      </c>
      <c r="F280" s="3" t="s">
        <v>260</v>
      </c>
      <c r="G280" s="3" t="s">
        <v>261</v>
      </c>
      <c r="H280" s="3" t="s">
        <v>152</v>
      </c>
      <c r="I280" s="3" t="s">
        <v>166</v>
      </c>
      <c r="J280" s="3" t="s">
        <v>30</v>
      </c>
      <c r="K280" s="3" t="s">
        <v>30</v>
      </c>
      <c r="L280" s="3" t="s">
        <v>154</v>
      </c>
      <c r="M280" s="3" t="s">
        <v>31</v>
      </c>
      <c r="N280" s="3" t="s">
        <v>167</v>
      </c>
      <c r="O280" s="3" t="s">
        <v>156</v>
      </c>
      <c r="P280" s="3" t="s">
        <v>258</v>
      </c>
      <c r="Q280" s="3" t="s">
        <v>169</v>
      </c>
      <c r="R280" s="3" t="s">
        <v>159</v>
      </c>
      <c r="S280" s="3" t="s">
        <v>34</v>
      </c>
      <c r="T280" s="155">
        <v>1.996</v>
      </c>
      <c r="U280" s="3" t="s">
        <v>262</v>
      </c>
      <c r="V280" s="166">
        <v>1.7999999999999999E-2</v>
      </c>
      <c r="W280" s="166">
        <v>3.0210000000000001E-2</v>
      </c>
      <c r="X280" s="5" t="s">
        <v>161</v>
      </c>
      <c r="Y280" s="5" t="s">
        <v>156</v>
      </c>
      <c r="Z280" s="155">
        <v>1125000</v>
      </c>
      <c r="AA280" s="164">
        <v>1</v>
      </c>
      <c r="AB280" s="174">
        <v>116.94</v>
      </c>
      <c r="AD280" s="155">
        <v>1315.575</v>
      </c>
      <c r="AG280" s="3" t="s">
        <v>36</v>
      </c>
      <c r="AH280" s="166">
        <v>1.521E-3</v>
      </c>
      <c r="AI280" s="166">
        <v>4.2155440345615896E-3</v>
      </c>
      <c r="AJ280" s="166">
        <v>6.7625648954300398E-4</v>
      </c>
    </row>
    <row r="281" spans="1:36">
      <c r="A281" s="3">
        <v>161</v>
      </c>
      <c r="B281" s="3">
        <v>9943</v>
      </c>
      <c r="C281" s="3" t="s">
        <v>254</v>
      </c>
      <c r="D281" s="3" t="s">
        <v>255</v>
      </c>
      <c r="E281" s="5" t="s">
        <v>149</v>
      </c>
      <c r="F281" s="3" t="s">
        <v>571</v>
      </c>
      <c r="G281" s="3" t="s">
        <v>572</v>
      </c>
      <c r="H281" s="3" t="s">
        <v>152</v>
      </c>
      <c r="I281" s="3" t="s">
        <v>166</v>
      </c>
      <c r="J281" s="3" t="s">
        <v>30</v>
      </c>
      <c r="K281" s="3" t="s">
        <v>30</v>
      </c>
      <c r="L281" s="3" t="s">
        <v>154</v>
      </c>
      <c r="M281" s="3" t="s">
        <v>31</v>
      </c>
      <c r="N281" s="3" t="s">
        <v>167</v>
      </c>
      <c r="O281" s="3" t="s">
        <v>156</v>
      </c>
      <c r="P281" s="3" t="s">
        <v>239</v>
      </c>
      <c r="Q281" s="3" t="s">
        <v>169</v>
      </c>
      <c r="R281" s="3" t="s">
        <v>159</v>
      </c>
      <c r="S281" s="3" t="s">
        <v>34</v>
      </c>
      <c r="T281" s="155">
        <v>1.212</v>
      </c>
      <c r="U281" s="3" t="s">
        <v>567</v>
      </c>
      <c r="V281" s="166">
        <v>2.2499999999999999E-2</v>
      </c>
      <c r="W281" s="166">
        <v>3.3989999999999999E-2</v>
      </c>
      <c r="X281" s="5" t="s">
        <v>161</v>
      </c>
      <c r="Y281" s="5" t="s">
        <v>156</v>
      </c>
      <c r="Z281" s="155">
        <v>476199.41</v>
      </c>
      <c r="AA281" s="164">
        <v>1</v>
      </c>
      <c r="AB281" s="174">
        <v>117.81</v>
      </c>
      <c r="AD281" s="155">
        <v>561.01099999999997</v>
      </c>
      <c r="AG281" s="3" t="s">
        <v>36</v>
      </c>
      <c r="AH281" s="166">
        <v>1.908E-3</v>
      </c>
      <c r="AI281" s="166">
        <v>1.79766609403264E-3</v>
      </c>
      <c r="AJ281" s="166">
        <v>2.8838113234118401E-4</v>
      </c>
    </row>
    <row r="282" spans="1:36">
      <c r="A282" s="3">
        <v>161</v>
      </c>
      <c r="B282" s="3">
        <v>9943</v>
      </c>
      <c r="C282" s="3" t="s">
        <v>263</v>
      </c>
      <c r="D282" s="3" t="s">
        <v>264</v>
      </c>
      <c r="E282" s="5" t="s">
        <v>149</v>
      </c>
      <c r="F282" s="3" t="s">
        <v>265</v>
      </c>
      <c r="G282" s="3" t="s">
        <v>266</v>
      </c>
      <c r="H282" s="3" t="s">
        <v>152</v>
      </c>
      <c r="I282" s="3" t="s">
        <v>166</v>
      </c>
      <c r="J282" s="3" t="s">
        <v>30</v>
      </c>
      <c r="K282" s="3" t="s">
        <v>30</v>
      </c>
      <c r="L282" s="3" t="s">
        <v>154</v>
      </c>
      <c r="M282" s="3" t="s">
        <v>31</v>
      </c>
      <c r="N282" s="3" t="s">
        <v>155</v>
      </c>
      <c r="O282" s="3" t="s">
        <v>156</v>
      </c>
      <c r="P282" s="3" t="s">
        <v>168</v>
      </c>
      <c r="Q282" s="3" t="s">
        <v>169</v>
      </c>
      <c r="R282" s="3" t="s">
        <v>159</v>
      </c>
      <c r="S282" s="3" t="s">
        <v>34</v>
      </c>
      <c r="T282" s="155">
        <v>3.544</v>
      </c>
      <c r="U282" s="3" t="s">
        <v>267</v>
      </c>
      <c r="V282" s="166">
        <v>4.4000000000000003E-3</v>
      </c>
      <c r="W282" s="166">
        <v>2.6939999999999999E-2</v>
      </c>
      <c r="X282" s="5" t="s">
        <v>161</v>
      </c>
      <c r="Y282" s="5" t="s">
        <v>156</v>
      </c>
      <c r="Z282" s="155">
        <v>1700000</v>
      </c>
      <c r="AA282" s="164">
        <v>1</v>
      </c>
      <c r="AB282" s="174">
        <v>109.63</v>
      </c>
      <c r="AD282" s="155">
        <v>1863.71</v>
      </c>
      <c r="AG282" s="3" t="s">
        <v>36</v>
      </c>
      <c r="AH282" s="166">
        <v>1.495E-3</v>
      </c>
      <c r="AI282" s="166">
        <v>5.9719526234937401E-3</v>
      </c>
      <c r="AJ282" s="166">
        <v>9.5801910352978203E-4</v>
      </c>
    </row>
    <row r="283" spans="1:36">
      <c r="A283" s="3">
        <v>161</v>
      </c>
      <c r="B283" s="3">
        <v>9943</v>
      </c>
      <c r="C283" s="3" t="s">
        <v>573</v>
      </c>
      <c r="D283" s="3" t="s">
        <v>574</v>
      </c>
      <c r="E283" s="5" t="s">
        <v>149</v>
      </c>
      <c r="F283" s="3" t="s">
        <v>575</v>
      </c>
      <c r="G283" s="3" t="s">
        <v>576</v>
      </c>
      <c r="H283" s="3" t="s">
        <v>152</v>
      </c>
      <c r="I283" s="3" t="s">
        <v>153</v>
      </c>
      <c r="J283" s="3" t="s">
        <v>30</v>
      </c>
      <c r="K283" s="3" t="s">
        <v>30</v>
      </c>
      <c r="L283" s="3" t="s">
        <v>154</v>
      </c>
      <c r="M283" s="3" t="s">
        <v>31</v>
      </c>
      <c r="N283" s="3" t="s">
        <v>155</v>
      </c>
      <c r="O283" s="3" t="s">
        <v>156</v>
      </c>
      <c r="P283" s="3" t="s">
        <v>185</v>
      </c>
      <c r="Q283" s="3" t="s">
        <v>169</v>
      </c>
      <c r="R283" s="3" t="s">
        <v>159</v>
      </c>
      <c r="S283" s="3" t="s">
        <v>34</v>
      </c>
      <c r="T283" s="155">
        <v>0.72399999999999998</v>
      </c>
      <c r="U283" s="3" t="s">
        <v>328</v>
      </c>
      <c r="V283" s="166">
        <v>2.9100000000000001E-2</v>
      </c>
      <c r="W283" s="166">
        <v>4.82E-2</v>
      </c>
      <c r="X283" s="5" t="s">
        <v>161</v>
      </c>
      <c r="Y283" s="5" t="s">
        <v>156</v>
      </c>
      <c r="Z283" s="155">
        <v>60000</v>
      </c>
      <c r="AA283" s="164">
        <v>1</v>
      </c>
      <c r="AB283" s="174">
        <v>99.46</v>
      </c>
      <c r="AD283" s="155">
        <v>59.676000000000002</v>
      </c>
      <c r="AG283" s="3" t="s">
        <v>36</v>
      </c>
      <c r="AH283" s="166">
        <v>1.9599999999999999E-4</v>
      </c>
      <c r="AI283" s="166">
        <v>1.91221941589417E-4</v>
      </c>
      <c r="AJ283" s="166">
        <v>3.06757746764482E-5</v>
      </c>
    </row>
    <row r="284" spans="1:36">
      <c r="A284" s="3">
        <v>161</v>
      </c>
      <c r="B284" s="3">
        <v>9943</v>
      </c>
      <c r="C284" s="3" t="s">
        <v>268</v>
      </c>
      <c r="D284" s="3" t="s">
        <v>269</v>
      </c>
      <c r="E284" s="5" t="s">
        <v>149</v>
      </c>
      <c r="F284" s="3" t="s">
        <v>270</v>
      </c>
      <c r="G284" s="3" t="s">
        <v>271</v>
      </c>
      <c r="H284" s="3" t="s">
        <v>152</v>
      </c>
      <c r="I284" s="3" t="s">
        <v>153</v>
      </c>
      <c r="J284" s="3" t="s">
        <v>30</v>
      </c>
      <c r="K284" s="3" t="s">
        <v>30</v>
      </c>
      <c r="L284" s="3" t="s">
        <v>154</v>
      </c>
      <c r="M284" s="3" t="s">
        <v>31</v>
      </c>
      <c r="N284" s="3" t="s">
        <v>155</v>
      </c>
      <c r="O284" s="3" t="s">
        <v>156</v>
      </c>
      <c r="P284" s="3" t="s">
        <v>272</v>
      </c>
      <c r="Q284" s="3" t="s">
        <v>158</v>
      </c>
      <c r="R284" s="3" t="s">
        <v>159</v>
      </c>
      <c r="S284" s="3" t="s">
        <v>34</v>
      </c>
      <c r="T284" s="155">
        <v>4.6740000000000004</v>
      </c>
      <c r="U284" s="3" t="s">
        <v>273</v>
      </c>
      <c r="V284" s="166">
        <v>1.95E-2</v>
      </c>
      <c r="W284" s="166">
        <v>4.5440000000000001E-2</v>
      </c>
      <c r="X284" s="5" t="s">
        <v>161</v>
      </c>
      <c r="Y284" s="5" t="s">
        <v>156</v>
      </c>
      <c r="Z284" s="155">
        <v>2867581.08</v>
      </c>
      <c r="AA284" s="164">
        <v>1</v>
      </c>
      <c r="AB284" s="174">
        <v>89.16</v>
      </c>
      <c r="AD284" s="155">
        <v>2556.7350000000001</v>
      </c>
      <c r="AG284" s="3" t="s">
        <v>36</v>
      </c>
      <c r="AH284" s="166">
        <v>2.9940000000000001E-3</v>
      </c>
      <c r="AI284" s="166">
        <v>8.1926383548065404E-3</v>
      </c>
      <c r="AJ284" s="166">
        <v>1.3142609372583699E-3</v>
      </c>
    </row>
    <row r="285" spans="1:36">
      <c r="A285" s="3">
        <v>161</v>
      </c>
      <c r="B285" s="3">
        <v>9943</v>
      </c>
      <c r="C285" s="3" t="s">
        <v>274</v>
      </c>
      <c r="D285" s="3" t="s">
        <v>275</v>
      </c>
      <c r="E285" s="5" t="s">
        <v>149</v>
      </c>
      <c r="F285" s="3" t="s">
        <v>276</v>
      </c>
      <c r="G285" s="3" t="s">
        <v>277</v>
      </c>
      <c r="H285" s="3" t="s">
        <v>152</v>
      </c>
      <c r="I285" s="3" t="s">
        <v>153</v>
      </c>
      <c r="J285" s="3" t="s">
        <v>30</v>
      </c>
      <c r="K285" s="3" t="s">
        <v>30</v>
      </c>
      <c r="L285" s="3" t="s">
        <v>154</v>
      </c>
      <c r="M285" s="3" t="s">
        <v>31</v>
      </c>
      <c r="N285" s="3" t="s">
        <v>194</v>
      </c>
      <c r="O285" s="3" t="s">
        <v>156</v>
      </c>
      <c r="P285" s="3" t="s">
        <v>179</v>
      </c>
      <c r="Q285" s="3" t="s">
        <v>169</v>
      </c>
      <c r="R285" s="3" t="s">
        <v>159</v>
      </c>
      <c r="S285" s="3" t="s">
        <v>34</v>
      </c>
      <c r="T285" s="155">
        <v>1.798</v>
      </c>
      <c r="U285" s="3" t="s">
        <v>240</v>
      </c>
      <c r="V285" s="166">
        <v>2.1999999999999999E-2</v>
      </c>
      <c r="W285" s="166">
        <v>4.87E-2</v>
      </c>
      <c r="X285" s="5" t="s">
        <v>161</v>
      </c>
      <c r="Y285" s="5" t="s">
        <v>156</v>
      </c>
      <c r="Z285" s="155">
        <v>720000</v>
      </c>
      <c r="AA285" s="164">
        <v>1</v>
      </c>
      <c r="AB285" s="174">
        <v>96.03</v>
      </c>
      <c r="AD285" s="155">
        <v>691.41600000000005</v>
      </c>
      <c r="AG285" s="3" t="s">
        <v>36</v>
      </c>
      <c r="AH285" s="166">
        <v>8.3000000000000001E-4</v>
      </c>
      <c r="AI285" s="166">
        <v>2.2155290228230498E-3</v>
      </c>
      <c r="AJ285" s="166">
        <v>3.5541459587926598E-4</v>
      </c>
    </row>
    <row r="286" spans="1:36">
      <c r="A286" s="3">
        <v>161</v>
      </c>
      <c r="B286" s="3">
        <v>9943</v>
      </c>
      <c r="C286" s="3" t="s">
        <v>278</v>
      </c>
      <c r="D286" s="3" t="s">
        <v>279</v>
      </c>
      <c r="E286" s="5" t="s">
        <v>149</v>
      </c>
      <c r="F286" s="3" t="s">
        <v>280</v>
      </c>
      <c r="G286" s="3" t="s">
        <v>281</v>
      </c>
      <c r="H286" s="3" t="s">
        <v>152</v>
      </c>
      <c r="I286" s="3" t="s">
        <v>153</v>
      </c>
      <c r="J286" s="3" t="s">
        <v>30</v>
      </c>
      <c r="K286" s="3" t="s">
        <v>30</v>
      </c>
      <c r="L286" s="3" t="s">
        <v>154</v>
      </c>
      <c r="M286" s="3" t="s">
        <v>31</v>
      </c>
      <c r="N286" s="3" t="s">
        <v>282</v>
      </c>
      <c r="O286" s="3" t="s">
        <v>156</v>
      </c>
      <c r="P286" s="3" t="s">
        <v>283</v>
      </c>
      <c r="Q286" s="3" t="s">
        <v>283</v>
      </c>
      <c r="R286" s="3" t="s">
        <v>283</v>
      </c>
      <c r="S286" s="3" t="s">
        <v>34</v>
      </c>
      <c r="T286" s="155">
        <v>1.675</v>
      </c>
      <c r="U286" s="3" t="s">
        <v>284</v>
      </c>
      <c r="V286" s="166">
        <v>6.5000000000000002E-2</v>
      </c>
      <c r="W286" s="166">
        <v>6.9779999999999995E-2</v>
      </c>
      <c r="X286" s="5" t="s">
        <v>161</v>
      </c>
      <c r="Y286" s="5" t="s">
        <v>156</v>
      </c>
      <c r="Z286" s="155">
        <v>277034</v>
      </c>
      <c r="AA286" s="164">
        <v>1</v>
      </c>
      <c r="AB286" s="174">
        <v>101</v>
      </c>
      <c r="AD286" s="155">
        <v>279.80399999999997</v>
      </c>
      <c r="AG286" s="3" t="s">
        <v>36</v>
      </c>
      <c r="AH286" s="166">
        <v>9.4300000000000004E-4</v>
      </c>
      <c r="AI286" s="166">
        <v>8.9658705610204099E-4</v>
      </c>
      <c r="AJ286" s="166">
        <v>1.4383026488592199E-4</v>
      </c>
    </row>
    <row r="287" spans="1:36">
      <c r="A287" s="3">
        <v>161</v>
      </c>
      <c r="B287" s="3">
        <v>9943</v>
      </c>
      <c r="C287" s="3" t="s">
        <v>285</v>
      </c>
      <c r="D287" s="3" t="s">
        <v>286</v>
      </c>
      <c r="E287" s="5" t="s">
        <v>149</v>
      </c>
      <c r="F287" s="3" t="s">
        <v>290</v>
      </c>
      <c r="G287" s="3" t="s">
        <v>291</v>
      </c>
      <c r="H287" s="3" t="s">
        <v>152</v>
      </c>
      <c r="I287" s="3" t="s">
        <v>166</v>
      </c>
      <c r="J287" s="3" t="s">
        <v>30</v>
      </c>
      <c r="K287" s="3" t="s">
        <v>30</v>
      </c>
      <c r="L287" s="3" t="s">
        <v>154</v>
      </c>
      <c r="M287" s="3" t="s">
        <v>31</v>
      </c>
      <c r="N287" s="3" t="s">
        <v>231</v>
      </c>
      <c r="O287" s="3" t="s">
        <v>156</v>
      </c>
      <c r="P287" s="3" t="s">
        <v>246</v>
      </c>
      <c r="Q287" s="3" t="s">
        <v>169</v>
      </c>
      <c r="R287" s="3" t="s">
        <v>159</v>
      </c>
      <c r="S287" s="3" t="s">
        <v>34</v>
      </c>
      <c r="T287" s="155">
        <v>2.5529999999999999</v>
      </c>
      <c r="U287" s="3" t="s">
        <v>292</v>
      </c>
      <c r="V287" s="166">
        <v>3.85E-2</v>
      </c>
      <c r="W287" s="166">
        <v>2.5899999999999999E-2</v>
      </c>
      <c r="X287" s="5" t="s">
        <v>161</v>
      </c>
      <c r="Y287" s="5" t="s">
        <v>156</v>
      </c>
      <c r="Z287" s="155">
        <v>1548936.09</v>
      </c>
      <c r="AA287" s="164">
        <v>1</v>
      </c>
      <c r="AB287" s="174">
        <v>123.26</v>
      </c>
      <c r="AC287" s="155">
        <v>35.618000000000002</v>
      </c>
      <c r="AD287" s="155">
        <v>1944.836</v>
      </c>
      <c r="AG287" s="3" t="s">
        <v>36</v>
      </c>
      <c r="AH287" s="166">
        <v>6.1300000000000005E-4</v>
      </c>
      <c r="AI287" s="166">
        <v>6.2319082228095698E-3</v>
      </c>
      <c r="AJ287" s="166">
        <v>9.9972111389643598E-4</v>
      </c>
    </row>
    <row r="288" spans="1:36">
      <c r="A288" s="3">
        <v>161</v>
      </c>
      <c r="B288" s="3">
        <v>9943</v>
      </c>
      <c r="C288" s="3" t="s">
        <v>285</v>
      </c>
      <c r="D288" s="3" t="s">
        <v>286</v>
      </c>
      <c r="E288" s="5" t="s">
        <v>149</v>
      </c>
      <c r="F288" s="3" t="s">
        <v>577</v>
      </c>
      <c r="G288" s="3" t="s">
        <v>578</v>
      </c>
      <c r="H288" s="3" t="s">
        <v>152</v>
      </c>
      <c r="I288" s="3" t="s">
        <v>166</v>
      </c>
      <c r="J288" s="3" t="s">
        <v>30</v>
      </c>
      <c r="K288" s="3" t="s">
        <v>30</v>
      </c>
      <c r="L288" s="3" t="s">
        <v>154</v>
      </c>
      <c r="M288" s="3" t="s">
        <v>31</v>
      </c>
      <c r="N288" s="3" t="s">
        <v>231</v>
      </c>
      <c r="O288" s="3" t="s">
        <v>156</v>
      </c>
      <c r="P288" s="3" t="s">
        <v>246</v>
      </c>
      <c r="Q288" s="3" t="s">
        <v>169</v>
      </c>
      <c r="R288" s="3" t="s">
        <v>159</v>
      </c>
      <c r="S288" s="3" t="s">
        <v>34</v>
      </c>
      <c r="T288" s="155">
        <v>9.9329999999999998</v>
      </c>
      <c r="U288" s="3" t="s">
        <v>127</v>
      </c>
      <c r="V288" s="166">
        <v>1.2500000000000001E-2</v>
      </c>
      <c r="W288" s="166">
        <v>2.7859999999999999E-2</v>
      </c>
      <c r="X288" s="5" t="s">
        <v>161</v>
      </c>
      <c r="Y288" s="5" t="s">
        <v>156</v>
      </c>
      <c r="Z288" s="155">
        <v>2100000</v>
      </c>
      <c r="AA288" s="164">
        <v>1</v>
      </c>
      <c r="AB288" s="174">
        <v>101.02</v>
      </c>
      <c r="AD288" s="155">
        <v>2121.42</v>
      </c>
      <c r="AG288" s="3" t="s">
        <v>36</v>
      </c>
      <c r="AH288" s="166">
        <v>4.8899999999999996E-4</v>
      </c>
      <c r="AI288" s="166">
        <v>6.7977419955529998E-3</v>
      </c>
      <c r="AJ288" s="166">
        <v>1.0904920221548101E-3</v>
      </c>
    </row>
    <row r="289" spans="1:36">
      <c r="A289" s="3">
        <v>161</v>
      </c>
      <c r="B289" s="3">
        <v>9943</v>
      </c>
      <c r="C289" s="3" t="s">
        <v>285</v>
      </c>
      <c r="D289" s="3" t="s">
        <v>286</v>
      </c>
      <c r="E289" s="5" t="s">
        <v>149</v>
      </c>
      <c r="F289" s="3" t="s">
        <v>296</v>
      </c>
      <c r="G289" s="3" t="s">
        <v>297</v>
      </c>
      <c r="H289" s="3" t="s">
        <v>152</v>
      </c>
      <c r="I289" s="3" t="s">
        <v>166</v>
      </c>
      <c r="J289" s="3" t="s">
        <v>30</v>
      </c>
      <c r="K289" s="3" t="s">
        <v>30</v>
      </c>
      <c r="L289" s="3" t="s">
        <v>154</v>
      </c>
      <c r="M289" s="3" t="s">
        <v>31</v>
      </c>
      <c r="N289" s="3" t="s">
        <v>231</v>
      </c>
      <c r="O289" s="3" t="s">
        <v>156</v>
      </c>
      <c r="P289" s="3" t="s">
        <v>246</v>
      </c>
      <c r="Q289" s="3" t="s">
        <v>169</v>
      </c>
      <c r="R289" s="3" t="s">
        <v>159</v>
      </c>
      <c r="S289" s="3" t="s">
        <v>34</v>
      </c>
      <c r="T289" s="155">
        <v>6.8730000000000002</v>
      </c>
      <c r="U289" s="3" t="s">
        <v>298</v>
      </c>
      <c r="V289" s="166">
        <v>0.03</v>
      </c>
      <c r="W289" s="166">
        <v>2.632E-2</v>
      </c>
      <c r="X289" s="5" t="s">
        <v>161</v>
      </c>
      <c r="Y289" s="5" t="s">
        <v>156</v>
      </c>
      <c r="Z289" s="155">
        <v>2401000</v>
      </c>
      <c r="AA289" s="164">
        <v>1</v>
      </c>
      <c r="AB289" s="174">
        <v>111.48</v>
      </c>
      <c r="AD289" s="155">
        <v>2676.6350000000002</v>
      </c>
      <c r="AG289" s="3" t="s">
        <v>36</v>
      </c>
      <c r="AH289" s="166">
        <v>5.8900000000000001E-4</v>
      </c>
      <c r="AI289" s="166">
        <v>8.5768366408908309E-3</v>
      </c>
      <c r="AJ289" s="166">
        <v>1.3758939274740301E-3</v>
      </c>
    </row>
    <row r="290" spans="1:36">
      <c r="A290" s="3">
        <v>161</v>
      </c>
      <c r="B290" s="3">
        <v>9943</v>
      </c>
      <c r="C290" s="3" t="s">
        <v>308</v>
      </c>
      <c r="D290" s="3" t="s">
        <v>309</v>
      </c>
      <c r="E290" s="5" t="s">
        <v>149</v>
      </c>
      <c r="F290" s="3" t="s">
        <v>310</v>
      </c>
      <c r="G290" s="3" t="s">
        <v>311</v>
      </c>
      <c r="H290" s="3" t="s">
        <v>152</v>
      </c>
      <c r="I290" s="3" t="s">
        <v>166</v>
      </c>
      <c r="J290" s="3" t="s">
        <v>30</v>
      </c>
      <c r="K290" s="3" t="s">
        <v>30</v>
      </c>
      <c r="L290" s="3" t="s">
        <v>154</v>
      </c>
      <c r="M290" s="3" t="s">
        <v>31</v>
      </c>
      <c r="N290" s="3" t="s">
        <v>167</v>
      </c>
      <c r="O290" s="3" t="s">
        <v>156</v>
      </c>
      <c r="P290" s="3" t="s">
        <v>168</v>
      </c>
      <c r="Q290" s="3" t="s">
        <v>169</v>
      </c>
      <c r="R290" s="3" t="s">
        <v>159</v>
      </c>
      <c r="S290" s="3" t="s">
        <v>34</v>
      </c>
      <c r="T290" s="155">
        <v>1.494</v>
      </c>
      <c r="U290" s="3" t="s">
        <v>312</v>
      </c>
      <c r="V290" s="166">
        <v>1.5800000000000002E-2</v>
      </c>
      <c r="W290" s="166">
        <v>3.048E-2</v>
      </c>
      <c r="X290" s="5" t="s">
        <v>161</v>
      </c>
      <c r="Y290" s="5" t="s">
        <v>156</v>
      </c>
      <c r="Z290" s="155">
        <v>208557.26</v>
      </c>
      <c r="AA290" s="164">
        <v>1</v>
      </c>
      <c r="AB290" s="174">
        <v>118.01</v>
      </c>
      <c r="AD290" s="155">
        <v>246.11799999999999</v>
      </c>
      <c r="AG290" s="3" t="s">
        <v>36</v>
      </c>
      <c r="AH290" s="166">
        <v>5.2999999999999998E-4</v>
      </c>
      <c r="AI290" s="166">
        <v>7.8864606569385102E-4</v>
      </c>
      <c r="AJ290" s="166">
        <v>1.2651439897329699E-4</v>
      </c>
    </row>
    <row r="291" spans="1:36">
      <c r="A291" s="3">
        <v>161</v>
      </c>
      <c r="B291" s="3">
        <v>9943</v>
      </c>
      <c r="C291" s="3" t="s">
        <v>308</v>
      </c>
      <c r="D291" s="3" t="s">
        <v>309</v>
      </c>
      <c r="E291" s="5" t="s">
        <v>149</v>
      </c>
      <c r="F291" s="3" t="s">
        <v>313</v>
      </c>
      <c r="G291" s="3" t="s">
        <v>314</v>
      </c>
      <c r="H291" s="3" t="s">
        <v>152</v>
      </c>
      <c r="I291" s="3" t="s">
        <v>166</v>
      </c>
      <c r="J291" s="3" t="s">
        <v>30</v>
      </c>
      <c r="K291" s="3" t="s">
        <v>30</v>
      </c>
      <c r="L291" s="3" t="s">
        <v>154</v>
      </c>
      <c r="M291" s="3" t="s">
        <v>31</v>
      </c>
      <c r="N291" s="3" t="s">
        <v>167</v>
      </c>
      <c r="O291" s="3" t="s">
        <v>156</v>
      </c>
      <c r="P291" s="3" t="s">
        <v>168</v>
      </c>
      <c r="Q291" s="3" t="s">
        <v>169</v>
      </c>
      <c r="R291" s="3" t="s">
        <v>159</v>
      </c>
      <c r="S291" s="3" t="s">
        <v>34</v>
      </c>
      <c r="T291" s="155">
        <v>4.1360000000000001</v>
      </c>
      <c r="U291" s="3" t="s">
        <v>315</v>
      </c>
      <c r="V291" s="166">
        <v>8.3999999999999995E-3</v>
      </c>
      <c r="W291" s="166">
        <v>2.7830000000000001E-2</v>
      </c>
      <c r="X291" s="5" t="s">
        <v>161</v>
      </c>
      <c r="Y291" s="5" t="s">
        <v>156</v>
      </c>
      <c r="Z291" s="155">
        <v>539717.16</v>
      </c>
      <c r="AA291" s="164">
        <v>1</v>
      </c>
      <c r="AB291" s="174">
        <v>109.55</v>
      </c>
      <c r="AD291" s="155">
        <v>591.26</v>
      </c>
      <c r="AG291" s="3" t="s">
        <v>36</v>
      </c>
      <c r="AH291" s="166">
        <v>7.0399999999999998E-4</v>
      </c>
      <c r="AI291" s="166">
        <v>1.89459604588376E-3</v>
      </c>
      <c r="AJ291" s="166">
        <v>3.0393061028116002E-4</v>
      </c>
    </row>
    <row r="292" spans="1:36">
      <c r="A292" s="3">
        <v>161</v>
      </c>
      <c r="B292" s="3">
        <v>9943</v>
      </c>
      <c r="C292" s="3" t="s">
        <v>536</v>
      </c>
      <c r="D292" s="3" t="s">
        <v>537</v>
      </c>
      <c r="E292" s="5" t="s">
        <v>149</v>
      </c>
      <c r="F292" s="3" t="s">
        <v>538</v>
      </c>
      <c r="G292" s="3" t="s">
        <v>539</v>
      </c>
      <c r="H292" s="3" t="s">
        <v>152</v>
      </c>
      <c r="I292" s="3" t="s">
        <v>153</v>
      </c>
      <c r="J292" s="3" t="s">
        <v>30</v>
      </c>
      <c r="K292" s="3" t="s">
        <v>30</v>
      </c>
      <c r="L292" s="3" t="s">
        <v>154</v>
      </c>
      <c r="M292" s="3" t="s">
        <v>31</v>
      </c>
      <c r="N292" s="3" t="s">
        <v>155</v>
      </c>
      <c r="O292" s="3" t="s">
        <v>156</v>
      </c>
      <c r="P292" s="3" t="s">
        <v>185</v>
      </c>
      <c r="Q292" s="3" t="s">
        <v>169</v>
      </c>
      <c r="R292" s="3" t="s">
        <v>159</v>
      </c>
      <c r="S292" s="3" t="s">
        <v>34</v>
      </c>
      <c r="T292" s="155">
        <v>2.2650000000000001</v>
      </c>
      <c r="U292" s="3" t="s">
        <v>540</v>
      </c>
      <c r="V292" s="166">
        <v>4.7E-2</v>
      </c>
      <c r="W292" s="166">
        <v>4.6940000000000003E-2</v>
      </c>
      <c r="X292" s="5" t="s">
        <v>161</v>
      </c>
      <c r="Y292" s="5" t="s">
        <v>156</v>
      </c>
      <c r="Z292" s="155">
        <v>793938.47</v>
      </c>
      <c r="AA292" s="164">
        <v>1</v>
      </c>
      <c r="AB292" s="174">
        <v>102.82</v>
      </c>
      <c r="AD292" s="155">
        <v>816.32799999999997</v>
      </c>
      <c r="AG292" s="3" t="s">
        <v>36</v>
      </c>
      <c r="AH292" s="166">
        <v>1.446E-3</v>
      </c>
      <c r="AI292" s="166">
        <v>2.6157875224157899E-3</v>
      </c>
      <c r="AJ292" s="166">
        <v>4.1962396141433198E-4</v>
      </c>
    </row>
    <row r="293" spans="1:36">
      <c r="A293" s="3">
        <v>161</v>
      </c>
      <c r="B293" s="3">
        <v>9943</v>
      </c>
      <c r="C293" s="3" t="s">
        <v>316</v>
      </c>
      <c r="D293" s="3" t="s">
        <v>317</v>
      </c>
      <c r="E293" s="5" t="s">
        <v>149</v>
      </c>
      <c r="F293" s="3" t="s">
        <v>318</v>
      </c>
      <c r="G293" s="3" t="s">
        <v>319</v>
      </c>
      <c r="H293" s="3" t="s">
        <v>152</v>
      </c>
      <c r="I293" s="3" t="s">
        <v>153</v>
      </c>
      <c r="J293" s="3" t="s">
        <v>30</v>
      </c>
      <c r="K293" s="3" t="s">
        <v>30</v>
      </c>
      <c r="L293" s="3" t="s">
        <v>154</v>
      </c>
      <c r="M293" s="3" t="s">
        <v>31</v>
      </c>
      <c r="N293" s="3" t="s">
        <v>155</v>
      </c>
      <c r="O293" s="3" t="s">
        <v>156</v>
      </c>
      <c r="P293" s="3" t="s">
        <v>185</v>
      </c>
      <c r="Q293" s="3" t="s">
        <v>169</v>
      </c>
      <c r="R293" s="3" t="s">
        <v>159</v>
      </c>
      <c r="S293" s="3" t="s">
        <v>34</v>
      </c>
      <c r="T293" s="155">
        <v>5.9889999999999999</v>
      </c>
      <c r="U293" s="3" t="s">
        <v>320</v>
      </c>
      <c r="V293" s="166">
        <v>2.5000000000000001E-2</v>
      </c>
      <c r="W293" s="166">
        <v>4.7199999999999999E-2</v>
      </c>
      <c r="X293" s="5" t="s">
        <v>161</v>
      </c>
      <c r="Y293" s="5" t="s">
        <v>156</v>
      </c>
      <c r="Z293" s="155">
        <v>356187</v>
      </c>
      <c r="AA293" s="164">
        <v>1</v>
      </c>
      <c r="AB293" s="174">
        <v>88.03</v>
      </c>
      <c r="AD293" s="155">
        <v>313.55099999999999</v>
      </c>
      <c r="AG293" s="3" t="s">
        <v>36</v>
      </c>
      <c r="AH293" s="166">
        <v>2.6699999999999998E-4</v>
      </c>
      <c r="AI293" s="166">
        <v>1.0047240192833499E-3</v>
      </c>
      <c r="AJ293" s="166">
        <v>1.61177568700396E-4</v>
      </c>
    </row>
    <row r="294" spans="1:36">
      <c r="A294" s="3">
        <v>161</v>
      </c>
      <c r="B294" s="3">
        <v>9943</v>
      </c>
      <c r="C294" s="3" t="s">
        <v>321</v>
      </c>
      <c r="D294" s="3" t="s">
        <v>322</v>
      </c>
      <c r="E294" s="5" t="s">
        <v>149</v>
      </c>
      <c r="F294" s="3" t="s">
        <v>323</v>
      </c>
      <c r="G294" s="3" t="s">
        <v>324</v>
      </c>
      <c r="H294" s="3" t="s">
        <v>152</v>
      </c>
      <c r="I294" s="3" t="s">
        <v>166</v>
      </c>
      <c r="J294" s="3" t="s">
        <v>30</v>
      </c>
      <c r="K294" s="3" t="s">
        <v>30</v>
      </c>
      <c r="L294" s="3" t="s">
        <v>154</v>
      </c>
      <c r="M294" s="3" t="s">
        <v>31</v>
      </c>
      <c r="N294" s="3" t="s">
        <v>245</v>
      </c>
      <c r="O294" s="3" t="s">
        <v>156</v>
      </c>
      <c r="P294" s="3" t="s">
        <v>246</v>
      </c>
      <c r="Q294" s="3" t="s">
        <v>169</v>
      </c>
      <c r="R294" s="3" t="s">
        <v>159</v>
      </c>
      <c r="S294" s="3" t="s">
        <v>34</v>
      </c>
      <c r="T294" s="155">
        <v>2.0939999999999999</v>
      </c>
      <c r="U294" s="3" t="s">
        <v>325</v>
      </c>
      <c r="V294" s="166">
        <v>1.8599999999999998E-2</v>
      </c>
      <c r="W294" s="166">
        <v>2.5940000000000001E-2</v>
      </c>
      <c r="X294" s="5" t="s">
        <v>161</v>
      </c>
      <c r="Y294" s="5" t="s">
        <v>156</v>
      </c>
      <c r="Z294" s="155">
        <v>341306.4</v>
      </c>
      <c r="AA294" s="164">
        <v>1</v>
      </c>
      <c r="AB294" s="174">
        <v>105.1</v>
      </c>
      <c r="AD294" s="155">
        <v>358.71300000000002</v>
      </c>
      <c r="AG294" s="3" t="s">
        <v>36</v>
      </c>
      <c r="AH294" s="166">
        <v>1.34E-4</v>
      </c>
      <c r="AI294" s="166">
        <v>1.1494369827338301E-3</v>
      </c>
      <c r="AJ294" s="166">
        <v>1.8439238506859099E-4</v>
      </c>
    </row>
    <row r="295" spans="1:36">
      <c r="A295" s="3">
        <v>161</v>
      </c>
      <c r="B295" s="3">
        <v>9943</v>
      </c>
      <c r="C295" s="3" t="s">
        <v>321</v>
      </c>
      <c r="D295" s="3" t="s">
        <v>322</v>
      </c>
      <c r="E295" s="5" t="s">
        <v>149</v>
      </c>
      <c r="F295" s="3" t="s">
        <v>329</v>
      </c>
      <c r="G295" s="3" t="s">
        <v>330</v>
      </c>
      <c r="H295" s="3" t="s">
        <v>152</v>
      </c>
      <c r="I295" s="3" t="s">
        <v>166</v>
      </c>
      <c r="J295" s="3" t="s">
        <v>30</v>
      </c>
      <c r="K295" s="3" t="s">
        <v>30</v>
      </c>
      <c r="L295" s="3" t="s">
        <v>154</v>
      </c>
      <c r="M295" s="3" t="s">
        <v>31</v>
      </c>
      <c r="N295" s="3" t="s">
        <v>245</v>
      </c>
      <c r="O295" s="3" t="s">
        <v>156</v>
      </c>
      <c r="P295" s="3" t="s">
        <v>246</v>
      </c>
      <c r="Q295" s="3" t="s">
        <v>169</v>
      </c>
      <c r="R295" s="3" t="s">
        <v>159</v>
      </c>
      <c r="S295" s="3" t="s">
        <v>34</v>
      </c>
      <c r="T295" s="155">
        <v>2.1339999999999999</v>
      </c>
      <c r="U295" s="3" t="s">
        <v>331</v>
      </c>
      <c r="V295" s="166">
        <v>1E-3</v>
      </c>
      <c r="W295" s="166">
        <v>2.5329999999999998E-2</v>
      </c>
      <c r="X295" s="5" t="s">
        <v>161</v>
      </c>
      <c r="Y295" s="5" t="s">
        <v>156</v>
      </c>
      <c r="Z295" s="155">
        <v>1646700</v>
      </c>
      <c r="AA295" s="164">
        <v>1</v>
      </c>
      <c r="AB295" s="174">
        <v>110.05</v>
      </c>
      <c r="AD295" s="155">
        <v>1812.193</v>
      </c>
      <c r="AG295" s="3" t="s">
        <v>36</v>
      </c>
      <c r="AH295" s="166">
        <v>5.2499999999999997E-4</v>
      </c>
      <c r="AI295" s="166">
        <v>5.8068759789937302E-3</v>
      </c>
      <c r="AJ295" s="166">
        <v>9.3153755068633602E-4</v>
      </c>
    </row>
    <row r="296" spans="1:36">
      <c r="A296" s="3">
        <v>161</v>
      </c>
      <c r="B296" s="3">
        <v>9943</v>
      </c>
      <c r="C296" s="3" t="s">
        <v>321</v>
      </c>
      <c r="D296" s="3" t="s">
        <v>322</v>
      </c>
      <c r="E296" s="5" t="s">
        <v>149</v>
      </c>
      <c r="F296" s="3" t="s">
        <v>335</v>
      </c>
      <c r="G296" s="3" t="s">
        <v>336</v>
      </c>
      <c r="H296" s="3" t="s">
        <v>152</v>
      </c>
      <c r="I296" s="3" t="s">
        <v>166</v>
      </c>
      <c r="J296" s="3" t="s">
        <v>30</v>
      </c>
      <c r="K296" s="3" t="s">
        <v>30</v>
      </c>
      <c r="L296" s="3" t="s">
        <v>154</v>
      </c>
      <c r="M296" s="3" t="s">
        <v>31</v>
      </c>
      <c r="N296" s="3" t="s">
        <v>245</v>
      </c>
      <c r="O296" s="3" t="s">
        <v>156</v>
      </c>
      <c r="P296" s="3" t="s">
        <v>246</v>
      </c>
      <c r="Q296" s="3" t="s">
        <v>169</v>
      </c>
      <c r="R296" s="3" t="s">
        <v>159</v>
      </c>
      <c r="S296" s="3" t="s">
        <v>34</v>
      </c>
      <c r="T296" s="155">
        <v>4.13</v>
      </c>
      <c r="U296" s="3" t="s">
        <v>337</v>
      </c>
      <c r="V296" s="166">
        <v>2.0199999999999999E-2</v>
      </c>
      <c r="W296" s="166">
        <v>2.5430000000000001E-2</v>
      </c>
      <c r="X296" s="5" t="s">
        <v>161</v>
      </c>
      <c r="Y296" s="5" t="s">
        <v>156</v>
      </c>
      <c r="Z296" s="155">
        <v>4526633</v>
      </c>
      <c r="AA296" s="164">
        <v>1</v>
      </c>
      <c r="AB296" s="174">
        <v>105.02</v>
      </c>
      <c r="AD296" s="155">
        <v>4753.87</v>
      </c>
      <c r="AG296" s="3" t="s">
        <v>36</v>
      </c>
      <c r="AH296" s="166">
        <v>1.2689999999999999E-3</v>
      </c>
      <c r="AI296" s="166">
        <v>1.52329956261996E-2</v>
      </c>
      <c r="AJ296" s="166">
        <v>2.44367323954879E-3</v>
      </c>
    </row>
    <row r="297" spans="1:36">
      <c r="A297" s="3">
        <v>161</v>
      </c>
      <c r="B297" s="3">
        <v>9943</v>
      </c>
      <c r="C297" s="3" t="s">
        <v>321</v>
      </c>
      <c r="D297" s="3" t="s">
        <v>322</v>
      </c>
      <c r="E297" s="5" t="s">
        <v>149</v>
      </c>
      <c r="F297" s="3" t="s">
        <v>338</v>
      </c>
      <c r="G297" s="3" t="s">
        <v>339</v>
      </c>
      <c r="H297" s="3" t="s">
        <v>152</v>
      </c>
      <c r="I297" s="3" t="s">
        <v>166</v>
      </c>
      <c r="J297" s="3" t="s">
        <v>30</v>
      </c>
      <c r="K297" s="3" t="s">
        <v>30</v>
      </c>
      <c r="L297" s="3" t="s">
        <v>154</v>
      </c>
      <c r="M297" s="3" t="s">
        <v>31</v>
      </c>
      <c r="N297" s="3" t="s">
        <v>245</v>
      </c>
      <c r="O297" s="3" t="s">
        <v>156</v>
      </c>
      <c r="P297" s="3" t="s">
        <v>246</v>
      </c>
      <c r="Q297" s="3" t="s">
        <v>169</v>
      </c>
      <c r="R297" s="3" t="s">
        <v>159</v>
      </c>
      <c r="S297" s="3" t="s">
        <v>34</v>
      </c>
      <c r="T297" s="155">
        <v>4.1289999999999996</v>
      </c>
      <c r="U297" s="3" t="s">
        <v>340</v>
      </c>
      <c r="V297" s="166">
        <v>1E-3</v>
      </c>
      <c r="W297" s="166">
        <v>2.5350000000000001E-2</v>
      </c>
      <c r="X297" s="5" t="s">
        <v>161</v>
      </c>
      <c r="Y297" s="5" t="s">
        <v>156</v>
      </c>
      <c r="Z297" s="155">
        <v>461460</v>
      </c>
      <c r="AA297" s="164">
        <v>1</v>
      </c>
      <c r="AB297" s="174">
        <v>104.89</v>
      </c>
      <c r="AD297" s="155">
        <v>484.02499999999998</v>
      </c>
      <c r="AG297" s="3" t="s">
        <v>36</v>
      </c>
      <c r="AH297" s="166">
        <v>1.08E-4</v>
      </c>
      <c r="AI297" s="166">
        <v>1.55097988503356E-3</v>
      </c>
      <c r="AJ297" s="166">
        <v>2.4880779415549102E-4</v>
      </c>
    </row>
    <row r="298" spans="1:36">
      <c r="A298" s="3">
        <v>161</v>
      </c>
      <c r="B298" s="3">
        <v>9943</v>
      </c>
      <c r="C298" s="3" t="s">
        <v>321</v>
      </c>
      <c r="D298" s="3" t="s">
        <v>322</v>
      </c>
      <c r="E298" s="5" t="s">
        <v>149</v>
      </c>
      <c r="F298" s="3" t="s">
        <v>341</v>
      </c>
      <c r="G298" s="3" t="s">
        <v>342</v>
      </c>
      <c r="H298" s="3" t="s">
        <v>152</v>
      </c>
      <c r="I298" s="3" t="s">
        <v>153</v>
      </c>
      <c r="J298" s="3" t="s">
        <v>30</v>
      </c>
      <c r="K298" s="3" t="s">
        <v>30</v>
      </c>
      <c r="L298" s="3" t="s">
        <v>154</v>
      </c>
      <c r="M298" s="3" t="s">
        <v>31</v>
      </c>
      <c r="N298" s="3" t="s">
        <v>245</v>
      </c>
      <c r="O298" s="3" t="s">
        <v>156</v>
      </c>
      <c r="P298" s="3" t="s">
        <v>343</v>
      </c>
      <c r="Q298" s="3" t="s">
        <v>158</v>
      </c>
      <c r="R298" s="3" t="s">
        <v>159</v>
      </c>
      <c r="S298" s="3" t="s">
        <v>34</v>
      </c>
      <c r="T298" s="155">
        <v>5.7640000000000002</v>
      </c>
      <c r="U298" s="3" t="s">
        <v>344</v>
      </c>
      <c r="V298" s="166">
        <v>4.5900000000000003E-2</v>
      </c>
      <c r="W298" s="166">
        <v>4.548E-2</v>
      </c>
      <c r="X298" s="5" t="s">
        <v>161</v>
      </c>
      <c r="Y298" s="5" t="s">
        <v>156</v>
      </c>
      <c r="Z298" s="155">
        <v>2600000</v>
      </c>
      <c r="AA298" s="164">
        <v>1</v>
      </c>
      <c r="AB298" s="174">
        <v>100.58</v>
      </c>
      <c r="AD298" s="155">
        <v>2615.08</v>
      </c>
      <c r="AG298" s="3" t="s">
        <v>36</v>
      </c>
      <c r="AH298" s="166">
        <v>1.3910000000000001E-3</v>
      </c>
      <c r="AI298" s="166">
        <v>8.3795943932511007E-3</v>
      </c>
      <c r="AJ298" s="166">
        <v>1.3442523768497599E-3</v>
      </c>
    </row>
    <row r="299" spans="1:36">
      <c r="A299" s="3">
        <v>161</v>
      </c>
      <c r="B299" s="3">
        <v>9943</v>
      </c>
      <c r="C299" s="3" t="s">
        <v>321</v>
      </c>
      <c r="D299" s="3" t="s">
        <v>322</v>
      </c>
      <c r="E299" s="5" t="s">
        <v>149</v>
      </c>
      <c r="F299" s="3" t="s">
        <v>345</v>
      </c>
      <c r="G299" s="3" t="s">
        <v>346</v>
      </c>
      <c r="H299" s="3" t="s">
        <v>152</v>
      </c>
      <c r="I299" s="3" t="s">
        <v>166</v>
      </c>
      <c r="J299" s="3" t="s">
        <v>30</v>
      </c>
      <c r="K299" s="3" t="s">
        <v>30</v>
      </c>
      <c r="L299" s="3" t="s">
        <v>154</v>
      </c>
      <c r="M299" s="3" t="s">
        <v>31</v>
      </c>
      <c r="N299" s="3" t="s">
        <v>245</v>
      </c>
      <c r="O299" s="3" t="s">
        <v>156</v>
      </c>
      <c r="P299" s="3" t="s">
        <v>343</v>
      </c>
      <c r="Q299" s="3" t="s">
        <v>158</v>
      </c>
      <c r="R299" s="3" t="s">
        <v>159</v>
      </c>
      <c r="S299" s="3" t="s">
        <v>34</v>
      </c>
      <c r="T299" s="155">
        <v>6.6959999999999997</v>
      </c>
      <c r="U299" s="3" t="s">
        <v>347</v>
      </c>
      <c r="V299" s="166">
        <v>2.5999999999999999E-2</v>
      </c>
      <c r="W299" s="166">
        <v>2.554E-2</v>
      </c>
      <c r="X299" s="5" t="s">
        <v>161</v>
      </c>
      <c r="Y299" s="5" t="s">
        <v>156</v>
      </c>
      <c r="Z299" s="155">
        <v>2600000</v>
      </c>
      <c r="AA299" s="164">
        <v>1</v>
      </c>
      <c r="AB299" s="174">
        <v>101.17</v>
      </c>
      <c r="AD299" s="155">
        <v>2630.42</v>
      </c>
      <c r="AG299" s="3" t="s">
        <v>36</v>
      </c>
      <c r="AH299" s="166">
        <v>1.4159999999999999E-3</v>
      </c>
      <c r="AI299" s="166">
        <v>8.4287489040088901E-3</v>
      </c>
      <c r="AJ299" s="166">
        <v>1.3521377308201401E-3</v>
      </c>
    </row>
    <row r="300" spans="1:36">
      <c r="A300" s="3">
        <v>161</v>
      </c>
      <c r="B300" s="3">
        <v>9943</v>
      </c>
      <c r="C300" s="3" t="s">
        <v>321</v>
      </c>
      <c r="D300" s="3" t="s">
        <v>322</v>
      </c>
      <c r="E300" s="5" t="s">
        <v>149</v>
      </c>
      <c r="F300" s="3" t="s">
        <v>579</v>
      </c>
      <c r="G300" s="3" t="s">
        <v>580</v>
      </c>
      <c r="H300" s="3" t="s">
        <v>152</v>
      </c>
      <c r="I300" s="3" t="s">
        <v>166</v>
      </c>
      <c r="J300" s="3" t="s">
        <v>30</v>
      </c>
      <c r="K300" s="3" t="s">
        <v>30</v>
      </c>
      <c r="L300" s="3" t="s">
        <v>154</v>
      </c>
      <c r="M300" s="3" t="s">
        <v>31</v>
      </c>
      <c r="N300" s="3" t="s">
        <v>245</v>
      </c>
      <c r="O300" s="3" t="s">
        <v>156</v>
      </c>
      <c r="P300" s="3" t="s">
        <v>185</v>
      </c>
      <c r="Q300" s="3" t="s">
        <v>169</v>
      </c>
      <c r="R300" s="3" t="s">
        <v>159</v>
      </c>
      <c r="S300" s="3" t="s">
        <v>34</v>
      </c>
      <c r="T300" s="155">
        <v>2.4289999999999998</v>
      </c>
      <c r="U300" s="3" t="s">
        <v>581</v>
      </c>
      <c r="V300" s="166">
        <v>1.4999999999999999E-2</v>
      </c>
      <c r="W300" s="166">
        <v>2.8240000000000001E-2</v>
      </c>
      <c r="X300" s="5" t="s">
        <v>161</v>
      </c>
      <c r="Y300" s="5" t="s">
        <v>156</v>
      </c>
      <c r="Z300" s="155">
        <v>1700000</v>
      </c>
      <c r="AA300" s="164">
        <v>1</v>
      </c>
      <c r="AB300" s="174">
        <v>111.83</v>
      </c>
      <c r="AD300" s="155">
        <v>1901.11</v>
      </c>
      <c r="AG300" s="3" t="s">
        <v>36</v>
      </c>
      <c r="AH300" s="166">
        <v>1.2110000000000001E-3</v>
      </c>
      <c r="AI300" s="166">
        <v>6.0917947814038602E-3</v>
      </c>
      <c r="AJ300" s="166">
        <v>9.7724415167139891E-4</v>
      </c>
    </row>
    <row r="301" spans="1:36">
      <c r="A301" s="3">
        <v>161</v>
      </c>
      <c r="B301" s="3">
        <v>9943</v>
      </c>
      <c r="C301" s="3" t="s">
        <v>321</v>
      </c>
      <c r="D301" s="3" t="s">
        <v>322</v>
      </c>
      <c r="E301" s="5" t="s">
        <v>149</v>
      </c>
      <c r="F301" s="3" t="s">
        <v>348</v>
      </c>
      <c r="G301" s="3" t="s">
        <v>349</v>
      </c>
      <c r="H301" s="3" t="s">
        <v>152</v>
      </c>
      <c r="I301" s="3" t="s">
        <v>166</v>
      </c>
      <c r="J301" s="3" t="s">
        <v>30</v>
      </c>
      <c r="K301" s="3" t="s">
        <v>30</v>
      </c>
      <c r="L301" s="3" t="s">
        <v>154</v>
      </c>
      <c r="M301" s="3" t="s">
        <v>31</v>
      </c>
      <c r="N301" s="3" t="s">
        <v>245</v>
      </c>
      <c r="O301" s="3" t="s">
        <v>156</v>
      </c>
      <c r="P301" s="3" t="s">
        <v>185</v>
      </c>
      <c r="Q301" s="3" t="s">
        <v>169</v>
      </c>
      <c r="R301" s="3" t="s">
        <v>159</v>
      </c>
      <c r="S301" s="3" t="s">
        <v>34</v>
      </c>
      <c r="T301" s="155">
        <v>4.968</v>
      </c>
      <c r="U301" s="3" t="s">
        <v>350</v>
      </c>
      <c r="V301" s="166">
        <v>3.1E-2</v>
      </c>
      <c r="W301" s="166">
        <v>2.972E-2</v>
      </c>
      <c r="X301" s="5" t="s">
        <v>161</v>
      </c>
      <c r="Y301" s="5" t="s">
        <v>156</v>
      </c>
      <c r="Z301" s="155">
        <v>2300000</v>
      </c>
      <c r="AA301" s="164">
        <v>1</v>
      </c>
      <c r="AB301" s="174">
        <v>105.8</v>
      </c>
      <c r="AD301" s="155">
        <v>2433.4</v>
      </c>
      <c r="AG301" s="3" t="s">
        <v>36</v>
      </c>
      <c r="AH301" s="166">
        <v>1.498E-3</v>
      </c>
      <c r="AI301" s="166">
        <v>7.7974306700128596E-3</v>
      </c>
      <c r="AJ301" s="166">
        <v>1.25086182213401E-3</v>
      </c>
    </row>
    <row r="302" spans="1:36">
      <c r="A302" s="3">
        <v>161</v>
      </c>
      <c r="B302" s="3">
        <v>9943</v>
      </c>
      <c r="C302" s="3" t="s">
        <v>351</v>
      </c>
      <c r="D302" s="3" t="s">
        <v>352</v>
      </c>
      <c r="E302" s="5" t="s">
        <v>149</v>
      </c>
      <c r="F302" s="3" t="s">
        <v>544</v>
      </c>
      <c r="G302" s="3" t="s">
        <v>545</v>
      </c>
      <c r="H302" s="3" t="s">
        <v>152</v>
      </c>
      <c r="I302" s="3" t="s">
        <v>166</v>
      </c>
      <c r="J302" s="3" t="s">
        <v>30</v>
      </c>
      <c r="K302" s="3" t="s">
        <v>30</v>
      </c>
      <c r="L302" s="3" t="s">
        <v>154</v>
      </c>
      <c r="M302" s="3" t="s">
        <v>31</v>
      </c>
      <c r="N302" s="3" t="s">
        <v>167</v>
      </c>
      <c r="O302" s="3" t="s">
        <v>156</v>
      </c>
      <c r="P302" s="3" t="s">
        <v>168</v>
      </c>
      <c r="Q302" s="3" t="s">
        <v>169</v>
      </c>
      <c r="R302" s="3" t="s">
        <v>159</v>
      </c>
      <c r="S302" s="3" t="s">
        <v>34</v>
      </c>
      <c r="T302" s="155">
        <v>5.1689999999999996</v>
      </c>
      <c r="U302" s="3" t="s">
        <v>546</v>
      </c>
      <c r="V302" s="166">
        <v>3.5000000000000001E-3</v>
      </c>
      <c r="W302" s="166">
        <v>2.9669999999999998E-2</v>
      </c>
      <c r="X302" s="5" t="s">
        <v>161</v>
      </c>
      <c r="Y302" s="5" t="s">
        <v>156</v>
      </c>
      <c r="Z302" s="155">
        <v>46222.1</v>
      </c>
      <c r="AA302" s="164">
        <v>1</v>
      </c>
      <c r="AB302" s="174">
        <v>101.29</v>
      </c>
      <c r="AD302" s="155">
        <v>46.817999999999998</v>
      </c>
      <c r="AG302" s="3" t="s">
        <v>36</v>
      </c>
      <c r="AH302" s="166">
        <v>1.2999999999999999E-5</v>
      </c>
      <c r="AI302" s="166">
        <v>1.50021762091159E-4</v>
      </c>
      <c r="AJ302" s="166">
        <v>2.4066452480402999E-5</v>
      </c>
    </row>
    <row r="303" spans="1:36">
      <c r="A303" s="3">
        <v>161</v>
      </c>
      <c r="B303" s="3">
        <v>9943</v>
      </c>
      <c r="C303" s="3" t="s">
        <v>351</v>
      </c>
      <c r="D303" s="3" t="s">
        <v>352</v>
      </c>
      <c r="E303" s="5" t="s">
        <v>149</v>
      </c>
      <c r="F303" s="3" t="s">
        <v>582</v>
      </c>
      <c r="G303" s="3" t="s">
        <v>583</v>
      </c>
      <c r="H303" s="3" t="s">
        <v>152</v>
      </c>
      <c r="I303" s="3" t="s">
        <v>166</v>
      </c>
      <c r="J303" s="3" t="s">
        <v>30</v>
      </c>
      <c r="K303" s="3" t="s">
        <v>30</v>
      </c>
      <c r="L303" s="3" t="s">
        <v>154</v>
      </c>
      <c r="M303" s="3" t="s">
        <v>31</v>
      </c>
      <c r="N303" s="3" t="s">
        <v>167</v>
      </c>
      <c r="O303" s="3" t="s">
        <v>156</v>
      </c>
      <c r="P303" s="3" t="s">
        <v>168</v>
      </c>
      <c r="Q303" s="3" t="s">
        <v>169</v>
      </c>
      <c r="R303" s="3" t="s">
        <v>159</v>
      </c>
      <c r="S303" s="3" t="s">
        <v>34</v>
      </c>
      <c r="T303" s="155">
        <v>0.97799999999999998</v>
      </c>
      <c r="U303" s="3" t="s">
        <v>584</v>
      </c>
      <c r="V303" s="166">
        <v>2.4E-2</v>
      </c>
      <c r="W303" s="166">
        <v>3.3180000000000001E-2</v>
      </c>
      <c r="X303" s="5" t="s">
        <v>161</v>
      </c>
      <c r="Y303" s="5" t="s">
        <v>156</v>
      </c>
      <c r="Z303" s="155">
        <v>1794104.37</v>
      </c>
      <c r="AA303" s="164">
        <v>1</v>
      </c>
      <c r="AB303" s="174">
        <v>118.36</v>
      </c>
      <c r="AD303" s="155">
        <v>2123.502</v>
      </c>
      <c r="AG303" s="3" t="s">
        <v>36</v>
      </c>
      <c r="AH303" s="166">
        <v>3.3379999999999998E-3</v>
      </c>
      <c r="AI303" s="166">
        <v>6.8044132058013903E-3</v>
      </c>
      <c r="AJ303" s="166">
        <v>1.0915622159866399E-3</v>
      </c>
    </row>
    <row r="304" spans="1:36">
      <c r="A304" s="3">
        <v>161</v>
      </c>
      <c r="B304" s="3">
        <v>9943</v>
      </c>
      <c r="C304" s="3" t="s">
        <v>351</v>
      </c>
      <c r="D304" s="3" t="s">
        <v>352</v>
      </c>
      <c r="E304" s="5" t="s">
        <v>149</v>
      </c>
      <c r="F304" s="3" t="s">
        <v>353</v>
      </c>
      <c r="G304" s="3" t="s">
        <v>354</v>
      </c>
      <c r="H304" s="3" t="s">
        <v>152</v>
      </c>
      <c r="I304" s="3" t="s">
        <v>166</v>
      </c>
      <c r="J304" s="3" t="s">
        <v>30</v>
      </c>
      <c r="K304" s="3" t="s">
        <v>30</v>
      </c>
      <c r="L304" s="3" t="s">
        <v>154</v>
      </c>
      <c r="M304" s="3" t="s">
        <v>31</v>
      </c>
      <c r="N304" s="3" t="s">
        <v>167</v>
      </c>
      <c r="O304" s="3" t="s">
        <v>156</v>
      </c>
      <c r="P304" s="3" t="s">
        <v>168</v>
      </c>
      <c r="Q304" s="3" t="s">
        <v>169</v>
      </c>
      <c r="R304" s="3" t="s">
        <v>159</v>
      </c>
      <c r="S304" s="3" t="s">
        <v>34</v>
      </c>
      <c r="T304" s="155">
        <v>2.5139999999999998</v>
      </c>
      <c r="U304" s="3" t="s">
        <v>259</v>
      </c>
      <c r="V304" s="166">
        <v>2.81E-2</v>
      </c>
      <c r="W304" s="166">
        <v>2.8070000000000001E-2</v>
      </c>
      <c r="X304" s="5" t="s">
        <v>161</v>
      </c>
      <c r="Y304" s="5" t="s">
        <v>156</v>
      </c>
      <c r="Z304" s="155">
        <v>310179</v>
      </c>
      <c r="AA304" s="164">
        <v>1</v>
      </c>
      <c r="AB304" s="174">
        <v>121.01</v>
      </c>
      <c r="AD304" s="155">
        <v>375.34800000000001</v>
      </c>
      <c r="AG304" s="3" t="s">
        <v>36</v>
      </c>
      <c r="AH304" s="166">
        <v>2.2499999999999999E-4</v>
      </c>
      <c r="AI304" s="166">
        <v>1.2027397673031199E-3</v>
      </c>
      <c r="AJ304" s="166">
        <v>1.92943204056643E-4</v>
      </c>
    </row>
    <row r="305" spans="1:36">
      <c r="A305" s="3">
        <v>161</v>
      </c>
      <c r="B305" s="3">
        <v>9943</v>
      </c>
      <c r="C305" s="3" t="s">
        <v>351</v>
      </c>
      <c r="D305" s="3" t="s">
        <v>352</v>
      </c>
      <c r="E305" s="5" t="s">
        <v>149</v>
      </c>
      <c r="F305" s="3" t="s">
        <v>585</v>
      </c>
      <c r="G305" s="3" t="s">
        <v>586</v>
      </c>
      <c r="H305" s="3" t="s">
        <v>152</v>
      </c>
      <c r="I305" s="3" t="s">
        <v>153</v>
      </c>
      <c r="J305" s="3" t="s">
        <v>30</v>
      </c>
      <c r="K305" s="3" t="s">
        <v>30</v>
      </c>
      <c r="L305" s="3" t="s">
        <v>154</v>
      </c>
      <c r="M305" s="3" t="s">
        <v>31</v>
      </c>
      <c r="N305" s="3" t="s">
        <v>167</v>
      </c>
      <c r="O305" s="3" t="s">
        <v>156</v>
      </c>
      <c r="P305" s="3" t="s">
        <v>168</v>
      </c>
      <c r="Q305" s="3" t="s">
        <v>169</v>
      </c>
      <c r="R305" s="3" t="s">
        <v>159</v>
      </c>
      <c r="S305" s="3" t="s">
        <v>34</v>
      </c>
      <c r="T305" s="155">
        <v>1.64</v>
      </c>
      <c r="U305" s="3" t="s">
        <v>240</v>
      </c>
      <c r="V305" s="166">
        <v>5.6500000000000002E-2</v>
      </c>
      <c r="W305" s="166">
        <v>4.9180000000000001E-2</v>
      </c>
      <c r="X305" s="5" t="s">
        <v>161</v>
      </c>
      <c r="Y305" s="5" t="s">
        <v>156</v>
      </c>
      <c r="Z305" s="155">
        <v>253667.62</v>
      </c>
      <c r="AA305" s="164">
        <v>1</v>
      </c>
      <c r="AB305" s="174">
        <v>102.79</v>
      </c>
      <c r="AD305" s="155">
        <v>260.745</v>
      </c>
      <c r="AG305" s="3" t="s">
        <v>36</v>
      </c>
      <c r="AH305" s="166">
        <v>2.1670000000000001E-3</v>
      </c>
      <c r="AI305" s="166">
        <v>8.3551436001237395E-4</v>
      </c>
      <c r="AJ305" s="166">
        <v>1.3403299869064201E-4</v>
      </c>
    </row>
    <row r="306" spans="1:36">
      <c r="A306" s="3">
        <v>161</v>
      </c>
      <c r="B306" s="3">
        <v>9943</v>
      </c>
      <c r="C306" s="3" t="s">
        <v>351</v>
      </c>
      <c r="D306" s="3" t="s">
        <v>352</v>
      </c>
      <c r="E306" s="5" t="s">
        <v>149</v>
      </c>
      <c r="F306" s="3" t="s">
        <v>547</v>
      </c>
      <c r="G306" s="3" t="s">
        <v>548</v>
      </c>
      <c r="H306" s="3" t="s">
        <v>152</v>
      </c>
      <c r="I306" s="3" t="s">
        <v>166</v>
      </c>
      <c r="J306" s="3" t="s">
        <v>30</v>
      </c>
      <c r="K306" s="3" t="s">
        <v>30</v>
      </c>
      <c r="L306" s="3" t="s">
        <v>154</v>
      </c>
      <c r="M306" s="3" t="s">
        <v>31</v>
      </c>
      <c r="N306" s="3" t="s">
        <v>167</v>
      </c>
      <c r="O306" s="3" t="s">
        <v>156</v>
      </c>
      <c r="P306" s="3" t="s">
        <v>168</v>
      </c>
      <c r="Q306" s="3" t="s">
        <v>169</v>
      </c>
      <c r="R306" s="3" t="s">
        <v>159</v>
      </c>
      <c r="S306" s="3" t="s">
        <v>34</v>
      </c>
      <c r="T306" s="155">
        <v>1.673</v>
      </c>
      <c r="U306" s="3" t="s">
        <v>240</v>
      </c>
      <c r="V306" s="166">
        <v>3.6999999999999998E-2</v>
      </c>
      <c r="W306" s="166">
        <v>2.9180000000000001E-2</v>
      </c>
      <c r="X306" s="5" t="s">
        <v>161</v>
      </c>
      <c r="Y306" s="5" t="s">
        <v>156</v>
      </c>
      <c r="Z306" s="155">
        <v>523361.26</v>
      </c>
      <c r="AA306" s="164">
        <v>1</v>
      </c>
      <c r="AB306" s="174">
        <v>121.5</v>
      </c>
      <c r="AD306" s="155">
        <v>635.88400000000001</v>
      </c>
      <c r="AG306" s="3" t="s">
        <v>36</v>
      </c>
      <c r="AH306" s="166">
        <v>2.32E-3</v>
      </c>
      <c r="AI306" s="166">
        <v>2.03758562725733E-3</v>
      </c>
      <c r="AJ306" s="166">
        <v>3.26868962139931E-4</v>
      </c>
    </row>
    <row r="307" spans="1:36">
      <c r="A307" s="3">
        <v>161</v>
      </c>
      <c r="B307" s="3">
        <v>9943</v>
      </c>
      <c r="C307" s="3" t="s">
        <v>355</v>
      </c>
      <c r="D307" s="3" t="s">
        <v>356</v>
      </c>
      <c r="E307" s="5" t="s">
        <v>149</v>
      </c>
      <c r="F307" s="3" t="s">
        <v>357</v>
      </c>
      <c r="G307" s="3" t="s">
        <v>358</v>
      </c>
      <c r="H307" s="3" t="s">
        <v>152</v>
      </c>
      <c r="I307" s="3" t="s">
        <v>153</v>
      </c>
      <c r="J307" s="3" t="s">
        <v>30</v>
      </c>
      <c r="K307" s="3" t="s">
        <v>30</v>
      </c>
      <c r="L307" s="3" t="s">
        <v>154</v>
      </c>
      <c r="M307" s="3" t="s">
        <v>31</v>
      </c>
      <c r="N307" s="3" t="s">
        <v>155</v>
      </c>
      <c r="O307" s="3" t="s">
        <v>156</v>
      </c>
      <c r="P307" s="3" t="s">
        <v>359</v>
      </c>
      <c r="Q307" s="3" t="s">
        <v>158</v>
      </c>
      <c r="R307" s="3" t="s">
        <v>159</v>
      </c>
      <c r="S307" s="3" t="s">
        <v>34</v>
      </c>
      <c r="T307" s="155">
        <v>1.196</v>
      </c>
      <c r="U307" s="3" t="s">
        <v>360</v>
      </c>
      <c r="V307" s="166">
        <v>4.1000000000000002E-2</v>
      </c>
      <c r="W307" s="166">
        <v>4.9340000000000002E-2</v>
      </c>
      <c r="X307" s="5" t="s">
        <v>161</v>
      </c>
      <c r="Y307" s="5" t="s">
        <v>156</v>
      </c>
      <c r="Z307" s="155">
        <v>1300000</v>
      </c>
      <c r="AA307" s="164">
        <v>1</v>
      </c>
      <c r="AB307" s="174">
        <v>102.14</v>
      </c>
      <c r="AD307" s="155">
        <v>1327.82</v>
      </c>
      <c r="AG307" s="3" t="s">
        <v>36</v>
      </c>
      <c r="AH307" s="166">
        <v>1.823E-3</v>
      </c>
      <c r="AI307" s="166">
        <v>4.2547811261019501E-3</v>
      </c>
      <c r="AJ307" s="166">
        <v>6.8255089367386297E-4</v>
      </c>
    </row>
    <row r="308" spans="1:36">
      <c r="A308" s="3">
        <v>161</v>
      </c>
      <c r="B308" s="3">
        <v>9943</v>
      </c>
      <c r="C308" s="3" t="s">
        <v>361</v>
      </c>
      <c r="D308" s="3" t="s">
        <v>362</v>
      </c>
      <c r="E308" s="5" t="s">
        <v>149</v>
      </c>
      <c r="F308" s="3" t="s">
        <v>363</v>
      </c>
      <c r="G308" s="3" t="s">
        <v>364</v>
      </c>
      <c r="H308" s="3" t="s">
        <v>152</v>
      </c>
      <c r="I308" s="3" t="s">
        <v>166</v>
      </c>
      <c r="J308" s="3" t="s">
        <v>30</v>
      </c>
      <c r="K308" s="3" t="s">
        <v>30</v>
      </c>
      <c r="L308" s="3" t="s">
        <v>154</v>
      </c>
      <c r="M308" s="3" t="s">
        <v>31</v>
      </c>
      <c r="N308" s="3" t="s">
        <v>167</v>
      </c>
      <c r="O308" s="3" t="s">
        <v>156</v>
      </c>
      <c r="P308" s="3" t="s">
        <v>179</v>
      </c>
      <c r="Q308" s="3" t="s">
        <v>169</v>
      </c>
      <c r="R308" s="3" t="s">
        <v>159</v>
      </c>
      <c r="S308" s="3" t="s">
        <v>34</v>
      </c>
      <c r="T308" s="155">
        <v>1.379</v>
      </c>
      <c r="U308" s="3" t="s">
        <v>365</v>
      </c>
      <c r="V308" s="166">
        <v>2.0500000000000001E-2</v>
      </c>
      <c r="W308" s="166">
        <v>3.0210000000000001E-2</v>
      </c>
      <c r="X308" s="5" t="s">
        <v>161</v>
      </c>
      <c r="Y308" s="5" t="s">
        <v>156</v>
      </c>
      <c r="Z308" s="155">
        <v>820428.65</v>
      </c>
      <c r="AA308" s="164">
        <v>1</v>
      </c>
      <c r="AB308" s="174">
        <v>118.88</v>
      </c>
      <c r="AD308" s="155">
        <v>975.32600000000002</v>
      </c>
      <c r="AG308" s="3" t="s">
        <v>36</v>
      </c>
      <c r="AH308" s="166">
        <v>1.629E-3</v>
      </c>
      <c r="AI308" s="166">
        <v>3.1252706434940201E-3</v>
      </c>
      <c r="AJ308" s="166">
        <v>5.0135511262922202E-4</v>
      </c>
    </row>
    <row r="309" spans="1:36">
      <c r="A309" s="3">
        <v>161</v>
      </c>
      <c r="B309" s="3">
        <v>9943</v>
      </c>
      <c r="C309" s="3" t="s">
        <v>369</v>
      </c>
      <c r="D309" s="3" t="s">
        <v>370</v>
      </c>
      <c r="E309" s="5" t="s">
        <v>149</v>
      </c>
      <c r="F309" s="3" t="s">
        <v>371</v>
      </c>
      <c r="G309" s="3" t="s">
        <v>372</v>
      </c>
      <c r="H309" s="3" t="s">
        <v>152</v>
      </c>
      <c r="I309" s="3" t="s">
        <v>166</v>
      </c>
      <c r="J309" s="3" t="s">
        <v>30</v>
      </c>
      <c r="K309" s="3" t="s">
        <v>30</v>
      </c>
      <c r="L309" s="3" t="s">
        <v>154</v>
      </c>
      <c r="M309" s="3" t="s">
        <v>31</v>
      </c>
      <c r="N309" s="3" t="s">
        <v>245</v>
      </c>
      <c r="O309" s="3" t="s">
        <v>156</v>
      </c>
      <c r="P309" s="3" t="s">
        <v>246</v>
      </c>
      <c r="Q309" s="3" t="s">
        <v>169</v>
      </c>
      <c r="R309" s="3" t="s">
        <v>159</v>
      </c>
      <c r="S309" s="3" t="s">
        <v>34</v>
      </c>
      <c r="T309" s="155">
        <v>3.04</v>
      </c>
      <c r="U309" s="3" t="s">
        <v>373</v>
      </c>
      <c r="V309" s="166">
        <v>1E-3</v>
      </c>
      <c r="W309" s="166">
        <v>2.5440000000000001E-2</v>
      </c>
      <c r="X309" s="5" t="s">
        <v>161</v>
      </c>
      <c r="Y309" s="5" t="s">
        <v>156</v>
      </c>
      <c r="Z309" s="155">
        <v>1712290</v>
      </c>
      <c r="AA309" s="164">
        <v>1</v>
      </c>
      <c r="AB309" s="174">
        <v>107.76</v>
      </c>
      <c r="AD309" s="155">
        <v>1845.164</v>
      </c>
      <c r="AG309" s="3" t="s">
        <v>36</v>
      </c>
      <c r="AH309" s="166">
        <v>5.0699999999999996E-4</v>
      </c>
      <c r="AI309" s="166">
        <v>5.9125240637643399E-3</v>
      </c>
      <c r="AJ309" s="166">
        <v>9.4848558926644802E-4</v>
      </c>
    </row>
    <row r="310" spans="1:36">
      <c r="A310" s="3">
        <v>161</v>
      </c>
      <c r="B310" s="3">
        <v>9943</v>
      </c>
      <c r="C310" s="3" t="s">
        <v>369</v>
      </c>
      <c r="D310" s="3" t="s">
        <v>370</v>
      </c>
      <c r="E310" s="5" t="s">
        <v>149</v>
      </c>
      <c r="F310" s="3" t="s">
        <v>374</v>
      </c>
      <c r="G310" s="3" t="s">
        <v>375</v>
      </c>
      <c r="H310" s="3" t="s">
        <v>152</v>
      </c>
      <c r="I310" s="3" t="s">
        <v>153</v>
      </c>
      <c r="J310" s="3" t="s">
        <v>30</v>
      </c>
      <c r="K310" s="3" t="s">
        <v>30</v>
      </c>
      <c r="L310" s="3" t="s">
        <v>154</v>
      </c>
      <c r="M310" s="3" t="s">
        <v>31</v>
      </c>
      <c r="N310" s="3" t="s">
        <v>245</v>
      </c>
      <c r="O310" s="3" t="s">
        <v>156</v>
      </c>
      <c r="P310" s="3" t="s">
        <v>246</v>
      </c>
      <c r="Q310" s="3" t="s">
        <v>169</v>
      </c>
      <c r="R310" s="3" t="s">
        <v>159</v>
      </c>
      <c r="S310" s="3" t="s">
        <v>34</v>
      </c>
      <c r="T310" s="155">
        <v>2.8170000000000002</v>
      </c>
      <c r="U310" s="3" t="s">
        <v>376</v>
      </c>
      <c r="V310" s="166">
        <v>2.7400000000000001E-2</v>
      </c>
      <c r="W310" s="166">
        <v>4.4889999999999999E-2</v>
      </c>
      <c r="X310" s="5" t="s">
        <v>161</v>
      </c>
      <c r="Y310" s="5" t="s">
        <v>156</v>
      </c>
      <c r="Z310" s="155">
        <v>1900000</v>
      </c>
      <c r="AA310" s="164">
        <v>1</v>
      </c>
      <c r="AB310" s="174">
        <v>96.57</v>
      </c>
      <c r="AD310" s="155">
        <v>1834.83</v>
      </c>
      <c r="AG310" s="3" t="s">
        <v>36</v>
      </c>
      <c r="AH310" s="166">
        <v>6.0099999999999997E-4</v>
      </c>
      <c r="AI310" s="166">
        <v>5.8794114063695597E-3</v>
      </c>
      <c r="AJ310" s="166">
        <v>9.4317366528566603E-4</v>
      </c>
    </row>
    <row r="311" spans="1:36">
      <c r="A311" s="3">
        <v>161</v>
      </c>
      <c r="B311" s="3">
        <v>9943</v>
      </c>
      <c r="C311" s="3" t="s">
        <v>369</v>
      </c>
      <c r="D311" s="3" t="s">
        <v>370</v>
      </c>
      <c r="E311" s="5" t="s">
        <v>149</v>
      </c>
      <c r="F311" s="3" t="s">
        <v>587</v>
      </c>
      <c r="G311" s="3" t="s">
        <v>588</v>
      </c>
      <c r="H311" s="3" t="s">
        <v>152</v>
      </c>
      <c r="I311" s="3" t="s">
        <v>166</v>
      </c>
      <c r="J311" s="3" t="s">
        <v>30</v>
      </c>
      <c r="K311" s="3" t="s">
        <v>30</v>
      </c>
      <c r="L311" s="3" t="s">
        <v>154</v>
      </c>
      <c r="M311" s="3" t="s">
        <v>31</v>
      </c>
      <c r="N311" s="3" t="s">
        <v>245</v>
      </c>
      <c r="O311" s="3" t="s">
        <v>156</v>
      </c>
      <c r="P311" s="3" t="s">
        <v>246</v>
      </c>
      <c r="Q311" s="3" t="s">
        <v>169</v>
      </c>
      <c r="R311" s="3" t="s">
        <v>159</v>
      </c>
      <c r="S311" s="3" t="s">
        <v>34</v>
      </c>
      <c r="T311" s="155">
        <v>3.956</v>
      </c>
      <c r="U311" s="3" t="s">
        <v>298</v>
      </c>
      <c r="V311" s="166">
        <v>2.06E-2</v>
      </c>
      <c r="W311" s="166">
        <v>2.5260000000000001E-2</v>
      </c>
      <c r="X311" s="5" t="s">
        <v>161</v>
      </c>
      <c r="Y311" s="5" t="s">
        <v>156</v>
      </c>
      <c r="Z311" s="155">
        <v>1240000.02</v>
      </c>
      <c r="AA311" s="164">
        <v>1</v>
      </c>
      <c r="AB311" s="174">
        <v>106.36</v>
      </c>
      <c r="AD311" s="155">
        <v>1318.864</v>
      </c>
      <c r="AG311" s="3" t="s">
        <v>36</v>
      </c>
      <c r="AH311" s="166">
        <v>7.7499999999999997E-4</v>
      </c>
      <c r="AI311" s="166">
        <v>4.2260831630816101E-3</v>
      </c>
      <c r="AJ311" s="166">
        <v>6.7794717382891299E-4</v>
      </c>
    </row>
    <row r="312" spans="1:36">
      <c r="A312" s="3">
        <v>161</v>
      </c>
      <c r="B312" s="3">
        <v>9943</v>
      </c>
      <c r="C312" s="3" t="s">
        <v>369</v>
      </c>
      <c r="D312" s="3" t="s">
        <v>370</v>
      </c>
      <c r="E312" s="5" t="s">
        <v>149</v>
      </c>
      <c r="F312" s="3" t="s">
        <v>589</v>
      </c>
      <c r="G312" s="3" t="s">
        <v>590</v>
      </c>
      <c r="H312" s="3" t="s">
        <v>152</v>
      </c>
      <c r="I312" s="3" t="s">
        <v>166</v>
      </c>
      <c r="J312" s="3" t="s">
        <v>30</v>
      </c>
      <c r="K312" s="3" t="s">
        <v>30</v>
      </c>
      <c r="L312" s="3" t="s">
        <v>154</v>
      </c>
      <c r="M312" s="3" t="s">
        <v>31</v>
      </c>
      <c r="N312" s="3" t="s">
        <v>245</v>
      </c>
      <c r="O312" s="3" t="s">
        <v>156</v>
      </c>
      <c r="P312" s="3" t="s">
        <v>246</v>
      </c>
      <c r="Q312" s="3" t="s">
        <v>169</v>
      </c>
      <c r="R312" s="3" t="s">
        <v>159</v>
      </c>
      <c r="S312" s="3" t="s">
        <v>34</v>
      </c>
      <c r="T312" s="155">
        <v>3.9340000000000002</v>
      </c>
      <c r="U312" s="3" t="s">
        <v>591</v>
      </c>
      <c r="V312" s="166">
        <v>1.9900000000000001E-2</v>
      </c>
      <c r="W312" s="166">
        <v>2.545E-2</v>
      </c>
      <c r="X312" s="5" t="s">
        <v>161</v>
      </c>
      <c r="Y312" s="5" t="s">
        <v>156</v>
      </c>
      <c r="Z312" s="155">
        <v>1710000</v>
      </c>
      <c r="AA312" s="164">
        <v>1</v>
      </c>
      <c r="AB312" s="174">
        <v>105.83</v>
      </c>
      <c r="AD312" s="155">
        <v>1809.693</v>
      </c>
      <c r="AG312" s="3" t="s">
        <v>36</v>
      </c>
      <c r="AH312" s="166">
        <v>7.0399999999999998E-4</v>
      </c>
      <c r="AI312" s="166">
        <v>5.7988640180437201E-3</v>
      </c>
      <c r="AJ312" s="166">
        <v>9.3025227397187395E-4</v>
      </c>
    </row>
    <row r="313" spans="1:36">
      <c r="A313" s="3">
        <v>161</v>
      </c>
      <c r="B313" s="3">
        <v>9943</v>
      </c>
      <c r="C313" s="3" t="s">
        <v>369</v>
      </c>
      <c r="D313" s="3" t="s">
        <v>370</v>
      </c>
      <c r="E313" s="5" t="s">
        <v>149</v>
      </c>
      <c r="F313" s="3" t="s">
        <v>592</v>
      </c>
      <c r="G313" s="3" t="s">
        <v>593</v>
      </c>
      <c r="H313" s="3" t="s">
        <v>152</v>
      </c>
      <c r="I313" s="3" t="s">
        <v>166</v>
      </c>
      <c r="J313" s="3" t="s">
        <v>30</v>
      </c>
      <c r="K313" s="3" t="s">
        <v>30</v>
      </c>
      <c r="L313" s="3" t="s">
        <v>154</v>
      </c>
      <c r="M313" s="3" t="s">
        <v>31</v>
      </c>
      <c r="N313" s="3" t="s">
        <v>245</v>
      </c>
      <c r="O313" s="3" t="s">
        <v>156</v>
      </c>
      <c r="P313" s="3" t="s">
        <v>246</v>
      </c>
      <c r="Q313" s="3" t="s">
        <v>169</v>
      </c>
      <c r="R313" s="3" t="s">
        <v>159</v>
      </c>
      <c r="S313" s="3" t="s">
        <v>34</v>
      </c>
      <c r="T313" s="155">
        <v>5.0759999999999996</v>
      </c>
      <c r="U313" s="3" t="s">
        <v>594</v>
      </c>
      <c r="V313" s="166">
        <v>2.6800000000000001E-2</v>
      </c>
      <c r="W313" s="166">
        <v>2.598E-2</v>
      </c>
      <c r="X313" s="5" t="s">
        <v>161</v>
      </c>
      <c r="Y313" s="5" t="s">
        <v>156</v>
      </c>
      <c r="Z313" s="155">
        <v>7779000</v>
      </c>
      <c r="AA313" s="164">
        <v>1</v>
      </c>
      <c r="AB313" s="174">
        <v>105.34</v>
      </c>
      <c r="AD313" s="155">
        <v>8194.3989999999994</v>
      </c>
      <c r="AG313" s="3" t="s">
        <v>36</v>
      </c>
      <c r="AH313" s="166">
        <v>2.7780000000000001E-3</v>
      </c>
      <c r="AI313" s="166">
        <v>2.62576045721831E-2</v>
      </c>
      <c r="AJ313" s="166">
        <v>4.2122381704973897E-3</v>
      </c>
    </row>
    <row r="314" spans="1:36">
      <c r="A314" s="3">
        <v>161</v>
      </c>
      <c r="B314" s="3">
        <v>9943</v>
      </c>
      <c r="C314" s="3" t="s">
        <v>369</v>
      </c>
      <c r="D314" s="3" t="s">
        <v>370</v>
      </c>
      <c r="E314" s="5" t="s">
        <v>149</v>
      </c>
      <c r="F314" s="3" t="s">
        <v>377</v>
      </c>
      <c r="G314" s="3" t="s">
        <v>378</v>
      </c>
      <c r="H314" s="3" t="s">
        <v>152</v>
      </c>
      <c r="I314" s="3" t="s">
        <v>166</v>
      </c>
      <c r="J314" s="3" t="s">
        <v>30</v>
      </c>
      <c r="K314" s="3" t="s">
        <v>30</v>
      </c>
      <c r="L314" s="3" t="s">
        <v>154</v>
      </c>
      <c r="M314" s="3" t="s">
        <v>31</v>
      </c>
      <c r="N314" s="3" t="s">
        <v>245</v>
      </c>
      <c r="O314" s="3" t="s">
        <v>156</v>
      </c>
      <c r="P314" s="3" t="s">
        <v>343</v>
      </c>
      <c r="Q314" s="3" t="s">
        <v>158</v>
      </c>
      <c r="R314" s="3" t="s">
        <v>159</v>
      </c>
      <c r="S314" s="3" t="s">
        <v>34</v>
      </c>
      <c r="T314" s="155">
        <v>1.157</v>
      </c>
      <c r="U314" s="3" t="s">
        <v>379</v>
      </c>
      <c r="V314" s="166">
        <v>5.0000000000000001E-3</v>
      </c>
      <c r="W314" s="166">
        <v>2.9350000000000001E-2</v>
      </c>
      <c r="X314" s="5" t="s">
        <v>161</v>
      </c>
      <c r="Y314" s="5" t="s">
        <v>156</v>
      </c>
      <c r="Z314" s="155">
        <v>1468553</v>
      </c>
      <c r="AA314" s="164">
        <v>1</v>
      </c>
      <c r="AB314" s="174">
        <v>114.73</v>
      </c>
      <c r="AD314" s="155">
        <v>1684.8710000000001</v>
      </c>
      <c r="AG314" s="3" t="s">
        <v>36</v>
      </c>
      <c r="AH314" s="166">
        <v>1.9239999999999999E-3</v>
      </c>
      <c r="AI314" s="166">
        <v>5.3988919596461397E-3</v>
      </c>
      <c r="AJ314" s="166">
        <v>8.6608885925964498E-4</v>
      </c>
    </row>
    <row r="315" spans="1:36">
      <c r="A315" s="3">
        <v>161</v>
      </c>
      <c r="B315" s="3">
        <v>9943</v>
      </c>
      <c r="C315" s="3" t="s">
        <v>369</v>
      </c>
      <c r="D315" s="3" t="s">
        <v>370</v>
      </c>
      <c r="E315" s="5" t="s">
        <v>149</v>
      </c>
      <c r="F315" s="3" t="s">
        <v>549</v>
      </c>
      <c r="G315" s="3" t="s">
        <v>550</v>
      </c>
      <c r="H315" s="3" t="s">
        <v>152</v>
      </c>
      <c r="I315" s="3" t="s">
        <v>166</v>
      </c>
      <c r="J315" s="3" t="s">
        <v>30</v>
      </c>
      <c r="K315" s="3" t="s">
        <v>30</v>
      </c>
      <c r="L315" s="3" t="s">
        <v>154</v>
      </c>
      <c r="M315" s="3" t="s">
        <v>31</v>
      </c>
      <c r="N315" s="3" t="s">
        <v>245</v>
      </c>
      <c r="O315" s="3" t="s">
        <v>156</v>
      </c>
      <c r="P315" s="3" t="s">
        <v>185</v>
      </c>
      <c r="Q315" s="3" t="s">
        <v>169</v>
      </c>
      <c r="R315" s="3" t="s">
        <v>159</v>
      </c>
      <c r="S315" s="3" t="s">
        <v>34</v>
      </c>
      <c r="T315" s="155">
        <v>3.5310000000000001</v>
      </c>
      <c r="U315" s="3" t="s">
        <v>551</v>
      </c>
      <c r="V315" s="166">
        <v>3.3599999999999998E-2</v>
      </c>
      <c r="W315" s="166">
        <v>2.955E-2</v>
      </c>
      <c r="X315" s="5" t="s">
        <v>161</v>
      </c>
      <c r="Y315" s="5" t="s">
        <v>156</v>
      </c>
      <c r="Z315" s="155">
        <v>751950</v>
      </c>
      <c r="AA315" s="164">
        <v>1</v>
      </c>
      <c r="AB315" s="174">
        <v>108.97</v>
      </c>
      <c r="AD315" s="155">
        <v>819.4</v>
      </c>
      <c r="AG315" s="3" t="s">
        <v>36</v>
      </c>
      <c r="AH315" s="166">
        <v>6.4400000000000004E-4</v>
      </c>
      <c r="AI315" s="166">
        <v>2.62563246002586E-3</v>
      </c>
      <c r="AJ315" s="166">
        <v>4.2120328377305398E-4</v>
      </c>
    </row>
    <row r="316" spans="1:36">
      <c r="A316" s="3">
        <v>161</v>
      </c>
      <c r="B316" s="3">
        <v>9943</v>
      </c>
      <c r="C316" s="3" t="s">
        <v>369</v>
      </c>
      <c r="D316" s="3" t="s">
        <v>370</v>
      </c>
      <c r="E316" s="5" t="s">
        <v>149</v>
      </c>
      <c r="F316" s="3" t="s">
        <v>383</v>
      </c>
      <c r="G316" s="3" t="s">
        <v>384</v>
      </c>
      <c r="H316" s="3" t="s">
        <v>152</v>
      </c>
      <c r="I316" s="3" t="s">
        <v>166</v>
      </c>
      <c r="J316" s="3" t="s">
        <v>30</v>
      </c>
      <c r="K316" s="3" t="s">
        <v>30</v>
      </c>
      <c r="L316" s="3" t="s">
        <v>154</v>
      </c>
      <c r="M316" s="3" t="s">
        <v>31</v>
      </c>
      <c r="N316" s="3" t="s">
        <v>245</v>
      </c>
      <c r="O316" s="3" t="s">
        <v>156</v>
      </c>
      <c r="P316" s="3" t="s">
        <v>246</v>
      </c>
      <c r="Q316" s="3" t="s">
        <v>169</v>
      </c>
      <c r="R316" s="3" t="s">
        <v>159</v>
      </c>
      <c r="S316" s="3" t="s">
        <v>34</v>
      </c>
      <c r="T316" s="155">
        <v>0.71199999999999997</v>
      </c>
      <c r="U316" s="3" t="s">
        <v>385</v>
      </c>
      <c r="V316" s="166">
        <v>3.8E-3</v>
      </c>
      <c r="W316" s="166">
        <v>3.2919999999999998E-2</v>
      </c>
      <c r="X316" s="5" t="s">
        <v>161</v>
      </c>
      <c r="Y316" s="5" t="s">
        <v>156</v>
      </c>
      <c r="Z316" s="155">
        <v>6846772</v>
      </c>
      <c r="AA316" s="164">
        <v>1</v>
      </c>
      <c r="AB316" s="174">
        <v>114.65</v>
      </c>
      <c r="AD316" s="155">
        <v>7849.8239999999996</v>
      </c>
      <c r="AG316" s="3" t="s">
        <v>36</v>
      </c>
      <c r="AH316" s="166">
        <v>2.2820000000000002E-3</v>
      </c>
      <c r="AI316" s="166">
        <v>2.5153472168961601E-2</v>
      </c>
      <c r="AJ316" s="166">
        <v>4.0351135344192197E-3</v>
      </c>
    </row>
    <row r="317" spans="1:36">
      <c r="A317" s="3">
        <v>161</v>
      </c>
      <c r="B317" s="3">
        <v>9943</v>
      </c>
      <c r="C317" s="3" t="s">
        <v>369</v>
      </c>
      <c r="D317" s="3" t="s">
        <v>370</v>
      </c>
      <c r="E317" s="5" t="s">
        <v>149</v>
      </c>
      <c r="F317" s="3" t="s">
        <v>386</v>
      </c>
      <c r="G317" s="3" t="s">
        <v>387</v>
      </c>
      <c r="H317" s="3" t="s">
        <v>152</v>
      </c>
      <c r="I317" s="3" t="s">
        <v>166</v>
      </c>
      <c r="J317" s="3" t="s">
        <v>30</v>
      </c>
      <c r="K317" s="3" t="s">
        <v>30</v>
      </c>
      <c r="L317" s="3" t="s">
        <v>154</v>
      </c>
      <c r="M317" s="3" t="s">
        <v>31</v>
      </c>
      <c r="N317" s="3" t="s">
        <v>245</v>
      </c>
      <c r="O317" s="3" t="s">
        <v>156</v>
      </c>
      <c r="P317" s="3" t="s">
        <v>246</v>
      </c>
      <c r="Q317" s="3" t="s">
        <v>169</v>
      </c>
      <c r="R317" s="3" t="s">
        <v>159</v>
      </c>
      <c r="S317" s="3" t="s">
        <v>34</v>
      </c>
      <c r="T317" s="155">
        <v>2.9409999999999998</v>
      </c>
      <c r="U317" s="3" t="s">
        <v>376</v>
      </c>
      <c r="V317" s="166">
        <v>1E-3</v>
      </c>
      <c r="W317" s="166">
        <v>2.562E-2</v>
      </c>
      <c r="X317" s="5" t="s">
        <v>161</v>
      </c>
      <c r="Y317" s="5" t="s">
        <v>156</v>
      </c>
      <c r="Z317" s="155">
        <v>765309.52</v>
      </c>
      <c r="AA317" s="164">
        <v>1</v>
      </c>
      <c r="AB317" s="174">
        <v>106.57</v>
      </c>
      <c r="AD317" s="155">
        <v>815.59</v>
      </c>
      <c r="AG317" s="3" t="s">
        <v>36</v>
      </c>
      <c r="AH317" s="166">
        <v>3.4299999999999999E-4</v>
      </c>
      <c r="AI317" s="166">
        <v>2.6134253521252898E-3</v>
      </c>
      <c r="AJ317" s="166">
        <v>4.1924502266401802E-4</v>
      </c>
    </row>
    <row r="318" spans="1:36">
      <c r="A318" s="3">
        <v>161</v>
      </c>
      <c r="B318" s="3">
        <v>9943</v>
      </c>
      <c r="C318" s="3" t="s">
        <v>595</v>
      </c>
      <c r="D318" s="3" t="s">
        <v>596</v>
      </c>
      <c r="E318" s="5" t="s">
        <v>149</v>
      </c>
      <c r="F318" s="3" t="s">
        <v>597</v>
      </c>
      <c r="G318" s="3" t="s">
        <v>598</v>
      </c>
      <c r="H318" s="3" t="s">
        <v>152</v>
      </c>
      <c r="I318" s="3" t="s">
        <v>166</v>
      </c>
      <c r="J318" s="3" t="s">
        <v>30</v>
      </c>
      <c r="K318" s="3" t="s">
        <v>30</v>
      </c>
      <c r="L318" s="3" t="s">
        <v>154</v>
      </c>
      <c r="M318" s="3" t="s">
        <v>31</v>
      </c>
      <c r="N318" s="3" t="s">
        <v>599</v>
      </c>
      <c r="O318" s="3" t="s">
        <v>156</v>
      </c>
      <c r="P318" s="3" t="s">
        <v>359</v>
      </c>
      <c r="Q318" s="3" t="s">
        <v>158</v>
      </c>
      <c r="R318" s="3" t="s">
        <v>159</v>
      </c>
      <c r="S318" s="3" t="s">
        <v>34</v>
      </c>
      <c r="T318" s="155">
        <v>0.17799999999999999</v>
      </c>
      <c r="U318" s="3" t="s">
        <v>600</v>
      </c>
      <c r="V318" s="166">
        <v>3.95E-2</v>
      </c>
      <c r="W318" s="166">
        <v>4.9840000000000002E-2</v>
      </c>
      <c r="X318" s="5" t="s">
        <v>161</v>
      </c>
      <c r="Y318" s="5" t="s">
        <v>156</v>
      </c>
      <c r="Z318" s="155">
        <v>352803.99</v>
      </c>
      <c r="AA318" s="164">
        <v>1</v>
      </c>
      <c r="AB318" s="174">
        <v>127.01</v>
      </c>
      <c r="AD318" s="155">
        <v>448.096</v>
      </c>
      <c r="AG318" s="3" t="s">
        <v>36</v>
      </c>
      <c r="AH318" s="166">
        <v>4.3299999999999996E-3</v>
      </c>
      <c r="AI318" s="166">
        <v>1.43585115668157E-3</v>
      </c>
      <c r="AJ318" s="166">
        <v>2.3033887317102199E-4</v>
      </c>
    </row>
    <row r="319" spans="1:36">
      <c r="A319" s="3">
        <v>161</v>
      </c>
      <c r="B319" s="3">
        <v>9943</v>
      </c>
      <c r="C319" s="3" t="s">
        <v>388</v>
      </c>
      <c r="D319" s="3" t="s">
        <v>389</v>
      </c>
      <c r="E319" s="5" t="s">
        <v>149</v>
      </c>
      <c r="F319" s="3" t="s">
        <v>390</v>
      </c>
      <c r="G319" s="3" t="s">
        <v>391</v>
      </c>
      <c r="H319" s="3" t="s">
        <v>152</v>
      </c>
      <c r="I319" s="3" t="s">
        <v>166</v>
      </c>
      <c r="J319" s="3" t="s">
        <v>30</v>
      </c>
      <c r="K319" s="3" t="s">
        <v>30</v>
      </c>
      <c r="L319" s="3" t="s">
        <v>154</v>
      </c>
      <c r="M319" s="3" t="s">
        <v>31</v>
      </c>
      <c r="N319" s="3" t="s">
        <v>392</v>
      </c>
      <c r="O319" s="3" t="s">
        <v>156</v>
      </c>
      <c r="P319" s="3" t="s">
        <v>359</v>
      </c>
      <c r="Q319" s="3" t="s">
        <v>158</v>
      </c>
      <c r="R319" s="3" t="s">
        <v>159</v>
      </c>
      <c r="S319" s="3" t="s">
        <v>34</v>
      </c>
      <c r="T319" s="155">
        <v>2.7869999999999999</v>
      </c>
      <c r="U319" s="3" t="s">
        <v>393</v>
      </c>
      <c r="V319" s="166">
        <v>0.01</v>
      </c>
      <c r="W319" s="166">
        <v>3.2149999999999998E-2</v>
      </c>
      <c r="X319" s="5" t="s">
        <v>161</v>
      </c>
      <c r="Y319" s="5" t="s">
        <v>156</v>
      </c>
      <c r="Z319" s="155">
        <v>775209.46</v>
      </c>
      <c r="AA319" s="164">
        <v>1</v>
      </c>
      <c r="AB319" s="174">
        <v>109.08</v>
      </c>
      <c r="AD319" s="155">
        <v>845.59799999999996</v>
      </c>
      <c r="AG319" s="3" t="s">
        <v>36</v>
      </c>
      <c r="AH319" s="166">
        <v>4.6900000000000002E-4</v>
      </c>
      <c r="AI319" s="166">
        <v>2.7095814557496901E-3</v>
      </c>
      <c r="AJ319" s="166">
        <v>4.3467036007054202E-4</v>
      </c>
    </row>
    <row r="320" spans="1:36">
      <c r="A320" s="3">
        <v>161</v>
      </c>
      <c r="B320" s="3">
        <v>9943</v>
      </c>
      <c r="C320" s="3" t="s">
        <v>388</v>
      </c>
      <c r="D320" s="3" t="s">
        <v>389</v>
      </c>
      <c r="E320" s="5" t="s">
        <v>149</v>
      </c>
      <c r="F320" s="3" t="s">
        <v>394</v>
      </c>
      <c r="G320" s="3" t="s">
        <v>395</v>
      </c>
      <c r="H320" s="3" t="s">
        <v>152</v>
      </c>
      <c r="I320" s="3" t="s">
        <v>166</v>
      </c>
      <c r="J320" s="3" t="s">
        <v>30</v>
      </c>
      <c r="K320" s="3" t="s">
        <v>30</v>
      </c>
      <c r="L320" s="3" t="s">
        <v>154</v>
      </c>
      <c r="M320" s="3" t="s">
        <v>31</v>
      </c>
      <c r="N320" s="3" t="s">
        <v>392</v>
      </c>
      <c r="O320" s="3" t="s">
        <v>156</v>
      </c>
      <c r="P320" s="3" t="s">
        <v>359</v>
      </c>
      <c r="Q320" s="3" t="s">
        <v>158</v>
      </c>
      <c r="R320" s="3" t="s">
        <v>159</v>
      </c>
      <c r="S320" s="3" t="s">
        <v>34</v>
      </c>
      <c r="T320" s="155">
        <v>0.97</v>
      </c>
      <c r="U320" s="3" t="s">
        <v>124</v>
      </c>
      <c r="V320" s="166">
        <v>3.5400000000000001E-2</v>
      </c>
      <c r="W320" s="166">
        <v>4.1360000000000001E-2</v>
      </c>
      <c r="X320" s="5" t="s">
        <v>161</v>
      </c>
      <c r="Y320" s="5" t="s">
        <v>156</v>
      </c>
      <c r="Z320" s="155">
        <v>1344957.7</v>
      </c>
      <c r="AA320" s="164">
        <v>1</v>
      </c>
      <c r="AB320" s="174">
        <v>109.63</v>
      </c>
      <c r="AD320" s="155">
        <v>1474.4770000000001</v>
      </c>
      <c r="AG320" s="3" t="s">
        <v>36</v>
      </c>
      <c r="AH320" s="166">
        <v>1.338E-3</v>
      </c>
      <c r="AI320" s="166">
        <v>4.7247198029429999E-3</v>
      </c>
      <c r="AJ320" s="166">
        <v>7.5793833531733899E-4</v>
      </c>
    </row>
    <row r="321" spans="1:36">
      <c r="A321" s="3">
        <v>161</v>
      </c>
      <c r="B321" s="3">
        <v>9943</v>
      </c>
      <c r="C321" s="3" t="s">
        <v>396</v>
      </c>
      <c r="D321" s="3" t="s">
        <v>397</v>
      </c>
      <c r="E321" s="5" t="s">
        <v>149</v>
      </c>
      <c r="F321" s="3" t="s">
        <v>601</v>
      </c>
      <c r="G321" s="3" t="s">
        <v>602</v>
      </c>
      <c r="H321" s="3" t="s">
        <v>152</v>
      </c>
      <c r="I321" s="3" t="s">
        <v>166</v>
      </c>
      <c r="J321" s="3" t="s">
        <v>30</v>
      </c>
      <c r="K321" s="3" t="s">
        <v>30</v>
      </c>
      <c r="L321" s="3" t="s">
        <v>154</v>
      </c>
      <c r="M321" s="3" t="s">
        <v>31</v>
      </c>
      <c r="N321" s="3" t="s">
        <v>167</v>
      </c>
      <c r="O321" s="3" t="s">
        <v>156</v>
      </c>
      <c r="P321" s="3" t="s">
        <v>168</v>
      </c>
      <c r="Q321" s="3" t="s">
        <v>169</v>
      </c>
      <c r="R321" s="3" t="s">
        <v>159</v>
      </c>
      <c r="S321" s="3" t="s">
        <v>34</v>
      </c>
      <c r="T321" s="155">
        <v>2.6280000000000001</v>
      </c>
      <c r="U321" s="3" t="s">
        <v>564</v>
      </c>
      <c r="V321" s="166">
        <v>6.4999999999999997E-3</v>
      </c>
      <c r="W321" s="166">
        <v>2.7640000000000001E-2</v>
      </c>
      <c r="X321" s="5" t="s">
        <v>161</v>
      </c>
      <c r="Y321" s="5" t="s">
        <v>156</v>
      </c>
      <c r="Z321" s="155">
        <v>946808.48</v>
      </c>
      <c r="AA321" s="164">
        <v>1</v>
      </c>
      <c r="AB321" s="174">
        <v>112.29</v>
      </c>
      <c r="AD321" s="155">
        <v>1063.171</v>
      </c>
      <c r="AG321" s="3" t="s">
        <v>36</v>
      </c>
      <c r="AH321" s="166">
        <v>1.771E-3</v>
      </c>
      <c r="AI321" s="166">
        <v>3.4067576441783399E-3</v>
      </c>
      <c r="AJ321" s="166">
        <v>5.4651118486428898E-4</v>
      </c>
    </row>
    <row r="322" spans="1:36">
      <c r="A322" s="3">
        <v>161</v>
      </c>
      <c r="B322" s="3">
        <v>9943</v>
      </c>
      <c r="C322" s="3" t="s">
        <v>396</v>
      </c>
      <c r="D322" s="3" t="s">
        <v>397</v>
      </c>
      <c r="E322" s="5" t="s">
        <v>149</v>
      </c>
      <c r="F322" s="3" t="s">
        <v>398</v>
      </c>
      <c r="G322" s="3" t="s">
        <v>399</v>
      </c>
      <c r="H322" s="3" t="s">
        <v>152</v>
      </c>
      <c r="I322" s="3" t="s">
        <v>166</v>
      </c>
      <c r="J322" s="3" t="s">
        <v>30</v>
      </c>
      <c r="K322" s="3" t="s">
        <v>30</v>
      </c>
      <c r="L322" s="3" t="s">
        <v>154</v>
      </c>
      <c r="M322" s="3" t="s">
        <v>31</v>
      </c>
      <c r="N322" s="3" t="s">
        <v>167</v>
      </c>
      <c r="O322" s="3" t="s">
        <v>156</v>
      </c>
      <c r="P322" s="3" t="s">
        <v>168</v>
      </c>
      <c r="Q322" s="3" t="s">
        <v>169</v>
      </c>
      <c r="R322" s="3" t="s">
        <v>159</v>
      </c>
      <c r="S322" s="3" t="s">
        <v>34</v>
      </c>
      <c r="T322" s="155">
        <v>3.4809999999999999</v>
      </c>
      <c r="U322" s="3" t="s">
        <v>400</v>
      </c>
      <c r="V322" s="166">
        <v>1.43E-2</v>
      </c>
      <c r="W322" s="166">
        <v>2.8119999999999999E-2</v>
      </c>
      <c r="X322" s="5" t="s">
        <v>161</v>
      </c>
      <c r="Y322" s="5" t="s">
        <v>156</v>
      </c>
      <c r="Z322" s="155">
        <v>536195.53</v>
      </c>
      <c r="AA322" s="164">
        <v>1</v>
      </c>
      <c r="AB322" s="174">
        <v>113.61</v>
      </c>
      <c r="AD322" s="155">
        <v>609.17200000000003</v>
      </c>
      <c r="AG322" s="3" t="s">
        <v>36</v>
      </c>
      <c r="AH322" s="166">
        <v>2.7799999999999998E-4</v>
      </c>
      <c r="AI322" s="166">
        <v>1.951990803614E-3</v>
      </c>
      <c r="AJ322" s="166">
        <v>3.13137862550999E-4</v>
      </c>
    </row>
    <row r="323" spans="1:36">
      <c r="A323" s="3">
        <v>161</v>
      </c>
      <c r="B323" s="3">
        <v>9943</v>
      </c>
      <c r="C323" s="3" t="s">
        <v>396</v>
      </c>
      <c r="D323" s="3" t="s">
        <v>397</v>
      </c>
      <c r="E323" s="5" t="s">
        <v>149</v>
      </c>
      <c r="F323" s="3" t="s">
        <v>401</v>
      </c>
      <c r="G323" s="3" t="s">
        <v>402</v>
      </c>
      <c r="H323" s="3" t="s">
        <v>152</v>
      </c>
      <c r="I323" s="3" t="s">
        <v>166</v>
      </c>
      <c r="J323" s="3" t="s">
        <v>30</v>
      </c>
      <c r="K323" s="3" t="s">
        <v>30</v>
      </c>
      <c r="L323" s="3" t="s">
        <v>154</v>
      </c>
      <c r="M323" s="3" t="s">
        <v>31</v>
      </c>
      <c r="N323" s="3" t="s">
        <v>167</v>
      </c>
      <c r="O323" s="3" t="s">
        <v>156</v>
      </c>
      <c r="P323" s="3" t="s">
        <v>168</v>
      </c>
      <c r="Q323" s="3" t="s">
        <v>169</v>
      </c>
      <c r="R323" s="3" t="s">
        <v>159</v>
      </c>
      <c r="S323" s="3" t="s">
        <v>34</v>
      </c>
      <c r="T323" s="155">
        <v>5.3339999999999996</v>
      </c>
      <c r="U323" s="3" t="s">
        <v>403</v>
      </c>
      <c r="V323" s="166">
        <v>3.61E-2</v>
      </c>
      <c r="W323" s="166">
        <v>2.9340000000000001E-2</v>
      </c>
      <c r="X323" s="5" t="s">
        <v>161</v>
      </c>
      <c r="Y323" s="5" t="s">
        <v>156</v>
      </c>
      <c r="Z323" s="155">
        <v>1600000</v>
      </c>
      <c r="AA323" s="164">
        <v>1</v>
      </c>
      <c r="AB323" s="174">
        <v>113.95</v>
      </c>
      <c r="AD323" s="155">
        <v>1823.2</v>
      </c>
      <c r="AG323" s="3" t="s">
        <v>36</v>
      </c>
      <c r="AH323" s="166">
        <v>7.2800000000000002E-4</v>
      </c>
      <c r="AI323" s="166">
        <v>5.8421449813295997E-3</v>
      </c>
      <c r="AJ323" s="166">
        <v>9.3719539496783203E-4</v>
      </c>
    </row>
    <row r="324" spans="1:36">
      <c r="A324" s="3">
        <v>161</v>
      </c>
      <c r="B324" s="3">
        <v>9943</v>
      </c>
      <c r="C324" s="3" t="s">
        <v>396</v>
      </c>
      <c r="D324" s="3" t="s">
        <v>397</v>
      </c>
      <c r="E324" s="5" t="s">
        <v>149</v>
      </c>
      <c r="F324" s="3" t="s">
        <v>404</v>
      </c>
      <c r="G324" s="3" t="s">
        <v>405</v>
      </c>
      <c r="H324" s="3" t="s">
        <v>152</v>
      </c>
      <c r="I324" s="3" t="s">
        <v>166</v>
      </c>
      <c r="J324" s="3" t="s">
        <v>30</v>
      </c>
      <c r="K324" s="3" t="s">
        <v>30</v>
      </c>
      <c r="L324" s="3" t="s">
        <v>154</v>
      </c>
      <c r="M324" s="3" t="s">
        <v>31</v>
      </c>
      <c r="N324" s="3" t="s">
        <v>167</v>
      </c>
      <c r="O324" s="3" t="s">
        <v>156</v>
      </c>
      <c r="P324" s="3" t="s">
        <v>168</v>
      </c>
      <c r="Q324" s="3" t="s">
        <v>169</v>
      </c>
      <c r="R324" s="3" t="s">
        <v>159</v>
      </c>
      <c r="S324" s="3" t="s">
        <v>34</v>
      </c>
      <c r="T324" s="155">
        <v>0.54500000000000004</v>
      </c>
      <c r="U324" s="3" t="s">
        <v>406</v>
      </c>
      <c r="V324" s="166">
        <v>2.1499999999999998E-2</v>
      </c>
      <c r="W324" s="166">
        <v>5.0410000000000003E-2</v>
      </c>
      <c r="X324" s="5" t="s">
        <v>161</v>
      </c>
      <c r="Y324" s="5" t="s">
        <v>156</v>
      </c>
      <c r="Z324" s="155">
        <v>781918.16</v>
      </c>
      <c r="AA324" s="164">
        <v>1</v>
      </c>
      <c r="AB324" s="174">
        <v>120.11</v>
      </c>
      <c r="AD324" s="155">
        <v>939.16200000000003</v>
      </c>
      <c r="AG324" s="3" t="s">
        <v>36</v>
      </c>
      <c r="AH324" s="166">
        <v>1.3489999999999999E-3</v>
      </c>
      <c r="AI324" s="166">
        <v>3.0093900791383602E-3</v>
      </c>
      <c r="AJ324" s="166">
        <v>4.8276558230646001E-4</v>
      </c>
    </row>
    <row r="325" spans="1:36">
      <c r="A325" s="3">
        <v>161</v>
      </c>
      <c r="B325" s="3">
        <v>9943</v>
      </c>
      <c r="C325" s="3" t="s">
        <v>396</v>
      </c>
      <c r="D325" s="3" t="s">
        <v>397</v>
      </c>
      <c r="E325" s="5" t="s">
        <v>149</v>
      </c>
      <c r="F325" s="3" t="s">
        <v>407</v>
      </c>
      <c r="G325" s="3" t="s">
        <v>408</v>
      </c>
      <c r="H325" s="3" t="s">
        <v>152</v>
      </c>
      <c r="I325" s="3" t="s">
        <v>166</v>
      </c>
      <c r="J325" s="3" t="s">
        <v>30</v>
      </c>
      <c r="K325" s="3" t="s">
        <v>30</v>
      </c>
      <c r="L325" s="3" t="s">
        <v>154</v>
      </c>
      <c r="M325" s="3" t="s">
        <v>31</v>
      </c>
      <c r="N325" s="3" t="s">
        <v>167</v>
      </c>
      <c r="O325" s="3" t="s">
        <v>156</v>
      </c>
      <c r="P325" s="3" t="s">
        <v>168</v>
      </c>
      <c r="Q325" s="3" t="s">
        <v>169</v>
      </c>
      <c r="R325" s="3" t="s">
        <v>159</v>
      </c>
      <c r="S325" s="3" t="s">
        <v>34</v>
      </c>
      <c r="T325" s="155">
        <v>3.0649999999999999</v>
      </c>
      <c r="U325" s="3" t="s">
        <v>409</v>
      </c>
      <c r="V325" s="166">
        <v>2.2499999999999999E-2</v>
      </c>
      <c r="W325" s="166">
        <v>2.9350000000000001E-2</v>
      </c>
      <c r="X325" s="5" t="s">
        <v>161</v>
      </c>
      <c r="Y325" s="5" t="s">
        <v>156</v>
      </c>
      <c r="Z325" s="155">
        <v>1940298.48</v>
      </c>
      <c r="AA325" s="164">
        <v>1</v>
      </c>
      <c r="AB325" s="174">
        <v>118.47</v>
      </c>
      <c r="AD325" s="155">
        <v>2298.672</v>
      </c>
      <c r="AG325" s="3" t="s">
        <v>36</v>
      </c>
      <c r="AH325" s="166">
        <v>1.1169999999999999E-3</v>
      </c>
      <c r="AI325" s="166">
        <v>7.3657156679134399E-3</v>
      </c>
      <c r="AJ325" s="166">
        <v>1.1816062125592499E-3</v>
      </c>
    </row>
    <row r="326" spans="1:36">
      <c r="A326" s="3">
        <v>161</v>
      </c>
      <c r="B326" s="3">
        <v>9943</v>
      </c>
      <c r="C326" s="3" t="s">
        <v>396</v>
      </c>
      <c r="D326" s="3" t="s">
        <v>397</v>
      </c>
      <c r="E326" s="5" t="s">
        <v>149</v>
      </c>
      <c r="F326" s="3" t="s">
        <v>410</v>
      </c>
      <c r="G326" s="3" t="s">
        <v>411</v>
      </c>
      <c r="H326" s="3" t="s">
        <v>152</v>
      </c>
      <c r="I326" s="3" t="s">
        <v>166</v>
      </c>
      <c r="J326" s="3" t="s">
        <v>30</v>
      </c>
      <c r="K326" s="3" t="s">
        <v>30</v>
      </c>
      <c r="L326" s="3" t="s">
        <v>154</v>
      </c>
      <c r="M326" s="3" t="s">
        <v>31</v>
      </c>
      <c r="N326" s="3" t="s">
        <v>167</v>
      </c>
      <c r="O326" s="3" t="s">
        <v>156</v>
      </c>
      <c r="P326" s="3" t="s">
        <v>168</v>
      </c>
      <c r="Q326" s="3" t="s">
        <v>169</v>
      </c>
      <c r="R326" s="3" t="s">
        <v>159</v>
      </c>
      <c r="S326" s="3" t="s">
        <v>34</v>
      </c>
      <c r="T326" s="155">
        <v>4.4290000000000003</v>
      </c>
      <c r="U326" s="3" t="s">
        <v>382</v>
      </c>
      <c r="V326" s="166">
        <v>2.5000000000000001E-3</v>
      </c>
      <c r="W326" s="166">
        <v>2.7029999999999998E-2</v>
      </c>
      <c r="X326" s="5" t="s">
        <v>161</v>
      </c>
      <c r="Y326" s="5" t="s">
        <v>156</v>
      </c>
      <c r="Z326" s="155">
        <v>479902.48</v>
      </c>
      <c r="AA326" s="164">
        <v>1</v>
      </c>
      <c r="AB326" s="174">
        <v>104.64</v>
      </c>
      <c r="AD326" s="155">
        <v>502.17</v>
      </c>
      <c r="AG326" s="3" t="s">
        <v>36</v>
      </c>
      <c r="AH326" s="166">
        <v>3.59E-4</v>
      </c>
      <c r="AI326" s="166">
        <v>1.6091211511619101E-3</v>
      </c>
      <c r="AJ326" s="166">
        <v>2.5813480111050999E-4</v>
      </c>
    </row>
    <row r="327" spans="1:36">
      <c r="A327" s="3">
        <v>161</v>
      </c>
      <c r="B327" s="3">
        <v>9943</v>
      </c>
      <c r="C327" s="3" t="s">
        <v>412</v>
      </c>
      <c r="D327" s="3" t="s">
        <v>413</v>
      </c>
      <c r="E327" s="5" t="s">
        <v>149</v>
      </c>
      <c r="F327" s="3" t="s">
        <v>417</v>
      </c>
      <c r="G327" s="3" t="s">
        <v>418</v>
      </c>
      <c r="H327" s="3" t="s">
        <v>152</v>
      </c>
      <c r="I327" s="3" t="s">
        <v>153</v>
      </c>
      <c r="J327" s="3" t="s">
        <v>30</v>
      </c>
      <c r="K327" s="3" t="s">
        <v>30</v>
      </c>
      <c r="L327" s="3" t="s">
        <v>154</v>
      </c>
      <c r="M327" s="3" t="s">
        <v>31</v>
      </c>
      <c r="N327" s="3" t="s">
        <v>155</v>
      </c>
      <c r="O327" s="3" t="s">
        <v>156</v>
      </c>
      <c r="P327" s="3" t="s">
        <v>359</v>
      </c>
      <c r="Q327" s="3" t="s">
        <v>158</v>
      </c>
      <c r="R327" s="3" t="s">
        <v>159</v>
      </c>
      <c r="S327" s="3" t="s">
        <v>34</v>
      </c>
      <c r="T327" s="155">
        <v>8.0039999999999996</v>
      </c>
      <c r="U327" s="3" t="s">
        <v>419</v>
      </c>
      <c r="V327" s="166">
        <v>5.1799999999999999E-2</v>
      </c>
      <c r="W327" s="166">
        <v>5.271E-2</v>
      </c>
      <c r="X327" s="5" t="s">
        <v>161</v>
      </c>
      <c r="Y327" s="5" t="s">
        <v>156</v>
      </c>
      <c r="Z327" s="155">
        <v>1300000</v>
      </c>
      <c r="AA327" s="164">
        <v>1</v>
      </c>
      <c r="AB327" s="174">
        <v>100.08</v>
      </c>
      <c r="AD327" s="155">
        <v>1301.04</v>
      </c>
      <c r="AG327" s="3" t="s">
        <v>36</v>
      </c>
      <c r="AH327" s="166">
        <v>0</v>
      </c>
      <c r="AI327" s="166">
        <v>4.1689690141010604E-3</v>
      </c>
      <c r="AJ327" s="166">
        <v>6.6878493674251197E-4</v>
      </c>
    </row>
    <row r="328" spans="1:36">
      <c r="A328" s="3">
        <v>161</v>
      </c>
      <c r="B328" s="3">
        <v>9943</v>
      </c>
      <c r="C328" s="3" t="s">
        <v>603</v>
      </c>
      <c r="D328" s="3" t="s">
        <v>604</v>
      </c>
      <c r="E328" s="5" t="s">
        <v>149</v>
      </c>
      <c r="F328" s="3" t="s">
        <v>605</v>
      </c>
      <c r="G328" s="3" t="s">
        <v>606</v>
      </c>
      <c r="H328" s="3" t="s">
        <v>152</v>
      </c>
      <c r="I328" s="3" t="s">
        <v>153</v>
      </c>
      <c r="J328" s="3" t="s">
        <v>30</v>
      </c>
      <c r="K328" s="3" t="s">
        <v>30</v>
      </c>
      <c r="L328" s="3" t="s">
        <v>154</v>
      </c>
      <c r="M328" s="3" t="s">
        <v>31</v>
      </c>
      <c r="N328" s="3" t="s">
        <v>155</v>
      </c>
      <c r="O328" s="3" t="s">
        <v>156</v>
      </c>
      <c r="P328" s="3" t="s">
        <v>272</v>
      </c>
      <c r="Q328" s="3" t="s">
        <v>158</v>
      </c>
      <c r="R328" s="3" t="s">
        <v>159</v>
      </c>
      <c r="S328" s="3" t="s">
        <v>34</v>
      </c>
      <c r="T328" s="155">
        <v>0.98399999999999999</v>
      </c>
      <c r="U328" s="3" t="s">
        <v>584</v>
      </c>
      <c r="V328" s="166">
        <v>2.9399999999999999E-2</v>
      </c>
      <c r="W328" s="166">
        <v>4.4979999999999999E-2</v>
      </c>
      <c r="X328" s="5" t="s">
        <v>161</v>
      </c>
      <c r="Y328" s="5" t="s">
        <v>156</v>
      </c>
      <c r="Z328" s="155">
        <v>128404.72</v>
      </c>
      <c r="AA328" s="164">
        <v>1</v>
      </c>
      <c r="AB328" s="174">
        <v>98.58</v>
      </c>
      <c r="AD328" s="155">
        <v>126.581</v>
      </c>
      <c r="AG328" s="3" t="s">
        <v>36</v>
      </c>
      <c r="AH328" s="166">
        <v>1.1969999999999999E-3</v>
      </c>
      <c r="AI328" s="166">
        <v>4.0560922162217398E-4</v>
      </c>
      <c r="AJ328" s="166">
        <v>6.5067726986514206E-5</v>
      </c>
    </row>
    <row r="329" spans="1:36">
      <c r="A329" s="3">
        <v>161</v>
      </c>
      <c r="B329" s="3">
        <v>9943</v>
      </c>
      <c r="C329" s="3" t="s">
        <v>420</v>
      </c>
      <c r="D329" s="3" t="s">
        <v>421</v>
      </c>
      <c r="E329" s="5" t="s">
        <v>149</v>
      </c>
      <c r="F329" s="3" t="s">
        <v>422</v>
      </c>
      <c r="G329" s="3" t="s">
        <v>423</v>
      </c>
      <c r="H329" s="3" t="s">
        <v>152</v>
      </c>
      <c r="I329" s="3" t="s">
        <v>166</v>
      </c>
      <c r="J329" s="3" t="s">
        <v>30</v>
      </c>
      <c r="K329" s="3" t="s">
        <v>30</v>
      </c>
      <c r="L329" s="3" t="s">
        <v>154</v>
      </c>
      <c r="M329" s="3" t="s">
        <v>31</v>
      </c>
      <c r="N329" s="3" t="s">
        <v>167</v>
      </c>
      <c r="O329" s="3" t="s">
        <v>156</v>
      </c>
      <c r="P329" s="3" t="s">
        <v>424</v>
      </c>
      <c r="Q329" s="3" t="s">
        <v>169</v>
      </c>
      <c r="R329" s="3" t="s">
        <v>159</v>
      </c>
      <c r="S329" s="3" t="s">
        <v>34</v>
      </c>
      <c r="T329" s="155">
        <v>2.4140000000000001</v>
      </c>
      <c r="U329" s="3" t="s">
        <v>425</v>
      </c>
      <c r="V329" s="166">
        <v>1.34E-2</v>
      </c>
      <c r="W329" s="166">
        <v>2.8539999999999999E-2</v>
      </c>
      <c r="X329" s="5" t="s">
        <v>161</v>
      </c>
      <c r="Y329" s="5" t="s">
        <v>156</v>
      </c>
      <c r="Z329" s="155">
        <v>724376.96</v>
      </c>
      <c r="AA329" s="164">
        <v>1</v>
      </c>
      <c r="AB329" s="174">
        <v>116.33</v>
      </c>
      <c r="AD329" s="155">
        <v>842.66800000000001</v>
      </c>
      <c r="AG329" s="3" t="s">
        <v>36</v>
      </c>
      <c r="AH329" s="166">
        <v>3.28E-4</v>
      </c>
      <c r="AI329" s="166">
        <v>2.7001903121535499E-3</v>
      </c>
      <c r="AJ329" s="166">
        <v>4.3316383523079401E-4</v>
      </c>
    </row>
    <row r="330" spans="1:36">
      <c r="A330" s="3">
        <v>161</v>
      </c>
      <c r="B330" s="3">
        <v>9943</v>
      </c>
      <c r="C330" s="3" t="s">
        <v>420</v>
      </c>
      <c r="D330" s="3" t="s">
        <v>421</v>
      </c>
      <c r="E330" s="5" t="s">
        <v>149</v>
      </c>
      <c r="F330" s="3" t="s">
        <v>426</v>
      </c>
      <c r="G330" s="3" t="s">
        <v>427</v>
      </c>
      <c r="H330" s="3" t="s">
        <v>152</v>
      </c>
      <c r="I330" s="3" t="s">
        <v>166</v>
      </c>
      <c r="J330" s="3" t="s">
        <v>30</v>
      </c>
      <c r="K330" s="3" t="s">
        <v>30</v>
      </c>
      <c r="L330" s="3" t="s">
        <v>154</v>
      </c>
      <c r="M330" s="3" t="s">
        <v>31</v>
      </c>
      <c r="N330" s="3" t="s">
        <v>167</v>
      </c>
      <c r="O330" s="3" t="s">
        <v>156</v>
      </c>
      <c r="P330" s="3" t="s">
        <v>424</v>
      </c>
      <c r="Q330" s="3" t="s">
        <v>169</v>
      </c>
      <c r="R330" s="3" t="s">
        <v>159</v>
      </c>
      <c r="S330" s="3" t="s">
        <v>34</v>
      </c>
      <c r="T330" s="155">
        <v>6.157</v>
      </c>
      <c r="U330" s="3" t="s">
        <v>428</v>
      </c>
      <c r="V330" s="166">
        <v>8.9999999999999993E-3</v>
      </c>
      <c r="W330" s="166">
        <v>2.7810000000000001E-2</v>
      </c>
      <c r="X330" s="5" t="s">
        <v>161</v>
      </c>
      <c r="Y330" s="5" t="s">
        <v>156</v>
      </c>
      <c r="Z330" s="155">
        <v>900000</v>
      </c>
      <c r="AA330" s="164">
        <v>1</v>
      </c>
      <c r="AB330" s="174">
        <v>104.46</v>
      </c>
      <c r="AD330" s="155">
        <v>940.14</v>
      </c>
      <c r="AG330" s="3" t="s">
        <v>36</v>
      </c>
      <c r="AH330" s="166">
        <v>3.3399999999999999E-4</v>
      </c>
      <c r="AI330" s="166">
        <v>3.01252423362616E-3</v>
      </c>
      <c r="AJ330" s="166">
        <v>4.83268362563107E-4</v>
      </c>
    </row>
    <row r="331" spans="1:36">
      <c r="A331" s="3">
        <v>161</v>
      </c>
      <c r="B331" s="3">
        <v>9943</v>
      </c>
      <c r="C331" s="3" t="s">
        <v>429</v>
      </c>
      <c r="D331" s="3" t="s">
        <v>430</v>
      </c>
      <c r="E331" s="5" t="s">
        <v>149</v>
      </c>
      <c r="F331" s="3" t="s">
        <v>434</v>
      </c>
      <c r="G331" s="3" t="s">
        <v>435</v>
      </c>
      <c r="H331" s="3" t="s">
        <v>152</v>
      </c>
      <c r="I331" s="3" t="s">
        <v>166</v>
      </c>
      <c r="J331" s="3" t="s">
        <v>30</v>
      </c>
      <c r="K331" s="3" t="s">
        <v>30</v>
      </c>
      <c r="L331" s="3" t="s">
        <v>154</v>
      </c>
      <c r="M331" s="3" t="s">
        <v>31</v>
      </c>
      <c r="N331" s="3" t="s">
        <v>245</v>
      </c>
      <c r="O331" s="3" t="s">
        <v>156</v>
      </c>
      <c r="P331" s="3" t="s">
        <v>246</v>
      </c>
      <c r="Q331" s="3" t="s">
        <v>169</v>
      </c>
      <c r="R331" s="3" t="s">
        <v>159</v>
      </c>
      <c r="S331" s="3" t="s">
        <v>34</v>
      </c>
      <c r="T331" s="155">
        <v>3.073</v>
      </c>
      <c r="U331" s="3" t="s">
        <v>433</v>
      </c>
      <c r="V331" s="166">
        <v>1E-3</v>
      </c>
      <c r="W331" s="166">
        <v>2.538E-2</v>
      </c>
      <c r="X331" s="5" t="s">
        <v>161</v>
      </c>
      <c r="Y331" s="5" t="s">
        <v>156</v>
      </c>
      <c r="Z331" s="155">
        <v>2598862.79</v>
      </c>
      <c r="AA331" s="164">
        <v>1</v>
      </c>
      <c r="AB331" s="174">
        <v>107.45</v>
      </c>
      <c r="AD331" s="155">
        <v>2792.4780000000001</v>
      </c>
      <c r="AG331" s="3" t="s">
        <v>36</v>
      </c>
      <c r="AH331" s="166">
        <v>2.6410000000000001E-3</v>
      </c>
      <c r="AI331" s="166">
        <v>8.9480373681395699E-3</v>
      </c>
      <c r="AJ331" s="166">
        <v>1.4354418526450099E-3</v>
      </c>
    </row>
    <row r="332" spans="1:36">
      <c r="A332" s="3">
        <v>161</v>
      </c>
      <c r="B332" s="3">
        <v>9943</v>
      </c>
      <c r="C332" s="3" t="s">
        <v>429</v>
      </c>
      <c r="D332" s="3" t="s">
        <v>430</v>
      </c>
      <c r="E332" s="5" t="s">
        <v>149</v>
      </c>
      <c r="F332" s="3" t="s">
        <v>436</v>
      </c>
      <c r="G332" s="3" t="s">
        <v>437</v>
      </c>
      <c r="H332" s="3" t="s">
        <v>152</v>
      </c>
      <c r="I332" s="3" t="s">
        <v>166</v>
      </c>
      <c r="J332" s="3" t="s">
        <v>30</v>
      </c>
      <c r="K332" s="3" t="s">
        <v>30</v>
      </c>
      <c r="L332" s="3" t="s">
        <v>154</v>
      </c>
      <c r="M332" s="3" t="s">
        <v>31</v>
      </c>
      <c r="N332" s="3" t="s">
        <v>245</v>
      </c>
      <c r="O332" s="3" t="s">
        <v>156</v>
      </c>
      <c r="P332" s="3" t="s">
        <v>246</v>
      </c>
      <c r="Q332" s="3" t="s">
        <v>169</v>
      </c>
      <c r="R332" s="3" t="s">
        <v>159</v>
      </c>
      <c r="S332" s="3" t="s">
        <v>34</v>
      </c>
      <c r="T332" s="155">
        <v>3.4510000000000001</v>
      </c>
      <c r="U332" s="3" t="s">
        <v>438</v>
      </c>
      <c r="V332" s="166">
        <v>1.3899999999999999E-2</v>
      </c>
      <c r="W332" s="166">
        <v>2.521E-2</v>
      </c>
      <c r="X332" s="5" t="s">
        <v>161</v>
      </c>
      <c r="Y332" s="5" t="s">
        <v>156</v>
      </c>
      <c r="Z332" s="155">
        <v>2982814.62</v>
      </c>
      <c r="AA332" s="164">
        <v>1</v>
      </c>
      <c r="AB332" s="174">
        <v>107.22</v>
      </c>
      <c r="AD332" s="155">
        <v>3198.174</v>
      </c>
      <c r="AG332" s="3" t="s">
        <v>36</v>
      </c>
      <c r="AH332" s="166">
        <v>1.864E-3</v>
      </c>
      <c r="AI332" s="166">
        <v>1.0248022829563301E-2</v>
      </c>
      <c r="AJ332" s="166">
        <v>1.6439851859352699E-3</v>
      </c>
    </row>
    <row r="333" spans="1:36">
      <c r="A333" s="3">
        <v>161</v>
      </c>
      <c r="B333" s="3">
        <v>9943</v>
      </c>
      <c r="C333" s="3" t="s">
        <v>429</v>
      </c>
      <c r="D333" s="3" t="s">
        <v>430</v>
      </c>
      <c r="E333" s="5" t="s">
        <v>149</v>
      </c>
      <c r="F333" s="3" t="s">
        <v>439</v>
      </c>
      <c r="G333" s="3" t="s">
        <v>440</v>
      </c>
      <c r="H333" s="3" t="s">
        <v>152</v>
      </c>
      <c r="I333" s="3" t="s">
        <v>166</v>
      </c>
      <c r="J333" s="3" t="s">
        <v>30</v>
      </c>
      <c r="K333" s="3" t="s">
        <v>30</v>
      </c>
      <c r="L333" s="3" t="s">
        <v>154</v>
      </c>
      <c r="M333" s="3" t="s">
        <v>31</v>
      </c>
      <c r="N333" s="3" t="s">
        <v>245</v>
      </c>
      <c r="O333" s="3" t="s">
        <v>156</v>
      </c>
      <c r="P333" s="3" t="s">
        <v>246</v>
      </c>
      <c r="Q333" s="3" t="s">
        <v>169</v>
      </c>
      <c r="R333" s="3" t="s">
        <v>159</v>
      </c>
      <c r="S333" s="3" t="s">
        <v>34</v>
      </c>
      <c r="T333" s="155">
        <v>1.542</v>
      </c>
      <c r="U333" s="3" t="s">
        <v>441</v>
      </c>
      <c r="V333" s="166">
        <v>6.0000000000000001E-3</v>
      </c>
      <c r="W333" s="166">
        <v>2.7130000000000001E-2</v>
      </c>
      <c r="X333" s="5" t="s">
        <v>161</v>
      </c>
      <c r="Y333" s="5" t="s">
        <v>156</v>
      </c>
      <c r="Z333" s="155">
        <v>309770.25</v>
      </c>
      <c r="AA333" s="164">
        <v>1</v>
      </c>
      <c r="AB333" s="174">
        <v>116.21</v>
      </c>
      <c r="AD333" s="155">
        <v>359.98399999999998</v>
      </c>
      <c r="AG333" s="3" t="s">
        <v>36</v>
      </c>
      <c r="AH333" s="166">
        <v>4.64E-4</v>
      </c>
      <c r="AI333" s="166">
        <v>1.15350963301947E-3</v>
      </c>
      <c r="AJ333" s="166">
        <v>1.8504571857969201E-4</v>
      </c>
    </row>
    <row r="334" spans="1:36">
      <c r="A334" s="3">
        <v>161</v>
      </c>
      <c r="B334" s="3">
        <v>9943</v>
      </c>
      <c r="C334" s="3" t="s">
        <v>429</v>
      </c>
      <c r="D334" s="3" t="s">
        <v>430</v>
      </c>
      <c r="E334" s="5" t="s">
        <v>149</v>
      </c>
      <c r="F334" s="3" t="s">
        <v>442</v>
      </c>
      <c r="G334" s="3" t="s">
        <v>443</v>
      </c>
      <c r="H334" s="3" t="s">
        <v>152</v>
      </c>
      <c r="I334" s="3" t="s">
        <v>166</v>
      </c>
      <c r="J334" s="3" t="s">
        <v>30</v>
      </c>
      <c r="K334" s="3" t="s">
        <v>30</v>
      </c>
      <c r="L334" s="3" t="s">
        <v>154</v>
      </c>
      <c r="M334" s="3" t="s">
        <v>31</v>
      </c>
      <c r="N334" s="3" t="s">
        <v>245</v>
      </c>
      <c r="O334" s="3" t="s">
        <v>156</v>
      </c>
      <c r="P334" s="3" t="s">
        <v>246</v>
      </c>
      <c r="Q334" s="3" t="s">
        <v>169</v>
      </c>
      <c r="R334" s="3" t="s">
        <v>159</v>
      </c>
      <c r="S334" s="3" t="s">
        <v>34</v>
      </c>
      <c r="T334" s="155">
        <v>2.5369999999999999</v>
      </c>
      <c r="U334" s="3" t="s">
        <v>444</v>
      </c>
      <c r="V334" s="166">
        <v>1.7500000000000002E-2</v>
      </c>
      <c r="W334" s="166">
        <v>2.5860000000000001E-2</v>
      </c>
      <c r="X334" s="5" t="s">
        <v>161</v>
      </c>
      <c r="Y334" s="5" t="s">
        <v>156</v>
      </c>
      <c r="Z334" s="155">
        <v>2985664.39</v>
      </c>
      <c r="AA334" s="164">
        <v>1</v>
      </c>
      <c r="AB334" s="174">
        <v>117.2</v>
      </c>
      <c r="AD334" s="155">
        <v>3499.1990000000001</v>
      </c>
      <c r="AG334" s="3" t="s">
        <v>36</v>
      </c>
      <c r="AH334" s="166">
        <v>1.3389999999999999E-3</v>
      </c>
      <c r="AI334" s="166">
        <v>1.1212607459342E-2</v>
      </c>
      <c r="AJ334" s="166">
        <v>1.7987236040975E-3</v>
      </c>
    </row>
    <row r="335" spans="1:36">
      <c r="A335" s="3">
        <v>161</v>
      </c>
      <c r="B335" s="3">
        <v>9943</v>
      </c>
      <c r="C335" s="3" t="s">
        <v>429</v>
      </c>
      <c r="D335" s="3" t="s">
        <v>430</v>
      </c>
      <c r="E335" s="5" t="s">
        <v>149</v>
      </c>
      <c r="F335" s="3" t="s">
        <v>445</v>
      </c>
      <c r="G335" s="3" t="s">
        <v>446</v>
      </c>
      <c r="H335" s="3" t="s">
        <v>152</v>
      </c>
      <c r="I335" s="3" t="s">
        <v>166</v>
      </c>
      <c r="J335" s="3" t="s">
        <v>30</v>
      </c>
      <c r="K335" s="3" t="s">
        <v>30</v>
      </c>
      <c r="L335" s="3" t="s">
        <v>154</v>
      </c>
      <c r="M335" s="3" t="s">
        <v>31</v>
      </c>
      <c r="N335" s="3" t="s">
        <v>245</v>
      </c>
      <c r="O335" s="3" t="s">
        <v>156</v>
      </c>
      <c r="P335" s="3" t="s">
        <v>246</v>
      </c>
      <c r="Q335" s="3" t="s">
        <v>169</v>
      </c>
      <c r="R335" s="3" t="s">
        <v>159</v>
      </c>
      <c r="S335" s="3" t="s">
        <v>34</v>
      </c>
      <c r="T335" s="155">
        <v>4.9800000000000004</v>
      </c>
      <c r="U335" s="3" t="s">
        <v>447</v>
      </c>
      <c r="V335" s="166">
        <v>2.6100000000000002E-2</v>
      </c>
      <c r="W335" s="166">
        <v>2.5860000000000001E-2</v>
      </c>
      <c r="X335" s="5" t="s">
        <v>161</v>
      </c>
      <c r="Y335" s="5" t="s">
        <v>156</v>
      </c>
      <c r="Z335" s="155">
        <v>2700000</v>
      </c>
      <c r="AA335" s="164">
        <v>1</v>
      </c>
      <c r="AB335" s="174">
        <v>101.11</v>
      </c>
      <c r="AD335" s="155">
        <v>2729.97</v>
      </c>
      <c r="AG335" s="3" t="s">
        <v>36</v>
      </c>
      <c r="AH335" s="166">
        <v>7.9000000000000001E-4</v>
      </c>
      <c r="AI335" s="166">
        <v>8.7477405302108201E-3</v>
      </c>
      <c r="AJ335" s="166">
        <v>1.40331028543239E-3</v>
      </c>
    </row>
    <row r="336" spans="1:36">
      <c r="A336" s="3">
        <v>161</v>
      </c>
      <c r="B336" s="3">
        <v>9943</v>
      </c>
      <c r="C336" s="3" t="s">
        <v>429</v>
      </c>
      <c r="D336" s="3" t="s">
        <v>430</v>
      </c>
      <c r="E336" s="5" t="s">
        <v>149</v>
      </c>
      <c r="F336" s="3" t="s">
        <v>448</v>
      </c>
      <c r="G336" s="3" t="s">
        <v>449</v>
      </c>
      <c r="H336" s="3" t="s">
        <v>152</v>
      </c>
      <c r="I336" s="3" t="s">
        <v>166</v>
      </c>
      <c r="J336" s="3" t="s">
        <v>30</v>
      </c>
      <c r="K336" s="3" t="s">
        <v>30</v>
      </c>
      <c r="L336" s="3" t="s">
        <v>154</v>
      </c>
      <c r="M336" s="3" t="s">
        <v>31</v>
      </c>
      <c r="N336" s="3" t="s">
        <v>245</v>
      </c>
      <c r="O336" s="3" t="s">
        <v>156</v>
      </c>
      <c r="P336" s="3" t="s">
        <v>185</v>
      </c>
      <c r="Q336" s="3" t="s">
        <v>169</v>
      </c>
      <c r="R336" s="3" t="s">
        <v>159</v>
      </c>
      <c r="S336" s="3" t="s">
        <v>34</v>
      </c>
      <c r="T336" s="155">
        <v>6.2939999999999996</v>
      </c>
      <c r="U336" s="3" t="s">
        <v>450</v>
      </c>
      <c r="V336" s="166">
        <v>3.4500000000000003E-2</v>
      </c>
      <c r="W336" s="166">
        <v>2.9739999999999999E-2</v>
      </c>
      <c r="X336" s="5" t="s">
        <v>161</v>
      </c>
      <c r="Y336" s="5" t="s">
        <v>156</v>
      </c>
      <c r="Z336" s="155">
        <v>1700000</v>
      </c>
      <c r="AA336" s="164">
        <v>1</v>
      </c>
      <c r="AB336" s="174">
        <v>108.65</v>
      </c>
      <c r="AD336" s="155">
        <v>1847.05</v>
      </c>
      <c r="AG336" s="3" t="s">
        <v>36</v>
      </c>
      <c r="AH336" s="166">
        <v>1.155E-3</v>
      </c>
      <c r="AI336" s="166">
        <v>5.9185683895156002E-3</v>
      </c>
      <c r="AJ336" s="166">
        <v>9.4945521844851599E-4</v>
      </c>
    </row>
    <row r="337" spans="1:36">
      <c r="A337" s="3">
        <v>161</v>
      </c>
      <c r="B337" s="3">
        <v>9943</v>
      </c>
      <c r="C337" s="3" t="s">
        <v>451</v>
      </c>
      <c r="D337" s="3" t="s">
        <v>452</v>
      </c>
      <c r="E337" s="5" t="s">
        <v>149</v>
      </c>
      <c r="F337" s="3" t="s">
        <v>453</v>
      </c>
      <c r="G337" s="3" t="s">
        <v>454</v>
      </c>
      <c r="H337" s="3" t="s">
        <v>152</v>
      </c>
      <c r="I337" s="3" t="s">
        <v>153</v>
      </c>
      <c r="J337" s="3" t="s">
        <v>30</v>
      </c>
      <c r="K337" s="3" t="s">
        <v>30</v>
      </c>
      <c r="L337" s="3" t="s">
        <v>154</v>
      </c>
      <c r="M337" s="3" t="s">
        <v>31</v>
      </c>
      <c r="N337" s="3" t="s">
        <v>455</v>
      </c>
      <c r="O337" s="3" t="s">
        <v>156</v>
      </c>
      <c r="P337" s="3" t="s">
        <v>185</v>
      </c>
      <c r="Q337" s="3" t="s">
        <v>169</v>
      </c>
      <c r="R337" s="3" t="s">
        <v>159</v>
      </c>
      <c r="S337" s="3" t="s">
        <v>34</v>
      </c>
      <c r="T337" s="155">
        <v>0.64</v>
      </c>
      <c r="U337" s="3" t="s">
        <v>456</v>
      </c>
      <c r="V337" s="166">
        <v>2.29E-2</v>
      </c>
      <c r="W337" s="166">
        <v>4.5589999999999999E-2</v>
      </c>
      <c r="X337" s="5" t="s">
        <v>161</v>
      </c>
      <c r="Y337" s="5" t="s">
        <v>156</v>
      </c>
      <c r="Z337" s="155">
        <v>273989.71999999997</v>
      </c>
      <c r="AA337" s="164">
        <v>1</v>
      </c>
      <c r="AB337" s="174">
        <v>99.39</v>
      </c>
      <c r="AD337" s="155">
        <v>272.31799999999998</v>
      </c>
      <c r="AG337" s="3" t="s">
        <v>36</v>
      </c>
      <c r="AH337" s="166">
        <v>8.2700000000000004E-4</v>
      </c>
      <c r="AI337" s="166">
        <v>8.7259953535615096E-4</v>
      </c>
      <c r="AJ337" s="166">
        <v>1.39982192978842E-4</v>
      </c>
    </row>
    <row r="338" spans="1:36">
      <c r="A338" s="3">
        <v>161</v>
      </c>
      <c r="B338" s="3">
        <v>9943</v>
      </c>
      <c r="C338" s="3" t="s">
        <v>607</v>
      </c>
      <c r="D338" s="3" t="s">
        <v>608</v>
      </c>
      <c r="E338" s="5" t="s">
        <v>149</v>
      </c>
      <c r="F338" s="3" t="s">
        <v>609</v>
      </c>
      <c r="G338" s="3" t="s">
        <v>610</v>
      </c>
      <c r="H338" s="3" t="s">
        <v>152</v>
      </c>
      <c r="I338" s="3" t="s">
        <v>166</v>
      </c>
      <c r="J338" s="3" t="s">
        <v>30</v>
      </c>
      <c r="K338" s="3" t="s">
        <v>30</v>
      </c>
      <c r="L338" s="3" t="s">
        <v>154</v>
      </c>
      <c r="M338" s="3" t="s">
        <v>31</v>
      </c>
      <c r="N338" s="3" t="s">
        <v>167</v>
      </c>
      <c r="O338" s="3" t="s">
        <v>156</v>
      </c>
      <c r="P338" s="3" t="s">
        <v>185</v>
      </c>
      <c r="Q338" s="3" t="s">
        <v>169</v>
      </c>
      <c r="R338" s="3" t="s">
        <v>159</v>
      </c>
      <c r="S338" s="3" t="s">
        <v>34</v>
      </c>
      <c r="T338" s="155">
        <v>0.63900000000000001</v>
      </c>
      <c r="U338" s="3" t="s">
        <v>611</v>
      </c>
      <c r="V338" s="166">
        <v>2.1499999999999998E-2</v>
      </c>
      <c r="W338" s="166">
        <v>3.5860000000000003E-2</v>
      </c>
      <c r="X338" s="5" t="s">
        <v>161</v>
      </c>
      <c r="Y338" s="5" t="s">
        <v>156</v>
      </c>
      <c r="Z338" s="155">
        <v>699999.99</v>
      </c>
      <c r="AA338" s="164">
        <v>1</v>
      </c>
      <c r="AB338" s="174">
        <v>120.13</v>
      </c>
      <c r="AD338" s="155">
        <v>840.91</v>
      </c>
      <c r="AG338" s="3" t="s">
        <v>36</v>
      </c>
      <c r="AH338" s="166">
        <v>5.0000000000000001E-4</v>
      </c>
      <c r="AI338" s="166">
        <v>2.6945579563778998E-3</v>
      </c>
      <c r="AJ338" s="166">
        <v>4.3226029416623002E-4</v>
      </c>
    </row>
    <row r="339" spans="1:36">
      <c r="A339" s="3">
        <v>161</v>
      </c>
      <c r="B339" s="3">
        <v>9943</v>
      </c>
      <c r="C339" s="3" t="s">
        <v>607</v>
      </c>
      <c r="D339" s="3" t="s">
        <v>608</v>
      </c>
      <c r="E339" s="5" t="s">
        <v>149</v>
      </c>
      <c r="F339" s="3" t="s">
        <v>612</v>
      </c>
      <c r="G339" s="3" t="s">
        <v>613</v>
      </c>
      <c r="H339" s="3" t="s">
        <v>152</v>
      </c>
      <c r="I339" s="3" t="s">
        <v>166</v>
      </c>
      <c r="J339" s="3" t="s">
        <v>30</v>
      </c>
      <c r="K339" s="3" t="s">
        <v>30</v>
      </c>
      <c r="L339" s="3" t="s">
        <v>154</v>
      </c>
      <c r="M339" s="3" t="s">
        <v>31</v>
      </c>
      <c r="N339" s="3" t="s">
        <v>167</v>
      </c>
      <c r="O339" s="3" t="s">
        <v>156</v>
      </c>
      <c r="P339" s="3" t="s">
        <v>168</v>
      </c>
      <c r="Q339" s="3" t="s">
        <v>169</v>
      </c>
      <c r="R339" s="3" t="s">
        <v>159</v>
      </c>
      <c r="S339" s="3" t="s">
        <v>34</v>
      </c>
      <c r="T339" s="155">
        <v>0.65100000000000002</v>
      </c>
      <c r="U339" s="3" t="s">
        <v>611</v>
      </c>
      <c r="V339" s="166">
        <v>1.6E-2</v>
      </c>
      <c r="W339" s="166">
        <v>3.7109999999999997E-2</v>
      </c>
      <c r="X339" s="5" t="s">
        <v>161</v>
      </c>
      <c r="Y339" s="5" t="s">
        <v>156</v>
      </c>
      <c r="Z339" s="155">
        <v>223833.25</v>
      </c>
      <c r="AA339" s="164">
        <v>1</v>
      </c>
      <c r="AB339" s="174">
        <v>119.36</v>
      </c>
      <c r="AD339" s="155">
        <v>267.16699999999997</v>
      </c>
      <c r="AG339" s="3" t="s">
        <v>36</v>
      </c>
      <c r="AH339" s="166">
        <v>7.8899999999999999E-4</v>
      </c>
      <c r="AI339" s="166">
        <v>8.5609395209660104E-4</v>
      </c>
      <c r="AJ339" s="166">
        <v>1.3733437155853399E-4</v>
      </c>
    </row>
    <row r="340" spans="1:36">
      <c r="A340" s="3">
        <v>161</v>
      </c>
      <c r="B340" s="3">
        <v>9943</v>
      </c>
      <c r="C340" s="3" t="s">
        <v>467</v>
      </c>
      <c r="D340" s="3" t="s">
        <v>468</v>
      </c>
      <c r="E340" s="5" t="s">
        <v>149</v>
      </c>
      <c r="F340" s="3" t="s">
        <v>469</v>
      </c>
      <c r="G340" s="3" t="s">
        <v>470</v>
      </c>
      <c r="H340" s="3" t="s">
        <v>152</v>
      </c>
      <c r="I340" s="3" t="s">
        <v>166</v>
      </c>
      <c r="J340" s="3" t="s">
        <v>30</v>
      </c>
      <c r="K340" s="3" t="s">
        <v>30</v>
      </c>
      <c r="L340" s="3" t="s">
        <v>154</v>
      </c>
      <c r="M340" s="3" t="s">
        <v>31</v>
      </c>
      <c r="N340" s="3" t="s">
        <v>167</v>
      </c>
      <c r="O340" s="3" t="s">
        <v>156</v>
      </c>
      <c r="P340" s="3" t="s">
        <v>168</v>
      </c>
      <c r="Q340" s="3" t="s">
        <v>169</v>
      </c>
      <c r="R340" s="3" t="s">
        <v>159</v>
      </c>
      <c r="S340" s="3" t="s">
        <v>34</v>
      </c>
      <c r="T340" s="155">
        <v>5.8140000000000001</v>
      </c>
      <c r="U340" s="3" t="s">
        <v>471</v>
      </c>
      <c r="V340" s="166">
        <v>2.5000000000000001E-2</v>
      </c>
      <c r="W340" s="166">
        <v>2.9170000000000001E-2</v>
      </c>
      <c r="X340" s="5" t="s">
        <v>161</v>
      </c>
      <c r="Y340" s="5" t="s">
        <v>156</v>
      </c>
      <c r="Z340" s="155">
        <v>280477.05</v>
      </c>
      <c r="AA340" s="164">
        <v>1</v>
      </c>
      <c r="AB340" s="174">
        <v>116.08</v>
      </c>
      <c r="AD340" s="155">
        <v>325.57799999999997</v>
      </c>
      <c r="AG340" s="3" t="s">
        <v>36</v>
      </c>
      <c r="AH340" s="166">
        <v>2.0799999999999999E-4</v>
      </c>
      <c r="AI340" s="166">
        <v>1.04326046210693E-3</v>
      </c>
      <c r="AJ340" s="166">
        <v>1.67359574944357E-4</v>
      </c>
    </row>
    <row r="341" spans="1:36">
      <c r="A341" s="3">
        <v>161</v>
      </c>
      <c r="B341" s="3">
        <v>9943</v>
      </c>
      <c r="C341" s="3" t="s">
        <v>614</v>
      </c>
      <c r="D341" s="3" t="s">
        <v>615</v>
      </c>
      <c r="E341" s="5" t="s">
        <v>149</v>
      </c>
      <c r="F341" s="3" t="s">
        <v>616</v>
      </c>
      <c r="G341" s="3" t="s">
        <v>617</v>
      </c>
      <c r="H341" s="3" t="s">
        <v>152</v>
      </c>
      <c r="I341" s="3" t="s">
        <v>166</v>
      </c>
      <c r="J341" s="3" t="s">
        <v>30</v>
      </c>
      <c r="K341" s="3" t="s">
        <v>30</v>
      </c>
      <c r="L341" s="3" t="s">
        <v>154</v>
      </c>
      <c r="M341" s="3" t="s">
        <v>31</v>
      </c>
      <c r="N341" s="3" t="s">
        <v>282</v>
      </c>
      <c r="O341" s="3" t="s">
        <v>156</v>
      </c>
      <c r="P341" s="3" t="s">
        <v>258</v>
      </c>
      <c r="Q341" s="3" t="s">
        <v>169</v>
      </c>
      <c r="R341" s="3" t="s">
        <v>159</v>
      </c>
      <c r="S341" s="3" t="s">
        <v>34</v>
      </c>
      <c r="T341" s="155">
        <v>1.962</v>
      </c>
      <c r="U341" s="3" t="s">
        <v>618</v>
      </c>
      <c r="V341" s="166">
        <v>3.9E-2</v>
      </c>
      <c r="W341" s="166">
        <v>3.2160000000000001E-2</v>
      </c>
      <c r="X341" s="5" t="s">
        <v>161</v>
      </c>
      <c r="Y341" s="5" t="s">
        <v>156</v>
      </c>
      <c r="Z341" s="155">
        <v>673297.72</v>
      </c>
      <c r="AA341" s="164">
        <v>1</v>
      </c>
      <c r="AB341" s="174">
        <v>122.88</v>
      </c>
      <c r="AD341" s="155">
        <v>827.34799999999996</v>
      </c>
      <c r="AG341" s="3" t="s">
        <v>36</v>
      </c>
      <c r="AH341" s="166">
        <v>4.8799999999999999E-4</v>
      </c>
      <c r="AI341" s="166">
        <v>2.6511015568267599E-3</v>
      </c>
      <c r="AJ341" s="166">
        <v>4.25289029729732E-4</v>
      </c>
    </row>
    <row r="342" spans="1:36">
      <c r="A342" s="3">
        <v>161</v>
      </c>
      <c r="B342" s="3">
        <v>9943</v>
      </c>
      <c r="C342" s="3" t="s">
        <v>472</v>
      </c>
      <c r="D342" s="3" t="s">
        <v>473</v>
      </c>
      <c r="E342" s="5" t="s">
        <v>149</v>
      </c>
      <c r="F342" s="3" t="s">
        <v>474</v>
      </c>
      <c r="G342" s="3" t="s">
        <v>475</v>
      </c>
      <c r="H342" s="3" t="s">
        <v>152</v>
      </c>
      <c r="I342" s="3" t="s">
        <v>153</v>
      </c>
      <c r="J342" s="3" t="s">
        <v>30</v>
      </c>
      <c r="K342" s="3" t="s">
        <v>30</v>
      </c>
      <c r="L342" s="3" t="s">
        <v>154</v>
      </c>
      <c r="M342" s="3" t="s">
        <v>31</v>
      </c>
      <c r="N342" s="3" t="s">
        <v>231</v>
      </c>
      <c r="O342" s="3" t="s">
        <v>156</v>
      </c>
      <c r="P342" s="3" t="s">
        <v>232</v>
      </c>
      <c r="Q342" s="3" t="s">
        <v>158</v>
      </c>
      <c r="R342" s="3" t="s">
        <v>159</v>
      </c>
      <c r="S342" s="3" t="s">
        <v>34</v>
      </c>
      <c r="T342" s="155">
        <v>3.9990000000000001</v>
      </c>
      <c r="U342" s="3" t="s">
        <v>476</v>
      </c>
      <c r="V342" s="166">
        <v>6.7699999999999996E-2</v>
      </c>
      <c r="W342" s="166">
        <v>5.2019999999999997E-2</v>
      </c>
      <c r="X342" s="5" t="s">
        <v>161</v>
      </c>
      <c r="Y342" s="5" t="s">
        <v>156</v>
      </c>
      <c r="Z342" s="155">
        <v>1530000</v>
      </c>
      <c r="AA342" s="164">
        <v>1</v>
      </c>
      <c r="AB342" s="174">
        <v>108.36</v>
      </c>
      <c r="AD342" s="155">
        <v>1657.9079999999999</v>
      </c>
      <c r="AG342" s="3" t="s">
        <v>36</v>
      </c>
      <c r="AH342" s="166">
        <v>2.2669999999999999E-3</v>
      </c>
      <c r="AI342" s="166">
        <v>5.3124939127392502E-3</v>
      </c>
      <c r="AJ342" s="166">
        <v>8.5222890680140796E-4</v>
      </c>
    </row>
    <row r="343" spans="1:36">
      <c r="A343" s="3">
        <v>161</v>
      </c>
      <c r="B343" s="3">
        <v>9943</v>
      </c>
      <c r="C343" s="3" t="s">
        <v>482</v>
      </c>
      <c r="D343" s="3" t="s">
        <v>483</v>
      </c>
      <c r="E343" s="5" t="s">
        <v>149</v>
      </c>
      <c r="F343" s="3" t="s">
        <v>484</v>
      </c>
      <c r="G343" s="3" t="s">
        <v>485</v>
      </c>
      <c r="H343" s="3" t="s">
        <v>152</v>
      </c>
      <c r="I343" s="3" t="s">
        <v>486</v>
      </c>
      <c r="J343" s="3" t="s">
        <v>30</v>
      </c>
      <c r="K343" s="3" t="s">
        <v>30</v>
      </c>
      <c r="L343" s="3" t="s">
        <v>154</v>
      </c>
      <c r="M343" s="3" t="s">
        <v>31</v>
      </c>
      <c r="N343" s="3" t="s">
        <v>487</v>
      </c>
      <c r="O343" s="3" t="s">
        <v>156</v>
      </c>
      <c r="P343" s="3" t="s">
        <v>359</v>
      </c>
      <c r="Q343" s="3" t="s">
        <v>158</v>
      </c>
      <c r="R343" s="3" t="s">
        <v>159</v>
      </c>
      <c r="S343" s="3" t="s">
        <v>34</v>
      </c>
      <c r="T343" s="155">
        <v>2.4950000000000001</v>
      </c>
      <c r="U343" s="3" t="s">
        <v>488</v>
      </c>
      <c r="V343" s="166">
        <v>4.6899999999999997E-2</v>
      </c>
      <c r="W343" s="166">
        <v>5.987E-2</v>
      </c>
      <c r="X343" s="5" t="s">
        <v>161</v>
      </c>
      <c r="Y343" s="5" t="s">
        <v>156</v>
      </c>
      <c r="Z343" s="155">
        <v>2347339.2599999998</v>
      </c>
      <c r="AA343" s="164">
        <v>1</v>
      </c>
      <c r="AB343" s="174">
        <v>92.95</v>
      </c>
      <c r="AD343" s="155">
        <v>2181.8519999999999</v>
      </c>
      <c r="AG343" s="3" t="s">
        <v>36</v>
      </c>
      <c r="AH343" s="166">
        <v>2.0430000000000001E-3</v>
      </c>
      <c r="AI343" s="166">
        <v>6.9913859092464899E-3</v>
      </c>
      <c r="AJ343" s="166">
        <v>1.1215563289731301E-3</v>
      </c>
    </row>
    <row r="344" spans="1:36">
      <c r="A344" s="3">
        <v>161</v>
      </c>
      <c r="B344" s="3">
        <v>9943</v>
      </c>
      <c r="C344" s="3" t="s">
        <v>619</v>
      </c>
      <c r="D344" s="3" t="s">
        <v>620</v>
      </c>
      <c r="E344" s="5" t="s">
        <v>149</v>
      </c>
      <c r="F344" s="3" t="s">
        <v>621</v>
      </c>
      <c r="G344" s="3" t="s">
        <v>622</v>
      </c>
      <c r="H344" s="3" t="s">
        <v>152</v>
      </c>
      <c r="I344" s="3" t="s">
        <v>153</v>
      </c>
      <c r="J344" s="3" t="s">
        <v>30</v>
      </c>
      <c r="K344" s="3" t="s">
        <v>30</v>
      </c>
      <c r="L344" s="3" t="s">
        <v>154</v>
      </c>
      <c r="M344" s="3" t="s">
        <v>31</v>
      </c>
      <c r="N344" s="3" t="s">
        <v>282</v>
      </c>
      <c r="O344" s="3" t="s">
        <v>156</v>
      </c>
      <c r="P344" s="3" t="s">
        <v>157</v>
      </c>
      <c r="Q344" s="3" t="s">
        <v>158</v>
      </c>
      <c r="R344" s="3" t="s">
        <v>159</v>
      </c>
      <c r="S344" s="3" t="s">
        <v>34</v>
      </c>
      <c r="T344" s="155">
        <v>1.2090000000000001</v>
      </c>
      <c r="U344" s="3" t="s">
        <v>623</v>
      </c>
      <c r="V344" s="166">
        <v>3.5000000000000003E-2</v>
      </c>
      <c r="W344" s="166">
        <v>4.9610000000000001E-2</v>
      </c>
      <c r="X344" s="5" t="s">
        <v>161</v>
      </c>
      <c r="Y344" s="5" t="s">
        <v>156</v>
      </c>
      <c r="Z344" s="155">
        <v>57913.77</v>
      </c>
      <c r="AA344" s="164">
        <v>1</v>
      </c>
      <c r="AB344" s="174">
        <v>98.41</v>
      </c>
      <c r="AD344" s="155">
        <v>56.993000000000002</v>
      </c>
      <c r="AG344" s="3" t="s">
        <v>36</v>
      </c>
      <c r="AH344" s="166">
        <v>4.17E-4</v>
      </c>
      <c r="AI344" s="166">
        <v>1.8262451983729999E-4</v>
      </c>
      <c r="AJ344" s="166">
        <v>2.9296578490727E-5</v>
      </c>
    </row>
    <row r="345" spans="1:36">
      <c r="A345" s="3">
        <v>161</v>
      </c>
      <c r="B345" s="3">
        <v>9943</v>
      </c>
      <c r="C345" s="3" t="s">
        <v>619</v>
      </c>
      <c r="D345" s="3" t="s">
        <v>620</v>
      </c>
      <c r="E345" s="5" t="s">
        <v>149</v>
      </c>
      <c r="F345" s="3" t="s">
        <v>624</v>
      </c>
      <c r="G345" s="3" t="s">
        <v>625</v>
      </c>
      <c r="H345" s="3" t="s">
        <v>152</v>
      </c>
      <c r="I345" s="3" t="s">
        <v>166</v>
      </c>
      <c r="J345" s="3" t="s">
        <v>30</v>
      </c>
      <c r="K345" s="3" t="s">
        <v>30</v>
      </c>
      <c r="L345" s="3" t="s">
        <v>154</v>
      </c>
      <c r="M345" s="3" t="s">
        <v>31</v>
      </c>
      <c r="N345" s="3" t="s">
        <v>282</v>
      </c>
      <c r="O345" s="3" t="s">
        <v>156</v>
      </c>
      <c r="P345" s="3" t="s">
        <v>157</v>
      </c>
      <c r="Q345" s="3" t="s">
        <v>158</v>
      </c>
      <c r="R345" s="3" t="s">
        <v>159</v>
      </c>
      <c r="S345" s="3" t="s">
        <v>34</v>
      </c>
      <c r="T345" s="155">
        <v>1.893</v>
      </c>
      <c r="U345" s="3" t="s">
        <v>626</v>
      </c>
      <c r="V345" s="166">
        <v>3.85E-2</v>
      </c>
      <c r="W345" s="166">
        <v>3.1359999999999999E-2</v>
      </c>
      <c r="X345" s="5" t="s">
        <v>161</v>
      </c>
      <c r="Y345" s="5" t="s">
        <v>156</v>
      </c>
      <c r="Z345" s="155">
        <v>125710</v>
      </c>
      <c r="AA345" s="164">
        <v>1</v>
      </c>
      <c r="AB345" s="174">
        <v>111.66</v>
      </c>
      <c r="AD345" s="155">
        <v>140.36799999999999</v>
      </c>
      <c r="AG345" s="3" t="s">
        <v>36</v>
      </c>
      <c r="AH345" s="166">
        <v>4.1899999999999999E-4</v>
      </c>
      <c r="AI345" s="166">
        <v>4.49785518056301E-4</v>
      </c>
      <c r="AJ345" s="166">
        <v>7.2154477095782207E-5</v>
      </c>
    </row>
    <row r="346" spans="1:36">
      <c r="A346" s="3">
        <v>161</v>
      </c>
      <c r="B346" s="3">
        <v>9943</v>
      </c>
      <c r="C346" s="3" t="s">
        <v>619</v>
      </c>
      <c r="D346" s="3" t="s">
        <v>620</v>
      </c>
      <c r="E346" s="5" t="s">
        <v>149</v>
      </c>
      <c r="F346" s="3" t="s">
        <v>627</v>
      </c>
      <c r="G346" s="3" t="s">
        <v>628</v>
      </c>
      <c r="H346" s="3" t="s">
        <v>152</v>
      </c>
      <c r="I346" s="3" t="s">
        <v>153</v>
      </c>
      <c r="J346" s="3" t="s">
        <v>30</v>
      </c>
      <c r="K346" s="3" t="s">
        <v>30</v>
      </c>
      <c r="L346" s="3" t="s">
        <v>154</v>
      </c>
      <c r="M346" s="3" t="s">
        <v>31</v>
      </c>
      <c r="N346" s="3" t="s">
        <v>282</v>
      </c>
      <c r="O346" s="3" t="s">
        <v>156</v>
      </c>
      <c r="P346" s="3" t="s">
        <v>157</v>
      </c>
      <c r="Q346" s="3" t="s">
        <v>158</v>
      </c>
      <c r="R346" s="3" t="s">
        <v>159</v>
      </c>
      <c r="S346" s="3" t="s">
        <v>34</v>
      </c>
      <c r="T346" s="155">
        <v>4.6310000000000002</v>
      </c>
      <c r="U346" s="3" t="s">
        <v>629</v>
      </c>
      <c r="V346" s="166">
        <v>5.8000000000000003E-2</v>
      </c>
      <c r="W346" s="166">
        <v>5.228E-2</v>
      </c>
      <c r="X346" s="5" t="s">
        <v>161</v>
      </c>
      <c r="Y346" s="5" t="s">
        <v>156</v>
      </c>
      <c r="Z346" s="155">
        <v>502994</v>
      </c>
      <c r="AA346" s="164">
        <v>1</v>
      </c>
      <c r="AB346" s="174">
        <v>104.73</v>
      </c>
      <c r="AD346" s="155">
        <v>526.78599999999994</v>
      </c>
      <c r="AG346" s="3" t="s">
        <v>36</v>
      </c>
      <c r="AH346" s="166">
        <v>3.3530000000000001E-3</v>
      </c>
      <c r="AI346" s="166">
        <v>1.6879979946903499E-3</v>
      </c>
      <c r="AJ346" s="166">
        <v>2.7078820405766302E-4</v>
      </c>
    </row>
    <row r="347" spans="1:36">
      <c r="A347" s="3">
        <v>161</v>
      </c>
      <c r="B347" s="3">
        <v>9943</v>
      </c>
      <c r="C347" s="3" t="s">
        <v>630</v>
      </c>
      <c r="D347" s="3" t="s">
        <v>631</v>
      </c>
      <c r="E347" s="5" t="s">
        <v>149</v>
      </c>
      <c r="F347" s="3" t="s">
        <v>632</v>
      </c>
      <c r="G347" s="3" t="s">
        <v>633</v>
      </c>
      <c r="H347" s="3" t="s">
        <v>152</v>
      </c>
      <c r="I347" s="3" t="s">
        <v>153</v>
      </c>
      <c r="J347" s="3" t="s">
        <v>30</v>
      </c>
      <c r="K347" s="3" t="s">
        <v>30</v>
      </c>
      <c r="L347" s="3" t="s">
        <v>154</v>
      </c>
      <c r="M347" s="3" t="s">
        <v>31</v>
      </c>
      <c r="N347" s="3" t="s">
        <v>282</v>
      </c>
      <c r="O347" s="3" t="s">
        <v>156</v>
      </c>
      <c r="P347" s="3" t="s">
        <v>283</v>
      </c>
      <c r="Q347" s="3" t="s">
        <v>283</v>
      </c>
      <c r="R347" s="3" t="s">
        <v>283</v>
      </c>
      <c r="S347" s="3" t="s">
        <v>34</v>
      </c>
      <c r="T347" s="155">
        <v>2.4420000000000002</v>
      </c>
      <c r="U347" s="3" t="s">
        <v>634</v>
      </c>
      <c r="V347" s="166">
        <v>7.1999999999999995E-2</v>
      </c>
      <c r="W347" s="166">
        <v>6.447E-2</v>
      </c>
      <c r="X347" s="5" t="s">
        <v>161</v>
      </c>
      <c r="Y347" s="5" t="s">
        <v>156</v>
      </c>
      <c r="Z347" s="155">
        <v>2000000</v>
      </c>
      <c r="AA347" s="164">
        <v>1</v>
      </c>
      <c r="AB347" s="174">
        <v>103.96</v>
      </c>
      <c r="AD347" s="155">
        <v>2079.1999999999998</v>
      </c>
      <c r="AG347" s="3" t="s">
        <v>36</v>
      </c>
      <c r="AH347" s="166">
        <v>1.9081000000000001E-2</v>
      </c>
      <c r="AI347" s="166">
        <v>6.66245493921704E-3</v>
      </c>
      <c r="AJ347" s="166">
        <v>1.06878930738104E-3</v>
      </c>
    </row>
    <row r="348" spans="1:36">
      <c r="A348" s="3">
        <v>161</v>
      </c>
      <c r="B348" s="3">
        <v>9943</v>
      </c>
      <c r="C348" s="3" t="s">
        <v>635</v>
      </c>
      <c r="D348" s="3" t="s">
        <v>636</v>
      </c>
      <c r="E348" s="5" t="s">
        <v>149</v>
      </c>
      <c r="F348" s="3" t="s">
        <v>637</v>
      </c>
      <c r="G348" s="3" t="s">
        <v>638</v>
      </c>
      <c r="H348" s="3" t="s">
        <v>152</v>
      </c>
      <c r="I348" s="3" t="s">
        <v>166</v>
      </c>
      <c r="J348" s="3" t="s">
        <v>30</v>
      </c>
      <c r="K348" s="3" t="s">
        <v>237</v>
      </c>
      <c r="L348" s="3" t="s">
        <v>154</v>
      </c>
      <c r="M348" s="3" t="s">
        <v>31</v>
      </c>
      <c r="N348" s="3" t="s">
        <v>238</v>
      </c>
      <c r="O348" s="3" t="s">
        <v>156</v>
      </c>
      <c r="P348" s="3" t="s">
        <v>157</v>
      </c>
      <c r="Q348" s="3" t="s">
        <v>158</v>
      </c>
      <c r="R348" s="3" t="s">
        <v>159</v>
      </c>
      <c r="S348" s="3" t="s">
        <v>34</v>
      </c>
      <c r="T348" s="155">
        <v>1.379</v>
      </c>
      <c r="U348" s="3" t="s">
        <v>639</v>
      </c>
      <c r="V348" s="166">
        <v>2.8500000000000001E-2</v>
      </c>
      <c r="W348" s="166">
        <v>3.0779999999999998E-2</v>
      </c>
      <c r="X348" s="5" t="s">
        <v>161</v>
      </c>
      <c r="Y348" s="5" t="s">
        <v>156</v>
      </c>
      <c r="Z348" s="155">
        <v>56288</v>
      </c>
      <c r="AA348" s="164">
        <v>1</v>
      </c>
      <c r="AB348" s="174">
        <v>120.05</v>
      </c>
      <c r="AD348" s="155">
        <v>67.573999999999998</v>
      </c>
      <c r="AG348" s="3" t="s">
        <v>36</v>
      </c>
      <c r="AH348" s="166">
        <v>2.0699999999999999E-4</v>
      </c>
      <c r="AI348" s="166">
        <v>2.16528965214596E-4</v>
      </c>
      <c r="AJ348" s="166">
        <v>3.4735520895971402E-5</v>
      </c>
    </row>
    <row r="349" spans="1:36">
      <c r="A349" s="3">
        <v>161</v>
      </c>
      <c r="B349" s="3">
        <v>9943</v>
      </c>
      <c r="C349" s="3" t="s">
        <v>635</v>
      </c>
      <c r="D349" s="3" t="s">
        <v>636</v>
      </c>
      <c r="E349" s="5" t="s">
        <v>149</v>
      </c>
      <c r="F349" s="3" t="s">
        <v>640</v>
      </c>
      <c r="G349" s="3" t="s">
        <v>641</v>
      </c>
      <c r="H349" s="3" t="s">
        <v>152</v>
      </c>
      <c r="I349" s="3" t="s">
        <v>166</v>
      </c>
      <c r="J349" s="3" t="s">
        <v>30</v>
      </c>
      <c r="K349" s="3" t="s">
        <v>237</v>
      </c>
      <c r="L349" s="3" t="s">
        <v>154</v>
      </c>
      <c r="M349" s="3" t="s">
        <v>31</v>
      </c>
      <c r="N349" s="3" t="s">
        <v>238</v>
      </c>
      <c r="O349" s="3" t="s">
        <v>156</v>
      </c>
      <c r="P349" s="3" t="s">
        <v>157</v>
      </c>
      <c r="Q349" s="3" t="s">
        <v>158</v>
      </c>
      <c r="R349" s="3" t="s">
        <v>159</v>
      </c>
      <c r="S349" s="3" t="s">
        <v>34</v>
      </c>
      <c r="T349" s="155">
        <v>3.0739999999999998</v>
      </c>
      <c r="U349" s="3" t="s">
        <v>642</v>
      </c>
      <c r="V349" s="166">
        <v>4.3E-3</v>
      </c>
      <c r="W349" s="166">
        <v>3.3180000000000001E-2</v>
      </c>
      <c r="X349" s="5" t="s">
        <v>161</v>
      </c>
      <c r="Y349" s="5" t="s">
        <v>156</v>
      </c>
      <c r="Z349" s="155">
        <v>1898849</v>
      </c>
      <c r="AA349" s="164">
        <v>1</v>
      </c>
      <c r="AB349" s="174">
        <v>106.06</v>
      </c>
      <c r="AD349" s="155">
        <v>2013.9190000000001</v>
      </c>
      <c r="AG349" s="3" t="s">
        <v>36</v>
      </c>
      <c r="AH349" s="166">
        <v>3.0379999999999999E-3</v>
      </c>
      <c r="AI349" s="166">
        <v>6.4532734947813104E-3</v>
      </c>
      <c r="AJ349" s="166">
        <v>1.03523247387821E-3</v>
      </c>
    </row>
    <row r="350" spans="1:36">
      <c r="A350" s="3">
        <v>161</v>
      </c>
      <c r="B350" s="3">
        <v>9943</v>
      </c>
      <c r="C350" s="3" t="s">
        <v>635</v>
      </c>
      <c r="D350" s="3" t="s">
        <v>636</v>
      </c>
      <c r="E350" s="5" t="s">
        <v>149</v>
      </c>
      <c r="F350" s="3" t="s">
        <v>643</v>
      </c>
      <c r="G350" s="3" t="s">
        <v>644</v>
      </c>
      <c r="H350" s="3" t="s">
        <v>152</v>
      </c>
      <c r="I350" s="3" t="s">
        <v>166</v>
      </c>
      <c r="J350" s="3" t="s">
        <v>30</v>
      </c>
      <c r="K350" s="3" t="s">
        <v>237</v>
      </c>
      <c r="L350" s="3" t="s">
        <v>154</v>
      </c>
      <c r="M350" s="3" t="s">
        <v>31</v>
      </c>
      <c r="N350" s="3" t="s">
        <v>238</v>
      </c>
      <c r="O350" s="3" t="s">
        <v>156</v>
      </c>
      <c r="P350" s="3" t="s">
        <v>157</v>
      </c>
      <c r="Q350" s="3" t="s">
        <v>158</v>
      </c>
      <c r="R350" s="3" t="s">
        <v>159</v>
      </c>
      <c r="S350" s="3" t="s">
        <v>34</v>
      </c>
      <c r="T350" s="155">
        <v>2.387</v>
      </c>
      <c r="U350" s="3" t="s">
        <v>73</v>
      </c>
      <c r="V350" s="166">
        <v>2.4500000000000001E-2</v>
      </c>
      <c r="W350" s="166">
        <v>3.2230000000000002E-2</v>
      </c>
      <c r="X350" s="5" t="s">
        <v>161</v>
      </c>
      <c r="Y350" s="5" t="s">
        <v>156</v>
      </c>
      <c r="Z350" s="155">
        <v>33310.11</v>
      </c>
      <c r="AA350" s="164">
        <v>1</v>
      </c>
      <c r="AB350" s="174">
        <v>116.37</v>
      </c>
      <c r="AD350" s="155">
        <v>38.762999999999998</v>
      </c>
      <c r="AG350" s="3" t="s">
        <v>36</v>
      </c>
      <c r="AH350" s="166">
        <v>7.1000000000000005E-5</v>
      </c>
      <c r="AI350" s="166">
        <v>1.2420958748274999E-4</v>
      </c>
      <c r="AJ350" s="166">
        <v>1.9925670070104E-5</v>
      </c>
    </row>
    <row r="351" spans="1:36">
      <c r="A351" s="3">
        <v>161</v>
      </c>
      <c r="B351" s="3">
        <v>9943</v>
      </c>
      <c r="C351" s="3" t="s">
        <v>645</v>
      </c>
      <c r="D351" s="3" t="s">
        <v>646</v>
      </c>
      <c r="E351" s="5" t="s">
        <v>149</v>
      </c>
      <c r="F351" s="3" t="s">
        <v>647</v>
      </c>
      <c r="G351" s="3" t="s">
        <v>648</v>
      </c>
      <c r="H351" s="3" t="s">
        <v>152</v>
      </c>
      <c r="I351" s="3" t="s">
        <v>153</v>
      </c>
      <c r="J351" s="3" t="s">
        <v>30</v>
      </c>
      <c r="K351" s="3" t="s">
        <v>30</v>
      </c>
      <c r="L351" s="3" t="s">
        <v>154</v>
      </c>
      <c r="M351" s="3" t="s">
        <v>31</v>
      </c>
      <c r="N351" s="3" t="s">
        <v>282</v>
      </c>
      <c r="O351" s="3" t="s">
        <v>156</v>
      </c>
      <c r="P351" s="3" t="s">
        <v>359</v>
      </c>
      <c r="Q351" s="3" t="s">
        <v>158</v>
      </c>
      <c r="R351" s="3" t="s">
        <v>159</v>
      </c>
      <c r="S351" s="3" t="s">
        <v>34</v>
      </c>
      <c r="T351" s="155">
        <v>1.6819999999999999</v>
      </c>
      <c r="U351" s="3" t="s">
        <v>634</v>
      </c>
      <c r="V351" s="166">
        <v>2.5499999999999998E-2</v>
      </c>
      <c r="W351" s="166">
        <v>5.1679999999999997E-2</v>
      </c>
      <c r="X351" s="5" t="s">
        <v>161</v>
      </c>
      <c r="Y351" s="5" t="s">
        <v>156</v>
      </c>
      <c r="Z351" s="155">
        <v>2352562</v>
      </c>
      <c r="AA351" s="164">
        <v>1</v>
      </c>
      <c r="AB351" s="174">
        <v>96.49</v>
      </c>
      <c r="AD351" s="155">
        <v>2269.9870000000001</v>
      </c>
      <c r="AG351" s="3" t="s">
        <v>36</v>
      </c>
      <c r="AH351" s="166">
        <v>3.5999999999999999E-3</v>
      </c>
      <c r="AI351" s="166">
        <v>7.2738007848199499E-3</v>
      </c>
      <c r="AJ351" s="166">
        <v>1.1668612506592099E-3</v>
      </c>
    </row>
    <row r="352" spans="1:36">
      <c r="A352" s="3">
        <v>161</v>
      </c>
      <c r="B352" s="3">
        <v>9943</v>
      </c>
      <c r="C352" s="3" t="s">
        <v>649</v>
      </c>
      <c r="D352" s="3" t="s">
        <v>650</v>
      </c>
      <c r="E352" s="5" t="s">
        <v>149</v>
      </c>
      <c r="F352" s="3" t="s">
        <v>651</v>
      </c>
      <c r="G352" s="3" t="s">
        <v>652</v>
      </c>
      <c r="H352" s="3" t="s">
        <v>152</v>
      </c>
      <c r="I352" s="3" t="s">
        <v>153</v>
      </c>
      <c r="J352" s="3" t="s">
        <v>30</v>
      </c>
      <c r="K352" s="3" t="s">
        <v>30</v>
      </c>
      <c r="L352" s="3" t="s">
        <v>154</v>
      </c>
      <c r="M352" s="3" t="s">
        <v>31</v>
      </c>
      <c r="N352" s="3" t="s">
        <v>653</v>
      </c>
      <c r="O352" s="3" t="s">
        <v>156</v>
      </c>
      <c r="P352" s="3" t="s">
        <v>168</v>
      </c>
      <c r="Q352" s="3" t="s">
        <v>169</v>
      </c>
      <c r="R352" s="3" t="s">
        <v>159</v>
      </c>
      <c r="S352" s="3" t="s">
        <v>34</v>
      </c>
      <c r="T352" s="155">
        <v>7.07</v>
      </c>
      <c r="U352" s="3" t="s">
        <v>654</v>
      </c>
      <c r="V352" s="166">
        <v>2.4E-2</v>
      </c>
      <c r="W352" s="166">
        <v>4.6629999999999998E-2</v>
      </c>
      <c r="X352" s="5" t="s">
        <v>161</v>
      </c>
      <c r="Y352" s="5" t="s">
        <v>156</v>
      </c>
      <c r="Z352" s="155">
        <v>1711631.89</v>
      </c>
      <c r="AA352" s="164">
        <v>1</v>
      </c>
      <c r="AB352" s="174">
        <v>86.13</v>
      </c>
      <c r="AD352" s="155">
        <v>1474.229</v>
      </c>
      <c r="AG352" s="3" t="s">
        <v>36</v>
      </c>
      <c r="AH352" s="166">
        <v>1.09E-3</v>
      </c>
      <c r="AI352" s="166">
        <v>4.7239232702684601E-3</v>
      </c>
      <c r="AJ352" s="166">
        <v>7.5781055575060302E-4</v>
      </c>
    </row>
    <row r="353" spans="1:36">
      <c r="A353" s="3">
        <v>161</v>
      </c>
      <c r="B353" s="3">
        <v>9943</v>
      </c>
      <c r="C353" s="3" t="s">
        <v>162</v>
      </c>
      <c r="D353" s="3" t="s">
        <v>163</v>
      </c>
      <c r="E353" s="5" t="s">
        <v>149</v>
      </c>
      <c r="F353" s="3" t="s">
        <v>164</v>
      </c>
      <c r="G353" s="3" t="s">
        <v>165</v>
      </c>
      <c r="H353" s="3" t="s">
        <v>152</v>
      </c>
      <c r="I353" s="3" t="s">
        <v>166</v>
      </c>
      <c r="J353" s="3" t="s">
        <v>30</v>
      </c>
      <c r="K353" s="3" t="s">
        <v>30</v>
      </c>
      <c r="L353" s="3" t="s">
        <v>154</v>
      </c>
      <c r="M353" s="3" t="s">
        <v>31</v>
      </c>
      <c r="N353" s="3" t="s">
        <v>167</v>
      </c>
      <c r="O353" s="3" t="s">
        <v>156</v>
      </c>
      <c r="P353" s="3" t="s">
        <v>168</v>
      </c>
      <c r="Q353" s="3" t="s">
        <v>169</v>
      </c>
      <c r="R353" s="3" t="s">
        <v>159</v>
      </c>
      <c r="S353" s="3" t="s">
        <v>34</v>
      </c>
      <c r="T353" s="155">
        <v>1.7490000000000001</v>
      </c>
      <c r="U353" s="3" t="s">
        <v>170</v>
      </c>
      <c r="V353" s="166">
        <v>2.3400000000000001E-2</v>
      </c>
      <c r="W353" s="166">
        <v>2.9860000000000001E-2</v>
      </c>
      <c r="X353" s="5" t="s">
        <v>161</v>
      </c>
      <c r="Y353" s="5" t="s">
        <v>156</v>
      </c>
      <c r="Z353" s="155">
        <v>270017.15000000002</v>
      </c>
      <c r="AA353" s="164">
        <v>1</v>
      </c>
      <c r="AB353" s="174">
        <v>118.73</v>
      </c>
      <c r="AD353" s="155">
        <v>320.59100000000001</v>
      </c>
      <c r="AG353" s="3" t="s">
        <v>36</v>
      </c>
      <c r="AH353" s="166">
        <v>1.66E-4</v>
      </c>
      <c r="AI353" s="166">
        <v>1.02728237039554E-3</v>
      </c>
      <c r="AJ353" s="166">
        <v>1.64796373582502E-4</v>
      </c>
    </row>
    <row r="354" spans="1:36">
      <c r="A354" s="3">
        <v>161</v>
      </c>
      <c r="B354" s="3">
        <v>9943</v>
      </c>
      <c r="C354" s="3" t="s">
        <v>174</v>
      </c>
      <c r="D354" s="3" t="s">
        <v>175</v>
      </c>
      <c r="E354" s="5" t="s">
        <v>149</v>
      </c>
      <c r="F354" s="3" t="s">
        <v>500</v>
      </c>
      <c r="G354" s="3" t="s">
        <v>501</v>
      </c>
      <c r="H354" s="3" t="s">
        <v>152</v>
      </c>
      <c r="I354" s="3" t="s">
        <v>166</v>
      </c>
      <c r="J354" s="3" t="s">
        <v>30</v>
      </c>
      <c r="K354" s="3" t="s">
        <v>30</v>
      </c>
      <c r="L354" s="3" t="s">
        <v>154</v>
      </c>
      <c r="M354" s="3" t="s">
        <v>31</v>
      </c>
      <c r="N354" s="3" t="s">
        <v>178</v>
      </c>
      <c r="O354" s="3" t="s">
        <v>156</v>
      </c>
      <c r="P354" s="3" t="s">
        <v>179</v>
      </c>
      <c r="Q354" s="3" t="s">
        <v>169</v>
      </c>
      <c r="R354" s="3" t="s">
        <v>159</v>
      </c>
      <c r="S354" s="3" t="s">
        <v>34</v>
      </c>
      <c r="T354" s="155">
        <v>1.319</v>
      </c>
      <c r="U354" s="3" t="s">
        <v>502</v>
      </c>
      <c r="V354" s="166">
        <v>3.2000000000000001E-2</v>
      </c>
      <c r="W354" s="166">
        <v>3.4700000000000002E-2</v>
      </c>
      <c r="X354" s="5" t="s">
        <v>161</v>
      </c>
      <c r="Y354" s="5" t="s">
        <v>156</v>
      </c>
      <c r="Z354" s="155">
        <v>40704.120000000003</v>
      </c>
      <c r="AA354" s="164">
        <v>1</v>
      </c>
      <c r="AB354" s="174">
        <v>110.31</v>
      </c>
      <c r="AD354" s="155">
        <v>44.901000000000003</v>
      </c>
      <c r="AG354" s="3" t="s">
        <v>36</v>
      </c>
      <c r="AH354" s="166">
        <v>6.7000000000000002E-5</v>
      </c>
      <c r="AI354" s="166">
        <v>1.4387696657709099E-4</v>
      </c>
      <c r="AJ354" s="166">
        <v>2.3080705964832399E-5</v>
      </c>
    </row>
    <row r="355" spans="1:36">
      <c r="A355" s="3">
        <v>161</v>
      </c>
      <c r="B355" s="3">
        <v>9943</v>
      </c>
      <c r="C355" s="3" t="s">
        <v>174</v>
      </c>
      <c r="D355" s="3" t="s">
        <v>175</v>
      </c>
      <c r="E355" s="5" t="s">
        <v>149</v>
      </c>
      <c r="F355" s="3" t="s">
        <v>176</v>
      </c>
      <c r="G355" s="3" t="s">
        <v>177</v>
      </c>
      <c r="H355" s="3" t="s">
        <v>152</v>
      </c>
      <c r="I355" s="3" t="s">
        <v>153</v>
      </c>
      <c r="J355" s="3" t="s">
        <v>30</v>
      </c>
      <c r="K355" s="3" t="s">
        <v>30</v>
      </c>
      <c r="L355" s="3" t="s">
        <v>154</v>
      </c>
      <c r="M355" s="3" t="s">
        <v>31</v>
      </c>
      <c r="N355" s="3" t="s">
        <v>178</v>
      </c>
      <c r="O355" s="3" t="s">
        <v>156</v>
      </c>
      <c r="P355" s="3" t="s">
        <v>179</v>
      </c>
      <c r="Q355" s="3" t="s">
        <v>169</v>
      </c>
      <c r="R355" s="3" t="s">
        <v>159</v>
      </c>
      <c r="S355" s="3" t="s">
        <v>34</v>
      </c>
      <c r="T355" s="155">
        <v>1.391</v>
      </c>
      <c r="U355" s="3" t="s">
        <v>180</v>
      </c>
      <c r="V355" s="166">
        <v>5.7000000000000002E-2</v>
      </c>
      <c r="W355" s="166">
        <v>5.339E-2</v>
      </c>
      <c r="X355" s="5" t="s">
        <v>161</v>
      </c>
      <c r="Y355" s="5" t="s">
        <v>156</v>
      </c>
      <c r="Z355" s="155">
        <v>651917.55000000005</v>
      </c>
      <c r="AA355" s="164">
        <v>1</v>
      </c>
      <c r="AB355" s="174">
        <v>100.89</v>
      </c>
      <c r="AD355" s="155">
        <v>657.72</v>
      </c>
      <c r="AG355" s="3" t="s">
        <v>36</v>
      </c>
      <c r="AH355" s="166">
        <v>9.0300000000000005E-4</v>
      </c>
      <c r="AI355" s="166">
        <v>2.1075544947760198E-3</v>
      </c>
      <c r="AJ355" s="166">
        <v>3.3809334986724599E-4</v>
      </c>
    </row>
    <row r="356" spans="1:36">
      <c r="A356" s="3">
        <v>161</v>
      </c>
      <c r="B356" s="3">
        <v>9943</v>
      </c>
      <c r="C356" s="3" t="s">
        <v>655</v>
      </c>
      <c r="D356" s="3" t="s">
        <v>656</v>
      </c>
      <c r="E356" s="5" t="s">
        <v>149</v>
      </c>
      <c r="F356" s="3" t="s">
        <v>657</v>
      </c>
      <c r="G356" s="3" t="s">
        <v>658</v>
      </c>
      <c r="H356" s="3" t="s">
        <v>152</v>
      </c>
      <c r="I356" s="3" t="s">
        <v>153</v>
      </c>
      <c r="J356" s="3" t="s">
        <v>30</v>
      </c>
      <c r="K356" s="3" t="s">
        <v>30</v>
      </c>
      <c r="L356" s="3" t="s">
        <v>154</v>
      </c>
      <c r="M356" s="3" t="s">
        <v>31</v>
      </c>
      <c r="N356" s="3" t="s">
        <v>210</v>
      </c>
      <c r="O356" s="3" t="s">
        <v>156</v>
      </c>
      <c r="P356" s="3" t="s">
        <v>283</v>
      </c>
      <c r="Q356" s="3" t="s">
        <v>283</v>
      </c>
      <c r="R356" s="3" t="s">
        <v>283</v>
      </c>
      <c r="S356" s="3" t="s">
        <v>34</v>
      </c>
      <c r="T356" s="155">
        <v>2.5449999999999999</v>
      </c>
      <c r="U356" s="3" t="s">
        <v>73</v>
      </c>
      <c r="V356" s="166">
        <v>5.5E-2</v>
      </c>
      <c r="W356" s="166">
        <v>5.8810000000000001E-2</v>
      </c>
      <c r="X356" s="5" t="s">
        <v>161</v>
      </c>
      <c r="Y356" s="5" t="s">
        <v>156</v>
      </c>
      <c r="Z356" s="155">
        <v>56728</v>
      </c>
      <c r="AA356" s="164">
        <v>1</v>
      </c>
      <c r="AB356" s="174">
        <v>99.35</v>
      </c>
      <c r="AD356" s="155">
        <v>56.359000000000002</v>
      </c>
      <c r="AG356" s="3" t="s">
        <v>36</v>
      </c>
      <c r="AH356" s="166">
        <v>1.73E-4</v>
      </c>
      <c r="AI356" s="166">
        <v>1.8059401859237001E-4</v>
      </c>
      <c r="AJ356" s="166">
        <v>2.89708460033775E-5</v>
      </c>
    </row>
    <row r="357" spans="1:36">
      <c r="A357" s="3">
        <v>161</v>
      </c>
      <c r="B357" s="3">
        <v>9943</v>
      </c>
      <c r="C357" s="3" t="s">
        <v>181</v>
      </c>
      <c r="D357" s="3" t="s">
        <v>182</v>
      </c>
      <c r="E357" s="5" t="s">
        <v>149</v>
      </c>
      <c r="F357" s="3" t="s">
        <v>183</v>
      </c>
      <c r="G357" s="3" t="s">
        <v>184</v>
      </c>
      <c r="H357" s="3" t="s">
        <v>152</v>
      </c>
      <c r="I357" s="3" t="s">
        <v>166</v>
      </c>
      <c r="J357" s="3" t="s">
        <v>30</v>
      </c>
      <c r="K357" s="3" t="s">
        <v>30</v>
      </c>
      <c r="L357" s="3" t="s">
        <v>154</v>
      </c>
      <c r="M357" s="3" t="s">
        <v>31</v>
      </c>
      <c r="N357" s="3" t="s">
        <v>167</v>
      </c>
      <c r="O357" s="3" t="s">
        <v>156</v>
      </c>
      <c r="P357" s="3" t="s">
        <v>185</v>
      </c>
      <c r="Q357" s="3" t="s">
        <v>169</v>
      </c>
      <c r="R357" s="3" t="s">
        <v>159</v>
      </c>
      <c r="S357" s="3" t="s">
        <v>34</v>
      </c>
      <c r="T357" s="155">
        <v>6.1760000000000002</v>
      </c>
      <c r="U357" s="3" t="s">
        <v>186</v>
      </c>
      <c r="V357" s="166">
        <v>2.5600000000000001E-2</v>
      </c>
      <c r="W357" s="166">
        <v>3.1919999999999997E-2</v>
      </c>
      <c r="X357" s="5" t="s">
        <v>161</v>
      </c>
      <c r="Y357" s="5" t="s">
        <v>156</v>
      </c>
      <c r="Z357" s="155">
        <v>1473063</v>
      </c>
      <c r="AA357" s="164">
        <v>1</v>
      </c>
      <c r="AB357" s="174">
        <v>108.14</v>
      </c>
      <c r="AD357" s="155">
        <v>1592.97</v>
      </c>
      <c r="AG357" s="3" t="s">
        <v>36</v>
      </c>
      <c r="AH357" s="166">
        <v>1.402E-3</v>
      </c>
      <c r="AI357" s="166">
        <v>5.10441180797532E-3</v>
      </c>
      <c r="AJ357" s="166">
        <v>8.1884842908591302E-4</v>
      </c>
    </row>
    <row r="358" spans="1:36">
      <c r="A358" s="3">
        <v>161</v>
      </c>
      <c r="B358" s="3">
        <v>9943</v>
      </c>
      <c r="C358" s="3" t="s">
        <v>181</v>
      </c>
      <c r="D358" s="3" t="s">
        <v>182</v>
      </c>
      <c r="E358" s="5" t="s">
        <v>149</v>
      </c>
      <c r="F358" s="3" t="s">
        <v>187</v>
      </c>
      <c r="G358" s="3" t="s">
        <v>188</v>
      </c>
      <c r="H358" s="3" t="s">
        <v>152</v>
      </c>
      <c r="I358" s="3" t="s">
        <v>153</v>
      </c>
      <c r="J358" s="3" t="s">
        <v>30</v>
      </c>
      <c r="K358" s="3" t="s">
        <v>30</v>
      </c>
      <c r="L358" s="3" t="s">
        <v>154</v>
      </c>
      <c r="M358" s="3" t="s">
        <v>31</v>
      </c>
      <c r="N358" s="3" t="s">
        <v>167</v>
      </c>
      <c r="O358" s="3" t="s">
        <v>156</v>
      </c>
      <c r="P358" s="3" t="s">
        <v>185</v>
      </c>
      <c r="Q358" s="3" t="s">
        <v>169</v>
      </c>
      <c r="R358" s="3" t="s">
        <v>159</v>
      </c>
      <c r="S358" s="3" t="s">
        <v>34</v>
      </c>
      <c r="T358" s="155">
        <v>3.4430000000000001</v>
      </c>
      <c r="U358" s="3" t="s">
        <v>189</v>
      </c>
      <c r="V358" s="166">
        <v>2.41E-2</v>
      </c>
      <c r="W358" s="166">
        <v>4.8230000000000002E-2</v>
      </c>
      <c r="X358" s="5" t="s">
        <v>161</v>
      </c>
      <c r="Y358" s="5" t="s">
        <v>156</v>
      </c>
      <c r="Z358" s="155">
        <v>1000000</v>
      </c>
      <c r="AA358" s="164">
        <v>1</v>
      </c>
      <c r="AB358" s="174">
        <v>93.59</v>
      </c>
      <c r="AD358" s="155">
        <v>935.9</v>
      </c>
      <c r="AG358" s="3" t="s">
        <v>36</v>
      </c>
      <c r="AH358" s="166">
        <v>4.8700000000000002E-4</v>
      </c>
      <c r="AI358" s="166">
        <v>2.9989378499486498E-3</v>
      </c>
      <c r="AJ358" s="166">
        <v>4.8108883838876402E-4</v>
      </c>
    </row>
    <row r="359" spans="1:36">
      <c r="A359" s="3">
        <v>161</v>
      </c>
      <c r="B359" s="3">
        <v>9943</v>
      </c>
      <c r="C359" s="3" t="s">
        <v>181</v>
      </c>
      <c r="D359" s="3" t="s">
        <v>182</v>
      </c>
      <c r="E359" s="5" t="s">
        <v>149</v>
      </c>
      <c r="F359" s="3" t="s">
        <v>659</v>
      </c>
      <c r="G359" s="3" t="s">
        <v>660</v>
      </c>
      <c r="H359" s="3" t="s">
        <v>152</v>
      </c>
      <c r="I359" s="3" t="s">
        <v>153</v>
      </c>
      <c r="J359" s="3" t="s">
        <v>30</v>
      </c>
      <c r="K359" s="3" t="s">
        <v>30</v>
      </c>
      <c r="L359" s="3" t="s">
        <v>154</v>
      </c>
      <c r="M359" s="3" t="s">
        <v>31</v>
      </c>
      <c r="N359" s="3" t="s">
        <v>167</v>
      </c>
      <c r="O359" s="3" t="s">
        <v>156</v>
      </c>
      <c r="P359" s="3" t="s">
        <v>185</v>
      </c>
      <c r="Q359" s="3" t="s">
        <v>169</v>
      </c>
      <c r="R359" s="3" t="s">
        <v>159</v>
      </c>
      <c r="S359" s="3" t="s">
        <v>34</v>
      </c>
      <c r="T359" s="155">
        <v>5.6870000000000003</v>
      </c>
      <c r="U359" s="3" t="s">
        <v>186</v>
      </c>
      <c r="V359" s="166">
        <v>4.9399999999999999E-2</v>
      </c>
      <c r="W359" s="166">
        <v>5.142E-2</v>
      </c>
      <c r="X359" s="5" t="s">
        <v>161</v>
      </c>
      <c r="Y359" s="5" t="s">
        <v>156</v>
      </c>
      <c r="Z359" s="155">
        <v>3907828</v>
      </c>
      <c r="AA359" s="164">
        <v>1</v>
      </c>
      <c r="AB359" s="174">
        <v>101.81</v>
      </c>
      <c r="AD359" s="155">
        <v>3978.56</v>
      </c>
      <c r="AG359" s="3" t="s">
        <v>36</v>
      </c>
      <c r="AH359" s="166">
        <v>2.0999999999999999E-3</v>
      </c>
      <c r="AI359" s="166">
        <v>1.27486411294202E-2</v>
      </c>
      <c r="AJ359" s="166">
        <v>2.0451337302948799E-3</v>
      </c>
    </row>
    <row r="360" spans="1:36">
      <c r="A360" s="3">
        <v>161</v>
      </c>
      <c r="B360" s="3">
        <v>9943</v>
      </c>
      <c r="C360" s="3" t="s">
        <v>190</v>
      </c>
      <c r="D360" s="3" t="s">
        <v>191</v>
      </c>
      <c r="E360" s="5" t="s">
        <v>149</v>
      </c>
      <c r="F360" s="3" t="s">
        <v>192</v>
      </c>
      <c r="G360" s="3" t="s">
        <v>193</v>
      </c>
      <c r="H360" s="3" t="s">
        <v>152</v>
      </c>
      <c r="I360" s="3" t="s">
        <v>153</v>
      </c>
      <c r="J360" s="3" t="s">
        <v>30</v>
      </c>
      <c r="K360" s="3" t="s">
        <v>30</v>
      </c>
      <c r="L360" s="3" t="s">
        <v>154</v>
      </c>
      <c r="M360" s="3" t="s">
        <v>31</v>
      </c>
      <c r="N360" s="3" t="s">
        <v>194</v>
      </c>
      <c r="O360" s="3" t="s">
        <v>156</v>
      </c>
      <c r="P360" s="3" t="s">
        <v>179</v>
      </c>
      <c r="Q360" s="3" t="s">
        <v>169</v>
      </c>
      <c r="R360" s="3" t="s">
        <v>159</v>
      </c>
      <c r="S360" s="3" t="s">
        <v>34</v>
      </c>
      <c r="T360" s="155">
        <v>2.5489999999999999</v>
      </c>
      <c r="U360" s="3" t="s">
        <v>195</v>
      </c>
      <c r="V360" s="166">
        <v>0.04</v>
      </c>
      <c r="W360" s="166">
        <v>4.802E-2</v>
      </c>
      <c r="X360" s="5" t="s">
        <v>161</v>
      </c>
      <c r="Y360" s="5" t="s">
        <v>156</v>
      </c>
      <c r="Z360" s="155">
        <v>56913.440000000002</v>
      </c>
      <c r="AA360" s="164">
        <v>1</v>
      </c>
      <c r="AB360" s="174">
        <v>99.07</v>
      </c>
      <c r="AD360" s="155">
        <v>56.384</v>
      </c>
      <c r="AG360" s="3" t="s">
        <v>36</v>
      </c>
      <c r="AH360" s="166">
        <v>9.7999999999999997E-5</v>
      </c>
      <c r="AI360" s="166">
        <v>1.8067373287902999E-4</v>
      </c>
      <c r="AJ360" s="166">
        <v>2.89836337487363E-5</v>
      </c>
    </row>
    <row r="361" spans="1:36">
      <c r="A361" s="3">
        <v>161</v>
      </c>
      <c r="B361" s="3">
        <v>9943</v>
      </c>
      <c r="C361" s="3" t="s">
        <v>196</v>
      </c>
      <c r="D361" s="3" t="s">
        <v>197</v>
      </c>
      <c r="E361" s="5" t="s">
        <v>149</v>
      </c>
      <c r="F361" s="3" t="s">
        <v>562</v>
      </c>
      <c r="G361" s="3" t="s">
        <v>563</v>
      </c>
      <c r="H361" s="3" t="s">
        <v>152</v>
      </c>
      <c r="I361" s="3" t="s">
        <v>166</v>
      </c>
      <c r="J361" s="3" t="s">
        <v>30</v>
      </c>
      <c r="K361" s="3" t="s">
        <v>30</v>
      </c>
      <c r="L361" s="3" t="s">
        <v>154</v>
      </c>
      <c r="M361" s="3" t="s">
        <v>31</v>
      </c>
      <c r="N361" s="3" t="s">
        <v>167</v>
      </c>
      <c r="O361" s="3" t="s">
        <v>156</v>
      </c>
      <c r="P361" s="3" t="s">
        <v>168</v>
      </c>
      <c r="Q361" s="3" t="s">
        <v>169</v>
      </c>
      <c r="R361" s="3" t="s">
        <v>159</v>
      </c>
      <c r="S361" s="3" t="s">
        <v>34</v>
      </c>
      <c r="T361" s="155">
        <v>1.6990000000000001</v>
      </c>
      <c r="U361" s="3" t="s">
        <v>564</v>
      </c>
      <c r="V361" s="166">
        <v>3.2000000000000001E-2</v>
      </c>
      <c r="W361" s="166">
        <v>2.8459999999999999E-2</v>
      </c>
      <c r="X361" s="5" t="s">
        <v>161</v>
      </c>
      <c r="Y361" s="5" t="s">
        <v>156</v>
      </c>
      <c r="Z361" s="155">
        <v>1406250</v>
      </c>
      <c r="AA361" s="164">
        <v>1</v>
      </c>
      <c r="AB361" s="174">
        <v>120.07</v>
      </c>
      <c r="AD361" s="155">
        <v>1688.4839999999999</v>
      </c>
      <c r="AG361" s="3" t="s">
        <v>36</v>
      </c>
      <c r="AH361" s="166">
        <v>3.3960000000000001E-3</v>
      </c>
      <c r="AI361" s="166">
        <v>5.4104708849603399E-3</v>
      </c>
      <c r="AJ361" s="166">
        <v>8.6794634747978201E-4</v>
      </c>
    </row>
    <row r="362" spans="1:36">
      <c r="A362" s="3">
        <v>161</v>
      </c>
      <c r="B362" s="3">
        <v>9943</v>
      </c>
      <c r="C362" s="3" t="s">
        <v>196</v>
      </c>
      <c r="D362" s="3" t="s">
        <v>197</v>
      </c>
      <c r="E362" s="5" t="s">
        <v>149</v>
      </c>
      <c r="F362" s="3" t="s">
        <v>198</v>
      </c>
      <c r="G362" s="3" t="s">
        <v>199</v>
      </c>
      <c r="H362" s="3" t="s">
        <v>152</v>
      </c>
      <c r="I362" s="3" t="s">
        <v>166</v>
      </c>
      <c r="J362" s="3" t="s">
        <v>30</v>
      </c>
      <c r="K362" s="3" t="s">
        <v>30</v>
      </c>
      <c r="L362" s="3" t="s">
        <v>154</v>
      </c>
      <c r="M362" s="3" t="s">
        <v>31</v>
      </c>
      <c r="N362" s="3" t="s">
        <v>167</v>
      </c>
      <c r="O362" s="3" t="s">
        <v>156</v>
      </c>
      <c r="P362" s="3" t="s">
        <v>168</v>
      </c>
      <c r="Q362" s="3" t="s">
        <v>169</v>
      </c>
      <c r="R362" s="3" t="s">
        <v>159</v>
      </c>
      <c r="S362" s="3" t="s">
        <v>34</v>
      </c>
      <c r="T362" s="155">
        <v>2.6160000000000001</v>
      </c>
      <c r="U362" s="3" t="s">
        <v>200</v>
      </c>
      <c r="V362" s="166">
        <v>1.14E-2</v>
      </c>
      <c r="W362" s="166">
        <v>2.895E-2</v>
      </c>
      <c r="X362" s="5" t="s">
        <v>161</v>
      </c>
      <c r="Y362" s="5" t="s">
        <v>156</v>
      </c>
      <c r="Z362" s="155">
        <v>2025000</v>
      </c>
      <c r="AA362" s="164">
        <v>1</v>
      </c>
      <c r="AB362" s="174">
        <v>111.73</v>
      </c>
      <c r="AC362" s="155">
        <v>292.96499999999997</v>
      </c>
      <c r="AD362" s="155">
        <v>2555.4969999999998</v>
      </c>
      <c r="AG362" s="3" t="s">
        <v>36</v>
      </c>
      <c r="AH362" s="166">
        <v>8.5700000000000001E-4</v>
      </c>
      <c r="AI362" s="166">
        <v>8.1886718327529601E-3</v>
      </c>
      <c r="AJ362" s="166">
        <v>1.3136246288109499E-3</v>
      </c>
    </row>
    <row r="363" spans="1:36">
      <c r="A363" s="3">
        <v>161</v>
      </c>
      <c r="B363" s="3">
        <v>9943</v>
      </c>
      <c r="C363" s="3" t="s">
        <v>196</v>
      </c>
      <c r="D363" s="3" t="s">
        <v>197</v>
      </c>
      <c r="E363" s="5" t="s">
        <v>149</v>
      </c>
      <c r="F363" s="3" t="s">
        <v>201</v>
      </c>
      <c r="G363" s="3" t="s">
        <v>202</v>
      </c>
      <c r="H363" s="3" t="s">
        <v>152</v>
      </c>
      <c r="I363" s="3" t="s">
        <v>153</v>
      </c>
      <c r="J363" s="3" t="s">
        <v>30</v>
      </c>
      <c r="K363" s="3" t="s">
        <v>30</v>
      </c>
      <c r="L363" s="3" t="s">
        <v>154</v>
      </c>
      <c r="M363" s="3" t="s">
        <v>31</v>
      </c>
      <c r="N363" s="3" t="s">
        <v>167</v>
      </c>
      <c r="O363" s="3" t="s">
        <v>156</v>
      </c>
      <c r="P363" s="3" t="s">
        <v>168</v>
      </c>
      <c r="Q363" s="3" t="s">
        <v>169</v>
      </c>
      <c r="R363" s="3" t="s">
        <v>159</v>
      </c>
      <c r="S363" s="3" t="s">
        <v>34</v>
      </c>
      <c r="T363" s="155">
        <v>4.4089999999999998</v>
      </c>
      <c r="U363" s="3" t="s">
        <v>203</v>
      </c>
      <c r="V363" s="166">
        <v>2.4400000000000002E-2</v>
      </c>
      <c r="W363" s="166">
        <v>4.6960000000000002E-2</v>
      </c>
      <c r="X363" s="5" t="s">
        <v>161</v>
      </c>
      <c r="Y363" s="5" t="s">
        <v>156</v>
      </c>
      <c r="Z363" s="155">
        <v>1714784</v>
      </c>
      <c r="AA363" s="164">
        <v>1</v>
      </c>
      <c r="AB363" s="174">
        <v>92.45</v>
      </c>
      <c r="AD363" s="155">
        <v>1585.318</v>
      </c>
      <c r="AG363" s="3" t="s">
        <v>36</v>
      </c>
      <c r="AH363" s="166">
        <v>1.4109999999999999E-3</v>
      </c>
      <c r="AI363" s="166">
        <v>5.0798905637448703E-3</v>
      </c>
      <c r="AJ363" s="166">
        <v>8.1491473739474403E-4</v>
      </c>
    </row>
    <row r="364" spans="1:36">
      <c r="A364" s="3">
        <v>161</v>
      </c>
      <c r="B364" s="3">
        <v>9943</v>
      </c>
      <c r="C364" s="3" t="s">
        <v>196</v>
      </c>
      <c r="D364" s="3" t="s">
        <v>197</v>
      </c>
      <c r="E364" s="5" t="s">
        <v>149</v>
      </c>
      <c r="F364" s="3" t="s">
        <v>204</v>
      </c>
      <c r="G364" s="3" t="s">
        <v>205</v>
      </c>
      <c r="H364" s="3" t="s">
        <v>152</v>
      </c>
      <c r="I364" s="3" t="s">
        <v>166</v>
      </c>
      <c r="J364" s="3" t="s">
        <v>30</v>
      </c>
      <c r="K364" s="3" t="s">
        <v>30</v>
      </c>
      <c r="L364" s="3" t="s">
        <v>154</v>
      </c>
      <c r="M364" s="3" t="s">
        <v>31</v>
      </c>
      <c r="N364" s="3" t="s">
        <v>167</v>
      </c>
      <c r="O364" s="3" t="s">
        <v>156</v>
      </c>
      <c r="P364" s="3" t="s">
        <v>168</v>
      </c>
      <c r="Q364" s="3" t="s">
        <v>169</v>
      </c>
      <c r="R364" s="3" t="s">
        <v>159</v>
      </c>
      <c r="S364" s="3" t="s">
        <v>34</v>
      </c>
      <c r="T364" s="155">
        <v>4.6059999999999999</v>
      </c>
      <c r="U364" s="3" t="s">
        <v>203</v>
      </c>
      <c r="V364" s="166">
        <v>9.1999999999999998E-3</v>
      </c>
      <c r="W364" s="166">
        <v>2.8729999999999999E-2</v>
      </c>
      <c r="X364" s="5" t="s">
        <v>161</v>
      </c>
      <c r="Y364" s="5" t="s">
        <v>156</v>
      </c>
      <c r="Z364" s="155">
        <v>903251</v>
      </c>
      <c r="AA364" s="164">
        <v>1</v>
      </c>
      <c r="AB364" s="174">
        <v>109.54</v>
      </c>
      <c r="AD364" s="155">
        <v>989.42100000000005</v>
      </c>
      <c r="AG364" s="3" t="s">
        <v>36</v>
      </c>
      <c r="AH364" s="166">
        <v>3.4900000000000003E-4</v>
      </c>
      <c r="AI364" s="166">
        <v>3.1704375707656799E-3</v>
      </c>
      <c r="AJ364" s="166">
        <v>5.0860077948260097E-4</v>
      </c>
    </row>
    <row r="365" spans="1:36">
      <c r="A365" s="3">
        <v>161</v>
      </c>
      <c r="B365" s="3">
        <v>9943</v>
      </c>
      <c r="C365" s="3" t="s">
        <v>196</v>
      </c>
      <c r="D365" s="3" t="s">
        <v>197</v>
      </c>
      <c r="E365" s="5" t="s">
        <v>149</v>
      </c>
      <c r="F365" s="3" t="s">
        <v>508</v>
      </c>
      <c r="G365" s="3" t="s">
        <v>509</v>
      </c>
      <c r="H365" s="3" t="s">
        <v>152</v>
      </c>
      <c r="I365" s="3" t="s">
        <v>153</v>
      </c>
      <c r="J365" s="3" t="s">
        <v>30</v>
      </c>
      <c r="K365" s="3" t="s">
        <v>30</v>
      </c>
      <c r="L365" s="3" t="s">
        <v>154</v>
      </c>
      <c r="M365" s="3" t="s">
        <v>31</v>
      </c>
      <c r="N365" s="3" t="s">
        <v>167</v>
      </c>
      <c r="O365" s="3" t="s">
        <v>156</v>
      </c>
      <c r="P365" s="3" t="s">
        <v>168</v>
      </c>
      <c r="Q365" s="3" t="s">
        <v>169</v>
      </c>
      <c r="R365" s="3" t="s">
        <v>159</v>
      </c>
      <c r="S365" s="3" t="s">
        <v>34</v>
      </c>
      <c r="T365" s="155">
        <v>7.165</v>
      </c>
      <c r="U365" s="3" t="s">
        <v>510</v>
      </c>
      <c r="V365" s="166">
        <v>5.79E-2</v>
      </c>
      <c r="W365" s="166">
        <v>4.99E-2</v>
      </c>
      <c r="X365" s="5" t="s">
        <v>161</v>
      </c>
      <c r="Y365" s="5" t="s">
        <v>156</v>
      </c>
      <c r="Z365" s="155">
        <v>2250000</v>
      </c>
      <c r="AA365" s="164">
        <v>1</v>
      </c>
      <c r="AB365" s="174">
        <v>110.08</v>
      </c>
      <c r="AD365" s="155">
        <v>2476.8000000000002</v>
      </c>
      <c r="AG365" s="3" t="s">
        <v>36</v>
      </c>
      <c r="AH365" s="166">
        <v>2.4889999999999999E-3</v>
      </c>
      <c r="AI365" s="166">
        <v>7.9364988425609604E-3</v>
      </c>
      <c r="AJ365" s="166">
        <v>1.27317110259781E-3</v>
      </c>
    </row>
    <row r="366" spans="1:36">
      <c r="A366" s="3">
        <v>161</v>
      </c>
      <c r="B366" s="3">
        <v>9943</v>
      </c>
      <c r="C366" s="3" t="s">
        <v>206</v>
      </c>
      <c r="D366" s="3" t="s">
        <v>207</v>
      </c>
      <c r="E366" s="5" t="s">
        <v>149</v>
      </c>
      <c r="F366" s="3" t="s">
        <v>212</v>
      </c>
      <c r="G366" s="3" t="s">
        <v>213</v>
      </c>
      <c r="H366" s="3" t="s">
        <v>152</v>
      </c>
      <c r="I366" s="3" t="s">
        <v>153</v>
      </c>
      <c r="J366" s="3" t="s">
        <v>30</v>
      </c>
      <c r="K366" s="3" t="s">
        <v>82</v>
      </c>
      <c r="L366" s="3" t="s">
        <v>154</v>
      </c>
      <c r="M366" s="3" t="s">
        <v>31</v>
      </c>
      <c r="N366" s="3" t="s">
        <v>210</v>
      </c>
      <c r="O366" s="3" t="s">
        <v>156</v>
      </c>
      <c r="P366" s="3" t="s">
        <v>157</v>
      </c>
      <c r="Q366" s="3" t="s">
        <v>158</v>
      </c>
      <c r="R366" s="3" t="s">
        <v>159</v>
      </c>
      <c r="S366" s="3" t="s">
        <v>34</v>
      </c>
      <c r="T366" s="155">
        <v>2.8079999999999998</v>
      </c>
      <c r="U366" s="3" t="s">
        <v>214</v>
      </c>
      <c r="V366" s="166">
        <v>1.4999999999999999E-2</v>
      </c>
      <c r="W366" s="166">
        <v>5.0139999999999997E-2</v>
      </c>
      <c r="X366" s="5" t="s">
        <v>161</v>
      </c>
      <c r="Y366" s="5" t="s">
        <v>156</v>
      </c>
      <c r="Z366" s="155">
        <v>90686</v>
      </c>
      <c r="AA366" s="164">
        <v>1</v>
      </c>
      <c r="AB366" s="174">
        <v>90.97</v>
      </c>
      <c r="AD366" s="155">
        <v>82.497</v>
      </c>
      <c r="AG366" s="3" t="s">
        <v>36</v>
      </c>
      <c r="AH366" s="166">
        <v>7.7000000000000001E-5</v>
      </c>
      <c r="AI366" s="166">
        <v>2.6434826193999901E-4</v>
      </c>
      <c r="AJ366" s="166">
        <v>4.2406680174775999E-5</v>
      </c>
    </row>
    <row r="367" spans="1:36">
      <c r="A367" s="3">
        <v>161</v>
      </c>
      <c r="B367" s="3">
        <v>9943</v>
      </c>
      <c r="C367" s="3" t="s">
        <v>661</v>
      </c>
      <c r="D367" s="3" t="s">
        <v>662</v>
      </c>
      <c r="E367" s="5" t="s">
        <v>149</v>
      </c>
      <c r="F367" s="3" t="s">
        <v>663</v>
      </c>
      <c r="G367" s="3" t="s">
        <v>664</v>
      </c>
      <c r="H367" s="3" t="s">
        <v>152</v>
      </c>
      <c r="I367" s="3" t="s">
        <v>166</v>
      </c>
      <c r="J367" s="3" t="s">
        <v>30</v>
      </c>
      <c r="K367" s="3" t="s">
        <v>30</v>
      </c>
      <c r="L367" s="3" t="s">
        <v>154</v>
      </c>
      <c r="M367" s="3" t="s">
        <v>31</v>
      </c>
      <c r="N367" s="3" t="s">
        <v>238</v>
      </c>
      <c r="O367" s="3" t="s">
        <v>156</v>
      </c>
      <c r="P367" s="3" t="s">
        <v>179</v>
      </c>
      <c r="Q367" s="3" t="s">
        <v>169</v>
      </c>
      <c r="R367" s="3" t="s">
        <v>159</v>
      </c>
      <c r="S367" s="3" t="s">
        <v>34</v>
      </c>
      <c r="T367" s="155">
        <v>0.79300000000000004</v>
      </c>
      <c r="U367" s="3" t="s">
        <v>665</v>
      </c>
      <c r="V367" s="166">
        <v>2.5700000000000001E-2</v>
      </c>
      <c r="W367" s="166">
        <v>4.0009999999999997E-2</v>
      </c>
      <c r="X367" s="5" t="s">
        <v>161</v>
      </c>
      <c r="Y367" s="5" t="s">
        <v>156</v>
      </c>
      <c r="Z367" s="155">
        <v>1085059.3500000001</v>
      </c>
      <c r="AA367" s="164">
        <v>1</v>
      </c>
      <c r="AB367" s="174">
        <v>119.85</v>
      </c>
      <c r="AD367" s="155">
        <v>1300.444</v>
      </c>
      <c r="AG367" s="3" t="s">
        <v>36</v>
      </c>
      <c r="AH367" s="166">
        <v>1.0269999999999999E-3</v>
      </c>
      <c r="AI367" s="166">
        <v>4.1670580475003504E-3</v>
      </c>
      <c r="AJ367" s="166">
        <v>6.6847837997203595E-4</v>
      </c>
    </row>
    <row r="368" spans="1:36">
      <c r="A368" s="3">
        <v>161</v>
      </c>
      <c r="B368" s="3">
        <v>9943</v>
      </c>
      <c r="C368" s="3" t="s">
        <v>661</v>
      </c>
      <c r="D368" s="3" t="s">
        <v>662</v>
      </c>
      <c r="E368" s="5" t="s">
        <v>149</v>
      </c>
      <c r="F368" s="3" t="s">
        <v>666</v>
      </c>
      <c r="G368" s="3" t="s">
        <v>667</v>
      </c>
      <c r="H368" s="3" t="s">
        <v>152</v>
      </c>
      <c r="I368" s="3" t="s">
        <v>166</v>
      </c>
      <c r="J368" s="3" t="s">
        <v>30</v>
      </c>
      <c r="K368" s="3" t="s">
        <v>30</v>
      </c>
      <c r="L368" s="3" t="s">
        <v>154</v>
      </c>
      <c r="M368" s="3" t="s">
        <v>31</v>
      </c>
      <c r="N368" s="3" t="s">
        <v>238</v>
      </c>
      <c r="O368" s="3" t="s">
        <v>156</v>
      </c>
      <c r="P368" s="3" t="s">
        <v>179</v>
      </c>
      <c r="Q368" s="3" t="s">
        <v>169</v>
      </c>
      <c r="R368" s="3" t="s">
        <v>159</v>
      </c>
      <c r="S368" s="3" t="s">
        <v>34</v>
      </c>
      <c r="T368" s="155">
        <v>3.1709999999999998</v>
      </c>
      <c r="U368" s="3" t="s">
        <v>400</v>
      </c>
      <c r="V368" s="166">
        <v>1.09E-2</v>
      </c>
      <c r="W368" s="166">
        <v>3.092E-2</v>
      </c>
      <c r="X368" s="5" t="s">
        <v>161</v>
      </c>
      <c r="Y368" s="5" t="s">
        <v>156</v>
      </c>
      <c r="Z368" s="155">
        <v>77969</v>
      </c>
      <c r="AA368" s="164">
        <v>1</v>
      </c>
      <c r="AB368" s="174">
        <v>110.26</v>
      </c>
      <c r="AD368" s="155">
        <v>85.968999999999994</v>
      </c>
      <c r="AG368" s="3" t="s">
        <v>36</v>
      </c>
      <c r="AH368" s="166">
        <v>1.1E-4</v>
      </c>
      <c r="AI368" s="166">
        <v>2.7547232249865302E-4</v>
      </c>
      <c r="AJ368" s="166">
        <v>4.4191199107844603E-5</v>
      </c>
    </row>
    <row r="369" spans="1:36">
      <c r="A369" s="3">
        <v>161</v>
      </c>
      <c r="B369" s="3">
        <v>9943</v>
      </c>
      <c r="C369" s="3" t="s">
        <v>668</v>
      </c>
      <c r="D369" s="3" t="s">
        <v>669</v>
      </c>
      <c r="E369" s="5" t="s">
        <v>149</v>
      </c>
      <c r="F369" s="3" t="s">
        <v>670</v>
      </c>
      <c r="G369" s="3" t="s">
        <v>671</v>
      </c>
      <c r="H369" s="3" t="s">
        <v>152</v>
      </c>
      <c r="I369" s="3" t="s">
        <v>153</v>
      </c>
      <c r="J369" s="3" t="s">
        <v>30</v>
      </c>
      <c r="K369" s="3" t="s">
        <v>30</v>
      </c>
      <c r="L369" s="3" t="s">
        <v>154</v>
      </c>
      <c r="M369" s="3" t="s">
        <v>31</v>
      </c>
      <c r="N369" s="3" t="s">
        <v>282</v>
      </c>
      <c r="O369" s="3" t="s">
        <v>156</v>
      </c>
      <c r="P369" s="3" t="s">
        <v>283</v>
      </c>
      <c r="Q369" s="3" t="s">
        <v>283</v>
      </c>
      <c r="R369" s="3" t="s">
        <v>283</v>
      </c>
      <c r="S369" s="3" t="s">
        <v>34</v>
      </c>
      <c r="T369" s="155">
        <v>1.1719999999999999</v>
      </c>
      <c r="U369" s="3" t="s">
        <v>567</v>
      </c>
      <c r="V369" s="166">
        <v>8.5000000000000006E-2</v>
      </c>
      <c r="W369" s="166">
        <v>5.9279999999999999E-2</v>
      </c>
      <c r="X369" s="5" t="s">
        <v>161</v>
      </c>
      <c r="Y369" s="5" t="s">
        <v>156</v>
      </c>
      <c r="Z369" s="155">
        <v>68588</v>
      </c>
      <c r="AA369" s="164">
        <v>1</v>
      </c>
      <c r="AB369" s="174">
        <v>105.36</v>
      </c>
      <c r="AD369" s="155">
        <v>72.263999999999996</v>
      </c>
      <c r="AG369" s="3" t="s">
        <v>36</v>
      </c>
      <c r="AH369" s="166">
        <v>5.2800000000000004E-4</v>
      </c>
      <c r="AI369" s="166">
        <v>2.3155913543348601E-4</v>
      </c>
      <c r="AJ369" s="166">
        <v>3.7146656935858102E-5</v>
      </c>
    </row>
    <row r="370" spans="1:36">
      <c r="A370" s="3">
        <v>161</v>
      </c>
      <c r="B370" s="3">
        <v>9943</v>
      </c>
      <c r="C370" s="3" t="s">
        <v>672</v>
      </c>
      <c r="D370" s="3" t="s">
        <v>673</v>
      </c>
      <c r="E370" s="5" t="s">
        <v>149</v>
      </c>
      <c r="F370" s="3" t="s">
        <v>674</v>
      </c>
      <c r="G370" s="3" t="s">
        <v>675</v>
      </c>
      <c r="H370" s="3" t="s">
        <v>152</v>
      </c>
      <c r="I370" s="3" t="s">
        <v>166</v>
      </c>
      <c r="J370" s="3" t="s">
        <v>30</v>
      </c>
      <c r="K370" s="3" t="s">
        <v>30</v>
      </c>
      <c r="L370" s="3" t="s">
        <v>154</v>
      </c>
      <c r="M370" s="3" t="s">
        <v>31</v>
      </c>
      <c r="N370" s="3" t="s">
        <v>194</v>
      </c>
      <c r="O370" s="3" t="s">
        <v>156</v>
      </c>
      <c r="P370" s="3" t="s">
        <v>239</v>
      </c>
      <c r="Q370" s="3" t="s">
        <v>169</v>
      </c>
      <c r="R370" s="3" t="s">
        <v>159</v>
      </c>
      <c r="S370" s="3" t="s">
        <v>34</v>
      </c>
      <c r="T370" s="155">
        <v>1.9650000000000001</v>
      </c>
      <c r="U370" s="3" t="s">
        <v>676</v>
      </c>
      <c r="V370" s="166">
        <v>2.8799999999999999E-2</v>
      </c>
      <c r="W370" s="166">
        <v>3.1559999999999998E-2</v>
      </c>
      <c r="X370" s="5" t="s">
        <v>161</v>
      </c>
      <c r="Y370" s="5" t="s">
        <v>156</v>
      </c>
      <c r="Z370" s="155">
        <v>109286.71</v>
      </c>
      <c r="AA370" s="164">
        <v>1</v>
      </c>
      <c r="AB370" s="174">
        <v>118.11</v>
      </c>
      <c r="AD370" s="155">
        <v>129.07900000000001</v>
      </c>
      <c r="AG370" s="3" t="s">
        <v>36</v>
      </c>
      <c r="AH370" s="166">
        <v>4.8099999999999998E-4</v>
      </c>
      <c r="AI370" s="166">
        <v>4.13610961397963E-4</v>
      </c>
      <c r="AJ370" s="166">
        <v>6.6351364022836602E-5</v>
      </c>
    </row>
    <row r="371" spans="1:36">
      <c r="A371" s="3">
        <v>161</v>
      </c>
      <c r="B371" s="3">
        <v>9943</v>
      </c>
      <c r="C371" s="3" t="s">
        <v>677</v>
      </c>
      <c r="D371" s="3" t="s">
        <v>678</v>
      </c>
      <c r="E371" s="5" t="s">
        <v>149</v>
      </c>
      <c r="F371" s="3" t="s">
        <v>679</v>
      </c>
      <c r="G371" s="3" t="s">
        <v>680</v>
      </c>
      <c r="H371" s="3" t="s">
        <v>152</v>
      </c>
      <c r="I371" s="3" t="s">
        <v>153</v>
      </c>
      <c r="J371" s="3" t="s">
        <v>30</v>
      </c>
      <c r="K371" s="3" t="s">
        <v>30</v>
      </c>
      <c r="L371" s="3" t="s">
        <v>154</v>
      </c>
      <c r="M371" s="3" t="s">
        <v>31</v>
      </c>
      <c r="N371" s="3" t="s">
        <v>194</v>
      </c>
      <c r="O371" s="3" t="s">
        <v>156</v>
      </c>
      <c r="P371" s="3" t="s">
        <v>168</v>
      </c>
      <c r="Q371" s="3" t="s">
        <v>169</v>
      </c>
      <c r="R371" s="3" t="s">
        <v>159</v>
      </c>
      <c r="S371" s="3" t="s">
        <v>34</v>
      </c>
      <c r="T371" s="155">
        <v>2.996</v>
      </c>
      <c r="U371" s="3" t="s">
        <v>681</v>
      </c>
      <c r="V371" s="166">
        <v>1.6400000000000001E-2</v>
      </c>
      <c r="W371" s="166">
        <v>4.7620000000000003E-2</v>
      </c>
      <c r="X371" s="5" t="s">
        <v>161</v>
      </c>
      <c r="Y371" s="5" t="s">
        <v>156</v>
      </c>
      <c r="Z371" s="155">
        <v>1237966.6299999999</v>
      </c>
      <c r="AA371" s="164">
        <v>1</v>
      </c>
      <c r="AB371" s="174">
        <v>91.33</v>
      </c>
      <c r="AD371" s="155">
        <v>1130.635</v>
      </c>
      <c r="AG371" s="3" t="s">
        <v>36</v>
      </c>
      <c r="AH371" s="166">
        <v>5.7120000000000001E-3</v>
      </c>
      <c r="AI371" s="166">
        <v>3.6229339305431001E-3</v>
      </c>
      <c r="AJ371" s="166">
        <v>5.8119012910989897E-4</v>
      </c>
    </row>
    <row r="372" spans="1:36">
      <c r="A372" s="3">
        <v>161</v>
      </c>
      <c r="B372" s="3">
        <v>9943</v>
      </c>
      <c r="C372" s="3" t="s">
        <v>162</v>
      </c>
      <c r="D372" s="3" t="s">
        <v>163</v>
      </c>
      <c r="E372" s="5" t="s">
        <v>149</v>
      </c>
      <c r="F372" s="3" t="s">
        <v>215</v>
      </c>
      <c r="G372" s="3" t="s">
        <v>216</v>
      </c>
      <c r="H372" s="3" t="s">
        <v>152</v>
      </c>
      <c r="I372" s="3" t="s">
        <v>166</v>
      </c>
      <c r="J372" s="3" t="s">
        <v>30</v>
      </c>
      <c r="K372" s="3" t="s">
        <v>30</v>
      </c>
      <c r="L372" s="3" t="s">
        <v>154</v>
      </c>
      <c r="M372" s="3" t="s">
        <v>31</v>
      </c>
      <c r="N372" s="3" t="s">
        <v>167</v>
      </c>
      <c r="O372" s="3" t="s">
        <v>156</v>
      </c>
      <c r="P372" s="3" t="s">
        <v>168</v>
      </c>
      <c r="Q372" s="3" t="s">
        <v>169</v>
      </c>
      <c r="R372" s="3" t="s">
        <v>159</v>
      </c>
      <c r="S372" s="3" t="s">
        <v>34</v>
      </c>
      <c r="T372" s="155">
        <v>4.8460000000000001</v>
      </c>
      <c r="U372" s="3" t="s">
        <v>217</v>
      </c>
      <c r="V372" s="166">
        <v>6.4999999999999997E-3</v>
      </c>
      <c r="W372" s="166">
        <v>2.8850000000000001E-2</v>
      </c>
      <c r="X372" s="5" t="s">
        <v>161</v>
      </c>
      <c r="Y372" s="5" t="s">
        <v>156</v>
      </c>
      <c r="Z372" s="155">
        <v>188498.66</v>
      </c>
      <c r="AA372" s="164">
        <v>1</v>
      </c>
      <c r="AB372" s="174">
        <v>105.89</v>
      </c>
      <c r="AD372" s="155">
        <v>199.601</v>
      </c>
      <c r="AG372" s="3" t="s">
        <v>36</v>
      </c>
      <c r="AH372" s="166">
        <v>9.1000000000000003E-5</v>
      </c>
      <c r="AI372" s="166">
        <v>6.3958936506481896E-4</v>
      </c>
      <c r="AJ372" s="166">
        <v>1.02602761404379E-4</v>
      </c>
    </row>
    <row r="373" spans="1:36">
      <c r="A373" s="3">
        <v>161</v>
      </c>
      <c r="B373" s="3">
        <v>9943</v>
      </c>
      <c r="C373" s="3" t="s">
        <v>682</v>
      </c>
      <c r="D373" s="3" t="s">
        <v>683</v>
      </c>
      <c r="E373" s="5" t="s">
        <v>149</v>
      </c>
      <c r="F373" s="3" t="s">
        <v>684</v>
      </c>
      <c r="G373" s="3" t="s">
        <v>685</v>
      </c>
      <c r="H373" s="3" t="s">
        <v>152</v>
      </c>
      <c r="I373" s="3" t="s">
        <v>166</v>
      </c>
      <c r="J373" s="3" t="s">
        <v>30</v>
      </c>
      <c r="K373" s="3" t="s">
        <v>30</v>
      </c>
      <c r="L373" s="3" t="s">
        <v>154</v>
      </c>
      <c r="M373" s="3" t="s">
        <v>31</v>
      </c>
      <c r="N373" s="3" t="s">
        <v>167</v>
      </c>
      <c r="O373" s="3" t="s">
        <v>156</v>
      </c>
      <c r="P373" s="3" t="s">
        <v>179</v>
      </c>
      <c r="Q373" s="3" t="s">
        <v>169</v>
      </c>
      <c r="R373" s="3" t="s">
        <v>159</v>
      </c>
      <c r="S373" s="3" t="s">
        <v>34</v>
      </c>
      <c r="T373" s="155">
        <v>3.157</v>
      </c>
      <c r="U373" s="3" t="s">
        <v>400</v>
      </c>
      <c r="V373" s="166">
        <v>1.5299999999999999E-2</v>
      </c>
      <c r="W373" s="166">
        <v>2.8170000000000001E-2</v>
      </c>
      <c r="X373" s="5" t="s">
        <v>161</v>
      </c>
      <c r="Y373" s="5" t="s">
        <v>156</v>
      </c>
      <c r="Z373" s="155">
        <v>1008792.12</v>
      </c>
      <c r="AA373" s="164">
        <v>1</v>
      </c>
      <c r="AB373" s="174">
        <v>114.59</v>
      </c>
      <c r="AD373" s="155">
        <v>1155.9749999999999</v>
      </c>
      <c r="AG373" s="3" t="s">
        <v>36</v>
      </c>
      <c r="AH373" s="166">
        <v>1.9589999999999998E-3</v>
      </c>
      <c r="AI373" s="166">
        <v>3.7041316937011402E-3</v>
      </c>
      <c r="AJ373" s="166">
        <v>5.9421585338695804E-4</v>
      </c>
    </row>
    <row r="374" spans="1:36">
      <c r="A374" s="3">
        <v>161</v>
      </c>
      <c r="B374" s="3">
        <v>9943</v>
      </c>
      <c r="C374" s="3" t="s">
        <v>686</v>
      </c>
      <c r="D374" s="3" t="s">
        <v>687</v>
      </c>
      <c r="E374" s="5" t="s">
        <v>149</v>
      </c>
      <c r="F374" s="3" t="s">
        <v>688</v>
      </c>
      <c r="G374" s="3" t="s">
        <v>689</v>
      </c>
      <c r="H374" s="3" t="s">
        <v>152</v>
      </c>
      <c r="I374" s="3" t="s">
        <v>166</v>
      </c>
      <c r="J374" s="3" t="s">
        <v>30</v>
      </c>
      <c r="K374" s="3" t="s">
        <v>30</v>
      </c>
      <c r="L374" s="3" t="s">
        <v>154</v>
      </c>
      <c r="M374" s="3" t="s">
        <v>31</v>
      </c>
      <c r="N374" s="3" t="s">
        <v>282</v>
      </c>
      <c r="O374" s="3" t="s">
        <v>156</v>
      </c>
      <c r="P374" s="3" t="s">
        <v>258</v>
      </c>
      <c r="Q374" s="3" t="s">
        <v>169</v>
      </c>
      <c r="R374" s="3" t="s">
        <v>159</v>
      </c>
      <c r="S374" s="3" t="s">
        <v>34</v>
      </c>
      <c r="T374" s="155">
        <v>2.5449999999999999</v>
      </c>
      <c r="U374" s="3" t="s">
        <v>259</v>
      </c>
      <c r="V374" s="166">
        <v>7.4999999999999997E-3</v>
      </c>
      <c r="W374" s="166">
        <v>3.0329999999999999E-2</v>
      </c>
      <c r="X374" s="5" t="s">
        <v>161</v>
      </c>
      <c r="Y374" s="5" t="s">
        <v>156</v>
      </c>
      <c r="Z374" s="155">
        <v>2386500</v>
      </c>
      <c r="AA374" s="164">
        <v>1</v>
      </c>
      <c r="AB374" s="174">
        <v>109.6</v>
      </c>
      <c r="AD374" s="155">
        <v>2615.6039999999998</v>
      </c>
      <c r="AG374" s="3" t="s">
        <v>36</v>
      </c>
      <c r="AH374" s="166">
        <v>1.676E-3</v>
      </c>
      <c r="AI374" s="166">
        <v>8.3812734651961505E-3</v>
      </c>
      <c r="AJ374" s="166">
        <v>1.3445217331392301E-3</v>
      </c>
    </row>
    <row r="375" spans="1:36">
      <c r="A375" s="3">
        <v>161</v>
      </c>
      <c r="B375" s="3">
        <v>9943</v>
      </c>
      <c r="C375" s="3" t="s">
        <v>686</v>
      </c>
      <c r="D375" s="3" t="s">
        <v>687</v>
      </c>
      <c r="E375" s="5" t="s">
        <v>149</v>
      </c>
      <c r="F375" s="3" t="s">
        <v>690</v>
      </c>
      <c r="G375" s="3" t="s">
        <v>691</v>
      </c>
      <c r="H375" s="3" t="s">
        <v>152</v>
      </c>
      <c r="I375" s="3" t="s">
        <v>166</v>
      </c>
      <c r="J375" s="3" t="s">
        <v>30</v>
      </c>
      <c r="K375" s="3" t="s">
        <v>30</v>
      </c>
      <c r="L375" s="3" t="s">
        <v>154</v>
      </c>
      <c r="M375" s="3" t="s">
        <v>31</v>
      </c>
      <c r="N375" s="3" t="s">
        <v>282</v>
      </c>
      <c r="O375" s="3" t="s">
        <v>156</v>
      </c>
      <c r="P375" s="3" t="s">
        <v>258</v>
      </c>
      <c r="Q375" s="3" t="s">
        <v>169</v>
      </c>
      <c r="R375" s="3" t="s">
        <v>159</v>
      </c>
      <c r="S375" s="3" t="s">
        <v>34</v>
      </c>
      <c r="T375" s="155">
        <v>4.6859999999999999</v>
      </c>
      <c r="U375" s="3" t="s">
        <v>692</v>
      </c>
      <c r="V375" s="166">
        <v>4.0800000000000003E-2</v>
      </c>
      <c r="W375" s="166">
        <v>3.4189999999999998E-2</v>
      </c>
      <c r="X375" s="5" t="s">
        <v>161</v>
      </c>
      <c r="Y375" s="5" t="s">
        <v>156</v>
      </c>
      <c r="Z375" s="155">
        <v>2942763</v>
      </c>
      <c r="AA375" s="164">
        <v>1</v>
      </c>
      <c r="AB375" s="174">
        <v>111.71</v>
      </c>
      <c r="AD375" s="155">
        <v>3287.3609999999999</v>
      </c>
      <c r="AG375" s="3" t="s">
        <v>36</v>
      </c>
      <c r="AH375" s="166">
        <v>3.388E-3</v>
      </c>
      <c r="AI375" s="166">
        <v>1.0533807000455E-2</v>
      </c>
      <c r="AJ375" s="166">
        <v>1.68983060910953E-3</v>
      </c>
    </row>
    <row r="376" spans="1:36">
      <c r="A376" s="3">
        <v>161</v>
      </c>
      <c r="B376" s="3">
        <v>9943</v>
      </c>
      <c r="C376" s="3" t="s">
        <v>693</v>
      </c>
      <c r="D376" s="3" t="s">
        <v>694</v>
      </c>
      <c r="E376" s="5" t="s">
        <v>149</v>
      </c>
      <c r="F376" s="3" t="s">
        <v>695</v>
      </c>
      <c r="G376" s="3" t="s">
        <v>696</v>
      </c>
      <c r="H376" s="3" t="s">
        <v>152</v>
      </c>
      <c r="I376" s="3" t="s">
        <v>153</v>
      </c>
      <c r="J376" s="3" t="s">
        <v>30</v>
      </c>
      <c r="K376" s="3" t="s">
        <v>30</v>
      </c>
      <c r="L376" s="3" t="s">
        <v>154</v>
      </c>
      <c r="M376" s="3" t="s">
        <v>31</v>
      </c>
      <c r="N376" s="3" t="s">
        <v>697</v>
      </c>
      <c r="O376" s="3" t="s">
        <v>156</v>
      </c>
      <c r="P376" s="3" t="s">
        <v>168</v>
      </c>
      <c r="Q376" s="3" t="s">
        <v>169</v>
      </c>
      <c r="R376" s="3" t="s">
        <v>159</v>
      </c>
      <c r="S376" s="3" t="s">
        <v>34</v>
      </c>
      <c r="T376" s="155">
        <v>7.157</v>
      </c>
      <c r="U376" s="3" t="s">
        <v>698</v>
      </c>
      <c r="V376" s="166">
        <v>2.7900000000000001E-2</v>
      </c>
      <c r="W376" s="166">
        <v>4.6809999999999997E-2</v>
      </c>
      <c r="X376" s="5" t="s">
        <v>161</v>
      </c>
      <c r="Y376" s="5" t="s">
        <v>156</v>
      </c>
      <c r="Z376" s="155">
        <v>3615048</v>
      </c>
      <c r="AA376" s="164">
        <v>1</v>
      </c>
      <c r="AB376" s="174">
        <v>88.64</v>
      </c>
      <c r="AD376" s="155">
        <v>3204.3789999999999</v>
      </c>
      <c r="AG376" s="3" t="s">
        <v>36</v>
      </c>
      <c r="AH376" s="166">
        <v>2.5769999999999999E-3</v>
      </c>
      <c r="AI376" s="166">
        <v>1.02679048090197E-2</v>
      </c>
      <c r="AJ376" s="166">
        <v>1.6471746479648701E-3</v>
      </c>
    </row>
    <row r="377" spans="1:36">
      <c r="A377" s="3">
        <v>161</v>
      </c>
      <c r="B377" s="3">
        <v>9943</v>
      </c>
      <c r="C377" s="3" t="s">
        <v>693</v>
      </c>
      <c r="D377" s="3" t="s">
        <v>694</v>
      </c>
      <c r="E377" s="5" t="s">
        <v>149</v>
      </c>
      <c r="F377" s="3" t="s">
        <v>699</v>
      </c>
      <c r="G377" s="3" t="s">
        <v>700</v>
      </c>
      <c r="H377" s="3" t="s">
        <v>152</v>
      </c>
      <c r="I377" s="3" t="s">
        <v>166</v>
      </c>
      <c r="J377" s="3" t="s">
        <v>30</v>
      </c>
      <c r="K377" s="3" t="s">
        <v>30</v>
      </c>
      <c r="L377" s="3" t="s">
        <v>154</v>
      </c>
      <c r="M377" s="3" t="s">
        <v>31</v>
      </c>
      <c r="N377" s="3" t="s">
        <v>697</v>
      </c>
      <c r="O377" s="3" t="s">
        <v>156</v>
      </c>
      <c r="P377" s="3" t="s">
        <v>168</v>
      </c>
      <c r="Q377" s="3" t="s">
        <v>169</v>
      </c>
      <c r="R377" s="3" t="s">
        <v>159</v>
      </c>
      <c r="S377" s="3" t="s">
        <v>34</v>
      </c>
      <c r="T377" s="155">
        <v>7.42</v>
      </c>
      <c r="U377" s="3" t="s">
        <v>701</v>
      </c>
      <c r="V377" s="166">
        <v>5.7999999999999996E-3</v>
      </c>
      <c r="W377" s="166">
        <v>2.7459999999999998E-2</v>
      </c>
      <c r="X377" s="5" t="s">
        <v>161</v>
      </c>
      <c r="Y377" s="5" t="s">
        <v>156</v>
      </c>
      <c r="Z377" s="155">
        <v>1450000</v>
      </c>
      <c r="AA377" s="164">
        <v>1</v>
      </c>
      <c r="AB377" s="174">
        <v>99.05</v>
      </c>
      <c r="AD377" s="155">
        <v>1436.2249999999999</v>
      </c>
      <c r="AG377" s="3" t="s">
        <v>36</v>
      </c>
      <c r="AH377" s="166">
        <v>2.3779999999999999E-3</v>
      </c>
      <c r="AI377" s="166">
        <v>4.6021471455737701E-3</v>
      </c>
      <c r="AJ377" s="166">
        <v>7.3827526115493301E-4</v>
      </c>
    </row>
    <row r="378" spans="1:36">
      <c r="A378" s="3">
        <v>161</v>
      </c>
      <c r="B378" s="3">
        <v>9943</v>
      </c>
      <c r="C378" s="3" t="s">
        <v>218</v>
      </c>
      <c r="D378" s="3" t="s">
        <v>219</v>
      </c>
      <c r="E378" s="5" t="s">
        <v>149</v>
      </c>
      <c r="F378" s="3" t="s">
        <v>702</v>
      </c>
      <c r="G378" s="3" t="s">
        <v>703</v>
      </c>
      <c r="H378" s="3" t="s">
        <v>152</v>
      </c>
      <c r="I378" s="3" t="s">
        <v>166</v>
      </c>
      <c r="J378" s="3" t="s">
        <v>30</v>
      </c>
      <c r="K378" s="3" t="s">
        <v>30</v>
      </c>
      <c r="L378" s="3" t="s">
        <v>154</v>
      </c>
      <c r="M378" s="3" t="s">
        <v>31</v>
      </c>
      <c r="N378" s="3" t="s">
        <v>167</v>
      </c>
      <c r="O378" s="3" t="s">
        <v>156</v>
      </c>
      <c r="P378" s="3" t="s">
        <v>185</v>
      </c>
      <c r="Q378" s="3" t="s">
        <v>169</v>
      </c>
      <c r="R378" s="3" t="s">
        <v>159</v>
      </c>
      <c r="S378" s="3" t="s">
        <v>34</v>
      </c>
      <c r="T378" s="155">
        <v>0.69399999999999995</v>
      </c>
      <c r="U378" s="3" t="s">
        <v>704</v>
      </c>
      <c r="V378" s="166">
        <v>1.95E-2</v>
      </c>
      <c r="W378" s="166">
        <v>4.24E-2</v>
      </c>
      <c r="X378" s="5" t="s">
        <v>161</v>
      </c>
      <c r="Y378" s="5" t="s">
        <v>156</v>
      </c>
      <c r="Z378" s="155">
        <v>1600225.44</v>
      </c>
      <c r="AA378" s="164">
        <v>1</v>
      </c>
      <c r="AB378" s="174">
        <v>118.54</v>
      </c>
      <c r="AD378" s="155">
        <v>1896.9069999999999</v>
      </c>
      <c r="AG378" s="3" t="s">
        <v>36</v>
      </c>
      <c r="AH378" s="166">
        <v>4.7520000000000001E-3</v>
      </c>
      <c r="AI378" s="166">
        <v>6.0783277162188903E-3</v>
      </c>
      <c r="AJ378" s="166">
        <v>9.7508376853893298E-4</v>
      </c>
    </row>
    <row r="379" spans="1:36">
      <c r="A379" s="3">
        <v>161</v>
      </c>
      <c r="B379" s="3">
        <v>9943</v>
      </c>
      <c r="C379" s="3" t="s">
        <v>218</v>
      </c>
      <c r="D379" s="3" t="s">
        <v>219</v>
      </c>
      <c r="E379" s="5" t="s">
        <v>149</v>
      </c>
      <c r="F379" s="3" t="s">
        <v>220</v>
      </c>
      <c r="G379" s="3" t="s">
        <v>221</v>
      </c>
      <c r="H379" s="3" t="s">
        <v>152</v>
      </c>
      <c r="I379" s="3" t="s">
        <v>166</v>
      </c>
      <c r="J379" s="3" t="s">
        <v>30</v>
      </c>
      <c r="K379" s="3" t="s">
        <v>30</v>
      </c>
      <c r="L379" s="3" t="s">
        <v>154</v>
      </c>
      <c r="M379" s="3" t="s">
        <v>31</v>
      </c>
      <c r="N379" s="3" t="s">
        <v>167</v>
      </c>
      <c r="O379" s="3" t="s">
        <v>156</v>
      </c>
      <c r="P379" s="3" t="s">
        <v>222</v>
      </c>
      <c r="Q379" s="3" t="s">
        <v>158</v>
      </c>
      <c r="R379" s="3" t="s">
        <v>159</v>
      </c>
      <c r="S379" s="3" t="s">
        <v>34</v>
      </c>
      <c r="T379" s="155">
        <v>3.51</v>
      </c>
      <c r="U379" s="3" t="s">
        <v>223</v>
      </c>
      <c r="V379" s="166">
        <v>1.17E-2</v>
      </c>
      <c r="W379" s="166">
        <v>2.8479999999999998E-2</v>
      </c>
      <c r="X379" s="5" t="s">
        <v>161</v>
      </c>
      <c r="Y379" s="5" t="s">
        <v>156</v>
      </c>
      <c r="Z379" s="155">
        <v>883646.7</v>
      </c>
      <c r="AA379" s="164">
        <v>1</v>
      </c>
      <c r="AB379" s="174">
        <v>111.54</v>
      </c>
      <c r="AD379" s="155">
        <v>985.62</v>
      </c>
      <c r="AG379" s="3" t="s">
        <v>36</v>
      </c>
      <c r="AH379" s="166">
        <v>1.2830000000000001E-3</v>
      </c>
      <c r="AI379" s="166">
        <v>3.15825591591673E-3</v>
      </c>
      <c r="AJ379" s="166">
        <v>5.0664660154555602E-4</v>
      </c>
    </row>
    <row r="380" spans="1:36">
      <c r="A380" s="3">
        <v>161</v>
      </c>
      <c r="B380" s="3">
        <v>9943</v>
      </c>
      <c r="C380" s="3" t="s">
        <v>218</v>
      </c>
      <c r="D380" s="3" t="s">
        <v>219</v>
      </c>
      <c r="E380" s="5" t="s">
        <v>149</v>
      </c>
      <c r="F380" s="3" t="s">
        <v>705</v>
      </c>
      <c r="G380" s="3" t="s">
        <v>706</v>
      </c>
      <c r="H380" s="3" t="s">
        <v>152</v>
      </c>
      <c r="I380" s="3" t="s">
        <v>166</v>
      </c>
      <c r="J380" s="3" t="s">
        <v>30</v>
      </c>
      <c r="K380" s="3" t="s">
        <v>30</v>
      </c>
      <c r="L380" s="3" t="s">
        <v>154</v>
      </c>
      <c r="M380" s="3" t="s">
        <v>31</v>
      </c>
      <c r="N380" s="3" t="s">
        <v>167</v>
      </c>
      <c r="O380" s="3" t="s">
        <v>156</v>
      </c>
      <c r="P380" s="3" t="s">
        <v>222</v>
      </c>
      <c r="Q380" s="3" t="s">
        <v>158</v>
      </c>
      <c r="R380" s="3" t="s">
        <v>159</v>
      </c>
      <c r="S380" s="3" t="s">
        <v>34</v>
      </c>
      <c r="T380" s="155">
        <v>3.524</v>
      </c>
      <c r="U380" s="3" t="s">
        <v>707</v>
      </c>
      <c r="V380" s="166">
        <v>1.3299999999999999E-2</v>
      </c>
      <c r="W380" s="166">
        <v>2.887E-2</v>
      </c>
      <c r="X380" s="5" t="s">
        <v>161</v>
      </c>
      <c r="Y380" s="5" t="s">
        <v>156</v>
      </c>
      <c r="Z380" s="155">
        <v>1494697.23</v>
      </c>
      <c r="AA380" s="164">
        <v>1</v>
      </c>
      <c r="AB380" s="174">
        <v>112.31</v>
      </c>
      <c r="AD380" s="155">
        <v>1678.694</v>
      </c>
      <c r="AG380" s="3" t="s">
        <v>36</v>
      </c>
      <c r="AH380" s="166">
        <v>1.3290000000000001E-3</v>
      </c>
      <c r="AI380" s="166">
        <v>5.3791007069485504E-3</v>
      </c>
      <c r="AJ380" s="166">
        <v>8.6291395159335195E-4</v>
      </c>
    </row>
    <row r="381" spans="1:36">
      <c r="A381" s="3">
        <v>161</v>
      </c>
      <c r="B381" s="3">
        <v>9943</v>
      </c>
      <c r="C381" s="3" t="s">
        <v>708</v>
      </c>
      <c r="D381" s="3" t="s">
        <v>709</v>
      </c>
      <c r="E381" s="5" t="s">
        <v>149</v>
      </c>
      <c r="F381" s="3" t="s">
        <v>710</v>
      </c>
      <c r="G381" s="3" t="s">
        <v>711</v>
      </c>
      <c r="H381" s="3" t="s">
        <v>152</v>
      </c>
      <c r="I381" s="3" t="s">
        <v>153</v>
      </c>
      <c r="J381" s="3" t="s">
        <v>30</v>
      </c>
      <c r="K381" s="3" t="s">
        <v>30</v>
      </c>
      <c r="L381" s="3" t="s">
        <v>154</v>
      </c>
      <c r="M381" s="3" t="s">
        <v>31</v>
      </c>
      <c r="N381" s="3" t="s">
        <v>167</v>
      </c>
      <c r="O381" s="3" t="s">
        <v>156</v>
      </c>
      <c r="P381" s="3" t="s">
        <v>179</v>
      </c>
      <c r="Q381" s="3" t="s">
        <v>169</v>
      </c>
      <c r="R381" s="3" t="s">
        <v>159</v>
      </c>
      <c r="S381" s="3" t="s">
        <v>34</v>
      </c>
      <c r="T381" s="155">
        <v>4.4850000000000003</v>
      </c>
      <c r="U381" s="3" t="s">
        <v>320</v>
      </c>
      <c r="V381" s="166">
        <v>4.4999999999999998E-2</v>
      </c>
      <c r="W381" s="166">
        <v>5.0750000000000003E-2</v>
      </c>
      <c r="X381" s="5" t="s">
        <v>161</v>
      </c>
      <c r="Y381" s="5" t="s">
        <v>156</v>
      </c>
      <c r="Z381" s="155">
        <v>4000000</v>
      </c>
      <c r="AA381" s="164">
        <v>1</v>
      </c>
      <c r="AB381" s="174">
        <v>97.84</v>
      </c>
      <c r="AD381" s="155">
        <v>3913.6</v>
      </c>
      <c r="AG381" s="3" t="s">
        <v>36</v>
      </c>
      <c r="AH381" s="166">
        <v>4.0190999999999998E-2</v>
      </c>
      <c r="AI381" s="166">
        <v>1.25404884812042E-2</v>
      </c>
      <c r="AJ381" s="166">
        <v>2.0117419360169502E-3</v>
      </c>
    </row>
    <row r="382" spans="1:36">
      <c r="A382" s="3">
        <v>161</v>
      </c>
      <c r="B382" s="3">
        <v>9943</v>
      </c>
      <c r="C382" s="3" t="s">
        <v>712</v>
      </c>
      <c r="D382" s="3" t="s">
        <v>713</v>
      </c>
      <c r="E382" s="5" t="s">
        <v>149</v>
      </c>
      <c r="F382" s="3" t="s">
        <v>714</v>
      </c>
      <c r="G382" s="3" t="s">
        <v>715</v>
      </c>
      <c r="H382" s="3" t="s">
        <v>152</v>
      </c>
      <c r="I382" s="3" t="s">
        <v>153</v>
      </c>
      <c r="J382" s="3" t="s">
        <v>30</v>
      </c>
      <c r="K382" s="3" t="s">
        <v>30</v>
      </c>
      <c r="L382" s="3" t="s">
        <v>154</v>
      </c>
      <c r="M382" s="3" t="s">
        <v>31</v>
      </c>
      <c r="N382" s="3" t="s">
        <v>231</v>
      </c>
      <c r="O382" s="3" t="s">
        <v>156</v>
      </c>
      <c r="P382" s="3" t="s">
        <v>179</v>
      </c>
      <c r="Q382" s="3" t="s">
        <v>169</v>
      </c>
      <c r="R382" s="3" t="s">
        <v>159</v>
      </c>
      <c r="S382" s="3" t="s">
        <v>34</v>
      </c>
      <c r="T382" s="155">
        <v>3.8719999999999999</v>
      </c>
      <c r="U382" s="3" t="s">
        <v>716</v>
      </c>
      <c r="V382" s="166">
        <v>5.7500000000000002E-2</v>
      </c>
      <c r="W382" s="166">
        <v>5.033E-2</v>
      </c>
      <c r="X382" s="5" t="s">
        <v>161</v>
      </c>
      <c r="Y382" s="5" t="s">
        <v>156</v>
      </c>
      <c r="Z382" s="155">
        <v>469937</v>
      </c>
      <c r="AA382" s="164">
        <v>1</v>
      </c>
      <c r="AB382" s="174">
        <v>103.14</v>
      </c>
      <c r="AD382" s="155">
        <v>484.69299999999998</v>
      </c>
      <c r="AG382" s="3" t="s">
        <v>36</v>
      </c>
      <c r="AH382" s="166">
        <v>8.9499999999999996E-4</v>
      </c>
      <c r="AI382" s="166">
        <v>1.5531191886761499E-3</v>
      </c>
      <c r="AJ382" s="166">
        <v>2.4915098069548197E-4</v>
      </c>
    </row>
    <row r="383" spans="1:36">
      <c r="A383" s="3">
        <v>161</v>
      </c>
      <c r="B383" s="3">
        <v>9943</v>
      </c>
      <c r="C383" s="3" t="s">
        <v>516</v>
      </c>
      <c r="D383" s="3" t="s">
        <v>517</v>
      </c>
      <c r="E383" s="5" t="s">
        <v>149</v>
      </c>
      <c r="F383" s="3" t="s">
        <v>518</v>
      </c>
      <c r="G383" s="3" t="s">
        <v>519</v>
      </c>
      <c r="H383" s="3" t="s">
        <v>152</v>
      </c>
      <c r="I383" s="3" t="s">
        <v>153</v>
      </c>
      <c r="J383" s="3" t="s">
        <v>30</v>
      </c>
      <c r="K383" s="3" t="s">
        <v>30</v>
      </c>
      <c r="L383" s="3" t="s">
        <v>154</v>
      </c>
      <c r="M383" s="3" t="s">
        <v>31</v>
      </c>
      <c r="N383" s="3" t="s">
        <v>167</v>
      </c>
      <c r="O383" s="3" t="s">
        <v>156</v>
      </c>
      <c r="P383" s="3" t="s">
        <v>168</v>
      </c>
      <c r="Q383" s="3" t="s">
        <v>169</v>
      </c>
      <c r="R383" s="3" t="s">
        <v>159</v>
      </c>
      <c r="S383" s="3" t="s">
        <v>34</v>
      </c>
      <c r="T383" s="155">
        <v>4.5410000000000004</v>
      </c>
      <c r="U383" s="3" t="s">
        <v>476</v>
      </c>
      <c r="V383" s="166">
        <v>2.5499999999999998E-2</v>
      </c>
      <c r="W383" s="166">
        <v>4.9320000000000003E-2</v>
      </c>
      <c r="X383" s="5" t="s">
        <v>161</v>
      </c>
      <c r="Y383" s="5" t="s">
        <v>156</v>
      </c>
      <c r="Z383" s="155">
        <v>2003635.9</v>
      </c>
      <c r="AA383" s="164">
        <v>1</v>
      </c>
      <c r="AB383" s="174">
        <v>90.63</v>
      </c>
      <c r="AD383" s="155">
        <v>1815.895</v>
      </c>
      <c r="AG383" s="3" t="s">
        <v>36</v>
      </c>
      <c r="AH383" s="166">
        <v>7.18E-4</v>
      </c>
      <c r="AI383" s="166">
        <v>5.81873800118911E-3</v>
      </c>
      <c r="AJ383" s="166">
        <v>9.33440453235322E-4</v>
      </c>
    </row>
    <row r="384" spans="1:36">
      <c r="A384" s="3">
        <v>161</v>
      </c>
      <c r="B384" s="3">
        <v>9943</v>
      </c>
      <c r="C384" s="3" t="s">
        <v>516</v>
      </c>
      <c r="D384" s="3" t="s">
        <v>517</v>
      </c>
      <c r="E384" s="5" t="s">
        <v>149</v>
      </c>
      <c r="F384" s="3" t="s">
        <v>717</v>
      </c>
      <c r="G384" s="3" t="s">
        <v>718</v>
      </c>
      <c r="H384" s="3" t="s">
        <v>152</v>
      </c>
      <c r="I384" s="3" t="s">
        <v>166</v>
      </c>
      <c r="J384" s="3" t="s">
        <v>30</v>
      </c>
      <c r="K384" s="3" t="s">
        <v>30</v>
      </c>
      <c r="L384" s="3" t="s">
        <v>154</v>
      </c>
      <c r="M384" s="3" t="s">
        <v>31</v>
      </c>
      <c r="N384" s="3" t="s">
        <v>167</v>
      </c>
      <c r="O384" s="3" t="s">
        <v>156</v>
      </c>
      <c r="P384" s="3" t="s">
        <v>168</v>
      </c>
      <c r="Q384" s="3" t="s">
        <v>169</v>
      </c>
      <c r="R384" s="3" t="s">
        <v>159</v>
      </c>
      <c r="S384" s="3" t="s">
        <v>34</v>
      </c>
      <c r="T384" s="155">
        <v>4.1829999999999998</v>
      </c>
      <c r="U384" s="3" t="s">
        <v>719</v>
      </c>
      <c r="V384" s="166">
        <v>5.8999999999999999E-3</v>
      </c>
      <c r="W384" s="166">
        <v>2.921E-2</v>
      </c>
      <c r="X384" s="5" t="s">
        <v>161</v>
      </c>
      <c r="Y384" s="5" t="s">
        <v>156</v>
      </c>
      <c r="Z384" s="155">
        <v>208474</v>
      </c>
      <c r="AA384" s="164">
        <v>1</v>
      </c>
      <c r="AB384" s="174">
        <v>104.71</v>
      </c>
      <c r="AD384" s="155">
        <v>218.29300000000001</v>
      </c>
      <c r="AG384" s="3" t="s">
        <v>36</v>
      </c>
      <c r="AH384" s="166">
        <v>1.4899999999999999E-4</v>
      </c>
      <c r="AI384" s="166">
        <v>6.9948447071871596E-4</v>
      </c>
      <c r="AJ384" s="166">
        <v>1.12211118844897E-4</v>
      </c>
    </row>
    <row r="385" spans="1:36">
      <c r="A385" s="3">
        <v>161</v>
      </c>
      <c r="B385" s="3">
        <v>9943</v>
      </c>
      <c r="C385" s="3" t="s">
        <v>516</v>
      </c>
      <c r="D385" s="3" t="s">
        <v>517</v>
      </c>
      <c r="E385" s="5" t="s">
        <v>149</v>
      </c>
      <c r="F385" s="3" t="s">
        <v>523</v>
      </c>
      <c r="G385" s="3" t="s">
        <v>524</v>
      </c>
      <c r="H385" s="3" t="s">
        <v>152</v>
      </c>
      <c r="I385" s="3" t="s">
        <v>166</v>
      </c>
      <c r="J385" s="3" t="s">
        <v>30</v>
      </c>
      <c r="K385" s="3" t="s">
        <v>30</v>
      </c>
      <c r="L385" s="3" t="s">
        <v>154</v>
      </c>
      <c r="M385" s="3" t="s">
        <v>31</v>
      </c>
      <c r="N385" s="3" t="s">
        <v>167</v>
      </c>
      <c r="O385" s="3" t="s">
        <v>156</v>
      </c>
      <c r="P385" s="3" t="s">
        <v>168</v>
      </c>
      <c r="Q385" s="3" t="s">
        <v>169</v>
      </c>
      <c r="R385" s="3" t="s">
        <v>159</v>
      </c>
      <c r="S385" s="3" t="s">
        <v>34</v>
      </c>
      <c r="T385" s="155">
        <v>2.8519999999999999</v>
      </c>
      <c r="U385" s="3" t="s">
        <v>73</v>
      </c>
      <c r="V385" s="166">
        <v>3.3399999999999999E-2</v>
      </c>
      <c r="W385" s="166">
        <v>2.8539999999999999E-2</v>
      </c>
      <c r="X385" s="5" t="s">
        <v>161</v>
      </c>
      <c r="Y385" s="5" t="s">
        <v>156</v>
      </c>
      <c r="Z385" s="155">
        <v>1500168</v>
      </c>
      <c r="AA385" s="164">
        <v>1</v>
      </c>
      <c r="AB385" s="174">
        <v>106.04</v>
      </c>
      <c r="AD385" s="155">
        <v>1590.778</v>
      </c>
      <c r="AG385" s="3" t="s">
        <v>36</v>
      </c>
      <c r="AH385" s="166">
        <v>1.3940000000000001E-3</v>
      </c>
      <c r="AI385" s="166">
        <v>5.0973873239761299E-3</v>
      </c>
      <c r="AJ385" s="166">
        <v>8.1772156316986598E-4</v>
      </c>
    </row>
    <row r="386" spans="1:36">
      <c r="A386" s="3">
        <v>161</v>
      </c>
      <c r="B386" s="3">
        <v>9943</v>
      </c>
      <c r="C386" s="3" t="s">
        <v>516</v>
      </c>
      <c r="D386" s="3" t="s">
        <v>517</v>
      </c>
      <c r="E386" s="5" t="s">
        <v>149</v>
      </c>
      <c r="F386" s="3" t="s">
        <v>720</v>
      </c>
      <c r="G386" s="3" t="s">
        <v>721</v>
      </c>
      <c r="H386" s="3" t="s">
        <v>152</v>
      </c>
      <c r="I386" s="3" t="s">
        <v>166</v>
      </c>
      <c r="J386" s="3" t="s">
        <v>30</v>
      </c>
      <c r="K386" s="3" t="s">
        <v>30</v>
      </c>
      <c r="L386" s="3" t="s">
        <v>154</v>
      </c>
      <c r="M386" s="3" t="s">
        <v>31</v>
      </c>
      <c r="N386" s="3" t="s">
        <v>167</v>
      </c>
      <c r="O386" s="3" t="s">
        <v>156</v>
      </c>
      <c r="P386" s="3" t="s">
        <v>168</v>
      </c>
      <c r="Q386" s="3" t="s">
        <v>169</v>
      </c>
      <c r="R386" s="3" t="s">
        <v>159</v>
      </c>
      <c r="S386" s="3" t="s">
        <v>34</v>
      </c>
      <c r="T386" s="155">
        <v>0.48199999999999998</v>
      </c>
      <c r="U386" s="3" t="s">
        <v>722</v>
      </c>
      <c r="V386" s="166">
        <v>4.7500000000000001E-2</v>
      </c>
      <c r="W386" s="166">
        <v>5.2159999999999998E-2</v>
      </c>
      <c r="X386" s="5" t="s">
        <v>161</v>
      </c>
      <c r="Y386" s="5" t="s">
        <v>156</v>
      </c>
      <c r="Z386" s="155">
        <v>232580.64</v>
      </c>
      <c r="AA386" s="164">
        <v>1</v>
      </c>
      <c r="AB386" s="174">
        <v>143.80000000000001</v>
      </c>
      <c r="AD386" s="155">
        <v>334.45100000000002</v>
      </c>
      <c r="AG386" s="3" t="s">
        <v>36</v>
      </c>
      <c r="AH386" s="166">
        <v>4.8700000000000002E-4</v>
      </c>
      <c r="AI386" s="166">
        <v>1.0716931764668499E-3</v>
      </c>
      <c r="AJ386" s="166">
        <v>1.7192074366743801E-4</v>
      </c>
    </row>
    <row r="387" spans="1:36">
      <c r="A387" s="3">
        <v>161</v>
      </c>
      <c r="B387" s="3">
        <v>9943</v>
      </c>
      <c r="C387" s="3" t="s">
        <v>233</v>
      </c>
      <c r="D387" s="3" t="s">
        <v>234</v>
      </c>
      <c r="E387" s="5" t="s">
        <v>149</v>
      </c>
      <c r="F387" s="3" t="s">
        <v>568</v>
      </c>
      <c r="G387" s="3" t="s">
        <v>569</v>
      </c>
      <c r="H387" s="3" t="s">
        <v>152</v>
      </c>
      <c r="I387" s="3" t="s">
        <v>166</v>
      </c>
      <c r="J387" s="3" t="s">
        <v>30</v>
      </c>
      <c r="K387" s="3" t="s">
        <v>237</v>
      </c>
      <c r="L387" s="3" t="s">
        <v>154</v>
      </c>
      <c r="M387" s="3" t="s">
        <v>31</v>
      </c>
      <c r="N387" s="3" t="s">
        <v>238</v>
      </c>
      <c r="O387" s="3" t="s">
        <v>156</v>
      </c>
      <c r="P387" s="3" t="s">
        <v>239</v>
      </c>
      <c r="Q387" s="3" t="s">
        <v>169</v>
      </c>
      <c r="R387" s="3" t="s">
        <v>159</v>
      </c>
      <c r="S387" s="3" t="s">
        <v>34</v>
      </c>
      <c r="T387" s="155">
        <v>4.6870000000000003</v>
      </c>
      <c r="U387" s="3" t="s">
        <v>570</v>
      </c>
      <c r="V387" s="166">
        <v>1.7899999999999999E-2</v>
      </c>
      <c r="W387" s="166">
        <v>5.4170000000000003E-2</v>
      </c>
      <c r="X387" s="5" t="s">
        <v>161</v>
      </c>
      <c r="Y387" s="5" t="s">
        <v>156</v>
      </c>
      <c r="Z387" s="155">
        <v>741597.68</v>
      </c>
      <c r="AA387" s="164">
        <v>1</v>
      </c>
      <c r="AB387" s="174">
        <v>100.05</v>
      </c>
      <c r="AD387" s="155">
        <v>741.96799999999996</v>
      </c>
      <c r="AG387" s="3" t="s">
        <v>36</v>
      </c>
      <c r="AH387" s="166">
        <v>5.3399999999999997E-4</v>
      </c>
      <c r="AI387" s="166">
        <v>2.37751613918378E-3</v>
      </c>
      <c r="AJ387" s="166">
        <v>3.8140052741341302E-4</v>
      </c>
    </row>
    <row r="388" spans="1:36">
      <c r="A388" s="3">
        <v>161</v>
      </c>
      <c r="B388" s="3">
        <v>9943</v>
      </c>
      <c r="C388" s="3" t="s">
        <v>241</v>
      </c>
      <c r="D388" s="3" t="s">
        <v>242</v>
      </c>
      <c r="E388" s="5" t="s">
        <v>149</v>
      </c>
      <c r="F388" s="3" t="s">
        <v>243</v>
      </c>
      <c r="G388" s="3" t="s">
        <v>244</v>
      </c>
      <c r="H388" s="3" t="s">
        <v>152</v>
      </c>
      <c r="I388" s="3" t="s">
        <v>166</v>
      </c>
      <c r="J388" s="3" t="s">
        <v>30</v>
      </c>
      <c r="K388" s="3" t="s">
        <v>30</v>
      </c>
      <c r="L388" s="3" t="s">
        <v>154</v>
      </c>
      <c r="M388" s="3" t="s">
        <v>31</v>
      </c>
      <c r="N388" s="3" t="s">
        <v>245</v>
      </c>
      <c r="O388" s="3" t="s">
        <v>156</v>
      </c>
      <c r="P388" s="3" t="s">
        <v>246</v>
      </c>
      <c r="Q388" s="3" t="s">
        <v>169</v>
      </c>
      <c r="R388" s="3" t="s">
        <v>159</v>
      </c>
      <c r="S388" s="3" t="s">
        <v>34</v>
      </c>
      <c r="T388" s="155">
        <v>3.5009999999999999</v>
      </c>
      <c r="U388" s="3" t="s">
        <v>247</v>
      </c>
      <c r="V388" s="166">
        <v>2E-3</v>
      </c>
      <c r="W388" s="166">
        <v>2.5520000000000001E-2</v>
      </c>
      <c r="X388" s="5" t="s">
        <v>161</v>
      </c>
      <c r="Y388" s="5" t="s">
        <v>156</v>
      </c>
      <c r="Z388" s="155">
        <v>108678.37</v>
      </c>
      <c r="AA388" s="164">
        <v>1</v>
      </c>
      <c r="AB388" s="174">
        <v>106.62</v>
      </c>
      <c r="AD388" s="155">
        <v>115.873</v>
      </c>
      <c r="AG388" s="3" t="s">
        <v>36</v>
      </c>
      <c r="AH388" s="166">
        <v>3.4E-5</v>
      </c>
      <c r="AI388" s="166">
        <v>3.7129560839681801E-4</v>
      </c>
      <c r="AJ388" s="166">
        <v>5.9563145980345398E-5</v>
      </c>
    </row>
    <row r="389" spans="1:36">
      <c r="A389" s="3">
        <v>161</v>
      </c>
      <c r="B389" s="3">
        <v>9943</v>
      </c>
      <c r="C389" s="3" t="s">
        <v>241</v>
      </c>
      <c r="D389" s="3" t="s">
        <v>242</v>
      </c>
      <c r="E389" s="5" t="s">
        <v>149</v>
      </c>
      <c r="F389" s="3" t="s">
        <v>248</v>
      </c>
      <c r="G389" s="3" t="s">
        <v>249</v>
      </c>
      <c r="H389" s="3" t="s">
        <v>152</v>
      </c>
      <c r="I389" s="3" t="s">
        <v>153</v>
      </c>
      <c r="J389" s="3" t="s">
        <v>30</v>
      </c>
      <c r="K389" s="3" t="s">
        <v>30</v>
      </c>
      <c r="L389" s="3" t="s">
        <v>154</v>
      </c>
      <c r="M389" s="3" t="s">
        <v>31</v>
      </c>
      <c r="N389" s="3" t="s">
        <v>245</v>
      </c>
      <c r="O389" s="3" t="s">
        <v>156</v>
      </c>
      <c r="P389" s="3" t="s">
        <v>246</v>
      </c>
      <c r="Q389" s="3" t="s">
        <v>169</v>
      </c>
      <c r="R389" s="3" t="s">
        <v>159</v>
      </c>
      <c r="S389" s="3" t="s">
        <v>34</v>
      </c>
      <c r="T389" s="155">
        <v>2.4689999999999999</v>
      </c>
      <c r="U389" s="3" t="s">
        <v>250</v>
      </c>
      <c r="V389" s="166">
        <v>2.6800000000000001E-2</v>
      </c>
      <c r="W389" s="166">
        <v>4.4679999999999997E-2</v>
      </c>
      <c r="X389" s="5" t="s">
        <v>161</v>
      </c>
      <c r="Y389" s="5" t="s">
        <v>156</v>
      </c>
      <c r="Z389" s="155">
        <v>173024.88</v>
      </c>
      <c r="AA389" s="164">
        <v>1</v>
      </c>
      <c r="AB389" s="174">
        <v>97.92</v>
      </c>
      <c r="AD389" s="155">
        <v>169.42599999999999</v>
      </c>
      <c r="AG389" s="3" t="s">
        <v>36</v>
      </c>
      <c r="AH389" s="166">
        <v>8.7999999999999998E-5</v>
      </c>
      <c r="AI389" s="166">
        <v>5.4289767250051695E-4</v>
      </c>
      <c r="AJ389" s="166">
        <v>8.7091504957900306E-5</v>
      </c>
    </row>
    <row r="390" spans="1:36">
      <c r="A390" s="3">
        <v>161</v>
      </c>
      <c r="B390" s="3">
        <v>9943</v>
      </c>
      <c r="C390" s="3" t="s">
        <v>241</v>
      </c>
      <c r="D390" s="3" t="s">
        <v>242</v>
      </c>
      <c r="E390" s="5" t="s">
        <v>149</v>
      </c>
      <c r="F390" s="3" t="s">
        <v>723</v>
      </c>
      <c r="G390" s="3" t="s">
        <v>724</v>
      </c>
      <c r="H390" s="3" t="s">
        <v>152</v>
      </c>
      <c r="I390" s="3" t="s">
        <v>166</v>
      </c>
      <c r="J390" s="3" t="s">
        <v>30</v>
      </c>
      <c r="K390" s="3" t="s">
        <v>30</v>
      </c>
      <c r="L390" s="3" t="s">
        <v>154</v>
      </c>
      <c r="M390" s="3" t="s">
        <v>31</v>
      </c>
      <c r="N390" s="3" t="s">
        <v>245</v>
      </c>
      <c r="O390" s="3" t="s">
        <v>156</v>
      </c>
      <c r="P390" s="3" t="s">
        <v>424</v>
      </c>
      <c r="Q390" s="3" t="s">
        <v>169</v>
      </c>
      <c r="R390" s="3" t="s">
        <v>159</v>
      </c>
      <c r="S390" s="3" t="s">
        <v>34</v>
      </c>
      <c r="T390" s="155">
        <v>0.01</v>
      </c>
      <c r="U390" s="3" t="s">
        <v>725</v>
      </c>
      <c r="V390" s="166">
        <v>4.7500000000000001E-2</v>
      </c>
      <c r="W390" s="166">
        <v>1E-4</v>
      </c>
      <c r="X390" s="5" t="s">
        <v>161</v>
      </c>
      <c r="Y390" s="5" t="s">
        <v>156</v>
      </c>
      <c r="Z390" s="155">
        <v>0</v>
      </c>
      <c r="AA390" s="164">
        <v>1</v>
      </c>
      <c r="AB390" s="174">
        <v>0</v>
      </c>
      <c r="AC390" s="155">
        <v>0</v>
      </c>
      <c r="AD390" s="155">
        <v>0</v>
      </c>
      <c r="AG390" s="3" t="s">
        <v>36</v>
      </c>
      <c r="AH390" s="166">
        <v>0</v>
      </c>
      <c r="AI390" s="166">
        <v>3.2043357729978001E-10</v>
      </c>
      <c r="AJ390" s="166">
        <v>5.1403872036410297E-11</v>
      </c>
    </row>
    <row r="391" spans="1:36">
      <c r="A391" s="3">
        <v>161</v>
      </c>
      <c r="B391" s="3">
        <v>9943</v>
      </c>
      <c r="C391" s="3" t="s">
        <v>726</v>
      </c>
      <c r="D391" s="3" t="s">
        <v>727</v>
      </c>
      <c r="E391" s="5" t="s">
        <v>149</v>
      </c>
      <c r="F391" s="3" t="s">
        <v>728</v>
      </c>
      <c r="G391" s="3" t="s">
        <v>729</v>
      </c>
      <c r="H391" s="3" t="s">
        <v>152</v>
      </c>
      <c r="I391" s="3" t="s">
        <v>166</v>
      </c>
      <c r="J391" s="3" t="s">
        <v>30</v>
      </c>
      <c r="K391" s="3" t="s">
        <v>30</v>
      </c>
      <c r="L391" s="3" t="s">
        <v>154</v>
      </c>
      <c r="M391" s="3" t="s">
        <v>31</v>
      </c>
      <c r="N391" s="3" t="s">
        <v>231</v>
      </c>
      <c r="O391" s="3" t="s">
        <v>156</v>
      </c>
      <c r="P391" s="3" t="s">
        <v>232</v>
      </c>
      <c r="Q391" s="3" t="s">
        <v>158</v>
      </c>
      <c r="R391" s="3" t="s">
        <v>159</v>
      </c>
      <c r="S391" s="3" t="s">
        <v>34</v>
      </c>
      <c r="T391" s="155">
        <v>3.2109999999999999</v>
      </c>
      <c r="U391" s="3" t="s">
        <v>570</v>
      </c>
      <c r="V391" s="166">
        <v>1.7999999999999999E-2</v>
      </c>
      <c r="W391" s="166">
        <v>3.2000000000000001E-2</v>
      </c>
      <c r="X391" s="5" t="s">
        <v>161</v>
      </c>
      <c r="Y391" s="5" t="s">
        <v>156</v>
      </c>
      <c r="Z391" s="155">
        <v>458534.89</v>
      </c>
      <c r="AA391" s="164">
        <v>1</v>
      </c>
      <c r="AB391" s="174">
        <v>113.57</v>
      </c>
      <c r="AD391" s="155">
        <v>520.75800000000004</v>
      </c>
      <c r="AG391" s="3" t="s">
        <v>36</v>
      </c>
      <c r="AH391" s="166">
        <v>5.1999999999999995E-4</v>
      </c>
      <c r="AI391" s="166">
        <v>1.6686837274317199E-3</v>
      </c>
      <c r="AJ391" s="166">
        <v>2.6768981427277902E-4</v>
      </c>
    </row>
    <row r="392" spans="1:36">
      <c r="A392" s="3">
        <v>161</v>
      </c>
      <c r="B392" s="3">
        <v>9943</v>
      </c>
      <c r="C392" s="3" t="s">
        <v>726</v>
      </c>
      <c r="D392" s="3" t="s">
        <v>727</v>
      </c>
      <c r="E392" s="5" t="s">
        <v>149</v>
      </c>
      <c r="F392" s="3" t="s">
        <v>730</v>
      </c>
      <c r="G392" s="3" t="s">
        <v>731</v>
      </c>
      <c r="H392" s="3" t="s">
        <v>152</v>
      </c>
      <c r="I392" s="3" t="s">
        <v>166</v>
      </c>
      <c r="J392" s="3" t="s">
        <v>30</v>
      </c>
      <c r="K392" s="3" t="s">
        <v>30</v>
      </c>
      <c r="L392" s="3" t="s">
        <v>154</v>
      </c>
      <c r="M392" s="3" t="s">
        <v>31</v>
      </c>
      <c r="N392" s="3" t="s">
        <v>231</v>
      </c>
      <c r="O392" s="3" t="s">
        <v>156</v>
      </c>
      <c r="P392" s="3" t="s">
        <v>239</v>
      </c>
      <c r="Q392" s="3" t="s">
        <v>169</v>
      </c>
      <c r="R392" s="3" t="s">
        <v>159</v>
      </c>
      <c r="S392" s="3" t="s">
        <v>34</v>
      </c>
      <c r="T392" s="155">
        <v>5.5270000000000001</v>
      </c>
      <c r="U392" s="3" t="s">
        <v>732</v>
      </c>
      <c r="V392" s="166">
        <v>3.3000000000000002E-2</v>
      </c>
      <c r="W392" s="166">
        <v>3.5090000000000003E-2</v>
      </c>
      <c r="X392" s="5" t="s">
        <v>161</v>
      </c>
      <c r="Y392" s="5" t="s">
        <v>156</v>
      </c>
      <c r="Z392" s="155">
        <v>3888888.85</v>
      </c>
      <c r="AA392" s="164">
        <v>1</v>
      </c>
      <c r="AB392" s="174">
        <v>108.72</v>
      </c>
      <c r="AD392" s="155">
        <v>4228</v>
      </c>
      <c r="AG392" s="3" t="s">
        <v>36</v>
      </c>
      <c r="AH392" s="166">
        <v>3.2789999999999998E-3</v>
      </c>
      <c r="AI392" s="166">
        <v>1.35479315127554E-2</v>
      </c>
      <c r="AJ392" s="166">
        <v>2.1733556879658701E-3</v>
      </c>
    </row>
    <row r="393" spans="1:36">
      <c r="A393" s="3">
        <v>161</v>
      </c>
      <c r="B393" s="3">
        <v>9943</v>
      </c>
      <c r="C393" s="3" t="s">
        <v>733</v>
      </c>
      <c r="D393" s="3" t="s">
        <v>734</v>
      </c>
      <c r="E393" s="5" t="s">
        <v>149</v>
      </c>
      <c r="F393" s="3" t="s">
        <v>735</v>
      </c>
      <c r="G393" s="3" t="s">
        <v>736</v>
      </c>
      <c r="H393" s="3" t="s">
        <v>152</v>
      </c>
      <c r="I393" s="3" t="s">
        <v>153</v>
      </c>
      <c r="J393" s="3" t="s">
        <v>30</v>
      </c>
      <c r="K393" s="3" t="s">
        <v>30</v>
      </c>
      <c r="L393" s="3" t="s">
        <v>154</v>
      </c>
      <c r="M393" s="3" t="s">
        <v>31</v>
      </c>
      <c r="N393" s="3" t="s">
        <v>487</v>
      </c>
      <c r="O393" s="3" t="s">
        <v>156</v>
      </c>
      <c r="P393" s="3" t="s">
        <v>239</v>
      </c>
      <c r="Q393" s="3" t="s">
        <v>169</v>
      </c>
      <c r="R393" s="3" t="s">
        <v>159</v>
      </c>
      <c r="S393" s="3" t="s">
        <v>34</v>
      </c>
      <c r="T393" s="155">
        <v>5.3310000000000004</v>
      </c>
      <c r="U393" s="3" t="s">
        <v>522</v>
      </c>
      <c r="V393" s="166">
        <v>5.6899999999999999E-2</v>
      </c>
      <c r="W393" s="166">
        <v>5.475E-2</v>
      </c>
      <c r="X393" s="5" t="s">
        <v>161</v>
      </c>
      <c r="Y393" s="5" t="s">
        <v>156</v>
      </c>
      <c r="Z393" s="155">
        <v>2250000</v>
      </c>
      <c r="AA393" s="164">
        <v>1</v>
      </c>
      <c r="AB393" s="174">
        <v>103.02</v>
      </c>
      <c r="AD393" s="155">
        <v>2317.9499999999998</v>
      </c>
      <c r="AG393" s="3" t="s">
        <v>36</v>
      </c>
      <c r="AH393" s="166">
        <v>1.439E-3</v>
      </c>
      <c r="AI393" s="166">
        <v>7.42749010502026E-3</v>
      </c>
      <c r="AJ393" s="166">
        <v>1.1915160518679701E-3</v>
      </c>
    </row>
    <row r="394" spans="1:36">
      <c r="A394" s="3">
        <v>161</v>
      </c>
      <c r="B394" s="3">
        <v>9943</v>
      </c>
      <c r="C394" s="3" t="s">
        <v>733</v>
      </c>
      <c r="D394" s="3" t="s">
        <v>734</v>
      </c>
      <c r="E394" s="5" t="s">
        <v>149</v>
      </c>
      <c r="F394" s="3" t="s">
        <v>737</v>
      </c>
      <c r="G394" s="3" t="s">
        <v>738</v>
      </c>
      <c r="H394" s="3" t="s">
        <v>152</v>
      </c>
      <c r="I394" s="3" t="s">
        <v>153</v>
      </c>
      <c r="J394" s="3" t="s">
        <v>30</v>
      </c>
      <c r="K394" s="3" t="s">
        <v>30</v>
      </c>
      <c r="L394" s="3" t="s">
        <v>154</v>
      </c>
      <c r="M394" s="3" t="s">
        <v>31</v>
      </c>
      <c r="N394" s="3" t="s">
        <v>487</v>
      </c>
      <c r="O394" s="3" t="s">
        <v>156</v>
      </c>
      <c r="P394" s="3" t="s">
        <v>239</v>
      </c>
      <c r="Q394" s="3" t="s">
        <v>169</v>
      </c>
      <c r="R394" s="3" t="s">
        <v>159</v>
      </c>
      <c r="S394" s="3" t="s">
        <v>34</v>
      </c>
      <c r="T394" s="155">
        <v>4.6980000000000004</v>
      </c>
      <c r="U394" s="3" t="s">
        <v>692</v>
      </c>
      <c r="V394" s="166">
        <v>6.3799999999999996E-2</v>
      </c>
      <c r="W394" s="166">
        <v>5.1229999999999998E-2</v>
      </c>
      <c r="X394" s="5" t="s">
        <v>161</v>
      </c>
      <c r="Y394" s="5" t="s">
        <v>156</v>
      </c>
      <c r="Z394" s="155">
        <v>3150000</v>
      </c>
      <c r="AA394" s="164">
        <v>1</v>
      </c>
      <c r="AB394" s="174">
        <v>107.94</v>
      </c>
      <c r="AD394" s="155">
        <v>3400.11</v>
      </c>
      <c r="AG394" s="3" t="s">
        <v>36</v>
      </c>
      <c r="AH394" s="166">
        <v>3.15E-3</v>
      </c>
      <c r="AI394" s="166">
        <v>1.08950941051276E-2</v>
      </c>
      <c r="AJ394" s="166">
        <v>1.74778819349719E-3</v>
      </c>
    </row>
    <row r="395" spans="1:36">
      <c r="A395" s="3">
        <v>161</v>
      </c>
      <c r="B395" s="3">
        <v>9943</v>
      </c>
      <c r="C395" s="3" t="s">
        <v>739</v>
      </c>
      <c r="D395" s="3" t="s">
        <v>740</v>
      </c>
      <c r="E395" s="5" t="s">
        <v>149</v>
      </c>
      <c r="F395" s="3" t="s">
        <v>741</v>
      </c>
      <c r="G395" s="3" t="s">
        <v>742</v>
      </c>
      <c r="H395" s="3" t="s">
        <v>152</v>
      </c>
      <c r="I395" s="3" t="s">
        <v>153</v>
      </c>
      <c r="J395" s="3" t="s">
        <v>30</v>
      </c>
      <c r="K395" s="3" t="s">
        <v>30</v>
      </c>
      <c r="L395" s="3" t="s">
        <v>154</v>
      </c>
      <c r="M395" s="3" t="s">
        <v>31</v>
      </c>
      <c r="N395" s="3" t="s">
        <v>743</v>
      </c>
      <c r="O395" s="3" t="s">
        <v>156</v>
      </c>
      <c r="P395" s="3" t="s">
        <v>185</v>
      </c>
      <c r="Q395" s="3" t="s">
        <v>169</v>
      </c>
      <c r="R395" s="3" t="s">
        <v>159</v>
      </c>
      <c r="S395" s="3" t="s">
        <v>34</v>
      </c>
      <c r="T395" s="155">
        <v>1.8160000000000001</v>
      </c>
      <c r="U395" s="3" t="s">
        <v>744</v>
      </c>
      <c r="V395" s="166">
        <v>0.05</v>
      </c>
      <c r="W395" s="166">
        <v>4.8529999999999997E-2</v>
      </c>
      <c r="X395" s="5" t="s">
        <v>161</v>
      </c>
      <c r="Y395" s="5" t="s">
        <v>156</v>
      </c>
      <c r="Z395" s="155">
        <v>693414.08</v>
      </c>
      <c r="AA395" s="164">
        <v>1</v>
      </c>
      <c r="AB395" s="174">
        <v>100.85</v>
      </c>
      <c r="AD395" s="155">
        <v>699.30799999999999</v>
      </c>
      <c r="AG395" s="3" t="s">
        <v>36</v>
      </c>
      <c r="AH395" s="166">
        <v>4.143E-3</v>
      </c>
      <c r="AI395" s="166">
        <v>2.2408179601517402E-3</v>
      </c>
      <c r="AJ395" s="166">
        <v>3.5947144069975901E-4</v>
      </c>
    </row>
    <row r="396" spans="1:36">
      <c r="A396" s="3">
        <v>161</v>
      </c>
      <c r="B396" s="3">
        <v>9943</v>
      </c>
      <c r="C396" s="3" t="s">
        <v>739</v>
      </c>
      <c r="D396" s="3" t="s">
        <v>740</v>
      </c>
      <c r="E396" s="5" t="s">
        <v>149</v>
      </c>
      <c r="F396" s="3" t="s">
        <v>745</v>
      </c>
      <c r="G396" s="3" t="s">
        <v>746</v>
      </c>
      <c r="H396" s="3" t="s">
        <v>152</v>
      </c>
      <c r="I396" s="3" t="s">
        <v>486</v>
      </c>
      <c r="J396" s="3" t="s">
        <v>30</v>
      </c>
      <c r="K396" s="3" t="s">
        <v>30</v>
      </c>
      <c r="L396" s="3" t="s">
        <v>154</v>
      </c>
      <c r="M396" s="3" t="s">
        <v>31</v>
      </c>
      <c r="N396" s="3" t="s">
        <v>743</v>
      </c>
      <c r="O396" s="3" t="s">
        <v>156</v>
      </c>
      <c r="P396" s="3" t="s">
        <v>185</v>
      </c>
      <c r="Q396" s="3" t="s">
        <v>169</v>
      </c>
      <c r="R396" s="3" t="s">
        <v>159</v>
      </c>
      <c r="S396" s="3" t="s">
        <v>34</v>
      </c>
      <c r="T396" s="155">
        <v>0.71799999999999997</v>
      </c>
      <c r="U396" s="3" t="s">
        <v>360</v>
      </c>
      <c r="V396" s="166">
        <v>3.85E-2</v>
      </c>
      <c r="W396" s="166">
        <v>5.5780000000000003E-2</v>
      </c>
      <c r="X396" s="5" t="s">
        <v>161</v>
      </c>
      <c r="Y396" s="5" t="s">
        <v>156</v>
      </c>
      <c r="Z396" s="155">
        <v>251465.75</v>
      </c>
      <c r="AA396" s="164">
        <v>1</v>
      </c>
      <c r="AB396" s="174">
        <v>90.96</v>
      </c>
      <c r="AD396" s="155">
        <v>228.733</v>
      </c>
      <c r="AG396" s="3" t="s">
        <v>36</v>
      </c>
      <c r="AH396" s="166">
        <v>2.2899999999999999E-3</v>
      </c>
      <c r="AI396" s="166">
        <v>7.3293812327257404E-4</v>
      </c>
      <c r="AJ396" s="166">
        <v>1.17577745181375E-4</v>
      </c>
    </row>
    <row r="397" spans="1:36">
      <c r="A397" s="3">
        <v>161</v>
      </c>
      <c r="B397" s="3">
        <v>9943</v>
      </c>
      <c r="C397" s="3" t="s">
        <v>747</v>
      </c>
      <c r="D397" s="3" t="s">
        <v>748</v>
      </c>
      <c r="E397" s="5" t="s">
        <v>149</v>
      </c>
      <c r="F397" s="3" t="s">
        <v>749</v>
      </c>
      <c r="G397" s="3" t="s">
        <v>750</v>
      </c>
      <c r="H397" s="3" t="s">
        <v>152</v>
      </c>
      <c r="I397" s="3" t="s">
        <v>153</v>
      </c>
      <c r="J397" s="3" t="s">
        <v>30</v>
      </c>
      <c r="K397" s="3" t="s">
        <v>30</v>
      </c>
      <c r="L397" s="3" t="s">
        <v>154</v>
      </c>
      <c r="M397" s="3" t="s">
        <v>31</v>
      </c>
      <c r="N397" s="3" t="s">
        <v>155</v>
      </c>
      <c r="O397" s="3" t="s">
        <v>156</v>
      </c>
      <c r="P397" s="3" t="s">
        <v>751</v>
      </c>
      <c r="Q397" s="3" t="s">
        <v>158</v>
      </c>
      <c r="R397" s="3" t="s">
        <v>159</v>
      </c>
      <c r="S397" s="3" t="s">
        <v>34</v>
      </c>
      <c r="T397" s="155">
        <v>2.077</v>
      </c>
      <c r="U397" s="3" t="s">
        <v>752</v>
      </c>
      <c r="V397" s="166">
        <v>5.45E-2</v>
      </c>
      <c r="W397" s="166">
        <v>5.7579999999999999E-2</v>
      </c>
      <c r="X397" s="5" t="s">
        <v>161</v>
      </c>
      <c r="Y397" s="5" t="s">
        <v>156</v>
      </c>
      <c r="Z397" s="155">
        <v>43121.9</v>
      </c>
      <c r="AA397" s="164">
        <v>1</v>
      </c>
      <c r="AB397" s="174">
        <v>104.83</v>
      </c>
      <c r="AD397" s="155">
        <v>45.204999999999998</v>
      </c>
      <c r="AG397" s="3" t="s">
        <v>36</v>
      </c>
      <c r="AH397" s="166">
        <v>3.565E-3</v>
      </c>
      <c r="AI397" s="166">
        <v>1.44850998128607E-4</v>
      </c>
      <c r="AJ397" s="166">
        <v>2.32369598557496E-5</v>
      </c>
    </row>
    <row r="398" spans="1:36">
      <c r="A398" s="3">
        <v>161</v>
      </c>
      <c r="B398" s="3">
        <v>9943</v>
      </c>
      <c r="C398" s="3" t="s">
        <v>254</v>
      </c>
      <c r="D398" s="3" t="s">
        <v>255</v>
      </c>
      <c r="E398" s="5" t="s">
        <v>149</v>
      </c>
      <c r="F398" s="3" t="s">
        <v>256</v>
      </c>
      <c r="G398" s="3" t="s">
        <v>257</v>
      </c>
      <c r="H398" s="3" t="s">
        <v>152</v>
      </c>
      <c r="I398" s="3" t="s">
        <v>166</v>
      </c>
      <c r="J398" s="3" t="s">
        <v>30</v>
      </c>
      <c r="K398" s="3" t="s">
        <v>30</v>
      </c>
      <c r="L398" s="3" t="s">
        <v>154</v>
      </c>
      <c r="M398" s="3" t="s">
        <v>31</v>
      </c>
      <c r="N398" s="3" t="s">
        <v>167</v>
      </c>
      <c r="O398" s="3" t="s">
        <v>156</v>
      </c>
      <c r="P398" s="3" t="s">
        <v>258</v>
      </c>
      <c r="Q398" s="3" t="s">
        <v>169</v>
      </c>
      <c r="R398" s="3" t="s">
        <v>159</v>
      </c>
      <c r="S398" s="3" t="s">
        <v>34</v>
      </c>
      <c r="T398" s="155">
        <v>2.6059999999999999</v>
      </c>
      <c r="U398" s="3" t="s">
        <v>259</v>
      </c>
      <c r="V398" s="166">
        <v>2.7E-2</v>
      </c>
      <c r="W398" s="166">
        <v>3.0329999999999999E-2</v>
      </c>
      <c r="X398" s="5" t="s">
        <v>161</v>
      </c>
      <c r="Y398" s="5" t="s">
        <v>156</v>
      </c>
      <c r="Z398" s="155">
        <v>45968.4</v>
      </c>
      <c r="AA398" s="164">
        <v>1</v>
      </c>
      <c r="AB398" s="174">
        <v>110.04</v>
      </c>
      <c r="AD398" s="155">
        <v>50.584000000000003</v>
      </c>
      <c r="AG398" s="3" t="s">
        <v>36</v>
      </c>
      <c r="AH398" s="166">
        <v>1.17E-4</v>
      </c>
      <c r="AI398" s="166">
        <v>1.6208692667763901E-4</v>
      </c>
      <c r="AJ398" s="166">
        <v>2.6001943079509001E-5</v>
      </c>
    </row>
    <row r="399" spans="1:36">
      <c r="A399" s="3">
        <v>161</v>
      </c>
      <c r="B399" s="3">
        <v>9943</v>
      </c>
      <c r="C399" s="3" t="s">
        <v>254</v>
      </c>
      <c r="D399" s="3" t="s">
        <v>255</v>
      </c>
      <c r="E399" s="5" t="s">
        <v>149</v>
      </c>
      <c r="F399" s="3" t="s">
        <v>260</v>
      </c>
      <c r="G399" s="3" t="s">
        <v>261</v>
      </c>
      <c r="H399" s="3" t="s">
        <v>152</v>
      </c>
      <c r="I399" s="3" t="s">
        <v>166</v>
      </c>
      <c r="J399" s="3" t="s">
        <v>30</v>
      </c>
      <c r="K399" s="3" t="s">
        <v>30</v>
      </c>
      <c r="L399" s="3" t="s">
        <v>154</v>
      </c>
      <c r="M399" s="3" t="s">
        <v>31</v>
      </c>
      <c r="N399" s="3" t="s">
        <v>167</v>
      </c>
      <c r="O399" s="3" t="s">
        <v>156</v>
      </c>
      <c r="P399" s="3" t="s">
        <v>258</v>
      </c>
      <c r="Q399" s="3" t="s">
        <v>169</v>
      </c>
      <c r="R399" s="3" t="s">
        <v>159</v>
      </c>
      <c r="S399" s="3" t="s">
        <v>34</v>
      </c>
      <c r="T399" s="155">
        <v>1.996</v>
      </c>
      <c r="U399" s="3" t="s">
        <v>262</v>
      </c>
      <c r="V399" s="166">
        <v>1.7999999999999999E-2</v>
      </c>
      <c r="W399" s="166">
        <v>3.0210000000000001E-2</v>
      </c>
      <c r="X399" s="5" t="s">
        <v>161</v>
      </c>
      <c r="Y399" s="5" t="s">
        <v>156</v>
      </c>
      <c r="Z399" s="155">
        <v>607684.47</v>
      </c>
      <c r="AA399" s="164">
        <v>1</v>
      </c>
      <c r="AB399" s="174">
        <v>116.94</v>
      </c>
      <c r="AD399" s="155">
        <v>710.62599999999998</v>
      </c>
      <c r="AG399" s="3" t="s">
        <v>36</v>
      </c>
      <c r="AH399" s="166">
        <v>8.2200000000000003E-4</v>
      </c>
      <c r="AI399" s="166">
        <v>2.27708501547042E-3</v>
      </c>
      <c r="AJ399" s="166">
        <v>3.6528939238400097E-4</v>
      </c>
    </row>
    <row r="400" spans="1:36">
      <c r="A400" s="3">
        <v>161</v>
      </c>
      <c r="B400" s="3">
        <v>9943</v>
      </c>
      <c r="C400" s="3" t="s">
        <v>254</v>
      </c>
      <c r="D400" s="3" t="s">
        <v>255</v>
      </c>
      <c r="E400" s="5" t="s">
        <v>149</v>
      </c>
      <c r="F400" s="3" t="s">
        <v>571</v>
      </c>
      <c r="G400" s="3" t="s">
        <v>572</v>
      </c>
      <c r="H400" s="3" t="s">
        <v>152</v>
      </c>
      <c r="I400" s="3" t="s">
        <v>166</v>
      </c>
      <c r="J400" s="3" t="s">
        <v>30</v>
      </c>
      <c r="K400" s="3" t="s">
        <v>30</v>
      </c>
      <c r="L400" s="3" t="s">
        <v>154</v>
      </c>
      <c r="M400" s="3" t="s">
        <v>31</v>
      </c>
      <c r="N400" s="3" t="s">
        <v>167</v>
      </c>
      <c r="O400" s="3" t="s">
        <v>156</v>
      </c>
      <c r="P400" s="3" t="s">
        <v>239</v>
      </c>
      <c r="Q400" s="3" t="s">
        <v>169</v>
      </c>
      <c r="R400" s="3" t="s">
        <v>159</v>
      </c>
      <c r="S400" s="3" t="s">
        <v>34</v>
      </c>
      <c r="T400" s="155">
        <v>1.212</v>
      </c>
      <c r="U400" s="3" t="s">
        <v>567</v>
      </c>
      <c r="V400" s="166">
        <v>2.2499999999999999E-2</v>
      </c>
      <c r="W400" s="166">
        <v>3.3989999999999999E-2</v>
      </c>
      <c r="X400" s="5" t="s">
        <v>161</v>
      </c>
      <c r="Y400" s="5" t="s">
        <v>156</v>
      </c>
      <c r="Z400" s="155">
        <v>205968.44</v>
      </c>
      <c r="AA400" s="164">
        <v>1</v>
      </c>
      <c r="AB400" s="174">
        <v>117.81</v>
      </c>
      <c r="AD400" s="155">
        <v>242.65100000000001</v>
      </c>
      <c r="AG400" s="3" t="s">
        <v>36</v>
      </c>
      <c r="AH400" s="166">
        <v>8.25E-4</v>
      </c>
      <c r="AI400" s="166">
        <v>7.7753662279589103E-4</v>
      </c>
      <c r="AJ400" s="166">
        <v>1.2473222500159601E-4</v>
      </c>
    </row>
    <row r="401" spans="1:36">
      <c r="A401" s="3">
        <v>161</v>
      </c>
      <c r="B401" s="3">
        <v>9943</v>
      </c>
      <c r="C401" s="3" t="s">
        <v>573</v>
      </c>
      <c r="D401" s="3" t="s">
        <v>574</v>
      </c>
      <c r="E401" s="5" t="s">
        <v>149</v>
      </c>
      <c r="F401" s="3" t="s">
        <v>753</v>
      </c>
      <c r="G401" s="3" t="s">
        <v>754</v>
      </c>
      <c r="H401" s="3" t="s">
        <v>152</v>
      </c>
      <c r="I401" s="3" t="s">
        <v>153</v>
      </c>
      <c r="J401" s="3" t="s">
        <v>30</v>
      </c>
      <c r="K401" s="3" t="s">
        <v>30</v>
      </c>
      <c r="L401" s="3" t="s">
        <v>154</v>
      </c>
      <c r="M401" s="3" t="s">
        <v>31</v>
      </c>
      <c r="N401" s="3" t="s">
        <v>155</v>
      </c>
      <c r="O401" s="3" t="s">
        <v>156</v>
      </c>
      <c r="P401" s="3" t="s">
        <v>185</v>
      </c>
      <c r="Q401" s="3" t="s">
        <v>169</v>
      </c>
      <c r="R401" s="3" t="s">
        <v>159</v>
      </c>
      <c r="S401" s="3" t="s">
        <v>34</v>
      </c>
      <c r="T401" s="155">
        <v>6.5369999999999999</v>
      </c>
      <c r="U401" s="3" t="s">
        <v>692</v>
      </c>
      <c r="V401" s="166">
        <v>2.63E-2</v>
      </c>
      <c r="W401" s="166">
        <v>4.7480000000000001E-2</v>
      </c>
      <c r="X401" s="5" t="s">
        <v>161</v>
      </c>
      <c r="Y401" s="5" t="s">
        <v>156</v>
      </c>
      <c r="Z401" s="155">
        <v>172534</v>
      </c>
      <c r="AA401" s="164">
        <v>1</v>
      </c>
      <c r="AB401" s="174">
        <v>88.14</v>
      </c>
      <c r="AD401" s="155">
        <v>152.071</v>
      </c>
      <c r="AG401" s="3" t="s">
        <v>36</v>
      </c>
      <c r="AH401" s="166">
        <v>2.4899999999999998E-4</v>
      </c>
      <c r="AI401" s="166">
        <v>4.8728804368295699E-4</v>
      </c>
      <c r="AJ401" s="166">
        <v>7.81706226089951E-5</v>
      </c>
    </row>
    <row r="402" spans="1:36">
      <c r="A402" s="3">
        <v>161</v>
      </c>
      <c r="B402" s="3">
        <v>9943</v>
      </c>
      <c r="C402" s="3" t="s">
        <v>573</v>
      </c>
      <c r="D402" s="3" t="s">
        <v>574</v>
      </c>
      <c r="E402" s="5" t="s">
        <v>149</v>
      </c>
      <c r="F402" s="3" t="s">
        <v>755</v>
      </c>
      <c r="G402" s="3" t="s">
        <v>756</v>
      </c>
      <c r="H402" s="3" t="s">
        <v>152</v>
      </c>
      <c r="I402" s="3" t="s">
        <v>153</v>
      </c>
      <c r="J402" s="3" t="s">
        <v>30</v>
      </c>
      <c r="K402" s="3" t="s">
        <v>30</v>
      </c>
      <c r="L402" s="3" t="s">
        <v>154</v>
      </c>
      <c r="M402" s="3" t="s">
        <v>31</v>
      </c>
      <c r="N402" s="3" t="s">
        <v>155</v>
      </c>
      <c r="O402" s="3" t="s">
        <v>156</v>
      </c>
      <c r="P402" s="3" t="s">
        <v>185</v>
      </c>
      <c r="Q402" s="3" t="s">
        <v>169</v>
      </c>
      <c r="R402" s="3" t="s">
        <v>159</v>
      </c>
      <c r="S402" s="3" t="s">
        <v>34</v>
      </c>
      <c r="T402" s="155">
        <v>6.6020000000000003</v>
      </c>
      <c r="U402" s="3" t="s">
        <v>757</v>
      </c>
      <c r="V402" s="166">
        <v>6.0199999999999997E-2</v>
      </c>
      <c r="W402" s="166">
        <v>4.7719999999999999E-2</v>
      </c>
      <c r="X402" s="5" t="s">
        <v>161</v>
      </c>
      <c r="Y402" s="5" t="s">
        <v>156</v>
      </c>
      <c r="Z402" s="155">
        <v>3150000</v>
      </c>
      <c r="AA402" s="164">
        <v>1</v>
      </c>
      <c r="AB402" s="174">
        <v>110.37</v>
      </c>
      <c r="AD402" s="155">
        <v>3476.6550000000002</v>
      </c>
      <c r="AG402" s="3" t="s">
        <v>36</v>
      </c>
      <c r="AH402" s="166">
        <v>6.3E-3</v>
      </c>
      <c r="AI402" s="166">
        <v>1.11403699868717E-2</v>
      </c>
      <c r="AJ402" s="166">
        <v>1.7871352873474601E-3</v>
      </c>
    </row>
    <row r="403" spans="1:36">
      <c r="A403" s="3">
        <v>161</v>
      </c>
      <c r="B403" s="3">
        <v>9943</v>
      </c>
      <c r="C403" s="3" t="s">
        <v>278</v>
      </c>
      <c r="D403" s="3" t="s">
        <v>279</v>
      </c>
      <c r="E403" s="5" t="s">
        <v>149</v>
      </c>
      <c r="F403" s="3" t="s">
        <v>758</v>
      </c>
      <c r="G403" s="3" t="s">
        <v>759</v>
      </c>
      <c r="H403" s="3" t="s">
        <v>152</v>
      </c>
      <c r="I403" s="3" t="s">
        <v>166</v>
      </c>
      <c r="J403" s="3" t="s">
        <v>30</v>
      </c>
      <c r="K403" s="3" t="s">
        <v>30</v>
      </c>
      <c r="L403" s="3" t="s">
        <v>154</v>
      </c>
      <c r="M403" s="3" t="s">
        <v>31</v>
      </c>
      <c r="N403" s="3" t="s">
        <v>282</v>
      </c>
      <c r="O403" s="3" t="s">
        <v>156</v>
      </c>
      <c r="P403" s="3" t="s">
        <v>283</v>
      </c>
      <c r="Q403" s="3" t="s">
        <v>283</v>
      </c>
      <c r="R403" s="3" t="s">
        <v>283</v>
      </c>
      <c r="S403" s="3" t="s">
        <v>34</v>
      </c>
      <c r="T403" s="155">
        <v>0.84399999999999997</v>
      </c>
      <c r="U403" s="3" t="s">
        <v>360</v>
      </c>
      <c r="V403" s="166">
        <v>3.5000000000000003E-2</v>
      </c>
      <c r="W403" s="166">
        <v>3.6179999999999997E-2</v>
      </c>
      <c r="X403" s="5" t="s">
        <v>161</v>
      </c>
      <c r="Y403" s="5" t="s">
        <v>156</v>
      </c>
      <c r="Z403" s="155">
        <v>74216.89</v>
      </c>
      <c r="AA403" s="164">
        <v>1</v>
      </c>
      <c r="AB403" s="174">
        <v>113.29</v>
      </c>
      <c r="AD403" s="155">
        <v>84.08</v>
      </c>
      <c r="AG403" s="3" t="s">
        <v>36</v>
      </c>
      <c r="AH403" s="166">
        <v>4.8899999999999996E-4</v>
      </c>
      <c r="AI403" s="166">
        <v>2.69421560137241E-4</v>
      </c>
      <c r="AJ403" s="166">
        <v>4.3220537366432299E-5</v>
      </c>
    </row>
    <row r="404" spans="1:36">
      <c r="A404" s="3">
        <v>161</v>
      </c>
      <c r="B404" s="3">
        <v>9943</v>
      </c>
      <c r="C404" s="3" t="s">
        <v>285</v>
      </c>
      <c r="D404" s="3" t="s">
        <v>286</v>
      </c>
      <c r="E404" s="5" t="s">
        <v>149</v>
      </c>
      <c r="F404" s="3" t="s">
        <v>293</v>
      </c>
      <c r="G404" s="3" t="s">
        <v>294</v>
      </c>
      <c r="H404" s="3" t="s">
        <v>152</v>
      </c>
      <c r="I404" s="3" t="s">
        <v>166</v>
      </c>
      <c r="J404" s="3" t="s">
        <v>30</v>
      </c>
      <c r="K404" s="3" t="s">
        <v>30</v>
      </c>
      <c r="L404" s="3" t="s">
        <v>154</v>
      </c>
      <c r="M404" s="3" t="s">
        <v>31</v>
      </c>
      <c r="N404" s="3" t="s">
        <v>231</v>
      </c>
      <c r="O404" s="3" t="s">
        <v>156</v>
      </c>
      <c r="P404" s="3" t="s">
        <v>246</v>
      </c>
      <c r="Q404" s="3" t="s">
        <v>169</v>
      </c>
      <c r="R404" s="3" t="s">
        <v>159</v>
      </c>
      <c r="S404" s="3" t="s">
        <v>34</v>
      </c>
      <c r="T404" s="155">
        <v>4.915</v>
      </c>
      <c r="U404" s="3" t="s">
        <v>295</v>
      </c>
      <c r="V404" s="166">
        <v>2.3900000000000001E-2</v>
      </c>
      <c r="W404" s="166">
        <v>2.6040000000000001E-2</v>
      </c>
      <c r="X404" s="5" t="s">
        <v>161</v>
      </c>
      <c r="Y404" s="5" t="s">
        <v>156</v>
      </c>
      <c r="Z404" s="155">
        <v>2938347</v>
      </c>
      <c r="AA404" s="164">
        <v>1</v>
      </c>
      <c r="AB404" s="174">
        <v>117.27</v>
      </c>
      <c r="AD404" s="155">
        <v>3445.8</v>
      </c>
      <c r="AG404" s="3" t="s">
        <v>36</v>
      </c>
      <c r="AH404" s="166">
        <v>7.5600000000000005E-4</v>
      </c>
      <c r="AI404" s="166">
        <v>1.1041498690624599E-2</v>
      </c>
      <c r="AJ404" s="166">
        <v>1.77127437943891E-3</v>
      </c>
    </row>
    <row r="405" spans="1:36">
      <c r="A405" s="3">
        <v>161</v>
      </c>
      <c r="B405" s="3">
        <v>9943</v>
      </c>
      <c r="C405" s="3" t="s">
        <v>285</v>
      </c>
      <c r="D405" s="3" t="s">
        <v>286</v>
      </c>
      <c r="E405" s="5" t="s">
        <v>149</v>
      </c>
      <c r="F405" s="3" t="s">
        <v>577</v>
      </c>
      <c r="G405" s="3" t="s">
        <v>578</v>
      </c>
      <c r="H405" s="3" t="s">
        <v>152</v>
      </c>
      <c r="I405" s="3" t="s">
        <v>166</v>
      </c>
      <c r="J405" s="3" t="s">
        <v>30</v>
      </c>
      <c r="K405" s="3" t="s">
        <v>30</v>
      </c>
      <c r="L405" s="3" t="s">
        <v>154</v>
      </c>
      <c r="M405" s="3" t="s">
        <v>31</v>
      </c>
      <c r="N405" s="3" t="s">
        <v>231</v>
      </c>
      <c r="O405" s="3" t="s">
        <v>156</v>
      </c>
      <c r="P405" s="3" t="s">
        <v>246</v>
      </c>
      <c r="Q405" s="3" t="s">
        <v>169</v>
      </c>
      <c r="R405" s="3" t="s">
        <v>159</v>
      </c>
      <c r="S405" s="3" t="s">
        <v>34</v>
      </c>
      <c r="T405" s="155">
        <v>9.9329999999999998</v>
      </c>
      <c r="U405" s="3" t="s">
        <v>127</v>
      </c>
      <c r="V405" s="166">
        <v>1.2500000000000001E-2</v>
      </c>
      <c r="W405" s="166">
        <v>2.7859999999999999E-2</v>
      </c>
      <c r="X405" s="5" t="s">
        <v>161</v>
      </c>
      <c r="Y405" s="5" t="s">
        <v>156</v>
      </c>
      <c r="Z405" s="155">
        <v>1500000</v>
      </c>
      <c r="AA405" s="164">
        <v>1</v>
      </c>
      <c r="AB405" s="174">
        <v>101.02</v>
      </c>
      <c r="AD405" s="155">
        <v>1515.3</v>
      </c>
      <c r="AG405" s="3" t="s">
        <v>36</v>
      </c>
      <c r="AH405" s="166">
        <v>3.4900000000000003E-4</v>
      </c>
      <c r="AI405" s="166">
        <v>4.8555299968235802E-3</v>
      </c>
      <c r="AJ405" s="166">
        <v>7.7892287296772505E-4</v>
      </c>
    </row>
    <row r="406" spans="1:36">
      <c r="A406" s="3">
        <v>161</v>
      </c>
      <c r="B406" s="3">
        <v>9943</v>
      </c>
      <c r="C406" s="3" t="s">
        <v>285</v>
      </c>
      <c r="D406" s="3" t="s">
        <v>286</v>
      </c>
      <c r="E406" s="5" t="s">
        <v>149</v>
      </c>
      <c r="F406" s="3" t="s">
        <v>760</v>
      </c>
      <c r="G406" s="3" t="s">
        <v>761</v>
      </c>
      <c r="H406" s="3" t="s">
        <v>152</v>
      </c>
      <c r="I406" s="3" t="s">
        <v>166</v>
      </c>
      <c r="J406" s="3" t="s">
        <v>30</v>
      </c>
      <c r="K406" s="3" t="s">
        <v>30</v>
      </c>
      <c r="L406" s="3" t="s">
        <v>154</v>
      </c>
      <c r="M406" s="3" t="s">
        <v>31</v>
      </c>
      <c r="N406" s="3" t="s">
        <v>231</v>
      </c>
      <c r="O406" s="3" t="s">
        <v>156</v>
      </c>
      <c r="P406" s="3" t="s">
        <v>246</v>
      </c>
      <c r="Q406" s="3" t="s">
        <v>169</v>
      </c>
      <c r="R406" s="3" t="s">
        <v>159</v>
      </c>
      <c r="S406" s="3" t="s">
        <v>34</v>
      </c>
      <c r="T406" s="155">
        <v>9.7940000000000005</v>
      </c>
      <c r="U406" s="3" t="s">
        <v>762</v>
      </c>
      <c r="V406" s="166">
        <v>3.2000000000000001E-2</v>
      </c>
      <c r="W406" s="166">
        <v>2.8170000000000001E-2</v>
      </c>
      <c r="X406" s="5" t="s">
        <v>161</v>
      </c>
      <c r="Y406" s="5" t="s">
        <v>156</v>
      </c>
      <c r="Z406" s="155">
        <v>3000000</v>
      </c>
      <c r="AA406" s="164">
        <v>1</v>
      </c>
      <c r="AB406" s="174">
        <v>112.97</v>
      </c>
      <c r="AD406" s="155">
        <v>3389.1</v>
      </c>
      <c r="AG406" s="3" t="s">
        <v>36</v>
      </c>
      <c r="AH406" s="166">
        <v>6.0899999999999995E-4</v>
      </c>
      <c r="AI406" s="166">
        <v>1.08598143682669E-2</v>
      </c>
      <c r="AJ406" s="166">
        <v>1.7421286271859799E-3</v>
      </c>
    </row>
    <row r="407" spans="1:36">
      <c r="A407" s="3">
        <v>161</v>
      </c>
      <c r="B407" s="3">
        <v>9943</v>
      </c>
      <c r="C407" s="3" t="s">
        <v>763</v>
      </c>
      <c r="D407" s="3" t="s">
        <v>764</v>
      </c>
      <c r="E407" s="5" t="s">
        <v>149</v>
      </c>
      <c r="F407" s="3" t="s">
        <v>765</v>
      </c>
      <c r="G407" s="3" t="s">
        <v>766</v>
      </c>
      <c r="H407" s="3" t="s">
        <v>152</v>
      </c>
      <c r="I407" s="3" t="s">
        <v>166</v>
      </c>
      <c r="J407" s="3" t="s">
        <v>30</v>
      </c>
      <c r="K407" s="3" t="s">
        <v>30</v>
      </c>
      <c r="L407" s="3" t="s">
        <v>154</v>
      </c>
      <c r="M407" s="3" t="s">
        <v>31</v>
      </c>
      <c r="N407" s="3" t="s">
        <v>245</v>
      </c>
      <c r="O407" s="3" t="s">
        <v>156</v>
      </c>
      <c r="P407" s="3" t="s">
        <v>185</v>
      </c>
      <c r="Q407" s="3" t="s">
        <v>169</v>
      </c>
      <c r="R407" s="3" t="s">
        <v>159</v>
      </c>
      <c r="S407" s="3" t="s">
        <v>34</v>
      </c>
      <c r="T407" s="155">
        <v>3.6120000000000001</v>
      </c>
      <c r="U407" s="3" t="s">
        <v>767</v>
      </c>
      <c r="V407" s="166">
        <v>2.5899999999999999E-2</v>
      </c>
      <c r="W407" s="166">
        <v>2.6800000000000001E-2</v>
      </c>
      <c r="X407" s="5" t="s">
        <v>161</v>
      </c>
      <c r="Y407" s="5" t="s">
        <v>156</v>
      </c>
      <c r="Z407" s="155">
        <v>30394</v>
      </c>
      <c r="AA407" s="164">
        <v>1</v>
      </c>
      <c r="AB407" s="174">
        <v>107.69</v>
      </c>
      <c r="AD407" s="155">
        <v>32.731000000000002</v>
      </c>
      <c r="AG407" s="3" t="s">
        <v>36</v>
      </c>
      <c r="AH407" s="166">
        <v>4.5000000000000003E-5</v>
      </c>
      <c r="AI407" s="166">
        <v>1.0488207100065301E-4</v>
      </c>
      <c r="AJ407" s="166">
        <v>1.6825154848199298E-5</v>
      </c>
    </row>
    <row r="408" spans="1:36">
      <c r="A408" s="3">
        <v>161</v>
      </c>
      <c r="B408" s="3">
        <v>9943</v>
      </c>
      <c r="C408" s="3" t="s">
        <v>768</v>
      </c>
      <c r="D408" s="3" t="s">
        <v>769</v>
      </c>
      <c r="E408" s="5" t="s">
        <v>149</v>
      </c>
      <c r="F408" s="3" t="s">
        <v>770</v>
      </c>
      <c r="G408" s="3" t="s">
        <v>771</v>
      </c>
      <c r="H408" s="3" t="s">
        <v>152</v>
      </c>
      <c r="I408" s="3" t="s">
        <v>153</v>
      </c>
      <c r="J408" s="3" t="s">
        <v>30</v>
      </c>
      <c r="K408" s="3" t="s">
        <v>30</v>
      </c>
      <c r="L408" s="3" t="s">
        <v>154</v>
      </c>
      <c r="M408" s="3" t="s">
        <v>31</v>
      </c>
      <c r="N408" s="3" t="s">
        <v>282</v>
      </c>
      <c r="O408" s="3" t="s">
        <v>156</v>
      </c>
      <c r="P408" s="3" t="s">
        <v>239</v>
      </c>
      <c r="Q408" s="3" t="s">
        <v>169</v>
      </c>
      <c r="R408" s="3" t="s">
        <v>159</v>
      </c>
      <c r="S408" s="3" t="s">
        <v>34</v>
      </c>
      <c r="T408" s="155">
        <v>1.1950000000000001</v>
      </c>
      <c r="U408" s="3" t="s">
        <v>567</v>
      </c>
      <c r="V408" s="166">
        <v>3.95E-2</v>
      </c>
      <c r="W408" s="166">
        <v>5.3190000000000001E-2</v>
      </c>
      <c r="X408" s="5" t="s">
        <v>161</v>
      </c>
      <c r="Y408" s="5" t="s">
        <v>156</v>
      </c>
      <c r="Z408" s="155">
        <v>112805</v>
      </c>
      <c r="AA408" s="164">
        <v>1</v>
      </c>
      <c r="AB408" s="174">
        <v>99.53</v>
      </c>
      <c r="AD408" s="155">
        <v>112.27500000000001</v>
      </c>
      <c r="AG408" s="3" t="s">
        <v>36</v>
      </c>
      <c r="AH408" s="166">
        <v>1.92E-4</v>
      </c>
      <c r="AI408" s="166">
        <v>3.5976621091771398E-4</v>
      </c>
      <c r="AJ408" s="166">
        <v>5.7713603002774403E-5</v>
      </c>
    </row>
    <row r="409" spans="1:36">
      <c r="A409" s="3">
        <v>161</v>
      </c>
      <c r="B409" s="3">
        <v>9943</v>
      </c>
      <c r="C409" s="3" t="s">
        <v>308</v>
      </c>
      <c r="D409" s="3" t="s">
        <v>309</v>
      </c>
      <c r="E409" s="5" t="s">
        <v>149</v>
      </c>
      <c r="F409" s="3" t="s">
        <v>310</v>
      </c>
      <c r="G409" s="3" t="s">
        <v>311</v>
      </c>
      <c r="H409" s="3" t="s">
        <v>152</v>
      </c>
      <c r="I409" s="3" t="s">
        <v>166</v>
      </c>
      <c r="J409" s="3" t="s">
        <v>30</v>
      </c>
      <c r="K409" s="3" t="s">
        <v>30</v>
      </c>
      <c r="L409" s="3" t="s">
        <v>154</v>
      </c>
      <c r="M409" s="3" t="s">
        <v>31</v>
      </c>
      <c r="N409" s="3" t="s">
        <v>167</v>
      </c>
      <c r="O409" s="3" t="s">
        <v>156</v>
      </c>
      <c r="P409" s="3" t="s">
        <v>168</v>
      </c>
      <c r="Q409" s="3" t="s">
        <v>169</v>
      </c>
      <c r="R409" s="3" t="s">
        <v>159</v>
      </c>
      <c r="S409" s="3" t="s">
        <v>34</v>
      </c>
      <c r="T409" s="155">
        <v>1.494</v>
      </c>
      <c r="U409" s="3" t="s">
        <v>312</v>
      </c>
      <c r="V409" s="166">
        <v>1.5800000000000002E-2</v>
      </c>
      <c r="W409" s="166">
        <v>3.048E-2</v>
      </c>
      <c r="X409" s="5" t="s">
        <v>161</v>
      </c>
      <c r="Y409" s="5" t="s">
        <v>156</v>
      </c>
      <c r="Z409" s="155">
        <v>1989097.16</v>
      </c>
      <c r="AA409" s="164">
        <v>1</v>
      </c>
      <c r="AB409" s="174">
        <v>118.01</v>
      </c>
      <c r="AD409" s="155">
        <v>2347.3339999999998</v>
      </c>
      <c r="AG409" s="3" t="s">
        <v>36</v>
      </c>
      <c r="AH409" s="166">
        <v>5.0540000000000003E-3</v>
      </c>
      <c r="AI409" s="166">
        <v>7.5216448927110597E-3</v>
      </c>
      <c r="AJ409" s="166">
        <v>1.2066203386872801E-3</v>
      </c>
    </row>
    <row r="410" spans="1:36">
      <c r="A410" s="3">
        <v>161</v>
      </c>
      <c r="B410" s="3">
        <v>9943</v>
      </c>
      <c r="C410" s="3" t="s">
        <v>308</v>
      </c>
      <c r="D410" s="3" t="s">
        <v>309</v>
      </c>
      <c r="E410" s="5" t="s">
        <v>149</v>
      </c>
      <c r="F410" s="3" t="s">
        <v>313</v>
      </c>
      <c r="G410" s="3" t="s">
        <v>314</v>
      </c>
      <c r="H410" s="3" t="s">
        <v>152</v>
      </c>
      <c r="I410" s="3" t="s">
        <v>166</v>
      </c>
      <c r="J410" s="3" t="s">
        <v>30</v>
      </c>
      <c r="K410" s="3" t="s">
        <v>30</v>
      </c>
      <c r="L410" s="3" t="s">
        <v>154</v>
      </c>
      <c r="M410" s="3" t="s">
        <v>31</v>
      </c>
      <c r="N410" s="3" t="s">
        <v>167</v>
      </c>
      <c r="O410" s="3" t="s">
        <v>156</v>
      </c>
      <c r="P410" s="3" t="s">
        <v>168</v>
      </c>
      <c r="Q410" s="3" t="s">
        <v>169</v>
      </c>
      <c r="R410" s="3" t="s">
        <v>159</v>
      </c>
      <c r="S410" s="3" t="s">
        <v>34</v>
      </c>
      <c r="T410" s="155">
        <v>4.1360000000000001</v>
      </c>
      <c r="U410" s="3" t="s">
        <v>315</v>
      </c>
      <c r="V410" s="166">
        <v>8.3999999999999995E-3</v>
      </c>
      <c r="W410" s="166">
        <v>2.7830000000000001E-2</v>
      </c>
      <c r="X410" s="5" t="s">
        <v>161</v>
      </c>
      <c r="Y410" s="5" t="s">
        <v>156</v>
      </c>
      <c r="Z410" s="155">
        <v>542151.01</v>
      </c>
      <c r="AA410" s="164">
        <v>1</v>
      </c>
      <c r="AB410" s="174">
        <v>109.55</v>
      </c>
      <c r="AD410" s="155">
        <v>593.92600000000004</v>
      </c>
      <c r="AG410" s="3" t="s">
        <v>36</v>
      </c>
      <c r="AH410" s="166">
        <v>7.0699999999999995E-4</v>
      </c>
      <c r="AI410" s="166">
        <v>1.90313971084019E-3</v>
      </c>
      <c r="AJ410" s="166">
        <v>3.0530118281554602E-4</v>
      </c>
    </row>
    <row r="411" spans="1:36">
      <c r="A411" s="3">
        <v>161</v>
      </c>
      <c r="B411" s="3">
        <v>9943</v>
      </c>
      <c r="C411" s="3" t="s">
        <v>321</v>
      </c>
      <c r="D411" s="3" t="s">
        <v>322</v>
      </c>
      <c r="E411" s="5" t="s">
        <v>149</v>
      </c>
      <c r="F411" s="3" t="s">
        <v>323</v>
      </c>
      <c r="G411" s="3" t="s">
        <v>324</v>
      </c>
      <c r="H411" s="3" t="s">
        <v>152</v>
      </c>
      <c r="I411" s="3" t="s">
        <v>166</v>
      </c>
      <c r="J411" s="3" t="s">
        <v>30</v>
      </c>
      <c r="K411" s="3" t="s">
        <v>30</v>
      </c>
      <c r="L411" s="3" t="s">
        <v>154</v>
      </c>
      <c r="M411" s="3" t="s">
        <v>31</v>
      </c>
      <c r="N411" s="3" t="s">
        <v>245</v>
      </c>
      <c r="O411" s="3" t="s">
        <v>156</v>
      </c>
      <c r="P411" s="3" t="s">
        <v>246</v>
      </c>
      <c r="Q411" s="3" t="s">
        <v>169</v>
      </c>
      <c r="R411" s="3" t="s">
        <v>159</v>
      </c>
      <c r="S411" s="3" t="s">
        <v>34</v>
      </c>
      <c r="T411" s="155">
        <v>2.0939999999999999</v>
      </c>
      <c r="U411" s="3" t="s">
        <v>325</v>
      </c>
      <c r="V411" s="166">
        <v>1.8599999999999998E-2</v>
      </c>
      <c r="W411" s="166">
        <v>2.5940000000000001E-2</v>
      </c>
      <c r="X411" s="5" t="s">
        <v>161</v>
      </c>
      <c r="Y411" s="5" t="s">
        <v>156</v>
      </c>
      <c r="Z411" s="155">
        <v>89893.6</v>
      </c>
      <c r="AA411" s="164">
        <v>1</v>
      </c>
      <c r="AB411" s="174">
        <v>105.1</v>
      </c>
      <c r="AD411" s="155">
        <v>94.477999999999994</v>
      </c>
      <c r="AG411" s="3" t="s">
        <v>36</v>
      </c>
      <c r="AH411" s="166">
        <v>3.4999999999999997E-5</v>
      </c>
      <c r="AI411" s="166">
        <v>3.0273979143397701E-4</v>
      </c>
      <c r="AJ411" s="166">
        <v>4.8565439459681502E-5</v>
      </c>
    </row>
    <row r="412" spans="1:36">
      <c r="A412" s="3">
        <v>161</v>
      </c>
      <c r="B412" s="3">
        <v>9943</v>
      </c>
      <c r="C412" s="3" t="s">
        <v>321</v>
      </c>
      <c r="D412" s="3" t="s">
        <v>322</v>
      </c>
      <c r="E412" s="5" t="s">
        <v>149</v>
      </c>
      <c r="F412" s="3" t="s">
        <v>326</v>
      </c>
      <c r="G412" s="3" t="s">
        <v>327</v>
      </c>
      <c r="H412" s="3" t="s">
        <v>152</v>
      </c>
      <c r="I412" s="3" t="s">
        <v>166</v>
      </c>
      <c r="J412" s="3" t="s">
        <v>30</v>
      </c>
      <c r="K412" s="3" t="s">
        <v>30</v>
      </c>
      <c r="L412" s="3" t="s">
        <v>154</v>
      </c>
      <c r="M412" s="3" t="s">
        <v>31</v>
      </c>
      <c r="N412" s="3" t="s">
        <v>245</v>
      </c>
      <c r="O412" s="3" t="s">
        <v>156</v>
      </c>
      <c r="P412" s="3" t="s">
        <v>246</v>
      </c>
      <c r="Q412" s="3" t="s">
        <v>169</v>
      </c>
      <c r="R412" s="3" t="s">
        <v>159</v>
      </c>
      <c r="S412" s="3" t="s">
        <v>34</v>
      </c>
      <c r="T412" s="155">
        <v>0.73199999999999998</v>
      </c>
      <c r="U412" s="3" t="s">
        <v>328</v>
      </c>
      <c r="V412" s="166">
        <v>8.3000000000000001E-3</v>
      </c>
      <c r="W412" s="166">
        <v>3.2770000000000001E-2</v>
      </c>
      <c r="X412" s="5" t="s">
        <v>161</v>
      </c>
      <c r="Y412" s="5" t="s">
        <v>156</v>
      </c>
      <c r="Z412" s="155">
        <v>70360</v>
      </c>
      <c r="AA412" s="164">
        <v>1</v>
      </c>
      <c r="AB412" s="174">
        <v>116.83</v>
      </c>
      <c r="AD412" s="155">
        <v>82.201999999999998</v>
      </c>
      <c r="AG412" s="3" t="s">
        <v>36</v>
      </c>
      <c r="AH412" s="166">
        <v>4.6E-5</v>
      </c>
      <c r="AI412" s="166">
        <v>2.6340148902562698E-4</v>
      </c>
      <c r="AJ412" s="166">
        <v>4.2254799107417199E-5</v>
      </c>
    </row>
    <row r="413" spans="1:36">
      <c r="A413" s="3">
        <v>161</v>
      </c>
      <c r="B413" s="3">
        <v>9943</v>
      </c>
      <c r="C413" s="3" t="s">
        <v>321</v>
      </c>
      <c r="D413" s="3" t="s">
        <v>322</v>
      </c>
      <c r="E413" s="5" t="s">
        <v>149</v>
      </c>
      <c r="F413" s="3" t="s">
        <v>329</v>
      </c>
      <c r="G413" s="3" t="s">
        <v>330</v>
      </c>
      <c r="H413" s="3" t="s">
        <v>152</v>
      </c>
      <c r="I413" s="3" t="s">
        <v>166</v>
      </c>
      <c r="J413" s="3" t="s">
        <v>30</v>
      </c>
      <c r="K413" s="3" t="s">
        <v>30</v>
      </c>
      <c r="L413" s="3" t="s">
        <v>154</v>
      </c>
      <c r="M413" s="3" t="s">
        <v>31</v>
      </c>
      <c r="N413" s="3" t="s">
        <v>245</v>
      </c>
      <c r="O413" s="3" t="s">
        <v>156</v>
      </c>
      <c r="P413" s="3" t="s">
        <v>246</v>
      </c>
      <c r="Q413" s="3" t="s">
        <v>169</v>
      </c>
      <c r="R413" s="3" t="s">
        <v>159</v>
      </c>
      <c r="S413" s="3" t="s">
        <v>34</v>
      </c>
      <c r="T413" s="155">
        <v>2.1339999999999999</v>
      </c>
      <c r="U413" s="3" t="s">
        <v>331</v>
      </c>
      <c r="V413" s="166">
        <v>1E-3</v>
      </c>
      <c r="W413" s="166">
        <v>2.5329999999999998E-2</v>
      </c>
      <c r="X413" s="5" t="s">
        <v>161</v>
      </c>
      <c r="Y413" s="5" t="s">
        <v>156</v>
      </c>
      <c r="Z413" s="155">
        <v>12300</v>
      </c>
      <c r="AA413" s="164">
        <v>1</v>
      </c>
      <c r="AB413" s="174">
        <v>110.05</v>
      </c>
      <c r="AD413" s="155">
        <v>13.536</v>
      </c>
      <c r="AG413" s="3" t="s">
        <v>36</v>
      </c>
      <c r="AH413" s="166">
        <v>3.9999999999999998E-6</v>
      </c>
      <c r="AI413" s="166">
        <v>4.33743696736642E-5</v>
      </c>
      <c r="AJ413" s="166">
        <v>6.9581052246565503E-6</v>
      </c>
    </row>
    <row r="414" spans="1:36">
      <c r="A414" s="3">
        <v>161</v>
      </c>
      <c r="B414" s="3">
        <v>9943</v>
      </c>
      <c r="C414" s="3" t="s">
        <v>321</v>
      </c>
      <c r="D414" s="3" t="s">
        <v>322</v>
      </c>
      <c r="E414" s="5" t="s">
        <v>149</v>
      </c>
      <c r="F414" s="3" t="s">
        <v>335</v>
      </c>
      <c r="G414" s="3" t="s">
        <v>336</v>
      </c>
      <c r="H414" s="3" t="s">
        <v>152</v>
      </c>
      <c r="I414" s="3" t="s">
        <v>166</v>
      </c>
      <c r="J414" s="3" t="s">
        <v>30</v>
      </c>
      <c r="K414" s="3" t="s">
        <v>30</v>
      </c>
      <c r="L414" s="3" t="s">
        <v>154</v>
      </c>
      <c r="M414" s="3" t="s">
        <v>31</v>
      </c>
      <c r="N414" s="3" t="s">
        <v>245</v>
      </c>
      <c r="O414" s="3" t="s">
        <v>156</v>
      </c>
      <c r="P414" s="3" t="s">
        <v>246</v>
      </c>
      <c r="Q414" s="3" t="s">
        <v>169</v>
      </c>
      <c r="R414" s="3" t="s">
        <v>159</v>
      </c>
      <c r="S414" s="3" t="s">
        <v>34</v>
      </c>
      <c r="T414" s="155">
        <v>4.13</v>
      </c>
      <c r="U414" s="3" t="s">
        <v>337</v>
      </c>
      <c r="V414" s="166">
        <v>2.0199999999999999E-2</v>
      </c>
      <c r="W414" s="166">
        <v>2.5430000000000001E-2</v>
      </c>
      <c r="X414" s="5" t="s">
        <v>161</v>
      </c>
      <c r="Y414" s="5" t="s">
        <v>156</v>
      </c>
      <c r="Z414" s="155">
        <v>112367</v>
      </c>
      <c r="AA414" s="164">
        <v>1</v>
      </c>
      <c r="AB414" s="174">
        <v>105.02</v>
      </c>
      <c r="AD414" s="155">
        <v>118.008</v>
      </c>
      <c r="AG414" s="3" t="s">
        <v>36</v>
      </c>
      <c r="AH414" s="166">
        <v>3.1000000000000001E-5</v>
      </c>
      <c r="AI414" s="166">
        <v>3.7813669001422799E-4</v>
      </c>
      <c r="AJ414" s="166">
        <v>6.0660590533489003E-5</v>
      </c>
    </row>
    <row r="415" spans="1:36">
      <c r="A415" s="3">
        <v>161</v>
      </c>
      <c r="B415" s="3">
        <v>9943</v>
      </c>
      <c r="C415" s="3" t="s">
        <v>321</v>
      </c>
      <c r="D415" s="3" t="s">
        <v>322</v>
      </c>
      <c r="E415" s="5" t="s">
        <v>149</v>
      </c>
      <c r="F415" s="3" t="s">
        <v>338</v>
      </c>
      <c r="G415" s="3" t="s">
        <v>339</v>
      </c>
      <c r="H415" s="3" t="s">
        <v>152</v>
      </c>
      <c r="I415" s="3" t="s">
        <v>166</v>
      </c>
      <c r="J415" s="3" t="s">
        <v>30</v>
      </c>
      <c r="K415" s="3" t="s">
        <v>30</v>
      </c>
      <c r="L415" s="3" t="s">
        <v>154</v>
      </c>
      <c r="M415" s="3" t="s">
        <v>31</v>
      </c>
      <c r="N415" s="3" t="s">
        <v>245</v>
      </c>
      <c r="O415" s="3" t="s">
        <v>156</v>
      </c>
      <c r="P415" s="3" t="s">
        <v>246</v>
      </c>
      <c r="Q415" s="3" t="s">
        <v>169</v>
      </c>
      <c r="R415" s="3" t="s">
        <v>159</v>
      </c>
      <c r="S415" s="3" t="s">
        <v>34</v>
      </c>
      <c r="T415" s="155">
        <v>4.1289999999999996</v>
      </c>
      <c r="U415" s="3" t="s">
        <v>340</v>
      </c>
      <c r="V415" s="166">
        <v>1E-3</v>
      </c>
      <c r="W415" s="166">
        <v>2.5350000000000001E-2</v>
      </c>
      <c r="X415" s="5" t="s">
        <v>161</v>
      </c>
      <c r="Y415" s="5" t="s">
        <v>156</v>
      </c>
      <c r="Z415" s="155">
        <v>121540</v>
      </c>
      <c r="AA415" s="164">
        <v>1</v>
      </c>
      <c r="AB415" s="174">
        <v>104.89</v>
      </c>
      <c r="AD415" s="155">
        <v>127.483</v>
      </c>
      <c r="AG415" s="3" t="s">
        <v>36</v>
      </c>
      <c r="AH415" s="166">
        <v>2.8E-5</v>
      </c>
      <c r="AI415" s="166">
        <v>4.0849931787582602E-4</v>
      </c>
      <c r="AJ415" s="166">
        <v>6.5531355484025307E-5</v>
      </c>
    </row>
    <row r="416" spans="1:36">
      <c r="A416" s="3">
        <v>161</v>
      </c>
      <c r="B416" s="3">
        <v>9943</v>
      </c>
      <c r="C416" s="3" t="s">
        <v>351</v>
      </c>
      <c r="D416" s="3" t="s">
        <v>352</v>
      </c>
      <c r="E416" s="5" t="s">
        <v>149</v>
      </c>
      <c r="F416" s="3" t="s">
        <v>544</v>
      </c>
      <c r="G416" s="3" t="s">
        <v>545</v>
      </c>
      <c r="H416" s="3" t="s">
        <v>152</v>
      </c>
      <c r="I416" s="3" t="s">
        <v>166</v>
      </c>
      <c r="J416" s="3" t="s">
        <v>30</v>
      </c>
      <c r="K416" s="3" t="s">
        <v>30</v>
      </c>
      <c r="L416" s="3" t="s">
        <v>154</v>
      </c>
      <c r="M416" s="3" t="s">
        <v>31</v>
      </c>
      <c r="N416" s="3" t="s">
        <v>167</v>
      </c>
      <c r="O416" s="3" t="s">
        <v>156</v>
      </c>
      <c r="P416" s="3" t="s">
        <v>168</v>
      </c>
      <c r="Q416" s="3" t="s">
        <v>169</v>
      </c>
      <c r="R416" s="3" t="s">
        <v>159</v>
      </c>
      <c r="S416" s="3" t="s">
        <v>34</v>
      </c>
      <c r="T416" s="155">
        <v>5.1689999999999996</v>
      </c>
      <c r="U416" s="3" t="s">
        <v>546</v>
      </c>
      <c r="V416" s="166">
        <v>3.5000000000000001E-3</v>
      </c>
      <c r="W416" s="166">
        <v>2.9669999999999998E-2</v>
      </c>
      <c r="X416" s="5" t="s">
        <v>161</v>
      </c>
      <c r="Y416" s="5" t="s">
        <v>156</v>
      </c>
      <c r="Z416" s="155">
        <v>3801647.28</v>
      </c>
      <c r="AA416" s="164">
        <v>1</v>
      </c>
      <c r="AB416" s="174">
        <v>101.29</v>
      </c>
      <c r="AD416" s="155">
        <v>3850.6889999999999</v>
      </c>
      <c r="AG416" s="3" t="s">
        <v>36</v>
      </c>
      <c r="AH416" s="166">
        <v>1.091E-3</v>
      </c>
      <c r="AI416" s="166">
        <v>1.2338899007069399E-2</v>
      </c>
      <c r="AJ416" s="166">
        <v>1.97940300443669E-3</v>
      </c>
    </row>
    <row r="417" spans="1:36">
      <c r="A417" s="3">
        <v>161</v>
      </c>
      <c r="B417" s="3">
        <v>9943</v>
      </c>
      <c r="C417" s="3" t="s">
        <v>351</v>
      </c>
      <c r="D417" s="3" t="s">
        <v>352</v>
      </c>
      <c r="E417" s="5" t="s">
        <v>149</v>
      </c>
      <c r="F417" s="3" t="s">
        <v>582</v>
      </c>
      <c r="G417" s="3" t="s">
        <v>583</v>
      </c>
      <c r="H417" s="3" t="s">
        <v>152</v>
      </c>
      <c r="I417" s="3" t="s">
        <v>166</v>
      </c>
      <c r="J417" s="3" t="s">
        <v>30</v>
      </c>
      <c r="K417" s="3" t="s">
        <v>30</v>
      </c>
      <c r="L417" s="3" t="s">
        <v>154</v>
      </c>
      <c r="M417" s="3" t="s">
        <v>31</v>
      </c>
      <c r="N417" s="3" t="s">
        <v>167</v>
      </c>
      <c r="O417" s="3" t="s">
        <v>156</v>
      </c>
      <c r="P417" s="3" t="s">
        <v>168</v>
      </c>
      <c r="Q417" s="3" t="s">
        <v>169</v>
      </c>
      <c r="R417" s="3" t="s">
        <v>159</v>
      </c>
      <c r="S417" s="3" t="s">
        <v>34</v>
      </c>
      <c r="T417" s="155">
        <v>0.97799999999999998</v>
      </c>
      <c r="U417" s="3" t="s">
        <v>584</v>
      </c>
      <c r="V417" s="166">
        <v>2.4E-2</v>
      </c>
      <c r="W417" s="166">
        <v>3.3180000000000001E-2</v>
      </c>
      <c r="X417" s="5" t="s">
        <v>161</v>
      </c>
      <c r="Y417" s="5" t="s">
        <v>156</v>
      </c>
      <c r="Z417" s="155">
        <v>363959.36</v>
      </c>
      <c r="AA417" s="164">
        <v>1</v>
      </c>
      <c r="AB417" s="174">
        <v>118.36</v>
      </c>
      <c r="AD417" s="155">
        <v>430.78199999999998</v>
      </c>
      <c r="AG417" s="3" t="s">
        <v>36</v>
      </c>
      <c r="AH417" s="166">
        <v>6.7699999999999998E-4</v>
      </c>
      <c r="AI417" s="166">
        <v>1.38037112944495E-3</v>
      </c>
      <c r="AJ417" s="166">
        <v>2.2143878147439099E-4</v>
      </c>
    </row>
    <row r="418" spans="1:36">
      <c r="A418" s="3">
        <v>161</v>
      </c>
      <c r="B418" s="3">
        <v>9943</v>
      </c>
      <c r="C418" s="3" t="s">
        <v>351</v>
      </c>
      <c r="D418" s="3" t="s">
        <v>352</v>
      </c>
      <c r="E418" s="5" t="s">
        <v>149</v>
      </c>
      <c r="F418" s="3" t="s">
        <v>353</v>
      </c>
      <c r="G418" s="3" t="s">
        <v>354</v>
      </c>
      <c r="H418" s="3" t="s">
        <v>152</v>
      </c>
      <c r="I418" s="3" t="s">
        <v>166</v>
      </c>
      <c r="J418" s="3" t="s">
        <v>30</v>
      </c>
      <c r="K418" s="3" t="s">
        <v>30</v>
      </c>
      <c r="L418" s="3" t="s">
        <v>154</v>
      </c>
      <c r="M418" s="3" t="s">
        <v>31</v>
      </c>
      <c r="N418" s="3" t="s">
        <v>167</v>
      </c>
      <c r="O418" s="3" t="s">
        <v>156</v>
      </c>
      <c r="P418" s="3" t="s">
        <v>168</v>
      </c>
      <c r="Q418" s="3" t="s">
        <v>169</v>
      </c>
      <c r="R418" s="3" t="s">
        <v>159</v>
      </c>
      <c r="S418" s="3" t="s">
        <v>34</v>
      </c>
      <c r="T418" s="155">
        <v>2.5139999999999998</v>
      </c>
      <c r="U418" s="3" t="s">
        <v>259</v>
      </c>
      <c r="V418" s="166">
        <v>2.81E-2</v>
      </c>
      <c r="W418" s="166">
        <v>2.8070000000000001E-2</v>
      </c>
      <c r="X418" s="5" t="s">
        <v>161</v>
      </c>
      <c r="Y418" s="5" t="s">
        <v>156</v>
      </c>
      <c r="Z418" s="155">
        <v>81696</v>
      </c>
      <c r="AA418" s="164">
        <v>1</v>
      </c>
      <c r="AB418" s="174">
        <v>121.01</v>
      </c>
      <c r="AD418" s="155">
        <v>98.86</v>
      </c>
      <c r="AG418" s="3" t="s">
        <v>36</v>
      </c>
      <c r="AH418" s="166">
        <v>5.8999999999999998E-5</v>
      </c>
      <c r="AI418" s="166">
        <v>3.1678169066763401E-4</v>
      </c>
      <c r="AJ418" s="166">
        <v>5.0818037322357397E-5</v>
      </c>
    </row>
    <row r="419" spans="1:36">
      <c r="A419" s="3">
        <v>161</v>
      </c>
      <c r="B419" s="3">
        <v>9943</v>
      </c>
      <c r="C419" s="3" t="s">
        <v>351</v>
      </c>
      <c r="D419" s="3" t="s">
        <v>352</v>
      </c>
      <c r="E419" s="5" t="s">
        <v>149</v>
      </c>
      <c r="F419" s="3" t="s">
        <v>585</v>
      </c>
      <c r="G419" s="3" t="s">
        <v>586</v>
      </c>
      <c r="H419" s="3" t="s">
        <v>152</v>
      </c>
      <c r="I419" s="3" t="s">
        <v>153</v>
      </c>
      <c r="J419" s="3" t="s">
        <v>30</v>
      </c>
      <c r="K419" s="3" t="s">
        <v>30</v>
      </c>
      <c r="L419" s="3" t="s">
        <v>154</v>
      </c>
      <c r="M419" s="3" t="s">
        <v>31</v>
      </c>
      <c r="N419" s="3" t="s">
        <v>167</v>
      </c>
      <c r="O419" s="3" t="s">
        <v>156</v>
      </c>
      <c r="P419" s="3" t="s">
        <v>168</v>
      </c>
      <c r="Q419" s="3" t="s">
        <v>169</v>
      </c>
      <c r="R419" s="3" t="s">
        <v>159</v>
      </c>
      <c r="S419" s="3" t="s">
        <v>34</v>
      </c>
      <c r="T419" s="155">
        <v>1.64</v>
      </c>
      <c r="U419" s="3" t="s">
        <v>240</v>
      </c>
      <c r="V419" s="166">
        <v>5.6500000000000002E-2</v>
      </c>
      <c r="W419" s="166">
        <v>4.9180000000000001E-2</v>
      </c>
      <c r="X419" s="5" t="s">
        <v>161</v>
      </c>
      <c r="Y419" s="5" t="s">
        <v>156</v>
      </c>
      <c r="Z419" s="155">
        <v>177825.08</v>
      </c>
      <c r="AA419" s="164">
        <v>1</v>
      </c>
      <c r="AB419" s="174">
        <v>102.79</v>
      </c>
      <c r="AD419" s="155">
        <v>182.786</v>
      </c>
      <c r="AG419" s="3" t="s">
        <v>36</v>
      </c>
      <c r="AH419" s="166">
        <v>1.519E-3</v>
      </c>
      <c r="AI419" s="166">
        <v>5.8570899947872396E-4</v>
      </c>
      <c r="AJ419" s="166">
        <v>9.3959287018198596E-5</v>
      </c>
    </row>
    <row r="420" spans="1:36">
      <c r="A420" s="3">
        <v>161</v>
      </c>
      <c r="B420" s="3">
        <v>9943</v>
      </c>
      <c r="C420" s="3" t="s">
        <v>351</v>
      </c>
      <c r="D420" s="3" t="s">
        <v>352</v>
      </c>
      <c r="E420" s="5" t="s">
        <v>149</v>
      </c>
      <c r="F420" s="3" t="s">
        <v>547</v>
      </c>
      <c r="G420" s="3" t="s">
        <v>548</v>
      </c>
      <c r="H420" s="3" t="s">
        <v>152</v>
      </c>
      <c r="I420" s="3" t="s">
        <v>166</v>
      </c>
      <c r="J420" s="3" t="s">
        <v>30</v>
      </c>
      <c r="K420" s="3" t="s">
        <v>30</v>
      </c>
      <c r="L420" s="3" t="s">
        <v>154</v>
      </c>
      <c r="M420" s="3" t="s">
        <v>31</v>
      </c>
      <c r="N420" s="3" t="s">
        <v>167</v>
      </c>
      <c r="O420" s="3" t="s">
        <v>156</v>
      </c>
      <c r="P420" s="3" t="s">
        <v>168</v>
      </c>
      <c r="Q420" s="3" t="s">
        <v>169</v>
      </c>
      <c r="R420" s="3" t="s">
        <v>159</v>
      </c>
      <c r="S420" s="3" t="s">
        <v>34</v>
      </c>
      <c r="T420" s="155">
        <v>1.673</v>
      </c>
      <c r="U420" s="3" t="s">
        <v>240</v>
      </c>
      <c r="V420" s="166">
        <v>3.6999999999999998E-2</v>
      </c>
      <c r="W420" s="166">
        <v>2.9180000000000001E-2</v>
      </c>
      <c r="X420" s="5" t="s">
        <v>161</v>
      </c>
      <c r="Y420" s="5" t="s">
        <v>156</v>
      </c>
      <c r="Z420" s="155">
        <v>306454.36</v>
      </c>
      <c r="AA420" s="164">
        <v>1</v>
      </c>
      <c r="AB420" s="174">
        <v>121.5</v>
      </c>
      <c r="AD420" s="155">
        <v>372.34199999999998</v>
      </c>
      <c r="AG420" s="3" t="s">
        <v>36</v>
      </c>
      <c r="AH420" s="166">
        <v>1.359E-3</v>
      </c>
      <c r="AI420" s="166">
        <v>1.1931089422750601E-3</v>
      </c>
      <c r="AJ420" s="166">
        <v>1.9139822958324601E-4</v>
      </c>
    </row>
    <row r="421" spans="1:36">
      <c r="A421" s="3">
        <v>161</v>
      </c>
      <c r="B421" s="3">
        <v>9943</v>
      </c>
      <c r="C421" s="3" t="s">
        <v>355</v>
      </c>
      <c r="D421" s="3" t="s">
        <v>356</v>
      </c>
      <c r="E421" s="5" t="s">
        <v>149</v>
      </c>
      <c r="F421" s="3" t="s">
        <v>772</v>
      </c>
      <c r="G421" s="3" t="s">
        <v>773</v>
      </c>
      <c r="H421" s="3" t="s">
        <v>152</v>
      </c>
      <c r="I421" s="3" t="s">
        <v>153</v>
      </c>
      <c r="J421" s="3" t="s">
        <v>30</v>
      </c>
      <c r="K421" s="3" t="s">
        <v>30</v>
      </c>
      <c r="L421" s="3" t="s">
        <v>154</v>
      </c>
      <c r="M421" s="3" t="s">
        <v>31</v>
      </c>
      <c r="N421" s="3" t="s">
        <v>155</v>
      </c>
      <c r="O421" s="3" t="s">
        <v>156</v>
      </c>
      <c r="P421" s="3" t="s">
        <v>359</v>
      </c>
      <c r="Q421" s="3" t="s">
        <v>158</v>
      </c>
      <c r="R421" s="3" t="s">
        <v>159</v>
      </c>
      <c r="S421" s="3" t="s">
        <v>34</v>
      </c>
      <c r="T421" s="155">
        <v>6.5819999999999999</v>
      </c>
      <c r="U421" s="3" t="s">
        <v>757</v>
      </c>
      <c r="V421" s="166">
        <v>6.0699999999999997E-2</v>
      </c>
      <c r="W421" s="166">
        <v>4.9540000000000001E-2</v>
      </c>
      <c r="X421" s="5" t="s">
        <v>161</v>
      </c>
      <c r="Y421" s="5" t="s">
        <v>156</v>
      </c>
      <c r="Z421" s="155">
        <v>3158306</v>
      </c>
      <c r="AA421" s="164">
        <v>1</v>
      </c>
      <c r="AB421" s="174">
        <v>109.46</v>
      </c>
      <c r="AD421" s="155">
        <v>3457.0819999999999</v>
      </c>
      <c r="AG421" s="3" t="s">
        <v>36</v>
      </c>
      <c r="AH421" s="166">
        <v>5.0220000000000004E-3</v>
      </c>
      <c r="AI421" s="166">
        <v>1.1077650714012399E-2</v>
      </c>
      <c r="AJ421" s="166">
        <v>1.7770738777304E-3</v>
      </c>
    </row>
    <row r="422" spans="1:36">
      <c r="A422" s="3">
        <v>161</v>
      </c>
      <c r="B422" s="3">
        <v>9943</v>
      </c>
      <c r="C422" s="3" t="s">
        <v>355</v>
      </c>
      <c r="D422" s="3" t="s">
        <v>356</v>
      </c>
      <c r="E422" s="5" t="s">
        <v>149</v>
      </c>
      <c r="F422" s="3" t="s">
        <v>774</v>
      </c>
      <c r="G422" s="3" t="s">
        <v>775</v>
      </c>
      <c r="H422" s="3" t="s">
        <v>152</v>
      </c>
      <c r="I422" s="3" t="s">
        <v>153</v>
      </c>
      <c r="J422" s="3" t="s">
        <v>30</v>
      </c>
      <c r="K422" s="3" t="s">
        <v>30</v>
      </c>
      <c r="L422" s="3" t="s">
        <v>154</v>
      </c>
      <c r="M422" s="3" t="s">
        <v>31</v>
      </c>
      <c r="N422" s="3" t="s">
        <v>155</v>
      </c>
      <c r="O422" s="3" t="s">
        <v>156</v>
      </c>
      <c r="P422" s="3" t="s">
        <v>359</v>
      </c>
      <c r="Q422" s="3" t="s">
        <v>158</v>
      </c>
      <c r="R422" s="3" t="s">
        <v>159</v>
      </c>
      <c r="S422" s="3" t="s">
        <v>34</v>
      </c>
      <c r="T422" s="155">
        <v>5.3220000000000001</v>
      </c>
      <c r="U422" s="3" t="s">
        <v>776</v>
      </c>
      <c r="V422" s="166">
        <v>5.3999999999999999E-2</v>
      </c>
      <c r="W422" s="166">
        <v>4.8710000000000003E-2</v>
      </c>
      <c r="X422" s="5" t="s">
        <v>161</v>
      </c>
      <c r="Y422" s="5" t="s">
        <v>156</v>
      </c>
      <c r="Z422" s="155">
        <v>9</v>
      </c>
      <c r="AA422" s="164">
        <v>1</v>
      </c>
      <c r="AB422" s="174">
        <v>104.54</v>
      </c>
      <c r="AD422" s="155">
        <v>8.9999999999999993E-3</v>
      </c>
      <c r="AG422" s="3" t="s">
        <v>36</v>
      </c>
      <c r="AH422" s="166">
        <v>0</v>
      </c>
      <c r="AI422" s="166">
        <v>3.0148313553827202E-8</v>
      </c>
      <c r="AJ422" s="166">
        <v>4.8363847044177E-9</v>
      </c>
    </row>
    <row r="423" spans="1:36">
      <c r="A423" s="3">
        <v>161</v>
      </c>
      <c r="B423" s="3">
        <v>9943</v>
      </c>
      <c r="C423" s="3" t="s">
        <v>355</v>
      </c>
      <c r="D423" s="3" t="s">
        <v>356</v>
      </c>
      <c r="E423" s="5" t="s">
        <v>149</v>
      </c>
      <c r="F423" s="3" t="s">
        <v>777</v>
      </c>
      <c r="G423" s="3" t="s">
        <v>778</v>
      </c>
      <c r="H423" s="3" t="s">
        <v>152</v>
      </c>
      <c r="I423" s="3" t="s">
        <v>153</v>
      </c>
      <c r="J423" s="3" t="s">
        <v>30</v>
      </c>
      <c r="K423" s="3" t="s">
        <v>30</v>
      </c>
      <c r="L423" s="3" t="s">
        <v>154</v>
      </c>
      <c r="M423" s="3" t="s">
        <v>31</v>
      </c>
      <c r="N423" s="3" t="s">
        <v>155</v>
      </c>
      <c r="O423" s="3" t="s">
        <v>156</v>
      </c>
      <c r="P423" s="3" t="s">
        <v>179</v>
      </c>
      <c r="Q423" s="3" t="s">
        <v>169</v>
      </c>
      <c r="R423" s="3" t="s">
        <v>159</v>
      </c>
      <c r="S423" s="3" t="s">
        <v>34</v>
      </c>
      <c r="T423" s="155">
        <v>5.931</v>
      </c>
      <c r="U423" s="3" t="s">
        <v>692</v>
      </c>
      <c r="V423" s="166">
        <v>6.0699999999999997E-2</v>
      </c>
      <c r="W423" s="166">
        <v>4.929E-2</v>
      </c>
      <c r="X423" s="5" t="s">
        <v>161</v>
      </c>
      <c r="Y423" s="5" t="s">
        <v>156</v>
      </c>
      <c r="Z423" s="155">
        <v>1800000</v>
      </c>
      <c r="AA423" s="164">
        <v>1</v>
      </c>
      <c r="AB423" s="174">
        <v>108.82</v>
      </c>
      <c r="AD423" s="155">
        <v>1958.76</v>
      </c>
      <c r="AG423" s="3" t="s">
        <v>36</v>
      </c>
      <c r="AH423" s="166">
        <v>2.862E-3</v>
      </c>
      <c r="AI423" s="166">
        <v>6.2765247387171798E-3</v>
      </c>
      <c r="AJ423" s="166">
        <v>1.0068784839003899E-3</v>
      </c>
    </row>
    <row r="424" spans="1:36">
      <c r="A424" s="3">
        <v>161</v>
      </c>
      <c r="B424" s="3">
        <v>9943</v>
      </c>
      <c r="C424" s="3" t="s">
        <v>361</v>
      </c>
      <c r="D424" s="3" t="s">
        <v>362</v>
      </c>
      <c r="E424" s="5" t="s">
        <v>149</v>
      </c>
      <c r="F424" s="3" t="s">
        <v>363</v>
      </c>
      <c r="G424" s="3" t="s">
        <v>364</v>
      </c>
      <c r="H424" s="3" t="s">
        <v>152</v>
      </c>
      <c r="I424" s="3" t="s">
        <v>166</v>
      </c>
      <c r="J424" s="3" t="s">
        <v>30</v>
      </c>
      <c r="K424" s="3" t="s">
        <v>30</v>
      </c>
      <c r="L424" s="3" t="s">
        <v>154</v>
      </c>
      <c r="M424" s="3" t="s">
        <v>31</v>
      </c>
      <c r="N424" s="3" t="s">
        <v>167</v>
      </c>
      <c r="O424" s="3" t="s">
        <v>156</v>
      </c>
      <c r="P424" s="3" t="s">
        <v>179</v>
      </c>
      <c r="Q424" s="3" t="s">
        <v>169</v>
      </c>
      <c r="R424" s="3" t="s">
        <v>159</v>
      </c>
      <c r="S424" s="3" t="s">
        <v>34</v>
      </c>
      <c r="T424" s="155">
        <v>1.379</v>
      </c>
      <c r="U424" s="3" t="s">
        <v>365</v>
      </c>
      <c r="V424" s="166">
        <v>2.0500000000000001E-2</v>
      </c>
      <c r="W424" s="166">
        <v>3.0210000000000001E-2</v>
      </c>
      <c r="X424" s="5" t="s">
        <v>161</v>
      </c>
      <c r="Y424" s="5" t="s">
        <v>156</v>
      </c>
      <c r="Z424" s="155">
        <v>84696.12</v>
      </c>
      <c r="AA424" s="164">
        <v>1</v>
      </c>
      <c r="AB424" s="174">
        <v>118.88</v>
      </c>
      <c r="AD424" s="155">
        <v>100.687</v>
      </c>
      <c r="AG424" s="3" t="s">
        <v>36</v>
      </c>
      <c r="AH424" s="166">
        <v>1.6799999999999999E-4</v>
      </c>
      <c r="AI424" s="166">
        <v>3.2263414674005698E-4</v>
      </c>
      <c r="AJ424" s="166">
        <v>5.1756886819905803E-5</v>
      </c>
    </row>
    <row r="425" spans="1:36">
      <c r="A425" s="3">
        <v>161</v>
      </c>
      <c r="B425" s="3">
        <v>9943</v>
      </c>
      <c r="C425" s="3" t="s">
        <v>361</v>
      </c>
      <c r="D425" s="3" t="s">
        <v>362</v>
      </c>
      <c r="E425" s="5" t="s">
        <v>149</v>
      </c>
      <c r="F425" s="3" t="s">
        <v>779</v>
      </c>
      <c r="G425" s="3" t="s">
        <v>780</v>
      </c>
      <c r="H425" s="3" t="s">
        <v>152</v>
      </c>
      <c r="I425" s="3" t="s">
        <v>166</v>
      </c>
      <c r="J425" s="3" t="s">
        <v>30</v>
      </c>
      <c r="K425" s="3" t="s">
        <v>30</v>
      </c>
      <c r="L425" s="3" t="s">
        <v>154</v>
      </c>
      <c r="M425" s="3" t="s">
        <v>31</v>
      </c>
      <c r="N425" s="3" t="s">
        <v>167</v>
      </c>
      <c r="O425" s="3" t="s">
        <v>156</v>
      </c>
      <c r="P425" s="3" t="s">
        <v>179</v>
      </c>
      <c r="Q425" s="3" t="s">
        <v>169</v>
      </c>
      <c r="R425" s="3" t="s">
        <v>159</v>
      </c>
      <c r="S425" s="3" t="s">
        <v>34</v>
      </c>
      <c r="T425" s="155">
        <v>5.1079999999999997</v>
      </c>
      <c r="U425" s="3" t="s">
        <v>320</v>
      </c>
      <c r="V425" s="166">
        <v>5.0000000000000001E-3</v>
      </c>
      <c r="W425" s="166">
        <v>2.8459999999999999E-2</v>
      </c>
      <c r="X425" s="5" t="s">
        <v>161</v>
      </c>
      <c r="Y425" s="5" t="s">
        <v>156</v>
      </c>
      <c r="Z425" s="155">
        <v>1094736.8700000001</v>
      </c>
      <c r="AA425" s="164">
        <v>1</v>
      </c>
      <c r="AB425" s="174">
        <v>103.89</v>
      </c>
      <c r="AD425" s="155">
        <v>1137.3219999999999</v>
      </c>
      <c r="AG425" s="3" t="s">
        <v>36</v>
      </c>
      <c r="AH425" s="166">
        <v>1.0196E-2</v>
      </c>
      <c r="AI425" s="166">
        <v>3.6443620001770601E-3</v>
      </c>
      <c r="AJ425" s="166">
        <v>5.8462761452804195E-4</v>
      </c>
    </row>
    <row r="426" spans="1:36">
      <c r="A426" s="3">
        <v>161</v>
      </c>
      <c r="B426" s="3">
        <v>9943</v>
      </c>
      <c r="C426" s="3" t="s">
        <v>361</v>
      </c>
      <c r="D426" s="3" t="s">
        <v>362</v>
      </c>
      <c r="E426" s="5" t="s">
        <v>149</v>
      </c>
      <c r="F426" s="3" t="s">
        <v>781</v>
      </c>
      <c r="G426" s="3" t="s">
        <v>782</v>
      </c>
      <c r="H426" s="3" t="s">
        <v>152</v>
      </c>
      <c r="I426" s="3" t="s">
        <v>166</v>
      </c>
      <c r="J426" s="3" t="s">
        <v>30</v>
      </c>
      <c r="K426" s="3" t="s">
        <v>30</v>
      </c>
      <c r="L426" s="3" t="s">
        <v>154</v>
      </c>
      <c r="M426" s="3" t="s">
        <v>31</v>
      </c>
      <c r="N426" s="3" t="s">
        <v>167</v>
      </c>
      <c r="O426" s="3" t="s">
        <v>156</v>
      </c>
      <c r="P426" s="3" t="s">
        <v>179</v>
      </c>
      <c r="Q426" s="3" t="s">
        <v>169</v>
      </c>
      <c r="R426" s="3" t="s">
        <v>159</v>
      </c>
      <c r="S426" s="3" t="s">
        <v>34</v>
      </c>
      <c r="T426" s="155">
        <v>5.0469999999999997</v>
      </c>
      <c r="U426" s="3" t="s">
        <v>320</v>
      </c>
      <c r="V426" s="166">
        <v>9.7000000000000003E-3</v>
      </c>
      <c r="W426" s="166">
        <v>3.1480000000000001E-2</v>
      </c>
      <c r="X426" s="5" t="s">
        <v>161</v>
      </c>
      <c r="Y426" s="5" t="s">
        <v>156</v>
      </c>
      <c r="Z426" s="155">
        <v>2338955.7999999998</v>
      </c>
      <c r="AA426" s="164">
        <v>1</v>
      </c>
      <c r="AB426" s="174">
        <v>104.98</v>
      </c>
      <c r="AD426" s="155">
        <v>2455.4360000000001</v>
      </c>
      <c r="AG426" s="3" t="s">
        <v>36</v>
      </c>
      <c r="AH426" s="166">
        <v>3.8860000000000001E-3</v>
      </c>
      <c r="AI426" s="166">
        <v>7.8680407685224607E-3</v>
      </c>
      <c r="AJ426" s="166">
        <v>1.2621890759719201E-3</v>
      </c>
    </row>
    <row r="427" spans="1:36">
      <c r="A427" s="3">
        <v>161</v>
      </c>
      <c r="B427" s="3">
        <v>9943</v>
      </c>
      <c r="C427" s="3" t="s">
        <v>361</v>
      </c>
      <c r="D427" s="3" t="s">
        <v>362</v>
      </c>
      <c r="E427" s="5" t="s">
        <v>149</v>
      </c>
      <c r="F427" s="3" t="s">
        <v>783</v>
      </c>
      <c r="G427" s="3" t="s">
        <v>784</v>
      </c>
      <c r="H427" s="3" t="s">
        <v>152</v>
      </c>
      <c r="I427" s="3" t="s">
        <v>166</v>
      </c>
      <c r="J427" s="3" t="s">
        <v>30</v>
      </c>
      <c r="K427" s="3" t="s">
        <v>30</v>
      </c>
      <c r="L427" s="3" t="s">
        <v>154</v>
      </c>
      <c r="M427" s="3" t="s">
        <v>31</v>
      </c>
      <c r="N427" s="3" t="s">
        <v>167</v>
      </c>
      <c r="O427" s="3" t="s">
        <v>156</v>
      </c>
      <c r="P427" s="3" t="s">
        <v>185</v>
      </c>
      <c r="Q427" s="3" t="s">
        <v>169</v>
      </c>
      <c r="R427" s="3" t="s">
        <v>159</v>
      </c>
      <c r="S427" s="3" t="s">
        <v>34</v>
      </c>
      <c r="T427" s="155">
        <v>4.7549999999999999</v>
      </c>
      <c r="U427" s="3" t="s">
        <v>785</v>
      </c>
      <c r="V427" s="166">
        <v>3.1800000000000002E-2</v>
      </c>
      <c r="W427" s="166">
        <v>2.8930000000000001E-2</v>
      </c>
      <c r="X427" s="5" t="s">
        <v>161</v>
      </c>
      <c r="Y427" s="5" t="s">
        <v>156</v>
      </c>
      <c r="Z427" s="155">
        <v>4050000</v>
      </c>
      <c r="AA427" s="164">
        <v>1</v>
      </c>
      <c r="AB427" s="174">
        <v>106.76</v>
      </c>
      <c r="AD427" s="155">
        <v>4323.78</v>
      </c>
      <c r="AG427" s="3" t="s">
        <v>36</v>
      </c>
      <c r="AH427" s="166">
        <v>8.8599999999999998E-3</v>
      </c>
      <c r="AI427" s="166">
        <v>1.38548429285724E-2</v>
      </c>
      <c r="AJ427" s="166">
        <v>2.2225903383359001E-3</v>
      </c>
    </row>
    <row r="428" spans="1:36">
      <c r="A428" s="3">
        <v>161</v>
      </c>
      <c r="B428" s="3">
        <v>9943</v>
      </c>
      <c r="C428" s="3" t="s">
        <v>369</v>
      </c>
      <c r="D428" s="3" t="s">
        <v>370</v>
      </c>
      <c r="E428" s="5" t="s">
        <v>149</v>
      </c>
      <c r="F428" s="3" t="s">
        <v>786</v>
      </c>
      <c r="G428" s="3" t="s">
        <v>787</v>
      </c>
      <c r="H428" s="3" t="s">
        <v>152</v>
      </c>
      <c r="I428" s="3" t="s">
        <v>166</v>
      </c>
      <c r="J428" s="3" t="s">
        <v>30</v>
      </c>
      <c r="K428" s="3" t="s">
        <v>30</v>
      </c>
      <c r="L428" s="3" t="s">
        <v>154</v>
      </c>
      <c r="M428" s="3" t="s">
        <v>31</v>
      </c>
      <c r="N428" s="3" t="s">
        <v>245</v>
      </c>
      <c r="O428" s="3" t="s">
        <v>156</v>
      </c>
      <c r="P428" s="3" t="s">
        <v>246</v>
      </c>
      <c r="Q428" s="3" t="s">
        <v>169</v>
      </c>
      <c r="R428" s="3" t="s">
        <v>159</v>
      </c>
      <c r="S428" s="3" t="s">
        <v>34</v>
      </c>
      <c r="T428" s="155">
        <v>1.966</v>
      </c>
      <c r="U428" s="3" t="s">
        <v>788</v>
      </c>
      <c r="V428" s="166">
        <v>1.2200000000000001E-2</v>
      </c>
      <c r="W428" s="166">
        <v>2.6009999999999998E-2</v>
      </c>
      <c r="X428" s="5" t="s">
        <v>161</v>
      </c>
      <c r="Y428" s="5" t="s">
        <v>156</v>
      </c>
      <c r="Z428" s="155">
        <v>600000</v>
      </c>
      <c r="AA428" s="164">
        <v>1</v>
      </c>
      <c r="AB428" s="174">
        <v>116.7</v>
      </c>
      <c r="AD428" s="155">
        <v>700.2</v>
      </c>
      <c r="AG428" s="3" t="s">
        <v>36</v>
      </c>
      <c r="AH428" s="166">
        <v>1.9900000000000001E-4</v>
      </c>
      <c r="AI428" s="166">
        <v>2.2436759082530601E-3</v>
      </c>
      <c r="AJ428" s="166">
        <v>3.5992991199894499E-4</v>
      </c>
    </row>
    <row r="429" spans="1:36">
      <c r="A429" s="3">
        <v>161</v>
      </c>
      <c r="B429" s="3">
        <v>9943</v>
      </c>
      <c r="C429" s="3" t="s">
        <v>369</v>
      </c>
      <c r="D429" s="3" t="s">
        <v>370</v>
      </c>
      <c r="E429" s="5" t="s">
        <v>149</v>
      </c>
      <c r="F429" s="3" t="s">
        <v>371</v>
      </c>
      <c r="G429" s="3" t="s">
        <v>372</v>
      </c>
      <c r="H429" s="3" t="s">
        <v>152</v>
      </c>
      <c r="I429" s="3" t="s">
        <v>166</v>
      </c>
      <c r="J429" s="3" t="s">
        <v>30</v>
      </c>
      <c r="K429" s="3" t="s">
        <v>30</v>
      </c>
      <c r="L429" s="3" t="s">
        <v>154</v>
      </c>
      <c r="M429" s="3" t="s">
        <v>31</v>
      </c>
      <c r="N429" s="3" t="s">
        <v>245</v>
      </c>
      <c r="O429" s="3" t="s">
        <v>156</v>
      </c>
      <c r="P429" s="3" t="s">
        <v>246</v>
      </c>
      <c r="Q429" s="3" t="s">
        <v>169</v>
      </c>
      <c r="R429" s="3" t="s">
        <v>159</v>
      </c>
      <c r="S429" s="3" t="s">
        <v>34</v>
      </c>
      <c r="T429" s="155">
        <v>3.04</v>
      </c>
      <c r="U429" s="3" t="s">
        <v>373</v>
      </c>
      <c r="V429" s="166">
        <v>1E-3</v>
      </c>
      <c r="W429" s="166">
        <v>2.5440000000000001E-2</v>
      </c>
      <c r="X429" s="5" t="s">
        <v>161</v>
      </c>
      <c r="Y429" s="5" t="s">
        <v>156</v>
      </c>
      <c r="Z429" s="155">
        <v>34580</v>
      </c>
      <c r="AA429" s="164">
        <v>1</v>
      </c>
      <c r="AB429" s="174">
        <v>107.76</v>
      </c>
      <c r="AD429" s="155">
        <v>37.262999999999998</v>
      </c>
      <c r="AG429" s="3" t="s">
        <v>36</v>
      </c>
      <c r="AH429" s="166">
        <v>1.0000000000000001E-5</v>
      </c>
      <c r="AI429" s="166">
        <v>1.19404471278213E-4</v>
      </c>
      <c r="AJ429" s="166">
        <v>1.91548345647255E-5</v>
      </c>
    </row>
    <row r="430" spans="1:36">
      <c r="A430" s="3">
        <v>161</v>
      </c>
      <c r="B430" s="3">
        <v>9943</v>
      </c>
      <c r="C430" s="3" t="s">
        <v>369</v>
      </c>
      <c r="D430" s="3" t="s">
        <v>370</v>
      </c>
      <c r="E430" s="5" t="s">
        <v>149</v>
      </c>
      <c r="F430" s="3" t="s">
        <v>377</v>
      </c>
      <c r="G430" s="3" t="s">
        <v>378</v>
      </c>
      <c r="H430" s="3" t="s">
        <v>152</v>
      </c>
      <c r="I430" s="3" t="s">
        <v>166</v>
      </c>
      <c r="J430" s="3" t="s">
        <v>30</v>
      </c>
      <c r="K430" s="3" t="s">
        <v>30</v>
      </c>
      <c r="L430" s="3" t="s">
        <v>154</v>
      </c>
      <c r="M430" s="3" t="s">
        <v>31</v>
      </c>
      <c r="N430" s="3" t="s">
        <v>245</v>
      </c>
      <c r="O430" s="3" t="s">
        <v>156</v>
      </c>
      <c r="P430" s="3" t="s">
        <v>343</v>
      </c>
      <c r="Q430" s="3" t="s">
        <v>158</v>
      </c>
      <c r="R430" s="3" t="s">
        <v>159</v>
      </c>
      <c r="S430" s="3" t="s">
        <v>34</v>
      </c>
      <c r="T430" s="155">
        <v>1.157</v>
      </c>
      <c r="U430" s="3" t="s">
        <v>379</v>
      </c>
      <c r="V430" s="166">
        <v>5.0000000000000001E-3</v>
      </c>
      <c r="W430" s="166">
        <v>2.9350000000000001E-2</v>
      </c>
      <c r="X430" s="5" t="s">
        <v>161</v>
      </c>
      <c r="Y430" s="5" t="s">
        <v>156</v>
      </c>
      <c r="Z430" s="155">
        <v>950845</v>
      </c>
      <c r="AA430" s="164">
        <v>1</v>
      </c>
      <c r="AB430" s="174">
        <v>114.73</v>
      </c>
      <c r="AD430" s="155">
        <v>1090.904</v>
      </c>
      <c r="AG430" s="3" t="s">
        <v>36</v>
      </c>
      <c r="AH430" s="166">
        <v>1.2459999999999999E-3</v>
      </c>
      <c r="AI430" s="166">
        <v>3.49562421333771E-3</v>
      </c>
      <c r="AJ430" s="166">
        <v>5.6076713702722105E-4</v>
      </c>
    </row>
    <row r="431" spans="1:36">
      <c r="A431" s="3">
        <v>161</v>
      </c>
      <c r="B431" s="3">
        <v>9943</v>
      </c>
      <c r="C431" s="3" t="s">
        <v>369</v>
      </c>
      <c r="D431" s="3" t="s">
        <v>370</v>
      </c>
      <c r="E431" s="5" t="s">
        <v>149</v>
      </c>
      <c r="F431" s="3" t="s">
        <v>549</v>
      </c>
      <c r="G431" s="3" t="s">
        <v>550</v>
      </c>
      <c r="H431" s="3" t="s">
        <v>152</v>
      </c>
      <c r="I431" s="3" t="s">
        <v>166</v>
      </c>
      <c r="J431" s="3" t="s">
        <v>30</v>
      </c>
      <c r="K431" s="3" t="s">
        <v>30</v>
      </c>
      <c r="L431" s="3" t="s">
        <v>154</v>
      </c>
      <c r="M431" s="3" t="s">
        <v>31</v>
      </c>
      <c r="N431" s="3" t="s">
        <v>245</v>
      </c>
      <c r="O431" s="3" t="s">
        <v>156</v>
      </c>
      <c r="P431" s="3" t="s">
        <v>185</v>
      </c>
      <c r="Q431" s="3" t="s">
        <v>169</v>
      </c>
      <c r="R431" s="3" t="s">
        <v>159</v>
      </c>
      <c r="S431" s="3" t="s">
        <v>34</v>
      </c>
      <c r="T431" s="155">
        <v>3.5310000000000001</v>
      </c>
      <c r="U431" s="3" t="s">
        <v>551</v>
      </c>
      <c r="V431" s="166">
        <v>3.3599999999999998E-2</v>
      </c>
      <c r="W431" s="166">
        <v>2.955E-2</v>
      </c>
      <c r="X431" s="5" t="s">
        <v>161</v>
      </c>
      <c r="Y431" s="5" t="s">
        <v>156</v>
      </c>
      <c r="Z431" s="155">
        <v>198050</v>
      </c>
      <c r="AA431" s="164">
        <v>1</v>
      </c>
      <c r="AB431" s="174">
        <v>108.97</v>
      </c>
      <c r="AD431" s="155">
        <v>215.815</v>
      </c>
      <c r="AG431" s="3" t="s">
        <v>36</v>
      </c>
      <c r="AH431" s="166">
        <v>1.7000000000000001E-4</v>
      </c>
      <c r="AI431" s="166">
        <v>6.9154399721806201E-4</v>
      </c>
      <c r="AJ431" s="166">
        <v>1.1093731012867E-4</v>
      </c>
    </row>
    <row r="432" spans="1:36">
      <c r="A432" s="3">
        <v>161</v>
      </c>
      <c r="B432" s="3">
        <v>9943</v>
      </c>
      <c r="C432" s="3" t="s">
        <v>369</v>
      </c>
      <c r="D432" s="3" t="s">
        <v>370</v>
      </c>
      <c r="E432" s="5" t="s">
        <v>149</v>
      </c>
      <c r="F432" s="3" t="s">
        <v>789</v>
      </c>
      <c r="G432" s="3" t="s">
        <v>790</v>
      </c>
      <c r="H432" s="3" t="s">
        <v>152</v>
      </c>
      <c r="I432" s="3" t="s">
        <v>166</v>
      </c>
      <c r="J432" s="3" t="s">
        <v>30</v>
      </c>
      <c r="K432" s="3" t="s">
        <v>30</v>
      </c>
      <c r="L432" s="3" t="s">
        <v>154</v>
      </c>
      <c r="M432" s="3" t="s">
        <v>31</v>
      </c>
      <c r="N432" s="3" t="s">
        <v>245</v>
      </c>
      <c r="O432" s="3" t="s">
        <v>156</v>
      </c>
      <c r="P432" s="3" t="s">
        <v>185</v>
      </c>
      <c r="Q432" s="3" t="s">
        <v>169</v>
      </c>
      <c r="R432" s="3" t="s">
        <v>159</v>
      </c>
      <c r="S432" s="3" t="s">
        <v>34</v>
      </c>
      <c r="T432" s="155">
        <v>4.6829999999999998</v>
      </c>
      <c r="U432" s="3" t="s">
        <v>791</v>
      </c>
      <c r="V432" s="166">
        <v>3.3500000000000002E-2</v>
      </c>
      <c r="W432" s="166">
        <v>3.0839999999999999E-2</v>
      </c>
      <c r="X432" s="5" t="s">
        <v>161</v>
      </c>
      <c r="Y432" s="5" t="s">
        <v>156</v>
      </c>
      <c r="Z432" s="155">
        <v>1850000</v>
      </c>
      <c r="AA432" s="164">
        <v>1</v>
      </c>
      <c r="AB432" s="174">
        <v>106.95</v>
      </c>
      <c r="AD432" s="155">
        <v>1978.575</v>
      </c>
      <c r="AG432" s="3" t="s">
        <v>36</v>
      </c>
      <c r="AH432" s="166">
        <v>1.2210000000000001E-3</v>
      </c>
      <c r="AI432" s="166">
        <v>6.34001865205913E-3</v>
      </c>
      <c r="AJ432" s="166">
        <v>1.0170641611443999E-3</v>
      </c>
    </row>
    <row r="433" spans="1:36">
      <c r="A433" s="3">
        <v>161</v>
      </c>
      <c r="B433" s="3">
        <v>9943</v>
      </c>
      <c r="C433" s="3" t="s">
        <v>369</v>
      </c>
      <c r="D433" s="3" t="s">
        <v>370</v>
      </c>
      <c r="E433" s="5" t="s">
        <v>149</v>
      </c>
      <c r="F433" s="3" t="s">
        <v>383</v>
      </c>
      <c r="G433" s="3" t="s">
        <v>384</v>
      </c>
      <c r="H433" s="3" t="s">
        <v>152</v>
      </c>
      <c r="I433" s="3" t="s">
        <v>166</v>
      </c>
      <c r="J433" s="3" t="s">
        <v>30</v>
      </c>
      <c r="K433" s="3" t="s">
        <v>30</v>
      </c>
      <c r="L433" s="3" t="s">
        <v>154</v>
      </c>
      <c r="M433" s="3" t="s">
        <v>31</v>
      </c>
      <c r="N433" s="3" t="s">
        <v>245</v>
      </c>
      <c r="O433" s="3" t="s">
        <v>156</v>
      </c>
      <c r="P433" s="3" t="s">
        <v>246</v>
      </c>
      <c r="Q433" s="3" t="s">
        <v>169</v>
      </c>
      <c r="R433" s="3" t="s">
        <v>159</v>
      </c>
      <c r="S433" s="3" t="s">
        <v>34</v>
      </c>
      <c r="T433" s="155">
        <v>0.71199999999999997</v>
      </c>
      <c r="U433" s="3" t="s">
        <v>385</v>
      </c>
      <c r="V433" s="166">
        <v>3.8E-3</v>
      </c>
      <c r="W433" s="166">
        <v>3.2919999999999998E-2</v>
      </c>
      <c r="X433" s="5" t="s">
        <v>161</v>
      </c>
      <c r="Y433" s="5" t="s">
        <v>156</v>
      </c>
      <c r="Z433" s="155">
        <v>1790080</v>
      </c>
      <c r="AA433" s="164">
        <v>1</v>
      </c>
      <c r="AB433" s="174">
        <v>114.65</v>
      </c>
      <c r="AD433" s="155">
        <v>2052.3270000000002</v>
      </c>
      <c r="AG433" s="3" t="s">
        <v>36</v>
      </c>
      <c r="AH433" s="166">
        <v>5.9699999999999998E-4</v>
      </c>
      <c r="AI433" s="166">
        <v>6.5763439267752504E-3</v>
      </c>
      <c r="AJ433" s="166">
        <v>1.05497540091786E-3</v>
      </c>
    </row>
    <row r="434" spans="1:36">
      <c r="A434" s="3">
        <v>161</v>
      </c>
      <c r="B434" s="3">
        <v>9943</v>
      </c>
      <c r="C434" s="3" t="s">
        <v>369</v>
      </c>
      <c r="D434" s="3" t="s">
        <v>370</v>
      </c>
      <c r="E434" s="5" t="s">
        <v>149</v>
      </c>
      <c r="F434" s="3" t="s">
        <v>386</v>
      </c>
      <c r="G434" s="3" t="s">
        <v>387</v>
      </c>
      <c r="H434" s="3" t="s">
        <v>152</v>
      </c>
      <c r="I434" s="3" t="s">
        <v>166</v>
      </c>
      <c r="J434" s="3" t="s">
        <v>30</v>
      </c>
      <c r="K434" s="3" t="s">
        <v>30</v>
      </c>
      <c r="L434" s="3" t="s">
        <v>154</v>
      </c>
      <c r="M434" s="3" t="s">
        <v>31</v>
      </c>
      <c r="N434" s="3" t="s">
        <v>245</v>
      </c>
      <c r="O434" s="3" t="s">
        <v>156</v>
      </c>
      <c r="P434" s="3" t="s">
        <v>246</v>
      </c>
      <c r="Q434" s="3" t="s">
        <v>169</v>
      </c>
      <c r="R434" s="3" t="s">
        <v>159</v>
      </c>
      <c r="S434" s="3" t="s">
        <v>34</v>
      </c>
      <c r="T434" s="155">
        <v>2.9409999999999998</v>
      </c>
      <c r="U434" s="3" t="s">
        <v>376</v>
      </c>
      <c r="V434" s="166">
        <v>1E-3</v>
      </c>
      <c r="W434" s="166">
        <v>2.562E-2</v>
      </c>
      <c r="X434" s="5" t="s">
        <v>161</v>
      </c>
      <c r="Y434" s="5" t="s">
        <v>156</v>
      </c>
      <c r="Z434" s="155">
        <v>201568.31</v>
      </c>
      <c r="AA434" s="164">
        <v>1</v>
      </c>
      <c r="AB434" s="174">
        <v>106.57</v>
      </c>
      <c r="AD434" s="155">
        <v>214.81100000000001</v>
      </c>
      <c r="AG434" s="3" t="s">
        <v>36</v>
      </c>
      <c r="AH434" s="166">
        <v>9.0000000000000006E-5</v>
      </c>
      <c r="AI434" s="166">
        <v>6.8832768673653805E-4</v>
      </c>
      <c r="AJ434" s="166">
        <v>1.10421350428645E-4</v>
      </c>
    </row>
    <row r="435" spans="1:36">
      <c r="A435" s="3">
        <v>161</v>
      </c>
      <c r="B435" s="3">
        <v>9943</v>
      </c>
      <c r="C435" s="3" t="s">
        <v>595</v>
      </c>
      <c r="D435" s="3" t="s">
        <v>596</v>
      </c>
      <c r="E435" s="5" t="s">
        <v>149</v>
      </c>
      <c r="F435" s="3" t="s">
        <v>597</v>
      </c>
      <c r="G435" s="3" t="s">
        <v>598</v>
      </c>
      <c r="H435" s="3" t="s">
        <v>152</v>
      </c>
      <c r="I435" s="3" t="s">
        <v>166</v>
      </c>
      <c r="J435" s="3" t="s">
        <v>30</v>
      </c>
      <c r="K435" s="3" t="s">
        <v>30</v>
      </c>
      <c r="L435" s="3" t="s">
        <v>154</v>
      </c>
      <c r="M435" s="3" t="s">
        <v>31</v>
      </c>
      <c r="N435" s="3" t="s">
        <v>599</v>
      </c>
      <c r="O435" s="3" t="s">
        <v>156</v>
      </c>
      <c r="P435" s="3" t="s">
        <v>359</v>
      </c>
      <c r="Q435" s="3" t="s">
        <v>158</v>
      </c>
      <c r="R435" s="3" t="s">
        <v>159</v>
      </c>
      <c r="S435" s="3" t="s">
        <v>34</v>
      </c>
      <c r="T435" s="155">
        <v>0.17799999999999999</v>
      </c>
      <c r="U435" s="3" t="s">
        <v>600</v>
      </c>
      <c r="V435" s="166">
        <v>3.95E-2</v>
      </c>
      <c r="W435" s="166">
        <v>4.9840000000000002E-2</v>
      </c>
      <c r="X435" s="5" t="s">
        <v>161</v>
      </c>
      <c r="Y435" s="5" t="s">
        <v>156</v>
      </c>
      <c r="Z435" s="155">
        <v>247321</v>
      </c>
      <c r="AA435" s="164">
        <v>1</v>
      </c>
      <c r="AB435" s="174">
        <v>127.01</v>
      </c>
      <c r="AD435" s="155">
        <v>314.12200000000001</v>
      </c>
      <c r="AG435" s="3" t="s">
        <v>36</v>
      </c>
      <c r="AH435" s="166">
        <v>3.0360000000000001E-3</v>
      </c>
      <c r="AI435" s="166">
        <v>1.00655365014903E-3</v>
      </c>
      <c r="AJ435" s="166">
        <v>1.6147107761318199E-4</v>
      </c>
    </row>
    <row r="436" spans="1:36">
      <c r="A436" s="3">
        <v>161</v>
      </c>
      <c r="B436" s="3">
        <v>9943</v>
      </c>
      <c r="C436" s="3" t="s">
        <v>388</v>
      </c>
      <c r="D436" s="3" t="s">
        <v>389</v>
      </c>
      <c r="E436" s="5" t="s">
        <v>149</v>
      </c>
      <c r="F436" s="3" t="s">
        <v>394</v>
      </c>
      <c r="G436" s="3" t="s">
        <v>395</v>
      </c>
      <c r="H436" s="3" t="s">
        <v>152</v>
      </c>
      <c r="I436" s="3" t="s">
        <v>166</v>
      </c>
      <c r="J436" s="3" t="s">
        <v>30</v>
      </c>
      <c r="K436" s="3" t="s">
        <v>30</v>
      </c>
      <c r="L436" s="3" t="s">
        <v>154</v>
      </c>
      <c r="M436" s="3" t="s">
        <v>31</v>
      </c>
      <c r="N436" s="3" t="s">
        <v>392</v>
      </c>
      <c r="O436" s="3" t="s">
        <v>156</v>
      </c>
      <c r="P436" s="3" t="s">
        <v>359</v>
      </c>
      <c r="Q436" s="3" t="s">
        <v>158</v>
      </c>
      <c r="R436" s="3" t="s">
        <v>159</v>
      </c>
      <c r="S436" s="3" t="s">
        <v>34</v>
      </c>
      <c r="T436" s="155">
        <v>0.97</v>
      </c>
      <c r="U436" s="3" t="s">
        <v>124</v>
      </c>
      <c r="V436" s="166">
        <v>3.5400000000000001E-2</v>
      </c>
      <c r="W436" s="166">
        <v>4.1360000000000001E-2</v>
      </c>
      <c r="X436" s="5" t="s">
        <v>161</v>
      </c>
      <c r="Y436" s="5" t="s">
        <v>156</v>
      </c>
      <c r="Z436" s="155">
        <v>109292.25</v>
      </c>
      <c r="AA436" s="164">
        <v>1</v>
      </c>
      <c r="AB436" s="174">
        <v>109.63</v>
      </c>
      <c r="AD436" s="155">
        <v>119.81699999999999</v>
      </c>
      <c r="AG436" s="3" t="s">
        <v>36</v>
      </c>
      <c r="AH436" s="166">
        <v>1.0900000000000001E-4</v>
      </c>
      <c r="AI436" s="166">
        <v>3.83934199479432E-4</v>
      </c>
      <c r="AJ436" s="166">
        <v>6.1590625510442797E-5</v>
      </c>
    </row>
    <row r="437" spans="1:36">
      <c r="A437" s="3">
        <v>161</v>
      </c>
      <c r="B437" s="3">
        <v>9943</v>
      </c>
      <c r="C437" s="3" t="s">
        <v>388</v>
      </c>
      <c r="D437" s="3" t="s">
        <v>389</v>
      </c>
      <c r="E437" s="5" t="s">
        <v>149</v>
      </c>
      <c r="F437" s="3" t="s">
        <v>792</v>
      </c>
      <c r="G437" s="3" t="s">
        <v>793</v>
      </c>
      <c r="H437" s="3" t="s">
        <v>152</v>
      </c>
      <c r="I437" s="3" t="s">
        <v>166</v>
      </c>
      <c r="J437" s="3" t="s">
        <v>30</v>
      </c>
      <c r="K437" s="3" t="s">
        <v>30</v>
      </c>
      <c r="L437" s="3" t="s">
        <v>154</v>
      </c>
      <c r="M437" s="3" t="s">
        <v>31</v>
      </c>
      <c r="N437" s="3" t="s">
        <v>392</v>
      </c>
      <c r="O437" s="3" t="s">
        <v>156</v>
      </c>
      <c r="P437" s="3" t="s">
        <v>359</v>
      </c>
      <c r="Q437" s="3" t="s">
        <v>158</v>
      </c>
      <c r="R437" s="3" t="s">
        <v>159</v>
      </c>
      <c r="S437" s="3" t="s">
        <v>34</v>
      </c>
      <c r="T437" s="155">
        <v>0.32300000000000001</v>
      </c>
      <c r="U437" s="3" t="s">
        <v>794</v>
      </c>
      <c r="V437" s="166">
        <v>0.01</v>
      </c>
      <c r="W437" s="166">
        <v>5.833E-2</v>
      </c>
      <c r="X437" s="5" t="s">
        <v>161</v>
      </c>
      <c r="Y437" s="5" t="s">
        <v>156</v>
      </c>
      <c r="Z437" s="155">
        <v>11909.78</v>
      </c>
      <c r="AA437" s="164">
        <v>1</v>
      </c>
      <c r="AB437" s="174">
        <v>115.9</v>
      </c>
      <c r="AD437" s="155">
        <v>13.803000000000001</v>
      </c>
      <c r="AG437" s="3" t="s">
        <v>36</v>
      </c>
      <c r="AH437" s="166">
        <v>3.5199999999999999E-4</v>
      </c>
      <c r="AI437" s="166">
        <v>4.4230840624836703E-5</v>
      </c>
      <c r="AJ437" s="166">
        <v>7.0955000743098397E-6</v>
      </c>
    </row>
    <row r="438" spans="1:36">
      <c r="A438" s="3">
        <v>161</v>
      </c>
      <c r="B438" s="3">
        <v>9943</v>
      </c>
      <c r="C438" s="3" t="s">
        <v>795</v>
      </c>
      <c r="D438" s="3" t="s">
        <v>796</v>
      </c>
      <c r="E438" s="5" t="s">
        <v>149</v>
      </c>
      <c r="F438" s="3" t="s">
        <v>797</v>
      </c>
      <c r="G438" s="3" t="s">
        <v>798</v>
      </c>
      <c r="H438" s="3" t="s">
        <v>152</v>
      </c>
      <c r="I438" s="3" t="s">
        <v>166</v>
      </c>
      <c r="J438" s="3" t="s">
        <v>30</v>
      </c>
      <c r="K438" s="3" t="s">
        <v>30</v>
      </c>
      <c r="L438" s="3" t="s">
        <v>154</v>
      </c>
      <c r="M438" s="3" t="s">
        <v>31</v>
      </c>
      <c r="N438" s="3" t="s">
        <v>238</v>
      </c>
      <c r="O438" s="3" t="s">
        <v>156</v>
      </c>
      <c r="P438" s="3" t="s">
        <v>132</v>
      </c>
      <c r="Q438" s="3" t="s">
        <v>158</v>
      </c>
      <c r="R438" s="3" t="s">
        <v>159</v>
      </c>
      <c r="S438" s="3" t="s">
        <v>34</v>
      </c>
      <c r="T438" s="155">
        <v>2.0760000000000001</v>
      </c>
      <c r="U438" s="3" t="s">
        <v>634</v>
      </c>
      <c r="V438" s="166">
        <v>3.3700000000000001E-2</v>
      </c>
      <c r="W438" s="166">
        <v>4.1579999999999999E-2</v>
      </c>
      <c r="X438" s="5" t="s">
        <v>161</v>
      </c>
      <c r="Y438" s="5" t="s">
        <v>156</v>
      </c>
      <c r="Z438" s="155">
        <v>155693.35999999999</v>
      </c>
      <c r="AA438" s="164">
        <v>1</v>
      </c>
      <c r="AB438" s="174">
        <v>116.13</v>
      </c>
      <c r="AD438" s="155">
        <v>180.80699999999999</v>
      </c>
      <c r="AG438" s="3" t="s">
        <v>36</v>
      </c>
      <c r="AH438" s="166">
        <v>7.2800000000000002E-4</v>
      </c>
      <c r="AI438" s="166">
        <v>5.7936537350080795E-4</v>
      </c>
      <c r="AJ438" s="166">
        <v>9.2941644170768203E-5</v>
      </c>
    </row>
    <row r="439" spans="1:36">
      <c r="A439" s="3">
        <v>161</v>
      </c>
      <c r="B439" s="3">
        <v>9943</v>
      </c>
      <c r="C439" s="3" t="s">
        <v>396</v>
      </c>
      <c r="D439" s="3" t="s">
        <v>397</v>
      </c>
      <c r="E439" s="5" t="s">
        <v>149</v>
      </c>
      <c r="F439" s="3" t="s">
        <v>398</v>
      </c>
      <c r="G439" s="3" t="s">
        <v>399</v>
      </c>
      <c r="H439" s="3" t="s">
        <v>152</v>
      </c>
      <c r="I439" s="3" t="s">
        <v>166</v>
      </c>
      <c r="J439" s="3" t="s">
        <v>30</v>
      </c>
      <c r="K439" s="3" t="s">
        <v>30</v>
      </c>
      <c r="L439" s="3" t="s">
        <v>154</v>
      </c>
      <c r="M439" s="3" t="s">
        <v>31</v>
      </c>
      <c r="N439" s="3" t="s">
        <v>167</v>
      </c>
      <c r="O439" s="3" t="s">
        <v>156</v>
      </c>
      <c r="P439" s="3" t="s">
        <v>168</v>
      </c>
      <c r="Q439" s="3" t="s">
        <v>169</v>
      </c>
      <c r="R439" s="3" t="s">
        <v>159</v>
      </c>
      <c r="S439" s="3" t="s">
        <v>34</v>
      </c>
      <c r="T439" s="155">
        <v>3.4809999999999999</v>
      </c>
      <c r="U439" s="3" t="s">
        <v>400</v>
      </c>
      <c r="V439" s="166">
        <v>1.43E-2</v>
      </c>
      <c r="W439" s="166">
        <v>2.8119999999999999E-2</v>
      </c>
      <c r="X439" s="5" t="s">
        <v>161</v>
      </c>
      <c r="Y439" s="5" t="s">
        <v>156</v>
      </c>
      <c r="Z439" s="155">
        <v>141223.79</v>
      </c>
      <c r="AA439" s="164">
        <v>1</v>
      </c>
      <c r="AB439" s="174">
        <v>113.61</v>
      </c>
      <c r="AD439" s="155">
        <v>160.44399999999999</v>
      </c>
      <c r="AG439" s="3" t="s">
        <v>36</v>
      </c>
      <c r="AH439" s="166">
        <v>7.2999999999999999E-5</v>
      </c>
      <c r="AI439" s="166">
        <v>5.1411756329172405E-4</v>
      </c>
      <c r="AJ439" s="166">
        <v>8.2474607242531795E-5</v>
      </c>
    </row>
    <row r="440" spans="1:36">
      <c r="A440" s="3">
        <v>161</v>
      </c>
      <c r="B440" s="3">
        <v>9943</v>
      </c>
      <c r="C440" s="3" t="s">
        <v>396</v>
      </c>
      <c r="D440" s="3" t="s">
        <v>397</v>
      </c>
      <c r="E440" s="5" t="s">
        <v>149</v>
      </c>
      <c r="F440" s="3" t="s">
        <v>401</v>
      </c>
      <c r="G440" s="3" t="s">
        <v>402</v>
      </c>
      <c r="H440" s="3" t="s">
        <v>152</v>
      </c>
      <c r="I440" s="3" t="s">
        <v>166</v>
      </c>
      <c r="J440" s="3" t="s">
        <v>30</v>
      </c>
      <c r="K440" s="3" t="s">
        <v>30</v>
      </c>
      <c r="L440" s="3" t="s">
        <v>154</v>
      </c>
      <c r="M440" s="3" t="s">
        <v>31</v>
      </c>
      <c r="N440" s="3" t="s">
        <v>167</v>
      </c>
      <c r="O440" s="3" t="s">
        <v>156</v>
      </c>
      <c r="P440" s="3" t="s">
        <v>168</v>
      </c>
      <c r="Q440" s="3" t="s">
        <v>169</v>
      </c>
      <c r="R440" s="3" t="s">
        <v>159</v>
      </c>
      <c r="S440" s="3" t="s">
        <v>34</v>
      </c>
      <c r="T440" s="155">
        <v>5.3339999999999996</v>
      </c>
      <c r="U440" s="3" t="s">
        <v>403</v>
      </c>
      <c r="V440" s="166">
        <v>3.61E-2</v>
      </c>
      <c r="W440" s="166">
        <v>2.9340000000000001E-2</v>
      </c>
      <c r="X440" s="5" t="s">
        <v>161</v>
      </c>
      <c r="Y440" s="5" t="s">
        <v>156</v>
      </c>
      <c r="Z440" s="155">
        <v>4300000.46</v>
      </c>
      <c r="AA440" s="164">
        <v>1</v>
      </c>
      <c r="AB440" s="174">
        <v>113.95</v>
      </c>
      <c r="AD440" s="155">
        <v>4899.8509999999997</v>
      </c>
      <c r="AG440" s="3" t="s">
        <v>36</v>
      </c>
      <c r="AH440" s="166">
        <v>1.957E-3</v>
      </c>
      <c r="AI440" s="166">
        <v>1.570076631694E-2</v>
      </c>
      <c r="AJ440" s="166">
        <v>2.5187128934197199E-3</v>
      </c>
    </row>
    <row r="441" spans="1:36">
      <c r="A441" s="3">
        <v>161</v>
      </c>
      <c r="B441" s="3">
        <v>9943</v>
      </c>
      <c r="C441" s="3" t="s">
        <v>396</v>
      </c>
      <c r="D441" s="3" t="s">
        <v>397</v>
      </c>
      <c r="E441" s="5" t="s">
        <v>149</v>
      </c>
      <c r="F441" s="3" t="s">
        <v>404</v>
      </c>
      <c r="G441" s="3" t="s">
        <v>405</v>
      </c>
      <c r="H441" s="3" t="s">
        <v>152</v>
      </c>
      <c r="I441" s="3" t="s">
        <v>166</v>
      </c>
      <c r="J441" s="3" t="s">
        <v>30</v>
      </c>
      <c r="K441" s="3" t="s">
        <v>30</v>
      </c>
      <c r="L441" s="3" t="s">
        <v>154</v>
      </c>
      <c r="M441" s="3" t="s">
        <v>31</v>
      </c>
      <c r="N441" s="3" t="s">
        <v>167</v>
      </c>
      <c r="O441" s="3" t="s">
        <v>156</v>
      </c>
      <c r="P441" s="3" t="s">
        <v>168</v>
      </c>
      <c r="Q441" s="3" t="s">
        <v>169</v>
      </c>
      <c r="R441" s="3" t="s">
        <v>159</v>
      </c>
      <c r="S441" s="3" t="s">
        <v>34</v>
      </c>
      <c r="T441" s="155">
        <v>0.54500000000000004</v>
      </c>
      <c r="U441" s="3" t="s">
        <v>406</v>
      </c>
      <c r="V441" s="166">
        <v>2.1499999999999998E-2</v>
      </c>
      <c r="W441" s="166">
        <v>5.0410000000000003E-2</v>
      </c>
      <c r="X441" s="5" t="s">
        <v>161</v>
      </c>
      <c r="Y441" s="5" t="s">
        <v>156</v>
      </c>
      <c r="Z441" s="155">
        <v>14022.43</v>
      </c>
      <c r="AA441" s="164">
        <v>1</v>
      </c>
      <c r="AB441" s="174">
        <v>120.11</v>
      </c>
      <c r="AD441" s="155">
        <v>16.841999999999999</v>
      </c>
      <c r="AG441" s="3" t="s">
        <v>36</v>
      </c>
      <c r="AH441" s="166">
        <v>2.4000000000000001E-5</v>
      </c>
      <c r="AI441" s="166">
        <v>5.3968514719509801E-5</v>
      </c>
      <c r="AJ441" s="166">
        <v>8.6576152474851998E-6</v>
      </c>
    </row>
    <row r="442" spans="1:36">
      <c r="A442" s="3">
        <v>161</v>
      </c>
      <c r="B442" s="3">
        <v>9943</v>
      </c>
      <c r="C442" s="3" t="s">
        <v>396</v>
      </c>
      <c r="D442" s="3" t="s">
        <v>397</v>
      </c>
      <c r="E442" s="5" t="s">
        <v>149</v>
      </c>
      <c r="F442" s="3" t="s">
        <v>407</v>
      </c>
      <c r="G442" s="3" t="s">
        <v>408</v>
      </c>
      <c r="H442" s="3" t="s">
        <v>152</v>
      </c>
      <c r="I442" s="3" t="s">
        <v>166</v>
      </c>
      <c r="J442" s="3" t="s">
        <v>30</v>
      </c>
      <c r="K442" s="3" t="s">
        <v>30</v>
      </c>
      <c r="L442" s="3" t="s">
        <v>154</v>
      </c>
      <c r="M442" s="3" t="s">
        <v>31</v>
      </c>
      <c r="N442" s="3" t="s">
        <v>167</v>
      </c>
      <c r="O442" s="3" t="s">
        <v>156</v>
      </c>
      <c r="P442" s="3" t="s">
        <v>168</v>
      </c>
      <c r="Q442" s="3" t="s">
        <v>169</v>
      </c>
      <c r="R442" s="3" t="s">
        <v>159</v>
      </c>
      <c r="S442" s="3" t="s">
        <v>34</v>
      </c>
      <c r="T442" s="155">
        <v>3.0649999999999999</v>
      </c>
      <c r="U442" s="3" t="s">
        <v>409</v>
      </c>
      <c r="V442" s="166">
        <v>2.2499999999999999E-2</v>
      </c>
      <c r="W442" s="166">
        <v>2.9350000000000001E-2</v>
      </c>
      <c r="X442" s="5" t="s">
        <v>161</v>
      </c>
      <c r="Y442" s="5" t="s">
        <v>156</v>
      </c>
      <c r="Z442" s="155">
        <v>1940298.48</v>
      </c>
      <c r="AA442" s="164">
        <v>1</v>
      </c>
      <c r="AB442" s="174">
        <v>118.47</v>
      </c>
      <c r="AD442" s="155">
        <v>2298.672</v>
      </c>
      <c r="AG442" s="3" t="s">
        <v>36</v>
      </c>
      <c r="AH442" s="166">
        <v>1.1169999999999999E-3</v>
      </c>
      <c r="AI442" s="166">
        <v>7.3657156679134399E-3</v>
      </c>
      <c r="AJ442" s="166">
        <v>1.1816062125592499E-3</v>
      </c>
    </row>
    <row r="443" spans="1:36">
      <c r="A443" s="3">
        <v>161</v>
      </c>
      <c r="B443" s="3">
        <v>9943</v>
      </c>
      <c r="C443" s="3" t="s">
        <v>396</v>
      </c>
      <c r="D443" s="3" t="s">
        <v>397</v>
      </c>
      <c r="E443" s="5" t="s">
        <v>149</v>
      </c>
      <c r="F443" s="3" t="s">
        <v>410</v>
      </c>
      <c r="G443" s="3" t="s">
        <v>411</v>
      </c>
      <c r="H443" s="3" t="s">
        <v>152</v>
      </c>
      <c r="I443" s="3" t="s">
        <v>166</v>
      </c>
      <c r="J443" s="3" t="s">
        <v>30</v>
      </c>
      <c r="K443" s="3" t="s">
        <v>30</v>
      </c>
      <c r="L443" s="3" t="s">
        <v>154</v>
      </c>
      <c r="M443" s="3" t="s">
        <v>31</v>
      </c>
      <c r="N443" s="3" t="s">
        <v>167</v>
      </c>
      <c r="O443" s="3" t="s">
        <v>156</v>
      </c>
      <c r="P443" s="3" t="s">
        <v>168</v>
      </c>
      <c r="Q443" s="3" t="s">
        <v>169</v>
      </c>
      <c r="R443" s="3" t="s">
        <v>159</v>
      </c>
      <c r="S443" s="3" t="s">
        <v>34</v>
      </c>
      <c r="T443" s="155">
        <v>4.4290000000000003</v>
      </c>
      <c r="U443" s="3" t="s">
        <v>382</v>
      </c>
      <c r="V443" s="166">
        <v>2.5000000000000001E-3</v>
      </c>
      <c r="W443" s="166">
        <v>2.7029999999999998E-2</v>
      </c>
      <c r="X443" s="5" t="s">
        <v>161</v>
      </c>
      <c r="Y443" s="5" t="s">
        <v>156</v>
      </c>
      <c r="Z443" s="155">
        <v>126397.53</v>
      </c>
      <c r="AA443" s="164">
        <v>1</v>
      </c>
      <c r="AB443" s="174">
        <v>104.64</v>
      </c>
      <c r="AD443" s="155">
        <v>132.262</v>
      </c>
      <c r="AG443" s="3" t="s">
        <v>36</v>
      </c>
      <c r="AH443" s="166">
        <v>9.5000000000000005E-5</v>
      </c>
      <c r="AI443" s="166">
        <v>4.2381306089025003E-4</v>
      </c>
      <c r="AJ443" s="166">
        <v>6.7987982198820199E-5</v>
      </c>
    </row>
    <row r="444" spans="1:36">
      <c r="A444" s="3">
        <v>161</v>
      </c>
      <c r="B444" s="3">
        <v>9943</v>
      </c>
      <c r="C444" s="3" t="s">
        <v>412</v>
      </c>
      <c r="D444" s="3" t="s">
        <v>413</v>
      </c>
      <c r="E444" s="5" t="s">
        <v>149</v>
      </c>
      <c r="F444" s="3" t="s">
        <v>799</v>
      </c>
      <c r="G444" s="3" t="s">
        <v>800</v>
      </c>
      <c r="H444" s="3" t="s">
        <v>152</v>
      </c>
      <c r="I444" s="3" t="s">
        <v>153</v>
      </c>
      <c r="J444" s="3" t="s">
        <v>30</v>
      </c>
      <c r="K444" s="3" t="s">
        <v>30</v>
      </c>
      <c r="L444" s="3" t="s">
        <v>154</v>
      </c>
      <c r="M444" s="3" t="s">
        <v>31</v>
      </c>
      <c r="N444" s="3" t="s">
        <v>155</v>
      </c>
      <c r="O444" s="3" t="s">
        <v>156</v>
      </c>
      <c r="P444" s="3" t="s">
        <v>222</v>
      </c>
      <c r="Q444" s="3" t="s">
        <v>158</v>
      </c>
      <c r="R444" s="3" t="s">
        <v>159</v>
      </c>
      <c r="S444" s="3" t="s">
        <v>34</v>
      </c>
      <c r="T444" s="155">
        <v>0.97899999999999998</v>
      </c>
      <c r="U444" s="3" t="s">
        <v>584</v>
      </c>
      <c r="V444" s="166">
        <v>1.84E-2</v>
      </c>
      <c r="W444" s="166">
        <v>4.8570000000000002E-2</v>
      </c>
      <c r="X444" s="5" t="s">
        <v>161</v>
      </c>
      <c r="Y444" s="5" t="s">
        <v>156</v>
      </c>
      <c r="Z444" s="155">
        <v>608315</v>
      </c>
      <c r="AA444" s="164">
        <v>1</v>
      </c>
      <c r="AB444" s="174">
        <v>97.22</v>
      </c>
      <c r="AD444" s="155">
        <v>591.404</v>
      </c>
      <c r="AG444" s="3" t="s">
        <v>36</v>
      </c>
      <c r="AH444" s="166">
        <v>2.0279999999999999E-3</v>
      </c>
      <c r="AI444" s="166">
        <v>1.8950564904132801E-3</v>
      </c>
      <c r="AJ444" s="166">
        <v>3.0400447467413298E-4</v>
      </c>
    </row>
    <row r="445" spans="1:36">
      <c r="A445" s="3">
        <v>161</v>
      </c>
      <c r="B445" s="3">
        <v>9943</v>
      </c>
      <c r="C445" s="3" t="s">
        <v>603</v>
      </c>
      <c r="D445" s="3" t="s">
        <v>604</v>
      </c>
      <c r="E445" s="5" t="s">
        <v>149</v>
      </c>
      <c r="F445" s="3" t="s">
        <v>605</v>
      </c>
      <c r="G445" s="3" t="s">
        <v>606</v>
      </c>
      <c r="H445" s="3" t="s">
        <v>152</v>
      </c>
      <c r="I445" s="3" t="s">
        <v>153</v>
      </c>
      <c r="J445" s="3" t="s">
        <v>30</v>
      </c>
      <c r="K445" s="3" t="s">
        <v>30</v>
      </c>
      <c r="L445" s="3" t="s">
        <v>154</v>
      </c>
      <c r="M445" s="3" t="s">
        <v>31</v>
      </c>
      <c r="N445" s="3" t="s">
        <v>155</v>
      </c>
      <c r="O445" s="3" t="s">
        <v>156</v>
      </c>
      <c r="P445" s="3" t="s">
        <v>272</v>
      </c>
      <c r="Q445" s="3" t="s">
        <v>158</v>
      </c>
      <c r="R445" s="3" t="s">
        <v>159</v>
      </c>
      <c r="S445" s="3" t="s">
        <v>34</v>
      </c>
      <c r="T445" s="155">
        <v>0.98399999999999999</v>
      </c>
      <c r="U445" s="3" t="s">
        <v>584</v>
      </c>
      <c r="V445" s="166">
        <v>2.9399999999999999E-2</v>
      </c>
      <c r="W445" s="166">
        <v>4.4979999999999999E-2</v>
      </c>
      <c r="X445" s="5" t="s">
        <v>161</v>
      </c>
      <c r="Y445" s="5" t="s">
        <v>156</v>
      </c>
      <c r="Z445" s="155">
        <v>90013.54</v>
      </c>
      <c r="AA445" s="164">
        <v>1</v>
      </c>
      <c r="AB445" s="174">
        <v>98.58</v>
      </c>
      <c r="AD445" s="155">
        <v>88.734999999999999</v>
      </c>
      <c r="AG445" s="3" t="s">
        <v>36</v>
      </c>
      <c r="AH445" s="166">
        <v>8.3900000000000001E-4</v>
      </c>
      <c r="AI445" s="166">
        <v>2.8433784906704699E-4</v>
      </c>
      <c r="AJ445" s="166">
        <v>4.5613404599221001E-5</v>
      </c>
    </row>
    <row r="446" spans="1:36">
      <c r="A446" s="3">
        <v>161</v>
      </c>
      <c r="B446" s="3">
        <v>9943</v>
      </c>
      <c r="C446" s="3" t="s">
        <v>801</v>
      </c>
      <c r="D446" s="3" t="s">
        <v>802</v>
      </c>
      <c r="E446" s="5" t="s">
        <v>149</v>
      </c>
      <c r="F446" s="3" t="s">
        <v>803</v>
      </c>
      <c r="G446" s="3" t="s">
        <v>804</v>
      </c>
      <c r="H446" s="3" t="s">
        <v>152</v>
      </c>
      <c r="I446" s="3" t="s">
        <v>153</v>
      </c>
      <c r="J446" s="3" t="s">
        <v>30</v>
      </c>
      <c r="K446" s="3" t="s">
        <v>30</v>
      </c>
      <c r="L446" s="3" t="s">
        <v>154</v>
      </c>
      <c r="M446" s="3" t="s">
        <v>31</v>
      </c>
      <c r="N446" s="3" t="s">
        <v>392</v>
      </c>
      <c r="O446" s="3" t="s">
        <v>156</v>
      </c>
      <c r="P446" s="3" t="s">
        <v>232</v>
      </c>
      <c r="Q446" s="3" t="s">
        <v>158</v>
      </c>
      <c r="R446" s="3" t="s">
        <v>159</v>
      </c>
      <c r="S446" s="3" t="s">
        <v>34</v>
      </c>
      <c r="T446" s="155">
        <v>0.96699999999999997</v>
      </c>
      <c r="U446" s="3" t="s">
        <v>584</v>
      </c>
      <c r="V446" s="166">
        <v>0.114</v>
      </c>
      <c r="W446" s="166">
        <v>1E-4</v>
      </c>
      <c r="X446" s="5" t="s">
        <v>161</v>
      </c>
      <c r="Y446" s="5" t="s">
        <v>156</v>
      </c>
      <c r="Z446" s="155">
        <v>0.03</v>
      </c>
      <c r="AA446" s="164">
        <v>1</v>
      </c>
      <c r="AB446" s="174">
        <v>100.46</v>
      </c>
      <c r="AD446" s="155">
        <v>0</v>
      </c>
      <c r="AG446" s="3" t="s">
        <v>36</v>
      </c>
      <c r="AH446" s="166">
        <v>0</v>
      </c>
      <c r="AI446" s="166">
        <v>9.6572271526607885E-11</v>
      </c>
      <c r="AJ446" s="166">
        <v>1.54920989543333E-11</v>
      </c>
    </row>
    <row r="447" spans="1:36">
      <c r="A447" s="3">
        <v>161</v>
      </c>
      <c r="B447" s="3">
        <v>9943</v>
      </c>
      <c r="C447" s="3" t="s">
        <v>805</v>
      </c>
      <c r="D447" s="3" t="s">
        <v>806</v>
      </c>
      <c r="E447" s="5" t="s">
        <v>149</v>
      </c>
      <c r="F447" s="3" t="s">
        <v>807</v>
      </c>
      <c r="G447" s="3" t="s">
        <v>808</v>
      </c>
      <c r="H447" s="3" t="s">
        <v>152</v>
      </c>
      <c r="I447" s="3" t="s">
        <v>166</v>
      </c>
      <c r="J447" s="3" t="s">
        <v>30</v>
      </c>
      <c r="K447" s="3" t="s">
        <v>30</v>
      </c>
      <c r="L447" s="3" t="s">
        <v>154</v>
      </c>
      <c r="M447" s="3" t="s">
        <v>31</v>
      </c>
      <c r="N447" s="3" t="s">
        <v>282</v>
      </c>
      <c r="O447" s="3" t="s">
        <v>156</v>
      </c>
      <c r="P447" s="3" t="s">
        <v>132</v>
      </c>
      <c r="Q447" s="3" t="s">
        <v>158</v>
      </c>
      <c r="R447" s="3" t="s">
        <v>159</v>
      </c>
      <c r="S447" s="3" t="s">
        <v>34</v>
      </c>
      <c r="T447" s="155">
        <v>3.2679999999999998</v>
      </c>
      <c r="U447" s="3" t="s">
        <v>809</v>
      </c>
      <c r="V447" s="166">
        <v>2.07E-2</v>
      </c>
      <c r="W447" s="166">
        <v>4.1239999999999999E-2</v>
      </c>
      <c r="X447" s="5" t="s">
        <v>161</v>
      </c>
      <c r="Y447" s="5" t="s">
        <v>156</v>
      </c>
      <c r="Z447" s="155">
        <v>1337702.83</v>
      </c>
      <c r="AA447" s="164">
        <v>1</v>
      </c>
      <c r="AB447" s="174">
        <v>109.03</v>
      </c>
      <c r="AD447" s="155">
        <v>1458.4970000000001</v>
      </c>
      <c r="AG447" s="3" t="s">
        <v>36</v>
      </c>
      <c r="AH447" s="166">
        <v>3.2049999999999999E-3</v>
      </c>
      <c r="AI447" s="166">
        <v>4.6735153793817904E-3</v>
      </c>
      <c r="AJ447" s="166">
        <v>7.4972413486238396E-4</v>
      </c>
    </row>
    <row r="448" spans="1:36">
      <c r="A448" s="3">
        <v>161</v>
      </c>
      <c r="B448" s="3">
        <v>9943</v>
      </c>
      <c r="C448" s="3" t="s">
        <v>810</v>
      </c>
      <c r="D448" s="3" t="s">
        <v>811</v>
      </c>
      <c r="E448" s="5" t="s">
        <v>149</v>
      </c>
      <c r="F448" s="3" t="s">
        <v>812</v>
      </c>
      <c r="G448" s="3" t="s">
        <v>813</v>
      </c>
      <c r="H448" s="3" t="s">
        <v>152</v>
      </c>
      <c r="I448" s="3" t="s">
        <v>166</v>
      </c>
      <c r="J448" s="3" t="s">
        <v>30</v>
      </c>
      <c r="K448" s="3" t="s">
        <v>30</v>
      </c>
      <c r="L448" s="3" t="s">
        <v>154</v>
      </c>
      <c r="M448" s="3" t="s">
        <v>31</v>
      </c>
      <c r="N448" s="3" t="s">
        <v>178</v>
      </c>
      <c r="O448" s="3" t="s">
        <v>156</v>
      </c>
      <c r="P448" s="3" t="s">
        <v>246</v>
      </c>
      <c r="Q448" s="3" t="s">
        <v>169</v>
      </c>
      <c r="R448" s="3" t="s">
        <v>159</v>
      </c>
      <c r="S448" s="3" t="s">
        <v>34</v>
      </c>
      <c r="T448" s="155">
        <v>11.507999999999999</v>
      </c>
      <c r="U448" s="3" t="s">
        <v>814</v>
      </c>
      <c r="V448" s="166">
        <v>2.07E-2</v>
      </c>
      <c r="W448" s="166">
        <v>2.7050000000000001E-2</v>
      </c>
      <c r="X448" s="5" t="s">
        <v>161</v>
      </c>
      <c r="Y448" s="5" t="s">
        <v>156</v>
      </c>
      <c r="Z448" s="155">
        <v>3046153.95</v>
      </c>
      <c r="AA448" s="164">
        <v>1</v>
      </c>
      <c r="AB448" s="174">
        <v>109.4</v>
      </c>
      <c r="AD448" s="155">
        <v>3332.4920000000002</v>
      </c>
      <c r="AG448" s="3" t="s">
        <v>36</v>
      </c>
      <c r="AH448" s="166">
        <v>5.5699999999999999E-4</v>
      </c>
      <c r="AI448" s="166">
        <v>1.06784246788157E-2</v>
      </c>
      <c r="AJ448" s="166">
        <v>1.7130301398681201E-3</v>
      </c>
    </row>
    <row r="449" spans="1:36">
      <c r="A449" s="3">
        <v>161</v>
      </c>
      <c r="B449" s="3">
        <v>9943</v>
      </c>
      <c r="C449" s="3" t="s">
        <v>815</v>
      </c>
      <c r="D449" s="3" t="s">
        <v>816</v>
      </c>
      <c r="E449" s="5" t="s">
        <v>817</v>
      </c>
      <c r="F449" s="3" t="s">
        <v>818</v>
      </c>
      <c r="G449" s="3" t="s">
        <v>819</v>
      </c>
      <c r="H449" s="3" t="s">
        <v>152</v>
      </c>
      <c r="I449" s="3" t="s">
        <v>153</v>
      </c>
      <c r="J449" s="3" t="s">
        <v>30</v>
      </c>
      <c r="K449" s="3" t="s">
        <v>30</v>
      </c>
      <c r="L449" s="3" t="s">
        <v>154</v>
      </c>
      <c r="M449" s="3" t="s">
        <v>31</v>
      </c>
      <c r="N449" s="3" t="s">
        <v>487</v>
      </c>
      <c r="O449" s="3" t="s">
        <v>156</v>
      </c>
      <c r="P449" s="3" t="s">
        <v>239</v>
      </c>
      <c r="Q449" s="3" t="s">
        <v>169</v>
      </c>
      <c r="R449" s="3" t="s">
        <v>159</v>
      </c>
      <c r="S449" s="3" t="s">
        <v>34</v>
      </c>
      <c r="T449" s="155">
        <v>1.49</v>
      </c>
      <c r="U449" s="3" t="s">
        <v>820</v>
      </c>
      <c r="V449" s="166">
        <v>5.2499999999999998E-2</v>
      </c>
      <c r="W449" s="166">
        <v>5.1589999999999997E-2</v>
      </c>
      <c r="X449" s="5" t="s">
        <v>161</v>
      </c>
      <c r="Y449" s="5" t="s">
        <v>156</v>
      </c>
      <c r="Z449" s="155">
        <v>205972</v>
      </c>
      <c r="AA449" s="164">
        <v>1</v>
      </c>
      <c r="AB449" s="174">
        <v>101.4</v>
      </c>
      <c r="AD449" s="155">
        <v>208.85599999999999</v>
      </c>
      <c r="AG449" s="3" t="s">
        <v>36</v>
      </c>
      <c r="AH449" s="166">
        <v>6.2399999999999999E-4</v>
      </c>
      <c r="AI449" s="166">
        <v>6.6924349610560704E-4</v>
      </c>
      <c r="AJ449" s="166">
        <v>1.07359869477187E-4</v>
      </c>
    </row>
    <row r="450" spans="1:36">
      <c r="A450" s="3">
        <v>161</v>
      </c>
      <c r="B450" s="3">
        <v>9943</v>
      </c>
      <c r="C450" s="3" t="s">
        <v>815</v>
      </c>
      <c r="D450" s="3" t="s">
        <v>816</v>
      </c>
      <c r="E450" s="5" t="s">
        <v>817</v>
      </c>
      <c r="F450" s="3" t="s">
        <v>821</v>
      </c>
      <c r="G450" s="3" t="s">
        <v>822</v>
      </c>
      <c r="H450" s="3" t="s">
        <v>152</v>
      </c>
      <c r="I450" s="3" t="s">
        <v>153</v>
      </c>
      <c r="J450" s="3" t="s">
        <v>30</v>
      </c>
      <c r="K450" s="3" t="s">
        <v>82</v>
      </c>
      <c r="L450" s="3" t="s">
        <v>154</v>
      </c>
      <c r="M450" s="3" t="s">
        <v>31</v>
      </c>
      <c r="N450" s="3" t="s">
        <v>487</v>
      </c>
      <c r="O450" s="3" t="s">
        <v>156</v>
      </c>
      <c r="P450" s="3" t="s">
        <v>239</v>
      </c>
      <c r="Q450" s="3" t="s">
        <v>169</v>
      </c>
      <c r="R450" s="3" t="s">
        <v>159</v>
      </c>
      <c r="S450" s="3" t="s">
        <v>34</v>
      </c>
      <c r="T450" s="155">
        <v>2.2909999999999999</v>
      </c>
      <c r="U450" s="3" t="s">
        <v>634</v>
      </c>
      <c r="V450" s="166">
        <v>6.5000000000000002E-2</v>
      </c>
      <c r="W450" s="166">
        <v>5.1970000000000002E-2</v>
      </c>
      <c r="X450" s="5" t="s">
        <v>161</v>
      </c>
      <c r="Y450" s="5" t="s">
        <v>156</v>
      </c>
      <c r="Z450" s="155">
        <v>151143</v>
      </c>
      <c r="AA450" s="164">
        <v>1</v>
      </c>
      <c r="AB450" s="174">
        <v>104.84</v>
      </c>
      <c r="AD450" s="155">
        <v>158.458</v>
      </c>
      <c r="AG450" s="3" t="s">
        <v>36</v>
      </c>
      <c r="AH450" s="166">
        <v>3.0200000000000002E-4</v>
      </c>
      <c r="AI450" s="166">
        <v>5.0775366715033704E-4</v>
      </c>
      <c r="AJ450" s="166">
        <v>8.1453712660691996E-5</v>
      </c>
    </row>
    <row r="451" spans="1:36">
      <c r="A451" s="3">
        <v>161</v>
      </c>
      <c r="B451" s="3">
        <v>9943</v>
      </c>
      <c r="C451" s="3" t="s">
        <v>815</v>
      </c>
      <c r="D451" s="3" t="s">
        <v>816</v>
      </c>
      <c r="E451" s="5" t="s">
        <v>817</v>
      </c>
      <c r="F451" s="3" t="s">
        <v>823</v>
      </c>
      <c r="G451" s="3" t="s">
        <v>824</v>
      </c>
      <c r="H451" s="3" t="s">
        <v>152</v>
      </c>
      <c r="I451" s="3" t="s">
        <v>153</v>
      </c>
      <c r="J451" s="3" t="s">
        <v>30</v>
      </c>
      <c r="K451" s="3" t="s">
        <v>30</v>
      </c>
      <c r="L451" s="3" t="s">
        <v>154</v>
      </c>
      <c r="M451" s="3" t="s">
        <v>31</v>
      </c>
      <c r="N451" s="3" t="s">
        <v>487</v>
      </c>
      <c r="O451" s="3" t="s">
        <v>156</v>
      </c>
      <c r="P451" s="3" t="s">
        <v>239</v>
      </c>
      <c r="Q451" s="3" t="s">
        <v>169</v>
      </c>
      <c r="R451" s="3" t="s">
        <v>159</v>
      </c>
      <c r="S451" s="3" t="s">
        <v>34</v>
      </c>
      <c r="T451" s="155">
        <v>2.9580000000000002</v>
      </c>
      <c r="U451" s="3" t="s">
        <v>507</v>
      </c>
      <c r="V451" s="166">
        <v>6.7000000000000004E-2</v>
      </c>
      <c r="W451" s="166">
        <v>5.1299999999999998E-2</v>
      </c>
      <c r="X451" s="5" t="s">
        <v>161</v>
      </c>
      <c r="Y451" s="5" t="s">
        <v>156</v>
      </c>
      <c r="Z451" s="155">
        <v>127377</v>
      </c>
      <c r="AA451" s="164">
        <v>1</v>
      </c>
      <c r="AB451" s="174">
        <v>104.89</v>
      </c>
      <c r="AD451" s="155">
        <v>133.60599999999999</v>
      </c>
      <c r="AG451" s="3" t="s">
        <v>36</v>
      </c>
      <c r="AH451" s="166">
        <v>1.3999999999999999E-4</v>
      </c>
      <c r="AI451" s="166">
        <v>4.28117637099466E-4</v>
      </c>
      <c r="AJ451" s="166">
        <v>6.8678521206917004E-5</v>
      </c>
    </row>
    <row r="452" spans="1:36">
      <c r="A452" s="3">
        <v>161</v>
      </c>
      <c r="B452" s="3">
        <v>9943</v>
      </c>
      <c r="C452" s="3" t="s">
        <v>825</v>
      </c>
      <c r="D452" s="3" t="s">
        <v>826</v>
      </c>
      <c r="E452" s="5" t="s">
        <v>149</v>
      </c>
      <c r="F452" s="3" t="s">
        <v>827</v>
      </c>
      <c r="G452" s="3" t="s">
        <v>828</v>
      </c>
      <c r="H452" s="3" t="s">
        <v>152</v>
      </c>
      <c r="I452" s="3" t="s">
        <v>166</v>
      </c>
      <c r="J452" s="3" t="s">
        <v>30</v>
      </c>
      <c r="K452" s="3" t="s">
        <v>30</v>
      </c>
      <c r="L452" s="3" t="s">
        <v>154</v>
      </c>
      <c r="M452" s="3" t="s">
        <v>31</v>
      </c>
      <c r="N452" s="3" t="s">
        <v>238</v>
      </c>
      <c r="O452" s="3" t="s">
        <v>156</v>
      </c>
      <c r="P452" s="3" t="s">
        <v>283</v>
      </c>
      <c r="Q452" s="3" t="s">
        <v>283</v>
      </c>
      <c r="R452" s="3" t="s">
        <v>283</v>
      </c>
      <c r="S452" s="3" t="s">
        <v>34</v>
      </c>
      <c r="T452" s="155">
        <v>4.1210000000000004</v>
      </c>
      <c r="U452" s="3" t="s">
        <v>320</v>
      </c>
      <c r="V452" s="166">
        <v>6.2E-2</v>
      </c>
      <c r="W452" s="166">
        <v>5.833E-2</v>
      </c>
      <c r="X452" s="5" t="s">
        <v>161</v>
      </c>
      <c r="Y452" s="5" t="s">
        <v>156</v>
      </c>
      <c r="Z452" s="155">
        <v>3652880</v>
      </c>
      <c r="AA452" s="164">
        <v>1</v>
      </c>
      <c r="AB452" s="174">
        <v>102.99</v>
      </c>
      <c r="AD452" s="155">
        <v>3762.1010000000001</v>
      </c>
      <c r="AG452" s="3" t="s">
        <v>36</v>
      </c>
      <c r="AH452" s="166">
        <v>0</v>
      </c>
      <c r="AI452" s="166">
        <v>1.20550351748164E-2</v>
      </c>
      <c r="AJ452" s="166">
        <v>1.93386564149285E-3</v>
      </c>
    </row>
    <row r="453" spans="1:36">
      <c r="A453" s="3">
        <v>161</v>
      </c>
      <c r="B453" s="3">
        <v>9943</v>
      </c>
      <c r="C453" s="3" t="s">
        <v>829</v>
      </c>
      <c r="D453" s="3" t="s">
        <v>830</v>
      </c>
      <c r="E453" s="5" t="s">
        <v>149</v>
      </c>
      <c r="F453" s="3" t="s">
        <v>831</v>
      </c>
      <c r="G453" s="3" t="s">
        <v>832</v>
      </c>
      <c r="H453" s="3" t="s">
        <v>152</v>
      </c>
      <c r="I453" s="3" t="s">
        <v>153</v>
      </c>
      <c r="J453" s="3" t="s">
        <v>30</v>
      </c>
      <c r="K453" s="3" t="s">
        <v>30</v>
      </c>
      <c r="L453" s="3" t="s">
        <v>154</v>
      </c>
      <c r="M453" s="3" t="s">
        <v>31</v>
      </c>
      <c r="N453" s="3" t="s">
        <v>167</v>
      </c>
      <c r="O453" s="3" t="s">
        <v>156</v>
      </c>
      <c r="P453" s="3" t="s">
        <v>258</v>
      </c>
      <c r="Q453" s="3" t="s">
        <v>169</v>
      </c>
      <c r="R453" s="3" t="s">
        <v>159</v>
      </c>
      <c r="S453" s="3" t="s">
        <v>34</v>
      </c>
      <c r="T453" s="155">
        <v>2.1019999999999999</v>
      </c>
      <c r="U453" s="3" t="s">
        <v>400</v>
      </c>
      <c r="V453" s="166">
        <v>3.95E-2</v>
      </c>
      <c r="W453" s="166">
        <v>5.1799999999999999E-2</v>
      </c>
      <c r="X453" s="5" t="s">
        <v>161</v>
      </c>
      <c r="Y453" s="5" t="s">
        <v>156</v>
      </c>
      <c r="Z453" s="155">
        <v>2490750.73</v>
      </c>
      <c r="AA453" s="164">
        <v>1</v>
      </c>
      <c r="AB453" s="174">
        <v>98.65</v>
      </c>
      <c r="AD453" s="155">
        <v>2457.1260000000002</v>
      </c>
      <c r="AG453" s="3" t="s">
        <v>36</v>
      </c>
      <c r="AH453" s="166">
        <v>2.0939999999999999E-3</v>
      </c>
      <c r="AI453" s="166">
        <v>7.87345544327165E-3</v>
      </c>
      <c r="AJ453" s="166">
        <v>1.2630576967022199E-3</v>
      </c>
    </row>
    <row r="454" spans="1:36">
      <c r="A454" s="3">
        <v>161</v>
      </c>
      <c r="B454" s="3">
        <v>9943</v>
      </c>
      <c r="C454" s="3" t="s">
        <v>829</v>
      </c>
      <c r="D454" s="3" t="s">
        <v>830</v>
      </c>
      <c r="E454" s="5" t="s">
        <v>149</v>
      </c>
      <c r="F454" s="3" t="s">
        <v>833</v>
      </c>
      <c r="G454" s="3" t="s">
        <v>834</v>
      </c>
      <c r="H454" s="3" t="s">
        <v>152</v>
      </c>
      <c r="I454" s="3" t="s">
        <v>166</v>
      </c>
      <c r="J454" s="3" t="s">
        <v>30</v>
      </c>
      <c r="K454" s="3" t="s">
        <v>30</v>
      </c>
      <c r="L454" s="3" t="s">
        <v>154</v>
      </c>
      <c r="M454" s="3" t="s">
        <v>31</v>
      </c>
      <c r="N454" s="3" t="s">
        <v>167</v>
      </c>
      <c r="O454" s="3" t="s">
        <v>156</v>
      </c>
      <c r="P454" s="3" t="s">
        <v>258</v>
      </c>
      <c r="Q454" s="3" t="s">
        <v>169</v>
      </c>
      <c r="R454" s="3" t="s">
        <v>159</v>
      </c>
      <c r="S454" s="3" t="s">
        <v>34</v>
      </c>
      <c r="T454" s="155">
        <v>3.294</v>
      </c>
      <c r="U454" s="3" t="s">
        <v>400</v>
      </c>
      <c r="V454" s="166">
        <v>3.6200000000000003E-2</v>
      </c>
      <c r="W454" s="166">
        <v>2.9960000000000001E-2</v>
      </c>
      <c r="X454" s="5" t="s">
        <v>161</v>
      </c>
      <c r="Y454" s="5" t="s">
        <v>156</v>
      </c>
      <c r="Z454" s="155">
        <v>3017306.89</v>
      </c>
      <c r="AA454" s="164">
        <v>1</v>
      </c>
      <c r="AB454" s="174">
        <v>112.77</v>
      </c>
      <c r="AD454" s="155">
        <v>3402.6170000000002</v>
      </c>
      <c r="AG454" s="3" t="s">
        <v>36</v>
      </c>
      <c r="AH454" s="166">
        <v>1.663E-3</v>
      </c>
      <c r="AI454" s="166">
        <v>1.09031273103527E-2</v>
      </c>
      <c r="AJ454" s="166">
        <v>1.7490768782128E-3</v>
      </c>
    </row>
    <row r="455" spans="1:36">
      <c r="A455" s="3">
        <v>161</v>
      </c>
      <c r="B455" s="3">
        <v>9943</v>
      </c>
      <c r="C455" s="3" t="s">
        <v>835</v>
      </c>
      <c r="D455" s="3" t="s">
        <v>836</v>
      </c>
      <c r="E455" s="5" t="s">
        <v>149</v>
      </c>
      <c r="F455" s="3" t="s">
        <v>837</v>
      </c>
      <c r="G455" s="3" t="s">
        <v>838</v>
      </c>
      <c r="H455" s="3" t="s">
        <v>152</v>
      </c>
      <c r="I455" s="3" t="s">
        <v>153</v>
      </c>
      <c r="J455" s="3" t="s">
        <v>30</v>
      </c>
      <c r="K455" s="3" t="s">
        <v>30</v>
      </c>
      <c r="L455" s="3" t="s">
        <v>154</v>
      </c>
      <c r="M455" s="3" t="s">
        <v>31</v>
      </c>
      <c r="N455" s="3" t="s">
        <v>697</v>
      </c>
      <c r="O455" s="3" t="s">
        <v>156</v>
      </c>
      <c r="P455" s="3" t="s">
        <v>185</v>
      </c>
      <c r="Q455" s="3" t="s">
        <v>169</v>
      </c>
      <c r="R455" s="3" t="s">
        <v>159</v>
      </c>
      <c r="S455" s="3" t="s">
        <v>34</v>
      </c>
      <c r="T455" s="155">
        <v>1.2909999999999999</v>
      </c>
      <c r="U455" s="3" t="s">
        <v>839</v>
      </c>
      <c r="V455" s="166">
        <v>2.5000000000000001E-2</v>
      </c>
      <c r="W455" s="166">
        <v>4.7910000000000001E-2</v>
      </c>
      <c r="X455" s="5" t="s">
        <v>161</v>
      </c>
      <c r="Y455" s="5" t="s">
        <v>156</v>
      </c>
      <c r="Z455" s="155">
        <v>1480964.1</v>
      </c>
      <c r="AA455" s="164">
        <v>1</v>
      </c>
      <c r="AB455" s="174">
        <v>98.99</v>
      </c>
      <c r="AD455" s="155">
        <v>1466.0060000000001</v>
      </c>
      <c r="AG455" s="3" t="s">
        <v>36</v>
      </c>
      <c r="AH455" s="166">
        <v>2.0249999999999999E-3</v>
      </c>
      <c r="AI455" s="166">
        <v>4.6975766310895298E-3</v>
      </c>
      <c r="AJ455" s="166">
        <v>7.5358403467139603E-4</v>
      </c>
    </row>
    <row r="456" spans="1:36">
      <c r="A456" s="3">
        <v>161</v>
      </c>
      <c r="B456" s="3">
        <v>9943</v>
      </c>
      <c r="C456" s="3" t="s">
        <v>420</v>
      </c>
      <c r="D456" s="3" t="s">
        <v>421</v>
      </c>
      <c r="E456" s="5" t="s">
        <v>149</v>
      </c>
      <c r="F456" s="3" t="s">
        <v>422</v>
      </c>
      <c r="G456" s="3" t="s">
        <v>423</v>
      </c>
      <c r="H456" s="3" t="s">
        <v>152</v>
      </c>
      <c r="I456" s="3" t="s">
        <v>166</v>
      </c>
      <c r="J456" s="3" t="s">
        <v>30</v>
      </c>
      <c r="K456" s="3" t="s">
        <v>30</v>
      </c>
      <c r="L456" s="3" t="s">
        <v>154</v>
      </c>
      <c r="M456" s="3" t="s">
        <v>31</v>
      </c>
      <c r="N456" s="3" t="s">
        <v>167</v>
      </c>
      <c r="O456" s="3" t="s">
        <v>156</v>
      </c>
      <c r="P456" s="3" t="s">
        <v>424</v>
      </c>
      <c r="Q456" s="3" t="s">
        <v>169</v>
      </c>
      <c r="R456" s="3" t="s">
        <v>159</v>
      </c>
      <c r="S456" s="3" t="s">
        <v>34</v>
      </c>
      <c r="T456" s="155">
        <v>2.4140000000000001</v>
      </c>
      <c r="U456" s="3" t="s">
        <v>425</v>
      </c>
      <c r="V456" s="166">
        <v>1.34E-2</v>
      </c>
      <c r="W456" s="166">
        <v>2.8539999999999999E-2</v>
      </c>
      <c r="X456" s="5" t="s">
        <v>161</v>
      </c>
      <c r="Y456" s="5" t="s">
        <v>156</v>
      </c>
      <c r="Z456" s="155">
        <v>90909.09</v>
      </c>
      <c r="AA456" s="164">
        <v>1</v>
      </c>
      <c r="AB456" s="174">
        <v>116.33</v>
      </c>
      <c r="AD456" s="155">
        <v>105.755</v>
      </c>
      <c r="AG456" s="3" t="s">
        <v>36</v>
      </c>
      <c r="AH456" s="166">
        <v>4.1E-5</v>
      </c>
      <c r="AI456" s="166">
        <v>3.3887306976839202E-4</v>
      </c>
      <c r="AJ456" s="166">
        <v>5.4361930674522599E-5</v>
      </c>
    </row>
    <row r="457" spans="1:36">
      <c r="A457" s="3">
        <v>161</v>
      </c>
      <c r="B457" s="3">
        <v>9943</v>
      </c>
      <c r="C457" s="3" t="s">
        <v>420</v>
      </c>
      <c r="D457" s="3" t="s">
        <v>421</v>
      </c>
      <c r="E457" s="5" t="s">
        <v>149</v>
      </c>
      <c r="F457" s="3" t="s">
        <v>840</v>
      </c>
      <c r="G457" s="3" t="s">
        <v>841</v>
      </c>
      <c r="H457" s="3" t="s">
        <v>152</v>
      </c>
      <c r="I457" s="3" t="s">
        <v>166</v>
      </c>
      <c r="J457" s="3" t="s">
        <v>30</v>
      </c>
      <c r="K457" s="3" t="s">
        <v>30</v>
      </c>
      <c r="L457" s="3" t="s">
        <v>154</v>
      </c>
      <c r="M457" s="3" t="s">
        <v>31</v>
      </c>
      <c r="N457" s="3" t="s">
        <v>167</v>
      </c>
      <c r="O457" s="3" t="s">
        <v>156</v>
      </c>
      <c r="P457" s="3" t="s">
        <v>84</v>
      </c>
      <c r="Q457" s="3" t="s">
        <v>158</v>
      </c>
      <c r="R457" s="3" t="s">
        <v>159</v>
      </c>
      <c r="S457" s="3" t="s">
        <v>34</v>
      </c>
      <c r="T457" s="155">
        <v>1.6930000000000001</v>
      </c>
      <c r="U457" s="3" t="s">
        <v>240</v>
      </c>
      <c r="V457" s="166">
        <v>1.77E-2</v>
      </c>
      <c r="W457" s="166">
        <v>2.93E-2</v>
      </c>
      <c r="X457" s="5" t="s">
        <v>161</v>
      </c>
      <c r="Y457" s="5" t="s">
        <v>156</v>
      </c>
      <c r="Z457" s="155">
        <v>598068.56000000006</v>
      </c>
      <c r="AA457" s="164">
        <v>1</v>
      </c>
      <c r="AB457" s="174">
        <v>116.94</v>
      </c>
      <c r="AD457" s="155">
        <v>699.38099999999997</v>
      </c>
      <c r="AG457" s="3" t="s">
        <v>36</v>
      </c>
      <c r="AH457" s="166">
        <v>2.4600000000000002E-4</v>
      </c>
      <c r="AI457" s="166">
        <v>2.2410527558816402E-3</v>
      </c>
      <c r="AJ457" s="166">
        <v>3.5950910657034602E-4</v>
      </c>
    </row>
    <row r="458" spans="1:36">
      <c r="A458" s="3">
        <v>161</v>
      </c>
      <c r="B458" s="3">
        <v>9943</v>
      </c>
      <c r="C458" s="3" t="s">
        <v>420</v>
      </c>
      <c r="D458" s="3" t="s">
        <v>421</v>
      </c>
      <c r="E458" s="5" t="s">
        <v>149</v>
      </c>
      <c r="F458" s="3" t="s">
        <v>426</v>
      </c>
      <c r="G458" s="3" t="s">
        <v>427</v>
      </c>
      <c r="H458" s="3" t="s">
        <v>152</v>
      </c>
      <c r="I458" s="3" t="s">
        <v>166</v>
      </c>
      <c r="J458" s="3" t="s">
        <v>30</v>
      </c>
      <c r="K458" s="3" t="s">
        <v>30</v>
      </c>
      <c r="L458" s="3" t="s">
        <v>154</v>
      </c>
      <c r="M458" s="3" t="s">
        <v>31</v>
      </c>
      <c r="N458" s="3" t="s">
        <v>167</v>
      </c>
      <c r="O458" s="3" t="s">
        <v>156</v>
      </c>
      <c r="P458" s="3" t="s">
        <v>424</v>
      </c>
      <c r="Q458" s="3" t="s">
        <v>169</v>
      </c>
      <c r="R458" s="3" t="s">
        <v>159</v>
      </c>
      <c r="S458" s="3" t="s">
        <v>34</v>
      </c>
      <c r="T458" s="155">
        <v>6.157</v>
      </c>
      <c r="U458" s="3" t="s">
        <v>428</v>
      </c>
      <c r="V458" s="166">
        <v>8.9999999999999993E-3</v>
      </c>
      <c r="W458" s="166">
        <v>2.7810000000000001E-2</v>
      </c>
      <c r="X458" s="5" t="s">
        <v>161</v>
      </c>
      <c r="Y458" s="5" t="s">
        <v>156</v>
      </c>
      <c r="Z458" s="155">
        <v>4011650.79</v>
      </c>
      <c r="AA458" s="164">
        <v>1</v>
      </c>
      <c r="AB458" s="174">
        <v>104.46</v>
      </c>
      <c r="AD458" s="155">
        <v>4190.57</v>
      </c>
      <c r="AG458" s="3" t="s">
        <v>36</v>
      </c>
      <c r="AH458" s="166">
        <v>1.488E-3</v>
      </c>
      <c r="AI458" s="166">
        <v>1.3427994690800599E-2</v>
      </c>
      <c r="AJ458" s="166">
        <v>2.1541154538425502E-3</v>
      </c>
    </row>
    <row r="459" spans="1:36">
      <c r="A459" s="3">
        <v>161</v>
      </c>
      <c r="B459" s="3">
        <v>9943</v>
      </c>
      <c r="C459" s="3" t="s">
        <v>842</v>
      </c>
      <c r="D459" s="3" t="s">
        <v>843</v>
      </c>
      <c r="E459" s="5" t="s">
        <v>149</v>
      </c>
      <c r="F459" s="3" t="s">
        <v>844</v>
      </c>
      <c r="G459" s="3" t="s">
        <v>845</v>
      </c>
      <c r="H459" s="3" t="s">
        <v>152</v>
      </c>
      <c r="I459" s="3" t="s">
        <v>153</v>
      </c>
      <c r="J459" s="3" t="s">
        <v>30</v>
      </c>
      <c r="K459" s="3" t="s">
        <v>30</v>
      </c>
      <c r="L459" s="3" t="s">
        <v>154</v>
      </c>
      <c r="M459" s="3" t="s">
        <v>31</v>
      </c>
      <c r="N459" s="3" t="s">
        <v>282</v>
      </c>
      <c r="O459" s="3" t="s">
        <v>156</v>
      </c>
      <c r="P459" s="3" t="s">
        <v>232</v>
      </c>
      <c r="Q459" s="3" t="s">
        <v>158</v>
      </c>
      <c r="R459" s="3" t="s">
        <v>159</v>
      </c>
      <c r="S459" s="3" t="s">
        <v>34</v>
      </c>
      <c r="T459" s="155">
        <v>1.121</v>
      </c>
      <c r="U459" s="3" t="s">
        <v>118</v>
      </c>
      <c r="V459" s="166">
        <v>0.06</v>
      </c>
      <c r="W459" s="166">
        <v>5.4670000000000003E-2</v>
      </c>
      <c r="X459" s="5" t="s">
        <v>161</v>
      </c>
      <c r="Y459" s="5" t="s">
        <v>156</v>
      </c>
      <c r="Z459" s="155">
        <v>62184.76</v>
      </c>
      <c r="AA459" s="164">
        <v>1</v>
      </c>
      <c r="AB459" s="174">
        <v>102.77</v>
      </c>
      <c r="AD459" s="155">
        <v>63.906999999999996</v>
      </c>
      <c r="AG459" s="3" t="s">
        <v>36</v>
      </c>
      <c r="AH459" s="166">
        <v>3.68E-4</v>
      </c>
      <c r="AI459" s="166">
        <v>2.0478037657607401E-4</v>
      </c>
      <c r="AJ459" s="166">
        <v>3.2850815328995201E-5</v>
      </c>
    </row>
    <row r="460" spans="1:36">
      <c r="A460" s="3">
        <v>161</v>
      </c>
      <c r="B460" s="3">
        <v>9943</v>
      </c>
      <c r="C460" s="3" t="s">
        <v>429</v>
      </c>
      <c r="D460" s="3" t="s">
        <v>430</v>
      </c>
      <c r="E460" s="5" t="s">
        <v>149</v>
      </c>
      <c r="F460" s="3" t="s">
        <v>434</v>
      </c>
      <c r="G460" s="3" t="s">
        <v>435</v>
      </c>
      <c r="H460" s="3" t="s">
        <v>152</v>
      </c>
      <c r="I460" s="3" t="s">
        <v>166</v>
      </c>
      <c r="J460" s="3" t="s">
        <v>30</v>
      </c>
      <c r="K460" s="3" t="s">
        <v>30</v>
      </c>
      <c r="L460" s="3" t="s">
        <v>154</v>
      </c>
      <c r="M460" s="3" t="s">
        <v>31</v>
      </c>
      <c r="N460" s="3" t="s">
        <v>245</v>
      </c>
      <c r="O460" s="3" t="s">
        <v>156</v>
      </c>
      <c r="P460" s="3" t="s">
        <v>246</v>
      </c>
      <c r="Q460" s="3" t="s">
        <v>169</v>
      </c>
      <c r="R460" s="3" t="s">
        <v>159</v>
      </c>
      <c r="S460" s="3" t="s">
        <v>34</v>
      </c>
      <c r="T460" s="155">
        <v>3.073</v>
      </c>
      <c r="U460" s="3" t="s">
        <v>433</v>
      </c>
      <c r="V460" s="166">
        <v>1E-3</v>
      </c>
      <c r="W460" s="166">
        <v>2.538E-2</v>
      </c>
      <c r="X460" s="5" t="s">
        <v>161</v>
      </c>
      <c r="Y460" s="5" t="s">
        <v>156</v>
      </c>
      <c r="Z460" s="155">
        <v>77490</v>
      </c>
      <c r="AA460" s="164">
        <v>1</v>
      </c>
      <c r="AB460" s="174">
        <v>107.45</v>
      </c>
      <c r="AD460" s="155">
        <v>83.263000000000005</v>
      </c>
      <c r="AG460" s="3" t="s">
        <v>36</v>
      </c>
      <c r="AH460" s="166">
        <v>7.8999999999999996E-5</v>
      </c>
      <c r="AI460" s="166">
        <v>2.6680262548879499E-4</v>
      </c>
      <c r="AJ460" s="166">
        <v>4.2800408543869901E-5</v>
      </c>
    </row>
    <row r="461" spans="1:36">
      <c r="A461" s="3">
        <v>161</v>
      </c>
      <c r="B461" s="3">
        <v>9943</v>
      </c>
      <c r="C461" s="3" t="s">
        <v>429</v>
      </c>
      <c r="D461" s="3" t="s">
        <v>430</v>
      </c>
      <c r="E461" s="5" t="s">
        <v>149</v>
      </c>
      <c r="F461" s="3" t="s">
        <v>436</v>
      </c>
      <c r="G461" s="3" t="s">
        <v>437</v>
      </c>
      <c r="H461" s="3" t="s">
        <v>152</v>
      </c>
      <c r="I461" s="3" t="s">
        <v>166</v>
      </c>
      <c r="J461" s="3" t="s">
        <v>30</v>
      </c>
      <c r="K461" s="3" t="s">
        <v>30</v>
      </c>
      <c r="L461" s="3" t="s">
        <v>154</v>
      </c>
      <c r="M461" s="3" t="s">
        <v>31</v>
      </c>
      <c r="N461" s="3" t="s">
        <v>245</v>
      </c>
      <c r="O461" s="3" t="s">
        <v>156</v>
      </c>
      <c r="P461" s="3" t="s">
        <v>246</v>
      </c>
      <c r="Q461" s="3" t="s">
        <v>169</v>
      </c>
      <c r="R461" s="3" t="s">
        <v>159</v>
      </c>
      <c r="S461" s="3" t="s">
        <v>34</v>
      </c>
      <c r="T461" s="155">
        <v>3.4510000000000001</v>
      </c>
      <c r="U461" s="3" t="s">
        <v>438</v>
      </c>
      <c r="V461" s="166">
        <v>1.3899999999999999E-2</v>
      </c>
      <c r="W461" s="166">
        <v>2.521E-2</v>
      </c>
      <c r="X461" s="5" t="s">
        <v>161</v>
      </c>
      <c r="Y461" s="5" t="s">
        <v>156</v>
      </c>
      <c r="Z461" s="155">
        <v>117245.33</v>
      </c>
      <c r="AA461" s="164">
        <v>1</v>
      </c>
      <c r="AB461" s="174">
        <v>107.22</v>
      </c>
      <c r="AD461" s="155">
        <v>125.71</v>
      </c>
      <c r="AG461" s="3" t="s">
        <v>36</v>
      </c>
      <c r="AH461" s="166">
        <v>7.2999999999999999E-5</v>
      </c>
      <c r="AI461" s="166">
        <v>4.02818468986747E-4</v>
      </c>
      <c r="AJ461" s="166">
        <v>6.4620035166681702E-5</v>
      </c>
    </row>
    <row r="462" spans="1:36">
      <c r="A462" s="3">
        <v>161</v>
      </c>
      <c r="B462" s="3">
        <v>9943</v>
      </c>
      <c r="C462" s="3" t="s">
        <v>429</v>
      </c>
      <c r="D462" s="3" t="s">
        <v>430</v>
      </c>
      <c r="E462" s="5" t="s">
        <v>149</v>
      </c>
      <c r="F462" s="3" t="s">
        <v>439</v>
      </c>
      <c r="G462" s="3" t="s">
        <v>440</v>
      </c>
      <c r="H462" s="3" t="s">
        <v>152</v>
      </c>
      <c r="I462" s="3" t="s">
        <v>166</v>
      </c>
      <c r="J462" s="3" t="s">
        <v>30</v>
      </c>
      <c r="K462" s="3" t="s">
        <v>30</v>
      </c>
      <c r="L462" s="3" t="s">
        <v>154</v>
      </c>
      <c r="M462" s="3" t="s">
        <v>31</v>
      </c>
      <c r="N462" s="3" t="s">
        <v>245</v>
      </c>
      <c r="O462" s="3" t="s">
        <v>156</v>
      </c>
      <c r="P462" s="3" t="s">
        <v>246</v>
      </c>
      <c r="Q462" s="3" t="s">
        <v>169</v>
      </c>
      <c r="R462" s="3" t="s">
        <v>159</v>
      </c>
      <c r="S462" s="3" t="s">
        <v>34</v>
      </c>
      <c r="T462" s="155">
        <v>1.542</v>
      </c>
      <c r="U462" s="3" t="s">
        <v>441</v>
      </c>
      <c r="V462" s="166">
        <v>6.0000000000000001E-3</v>
      </c>
      <c r="W462" s="166">
        <v>2.7130000000000001E-2</v>
      </c>
      <c r="X462" s="5" t="s">
        <v>161</v>
      </c>
      <c r="Y462" s="5" t="s">
        <v>156</v>
      </c>
      <c r="Z462" s="155">
        <v>286611</v>
      </c>
      <c r="AA462" s="164">
        <v>1</v>
      </c>
      <c r="AB462" s="174">
        <v>116.21</v>
      </c>
      <c r="AD462" s="155">
        <v>333.07100000000003</v>
      </c>
      <c r="AG462" s="3" t="s">
        <v>36</v>
      </c>
      <c r="AH462" s="166">
        <v>4.2999999999999999E-4</v>
      </c>
      <c r="AI462" s="166">
        <v>1.06727017662071E-3</v>
      </c>
      <c r="AJ462" s="166">
        <v>1.7121120716997299E-4</v>
      </c>
    </row>
    <row r="463" spans="1:36">
      <c r="A463" s="3">
        <v>161</v>
      </c>
      <c r="B463" s="3">
        <v>9943</v>
      </c>
      <c r="C463" s="3" t="s">
        <v>429</v>
      </c>
      <c r="D463" s="3" t="s">
        <v>430</v>
      </c>
      <c r="E463" s="5" t="s">
        <v>149</v>
      </c>
      <c r="F463" s="3" t="s">
        <v>442</v>
      </c>
      <c r="G463" s="3" t="s">
        <v>443</v>
      </c>
      <c r="H463" s="3" t="s">
        <v>152</v>
      </c>
      <c r="I463" s="3" t="s">
        <v>166</v>
      </c>
      <c r="J463" s="3" t="s">
        <v>30</v>
      </c>
      <c r="K463" s="3" t="s">
        <v>30</v>
      </c>
      <c r="L463" s="3" t="s">
        <v>154</v>
      </c>
      <c r="M463" s="3" t="s">
        <v>31</v>
      </c>
      <c r="N463" s="3" t="s">
        <v>245</v>
      </c>
      <c r="O463" s="3" t="s">
        <v>156</v>
      </c>
      <c r="P463" s="3" t="s">
        <v>246</v>
      </c>
      <c r="Q463" s="3" t="s">
        <v>169</v>
      </c>
      <c r="R463" s="3" t="s">
        <v>159</v>
      </c>
      <c r="S463" s="3" t="s">
        <v>34</v>
      </c>
      <c r="T463" s="155">
        <v>2.5369999999999999</v>
      </c>
      <c r="U463" s="3" t="s">
        <v>444</v>
      </c>
      <c r="V463" s="166">
        <v>1.7500000000000002E-2</v>
      </c>
      <c r="W463" s="166">
        <v>2.5860000000000001E-2</v>
      </c>
      <c r="X463" s="5" t="s">
        <v>161</v>
      </c>
      <c r="Y463" s="5" t="s">
        <v>156</v>
      </c>
      <c r="Z463" s="155">
        <v>162892.47</v>
      </c>
      <c r="AA463" s="164">
        <v>1</v>
      </c>
      <c r="AB463" s="174">
        <v>117.2</v>
      </c>
      <c r="AD463" s="155">
        <v>190.91</v>
      </c>
      <c r="AG463" s="3" t="s">
        <v>36</v>
      </c>
      <c r="AH463" s="166">
        <v>7.2999999999999999E-5</v>
      </c>
      <c r="AI463" s="166">
        <v>6.1173966180192297E-4</v>
      </c>
      <c r="AJ463" s="166">
        <v>9.81351191714966E-5</v>
      </c>
    </row>
    <row r="464" spans="1:36">
      <c r="A464" s="3">
        <v>161</v>
      </c>
      <c r="B464" s="3">
        <v>9943</v>
      </c>
      <c r="C464" s="3" t="s">
        <v>451</v>
      </c>
      <c r="D464" s="3" t="s">
        <v>452</v>
      </c>
      <c r="E464" s="5" t="s">
        <v>149</v>
      </c>
      <c r="F464" s="3" t="s">
        <v>453</v>
      </c>
      <c r="G464" s="3" t="s">
        <v>454</v>
      </c>
      <c r="H464" s="3" t="s">
        <v>152</v>
      </c>
      <c r="I464" s="3" t="s">
        <v>153</v>
      </c>
      <c r="J464" s="3" t="s">
        <v>30</v>
      </c>
      <c r="K464" s="3" t="s">
        <v>30</v>
      </c>
      <c r="L464" s="3" t="s">
        <v>154</v>
      </c>
      <c r="M464" s="3" t="s">
        <v>31</v>
      </c>
      <c r="N464" s="3" t="s">
        <v>455</v>
      </c>
      <c r="O464" s="3" t="s">
        <v>156</v>
      </c>
      <c r="P464" s="3" t="s">
        <v>185</v>
      </c>
      <c r="Q464" s="3" t="s">
        <v>169</v>
      </c>
      <c r="R464" s="3" t="s">
        <v>159</v>
      </c>
      <c r="S464" s="3" t="s">
        <v>34</v>
      </c>
      <c r="T464" s="155">
        <v>0.64</v>
      </c>
      <c r="U464" s="3" t="s">
        <v>456</v>
      </c>
      <c r="V464" s="166">
        <v>2.29E-2</v>
      </c>
      <c r="W464" s="166">
        <v>4.5589999999999999E-2</v>
      </c>
      <c r="X464" s="5" t="s">
        <v>161</v>
      </c>
      <c r="Y464" s="5" t="s">
        <v>156</v>
      </c>
      <c r="Z464" s="155">
        <v>72164.17</v>
      </c>
      <c r="AA464" s="164">
        <v>1</v>
      </c>
      <c r="AB464" s="174">
        <v>99.39</v>
      </c>
      <c r="AD464" s="155">
        <v>71.724000000000004</v>
      </c>
      <c r="AG464" s="3" t="s">
        <v>36</v>
      </c>
      <c r="AH464" s="166">
        <v>2.1800000000000001E-4</v>
      </c>
      <c r="AI464" s="166">
        <v>2.2982767824779101E-4</v>
      </c>
      <c r="AJ464" s="166">
        <v>3.6868897019559597E-5</v>
      </c>
    </row>
    <row r="465" spans="1:36">
      <c r="A465" s="3">
        <v>161</v>
      </c>
      <c r="B465" s="3">
        <v>9943</v>
      </c>
      <c r="C465" s="3" t="s">
        <v>555</v>
      </c>
      <c r="D465" s="3" t="s">
        <v>556</v>
      </c>
      <c r="E465" s="5" t="s">
        <v>149</v>
      </c>
      <c r="F465" s="3" t="s">
        <v>846</v>
      </c>
      <c r="G465" s="3" t="s">
        <v>847</v>
      </c>
      <c r="H465" s="3" t="s">
        <v>152</v>
      </c>
      <c r="I465" s="3" t="s">
        <v>153</v>
      </c>
      <c r="J465" s="3" t="s">
        <v>30</v>
      </c>
      <c r="K465" s="3" t="s">
        <v>30</v>
      </c>
      <c r="L465" s="3" t="s">
        <v>154</v>
      </c>
      <c r="M465" s="3" t="s">
        <v>31</v>
      </c>
      <c r="N465" s="3" t="s">
        <v>155</v>
      </c>
      <c r="O465" s="3" t="s">
        <v>156</v>
      </c>
      <c r="P465" s="3" t="s">
        <v>168</v>
      </c>
      <c r="Q465" s="3" t="s">
        <v>169</v>
      </c>
      <c r="R465" s="3" t="s">
        <v>159</v>
      </c>
      <c r="S465" s="3" t="s">
        <v>34</v>
      </c>
      <c r="T465" s="155">
        <v>5.1849999999999996</v>
      </c>
      <c r="U465" s="3" t="s">
        <v>848</v>
      </c>
      <c r="V465" s="166">
        <v>5.1499999999999997E-2</v>
      </c>
      <c r="W465" s="166">
        <v>4.6739999999999997E-2</v>
      </c>
      <c r="X465" s="5" t="s">
        <v>161</v>
      </c>
      <c r="Y465" s="5" t="s">
        <v>156</v>
      </c>
      <c r="Z465" s="155">
        <v>3600000</v>
      </c>
      <c r="AA465" s="164">
        <v>1</v>
      </c>
      <c r="AB465" s="174">
        <v>105.19</v>
      </c>
      <c r="AD465" s="155">
        <v>3786.84</v>
      </c>
      <c r="AG465" s="3" t="s">
        <v>36</v>
      </c>
      <c r="AH465" s="166">
        <v>3.6110000000000001E-3</v>
      </c>
      <c r="AI465" s="166">
        <v>1.2134306878619E-2</v>
      </c>
      <c r="AJ465" s="166">
        <v>1.9465823878235999E-3</v>
      </c>
    </row>
    <row r="466" spans="1:36">
      <c r="A466" s="3">
        <v>161</v>
      </c>
      <c r="B466" s="3">
        <v>9943</v>
      </c>
      <c r="C466" s="3" t="s">
        <v>555</v>
      </c>
      <c r="D466" s="3" t="s">
        <v>556</v>
      </c>
      <c r="E466" s="5" t="s">
        <v>149</v>
      </c>
      <c r="F466" s="3" t="s">
        <v>849</v>
      </c>
      <c r="G466" s="3" t="s">
        <v>850</v>
      </c>
      <c r="H466" s="3" t="s">
        <v>152</v>
      </c>
      <c r="I466" s="3" t="s">
        <v>153</v>
      </c>
      <c r="J466" s="3" t="s">
        <v>30</v>
      </c>
      <c r="K466" s="3" t="s">
        <v>30</v>
      </c>
      <c r="L466" s="3" t="s">
        <v>154</v>
      </c>
      <c r="M466" s="3" t="s">
        <v>31</v>
      </c>
      <c r="N466" s="3" t="s">
        <v>155</v>
      </c>
      <c r="O466" s="3" t="s">
        <v>156</v>
      </c>
      <c r="P466" s="3" t="s">
        <v>168</v>
      </c>
      <c r="Q466" s="3" t="s">
        <v>169</v>
      </c>
      <c r="R466" s="3" t="s">
        <v>159</v>
      </c>
      <c r="S466" s="3" t="s">
        <v>34</v>
      </c>
      <c r="T466" s="155">
        <v>3.383</v>
      </c>
      <c r="U466" s="3" t="s">
        <v>173</v>
      </c>
      <c r="V466" s="166">
        <v>2.6200000000000001E-2</v>
      </c>
      <c r="W466" s="166">
        <v>4.5310000000000003E-2</v>
      </c>
      <c r="X466" s="5" t="s">
        <v>161</v>
      </c>
      <c r="Y466" s="5" t="s">
        <v>156</v>
      </c>
      <c r="Z466" s="155">
        <v>72256</v>
      </c>
      <c r="AA466" s="164">
        <v>1</v>
      </c>
      <c r="AB466" s="174">
        <v>95.06</v>
      </c>
      <c r="AD466" s="155">
        <v>68.686999999999998</v>
      </c>
      <c r="AG466" s="3" t="s">
        <v>36</v>
      </c>
      <c r="AH466" s="166">
        <v>5.5999999999999999E-5</v>
      </c>
      <c r="AI466" s="166">
        <v>2.2009478082441101E-4</v>
      </c>
      <c r="AJ466" s="166">
        <v>3.5307548118764297E-5</v>
      </c>
    </row>
    <row r="467" spans="1:36">
      <c r="A467" s="3">
        <v>161</v>
      </c>
      <c r="B467" s="3">
        <v>9943</v>
      </c>
      <c r="C467" s="3" t="s">
        <v>555</v>
      </c>
      <c r="D467" s="3" t="s">
        <v>556</v>
      </c>
      <c r="E467" s="5" t="s">
        <v>149</v>
      </c>
      <c r="F467" s="3" t="s">
        <v>851</v>
      </c>
      <c r="G467" s="3" t="s">
        <v>852</v>
      </c>
      <c r="H467" s="3" t="s">
        <v>152</v>
      </c>
      <c r="I467" s="3" t="s">
        <v>166</v>
      </c>
      <c r="J467" s="3" t="s">
        <v>30</v>
      </c>
      <c r="K467" s="3" t="s">
        <v>30</v>
      </c>
      <c r="L467" s="3" t="s">
        <v>154</v>
      </c>
      <c r="M467" s="3" t="s">
        <v>31</v>
      </c>
      <c r="N467" s="3" t="s">
        <v>155</v>
      </c>
      <c r="O467" s="3" t="s">
        <v>156</v>
      </c>
      <c r="P467" s="3" t="s">
        <v>185</v>
      </c>
      <c r="Q467" s="3" t="s">
        <v>169</v>
      </c>
      <c r="R467" s="3" t="s">
        <v>159</v>
      </c>
      <c r="S467" s="3" t="s">
        <v>34</v>
      </c>
      <c r="T467" s="155">
        <v>5.9370000000000003</v>
      </c>
      <c r="U467" s="3" t="s">
        <v>853</v>
      </c>
      <c r="V467" s="166">
        <v>2.0899999999999998E-2</v>
      </c>
      <c r="W467" s="166">
        <v>2.8500000000000001E-2</v>
      </c>
      <c r="X467" s="5" t="s">
        <v>161</v>
      </c>
      <c r="Y467" s="5" t="s">
        <v>156</v>
      </c>
      <c r="Z467" s="155">
        <v>312710</v>
      </c>
      <c r="AA467" s="164">
        <v>1</v>
      </c>
      <c r="AB467" s="174">
        <v>112.29</v>
      </c>
      <c r="AD467" s="155">
        <v>351.142</v>
      </c>
      <c r="AG467" s="3" t="s">
        <v>36</v>
      </c>
      <c r="AH467" s="166">
        <v>2.03E-4</v>
      </c>
      <c r="AI467" s="166">
        <v>1.1251770610578101E-3</v>
      </c>
      <c r="AJ467" s="166">
        <v>1.8050061467437601E-4</v>
      </c>
    </row>
    <row r="468" spans="1:36">
      <c r="A468" s="3">
        <v>161</v>
      </c>
      <c r="B468" s="3">
        <v>9943</v>
      </c>
      <c r="C468" s="3" t="s">
        <v>854</v>
      </c>
      <c r="D468" s="3" t="s">
        <v>855</v>
      </c>
      <c r="E468" s="5" t="s">
        <v>149</v>
      </c>
      <c r="F468" s="3" t="s">
        <v>856</v>
      </c>
      <c r="G468" s="3" t="s">
        <v>857</v>
      </c>
      <c r="H468" s="3" t="s">
        <v>152</v>
      </c>
      <c r="I468" s="3" t="s">
        <v>153</v>
      </c>
      <c r="J468" s="3" t="s">
        <v>30</v>
      </c>
      <c r="K468" s="3" t="s">
        <v>30</v>
      </c>
      <c r="L468" s="3" t="s">
        <v>154</v>
      </c>
      <c r="M468" s="3" t="s">
        <v>31</v>
      </c>
      <c r="N468" s="3" t="s">
        <v>282</v>
      </c>
      <c r="O468" s="3" t="s">
        <v>156</v>
      </c>
      <c r="P468" s="3" t="s">
        <v>157</v>
      </c>
      <c r="Q468" s="3" t="s">
        <v>158</v>
      </c>
      <c r="R468" s="3" t="s">
        <v>159</v>
      </c>
      <c r="S468" s="3" t="s">
        <v>34</v>
      </c>
      <c r="T468" s="155">
        <v>4.5119999999999996</v>
      </c>
      <c r="U468" s="3" t="s">
        <v>776</v>
      </c>
      <c r="V468" s="166">
        <v>5.8799999999999998E-2</v>
      </c>
      <c r="W468" s="166">
        <v>5.1830000000000001E-2</v>
      </c>
      <c r="X468" s="5" t="s">
        <v>161</v>
      </c>
      <c r="Y468" s="5" t="s">
        <v>156</v>
      </c>
      <c r="Z468" s="155">
        <v>4000000</v>
      </c>
      <c r="AA468" s="164">
        <v>1</v>
      </c>
      <c r="AB468" s="174">
        <v>105.23</v>
      </c>
      <c r="AD468" s="155">
        <v>4209.2</v>
      </c>
      <c r="AG468" s="3" t="s">
        <v>36</v>
      </c>
      <c r="AH468" s="166">
        <v>1.3332999999999999E-2</v>
      </c>
      <c r="AI468" s="166">
        <v>1.3487690135702401E-2</v>
      </c>
      <c r="AJ468" s="166">
        <v>2.1636917817565802E-3</v>
      </c>
    </row>
    <row r="469" spans="1:36">
      <c r="A469" s="3">
        <v>161</v>
      </c>
      <c r="B469" s="3">
        <v>9943</v>
      </c>
      <c r="C469" s="3" t="s">
        <v>858</v>
      </c>
      <c r="D469" s="3" t="s">
        <v>859</v>
      </c>
      <c r="E469" s="5" t="s">
        <v>149</v>
      </c>
      <c r="F469" s="3" t="s">
        <v>860</v>
      </c>
      <c r="G469" s="3" t="s">
        <v>861</v>
      </c>
      <c r="H469" s="3" t="s">
        <v>152</v>
      </c>
      <c r="I469" s="3" t="s">
        <v>153</v>
      </c>
      <c r="J469" s="3" t="s">
        <v>30</v>
      </c>
      <c r="K469" s="3" t="s">
        <v>30</v>
      </c>
      <c r="L469" s="3" t="s">
        <v>154</v>
      </c>
      <c r="M469" s="3" t="s">
        <v>31</v>
      </c>
      <c r="N469" s="3" t="s">
        <v>862</v>
      </c>
      <c r="O469" s="3" t="s">
        <v>156</v>
      </c>
      <c r="P469" s="3" t="s">
        <v>157</v>
      </c>
      <c r="Q469" s="3" t="s">
        <v>158</v>
      </c>
      <c r="R469" s="3" t="s">
        <v>159</v>
      </c>
      <c r="S469" s="3" t="s">
        <v>34</v>
      </c>
      <c r="T469" s="155">
        <v>2.984</v>
      </c>
      <c r="U469" s="3" t="s">
        <v>863</v>
      </c>
      <c r="V469" s="166">
        <v>2.1600000000000001E-2</v>
      </c>
      <c r="W469" s="166">
        <v>5.0880000000000002E-2</v>
      </c>
      <c r="X469" s="5" t="s">
        <v>161</v>
      </c>
      <c r="Y469" s="5" t="s">
        <v>156</v>
      </c>
      <c r="Z469" s="155">
        <v>1795815.22</v>
      </c>
      <c r="AA469" s="164">
        <v>1</v>
      </c>
      <c r="AB469" s="174">
        <v>92.03</v>
      </c>
      <c r="AD469" s="155">
        <v>1652.6890000000001</v>
      </c>
      <c r="AG469" s="3" t="s">
        <v>36</v>
      </c>
      <c r="AH469" s="166">
        <v>3.075E-3</v>
      </c>
      <c r="AI469" s="166">
        <v>5.2957696735340702E-3</v>
      </c>
      <c r="AJ469" s="166">
        <v>8.4954600865055495E-4</v>
      </c>
    </row>
    <row r="470" spans="1:36">
      <c r="A470" s="3">
        <v>161</v>
      </c>
      <c r="B470" s="3">
        <v>9943</v>
      </c>
      <c r="C470" s="3" t="s">
        <v>858</v>
      </c>
      <c r="D470" s="3" t="s">
        <v>859</v>
      </c>
      <c r="E470" s="5" t="s">
        <v>149</v>
      </c>
      <c r="F470" s="3" t="s">
        <v>864</v>
      </c>
      <c r="G470" s="3" t="s">
        <v>865</v>
      </c>
      <c r="H470" s="3" t="s">
        <v>152</v>
      </c>
      <c r="I470" s="3" t="s">
        <v>166</v>
      </c>
      <c r="J470" s="3" t="s">
        <v>30</v>
      </c>
      <c r="K470" s="3" t="s">
        <v>30</v>
      </c>
      <c r="L470" s="3" t="s">
        <v>154</v>
      </c>
      <c r="M470" s="3" t="s">
        <v>31</v>
      </c>
      <c r="N470" s="3" t="s">
        <v>862</v>
      </c>
      <c r="O470" s="3" t="s">
        <v>156</v>
      </c>
      <c r="P470" s="3" t="s">
        <v>157</v>
      </c>
      <c r="Q470" s="3" t="s">
        <v>158</v>
      </c>
      <c r="R470" s="3" t="s">
        <v>159</v>
      </c>
      <c r="S470" s="3" t="s">
        <v>34</v>
      </c>
      <c r="T470" s="155">
        <v>3.1360000000000001</v>
      </c>
      <c r="U470" s="3" t="s">
        <v>692</v>
      </c>
      <c r="V470" s="166">
        <v>3.2500000000000001E-2</v>
      </c>
      <c r="W470" s="166">
        <v>3.2730000000000002E-2</v>
      </c>
      <c r="X470" s="5" t="s">
        <v>161</v>
      </c>
      <c r="Y470" s="5" t="s">
        <v>156</v>
      </c>
      <c r="Z470" s="155">
        <v>101286.5</v>
      </c>
      <c r="AA470" s="164">
        <v>1</v>
      </c>
      <c r="AB470" s="174">
        <v>112.88</v>
      </c>
      <c r="AD470" s="155">
        <v>114.33199999999999</v>
      </c>
      <c r="AG470" s="3" t="s">
        <v>36</v>
      </c>
      <c r="AH470" s="166">
        <v>2.7900000000000001E-4</v>
      </c>
      <c r="AI470" s="166">
        <v>3.6635876231074302E-4</v>
      </c>
      <c r="AJ470" s="166">
        <v>5.8771178401259101E-5</v>
      </c>
    </row>
    <row r="471" spans="1:36">
      <c r="A471" s="3">
        <v>161</v>
      </c>
      <c r="B471" s="3">
        <v>9943</v>
      </c>
      <c r="C471" s="3" t="s">
        <v>866</v>
      </c>
      <c r="D471" s="3" t="s">
        <v>867</v>
      </c>
      <c r="E471" s="5" t="s">
        <v>149</v>
      </c>
      <c r="F471" s="3" t="s">
        <v>868</v>
      </c>
      <c r="G471" s="3" t="s">
        <v>869</v>
      </c>
      <c r="H471" s="3" t="s">
        <v>152</v>
      </c>
      <c r="I471" s="3" t="s">
        <v>166</v>
      </c>
      <c r="J471" s="3" t="s">
        <v>30</v>
      </c>
      <c r="K471" s="3" t="s">
        <v>30</v>
      </c>
      <c r="L471" s="3" t="s">
        <v>154</v>
      </c>
      <c r="M471" s="3" t="s">
        <v>31</v>
      </c>
      <c r="N471" s="3" t="s">
        <v>194</v>
      </c>
      <c r="O471" s="3" t="s">
        <v>156</v>
      </c>
      <c r="P471" s="3" t="s">
        <v>283</v>
      </c>
      <c r="Q471" s="3" t="s">
        <v>283</v>
      </c>
      <c r="R471" s="3" t="s">
        <v>283</v>
      </c>
      <c r="S471" s="3" t="s">
        <v>34</v>
      </c>
      <c r="T471" s="155">
        <v>2.1680000000000001</v>
      </c>
      <c r="U471" s="3" t="s">
        <v>240</v>
      </c>
      <c r="V471" s="166">
        <v>3.6999999999999998E-2</v>
      </c>
      <c r="W471" s="166">
        <v>3.9019999999999999E-2</v>
      </c>
      <c r="X471" s="5" t="s">
        <v>161</v>
      </c>
      <c r="Y471" s="5" t="s">
        <v>156</v>
      </c>
      <c r="Z471" s="155">
        <v>332256.12</v>
      </c>
      <c r="AA471" s="164">
        <v>1</v>
      </c>
      <c r="AB471" s="174">
        <v>119.38</v>
      </c>
      <c r="AD471" s="155">
        <v>396.64699999999999</v>
      </c>
      <c r="AG471" s="3" t="s">
        <v>36</v>
      </c>
      <c r="AH471" s="166">
        <v>7.54E-4</v>
      </c>
      <c r="AI471" s="166">
        <v>1.2709913122752399E-3</v>
      </c>
      <c r="AJ471" s="166">
        <v>2.03892099342831E-4</v>
      </c>
    </row>
    <row r="472" spans="1:36">
      <c r="A472" s="3">
        <v>161</v>
      </c>
      <c r="B472" s="3">
        <v>9943</v>
      </c>
      <c r="C472" s="3" t="s">
        <v>870</v>
      </c>
      <c r="D472" s="3" t="s">
        <v>871</v>
      </c>
      <c r="E472" s="5" t="s">
        <v>149</v>
      </c>
      <c r="F472" s="3" t="s">
        <v>872</v>
      </c>
      <c r="G472" s="3" t="s">
        <v>873</v>
      </c>
      <c r="H472" s="3" t="s">
        <v>152</v>
      </c>
      <c r="I472" s="3" t="s">
        <v>153</v>
      </c>
      <c r="J472" s="3" t="s">
        <v>30</v>
      </c>
      <c r="K472" s="3" t="s">
        <v>30</v>
      </c>
      <c r="L472" s="3" t="s">
        <v>154</v>
      </c>
      <c r="M472" s="3" t="s">
        <v>31</v>
      </c>
      <c r="N472" s="3" t="s">
        <v>282</v>
      </c>
      <c r="O472" s="3" t="s">
        <v>156</v>
      </c>
      <c r="P472" s="3" t="s">
        <v>239</v>
      </c>
      <c r="Q472" s="3" t="s">
        <v>169</v>
      </c>
      <c r="R472" s="3" t="s">
        <v>159</v>
      </c>
      <c r="S472" s="3" t="s">
        <v>34</v>
      </c>
      <c r="T472" s="155">
        <v>1.111</v>
      </c>
      <c r="U472" s="3" t="s">
        <v>567</v>
      </c>
      <c r="V472" s="166">
        <v>5.0999999999999997E-2</v>
      </c>
      <c r="W472" s="166">
        <v>5.0279999999999998E-2</v>
      </c>
      <c r="X472" s="5" t="s">
        <v>161</v>
      </c>
      <c r="Y472" s="5" t="s">
        <v>156</v>
      </c>
      <c r="Z472" s="155">
        <v>434969.94</v>
      </c>
      <c r="AA472" s="164">
        <v>1</v>
      </c>
      <c r="AB472" s="174">
        <v>101.5</v>
      </c>
      <c r="AD472" s="155">
        <v>441.49400000000003</v>
      </c>
      <c r="AG472" s="3" t="s">
        <v>36</v>
      </c>
      <c r="AH472" s="166">
        <v>3.0309999999999998E-3</v>
      </c>
      <c r="AI472" s="166">
        <v>1.4146965850045201E-3</v>
      </c>
      <c r="AJ472" s="166">
        <v>2.2694526222476701E-4</v>
      </c>
    </row>
    <row r="473" spans="1:36">
      <c r="A473" s="3">
        <v>161</v>
      </c>
      <c r="B473" s="3">
        <v>9943</v>
      </c>
      <c r="C473" s="3" t="s">
        <v>874</v>
      </c>
      <c r="D473" s="3" t="s">
        <v>875</v>
      </c>
      <c r="E473" s="5" t="s">
        <v>149</v>
      </c>
      <c r="F473" s="3" t="s">
        <v>876</v>
      </c>
      <c r="G473" s="3" t="s">
        <v>877</v>
      </c>
      <c r="H473" s="3" t="s">
        <v>152</v>
      </c>
      <c r="I473" s="3" t="s">
        <v>166</v>
      </c>
      <c r="J473" s="3" t="s">
        <v>30</v>
      </c>
      <c r="K473" s="3" t="s">
        <v>30</v>
      </c>
      <c r="L473" s="3" t="s">
        <v>154</v>
      </c>
      <c r="M473" s="3" t="s">
        <v>31</v>
      </c>
      <c r="N473" s="3" t="s">
        <v>194</v>
      </c>
      <c r="O473" s="3" t="s">
        <v>156</v>
      </c>
      <c r="P473" s="3" t="s">
        <v>179</v>
      </c>
      <c r="Q473" s="3" t="s">
        <v>169</v>
      </c>
      <c r="R473" s="3" t="s">
        <v>159</v>
      </c>
      <c r="S473" s="3" t="s">
        <v>34</v>
      </c>
      <c r="T473" s="155">
        <v>3.4039999999999999</v>
      </c>
      <c r="U473" s="3" t="s">
        <v>776</v>
      </c>
      <c r="V473" s="166">
        <v>7.4999999999999997E-3</v>
      </c>
      <c r="W473" s="166">
        <v>3.083E-2</v>
      </c>
      <c r="X473" s="5" t="s">
        <v>161</v>
      </c>
      <c r="Y473" s="5" t="s">
        <v>156</v>
      </c>
      <c r="Z473" s="155">
        <v>3403837.98</v>
      </c>
      <c r="AA473" s="164">
        <v>1</v>
      </c>
      <c r="AB473" s="174">
        <v>107.17</v>
      </c>
      <c r="AD473" s="155">
        <v>3647.893</v>
      </c>
      <c r="AG473" s="3" t="s">
        <v>36</v>
      </c>
      <c r="AH473" s="166">
        <v>5.8060000000000004E-3</v>
      </c>
      <c r="AI473" s="166">
        <v>1.1689074558806901E-2</v>
      </c>
      <c r="AJ473" s="166">
        <v>1.8751583336188099E-3</v>
      </c>
    </row>
    <row r="474" spans="1:36">
      <c r="A474" s="3">
        <v>161</v>
      </c>
      <c r="B474" s="3">
        <v>9943</v>
      </c>
      <c r="C474" s="3" t="s">
        <v>462</v>
      </c>
      <c r="D474" s="3" t="s">
        <v>463</v>
      </c>
      <c r="E474" s="5" t="s">
        <v>149</v>
      </c>
      <c r="F474" s="3" t="s">
        <v>878</v>
      </c>
      <c r="G474" s="3" t="s">
        <v>879</v>
      </c>
      <c r="H474" s="3" t="s">
        <v>152</v>
      </c>
      <c r="I474" s="3" t="s">
        <v>153</v>
      </c>
      <c r="J474" s="3" t="s">
        <v>30</v>
      </c>
      <c r="K474" s="3" t="s">
        <v>30</v>
      </c>
      <c r="L474" s="3" t="s">
        <v>154</v>
      </c>
      <c r="M474" s="3" t="s">
        <v>31</v>
      </c>
      <c r="N474" s="3" t="s">
        <v>303</v>
      </c>
      <c r="O474" s="3" t="s">
        <v>156</v>
      </c>
      <c r="P474" s="3" t="s">
        <v>185</v>
      </c>
      <c r="Q474" s="3" t="s">
        <v>169</v>
      </c>
      <c r="R474" s="3" t="s">
        <v>159</v>
      </c>
      <c r="S474" s="3" t="s">
        <v>34</v>
      </c>
      <c r="T474" s="155">
        <v>3.399</v>
      </c>
      <c r="U474" s="3" t="s">
        <v>880</v>
      </c>
      <c r="V474" s="166">
        <v>5.04E-2</v>
      </c>
      <c r="W474" s="166">
        <v>4.922E-2</v>
      </c>
      <c r="X474" s="5" t="s">
        <v>161</v>
      </c>
      <c r="Y474" s="5" t="s">
        <v>156</v>
      </c>
      <c r="Z474" s="155">
        <v>4500000</v>
      </c>
      <c r="AA474" s="164">
        <v>1</v>
      </c>
      <c r="AB474" s="174">
        <v>101.51</v>
      </c>
      <c r="AD474" s="155">
        <v>4567.95</v>
      </c>
      <c r="AG474" s="3" t="s">
        <v>36</v>
      </c>
      <c r="AH474" s="166">
        <v>9.0889999999999999E-3</v>
      </c>
      <c r="AI474" s="166">
        <v>1.46372455942653E-2</v>
      </c>
      <c r="AJ474" s="166">
        <v>2.3481031726871999E-3</v>
      </c>
    </row>
    <row r="475" spans="1:36">
      <c r="A475" s="3">
        <v>161</v>
      </c>
      <c r="B475" s="3">
        <v>9943</v>
      </c>
      <c r="C475" s="3" t="s">
        <v>462</v>
      </c>
      <c r="D475" s="3" t="s">
        <v>463</v>
      </c>
      <c r="E475" s="5" t="s">
        <v>149</v>
      </c>
      <c r="F475" s="3" t="s">
        <v>881</v>
      </c>
      <c r="G475" s="3" t="s">
        <v>882</v>
      </c>
      <c r="H475" s="3" t="s">
        <v>152</v>
      </c>
      <c r="I475" s="3" t="s">
        <v>153</v>
      </c>
      <c r="J475" s="3" t="s">
        <v>30</v>
      </c>
      <c r="K475" s="3" t="s">
        <v>30</v>
      </c>
      <c r="L475" s="3" t="s">
        <v>154</v>
      </c>
      <c r="M475" s="3" t="s">
        <v>31</v>
      </c>
      <c r="N475" s="3" t="s">
        <v>303</v>
      </c>
      <c r="O475" s="3" t="s">
        <v>156</v>
      </c>
      <c r="P475" s="3" t="s">
        <v>185</v>
      </c>
      <c r="Q475" s="3" t="s">
        <v>169</v>
      </c>
      <c r="R475" s="3" t="s">
        <v>159</v>
      </c>
      <c r="S475" s="3" t="s">
        <v>34</v>
      </c>
      <c r="T475" s="155">
        <v>1.3779999999999999</v>
      </c>
      <c r="U475" s="3" t="s">
        <v>639</v>
      </c>
      <c r="V475" s="166">
        <v>2.3E-2</v>
      </c>
      <c r="W475" s="166">
        <v>4.8079999999999998E-2</v>
      </c>
      <c r="X475" s="5" t="s">
        <v>161</v>
      </c>
      <c r="Y475" s="5" t="s">
        <v>156</v>
      </c>
      <c r="Z475" s="155">
        <v>1230769.28</v>
      </c>
      <c r="AA475" s="164">
        <v>1</v>
      </c>
      <c r="AB475" s="174">
        <v>96.94</v>
      </c>
      <c r="AD475" s="155">
        <v>1193.1079999999999</v>
      </c>
      <c r="AG475" s="3" t="s">
        <v>36</v>
      </c>
      <c r="AH475" s="166">
        <v>1.493E-3</v>
      </c>
      <c r="AI475" s="166">
        <v>3.8231178124250999E-3</v>
      </c>
      <c r="AJ475" s="166">
        <v>6.1330357594255596E-4</v>
      </c>
    </row>
    <row r="476" spans="1:36">
      <c r="A476" s="3">
        <v>161</v>
      </c>
      <c r="B476" s="3">
        <v>9943</v>
      </c>
      <c r="C476" s="3" t="s">
        <v>883</v>
      </c>
      <c r="D476" s="3" t="s">
        <v>884</v>
      </c>
      <c r="E476" s="5" t="s">
        <v>149</v>
      </c>
      <c r="F476" s="3" t="s">
        <v>885</v>
      </c>
      <c r="G476" s="3" t="s">
        <v>886</v>
      </c>
      <c r="H476" s="3" t="s">
        <v>152</v>
      </c>
      <c r="I476" s="3" t="s">
        <v>153</v>
      </c>
      <c r="J476" s="3" t="s">
        <v>30</v>
      </c>
      <c r="K476" s="3" t="s">
        <v>30</v>
      </c>
      <c r="L476" s="3" t="s">
        <v>154</v>
      </c>
      <c r="M476" s="3" t="s">
        <v>31</v>
      </c>
      <c r="N476" s="3" t="s">
        <v>282</v>
      </c>
      <c r="O476" s="3" t="s">
        <v>156</v>
      </c>
      <c r="P476" s="3" t="s">
        <v>258</v>
      </c>
      <c r="Q476" s="3" t="s">
        <v>169</v>
      </c>
      <c r="R476" s="3" t="s">
        <v>159</v>
      </c>
      <c r="S476" s="3" t="s">
        <v>34</v>
      </c>
      <c r="T476" s="155">
        <v>1.9810000000000001</v>
      </c>
      <c r="U476" s="3" t="s">
        <v>887</v>
      </c>
      <c r="V476" s="166">
        <v>5.3400000000000003E-2</v>
      </c>
      <c r="W476" s="166">
        <v>5.2359999999999997E-2</v>
      </c>
      <c r="X476" s="5" t="s">
        <v>161</v>
      </c>
      <c r="Y476" s="5" t="s">
        <v>156</v>
      </c>
      <c r="Z476" s="155">
        <v>581307</v>
      </c>
      <c r="AA476" s="164">
        <v>1</v>
      </c>
      <c r="AB476" s="174">
        <v>102.19</v>
      </c>
      <c r="AD476" s="155">
        <v>594.03800000000001</v>
      </c>
      <c r="AG476" s="3" t="s">
        <v>36</v>
      </c>
      <c r="AH476" s="166">
        <v>8.34E-4</v>
      </c>
      <c r="AI476" s="166">
        <v>1.9034960068467801E-3</v>
      </c>
      <c r="AJ476" s="166">
        <v>3.05358339729265E-4</v>
      </c>
    </row>
    <row r="477" spans="1:36">
      <c r="A477" s="3">
        <v>161</v>
      </c>
      <c r="B477" s="3">
        <v>9943</v>
      </c>
      <c r="C477" s="3" t="s">
        <v>883</v>
      </c>
      <c r="D477" s="3" t="s">
        <v>884</v>
      </c>
      <c r="E477" s="5" t="s">
        <v>149</v>
      </c>
      <c r="F477" s="3" t="s">
        <v>888</v>
      </c>
      <c r="G477" s="3" t="s">
        <v>889</v>
      </c>
      <c r="H477" s="3" t="s">
        <v>152</v>
      </c>
      <c r="I477" s="3" t="s">
        <v>153</v>
      </c>
      <c r="J477" s="3" t="s">
        <v>30</v>
      </c>
      <c r="K477" s="3" t="s">
        <v>30</v>
      </c>
      <c r="L477" s="3" t="s">
        <v>154</v>
      </c>
      <c r="M477" s="3" t="s">
        <v>31</v>
      </c>
      <c r="N477" s="3" t="s">
        <v>282</v>
      </c>
      <c r="O477" s="3" t="s">
        <v>156</v>
      </c>
      <c r="P477" s="3" t="s">
        <v>258</v>
      </c>
      <c r="Q477" s="3" t="s">
        <v>169</v>
      </c>
      <c r="R477" s="3" t="s">
        <v>159</v>
      </c>
      <c r="S477" s="3" t="s">
        <v>34</v>
      </c>
      <c r="T477" s="155">
        <v>4.9180000000000001</v>
      </c>
      <c r="U477" s="3" t="s">
        <v>692</v>
      </c>
      <c r="V477" s="166">
        <v>5.74E-2</v>
      </c>
      <c r="W477" s="166">
        <v>5.3269999999999998E-2</v>
      </c>
      <c r="X477" s="5" t="s">
        <v>161</v>
      </c>
      <c r="Y477" s="5" t="s">
        <v>156</v>
      </c>
      <c r="Z477" s="155">
        <v>3250104</v>
      </c>
      <c r="AA477" s="164">
        <v>1</v>
      </c>
      <c r="AB477" s="174">
        <v>103.86</v>
      </c>
      <c r="AD477" s="155">
        <v>3375.558</v>
      </c>
      <c r="AG477" s="3" t="s">
        <v>36</v>
      </c>
      <c r="AH477" s="166">
        <v>8.1250000000000003E-3</v>
      </c>
      <c r="AI477" s="166">
        <v>1.0816421299371401E-2</v>
      </c>
      <c r="AJ477" s="166">
        <v>1.7351675222369699E-3</v>
      </c>
    </row>
    <row r="478" spans="1:36">
      <c r="A478" s="3">
        <v>161</v>
      </c>
      <c r="B478" s="3">
        <v>9943</v>
      </c>
      <c r="C478" s="3" t="s">
        <v>607</v>
      </c>
      <c r="D478" s="3" t="s">
        <v>608</v>
      </c>
      <c r="E478" s="5" t="s">
        <v>149</v>
      </c>
      <c r="F478" s="3" t="s">
        <v>890</v>
      </c>
      <c r="G478" s="3" t="s">
        <v>891</v>
      </c>
      <c r="H478" s="3" t="s">
        <v>152</v>
      </c>
      <c r="I478" s="3" t="s">
        <v>166</v>
      </c>
      <c r="J478" s="3" t="s">
        <v>30</v>
      </c>
      <c r="K478" s="3" t="s">
        <v>30</v>
      </c>
      <c r="L478" s="3" t="s">
        <v>154</v>
      </c>
      <c r="M478" s="3" t="s">
        <v>31</v>
      </c>
      <c r="N478" s="3" t="s">
        <v>167</v>
      </c>
      <c r="O478" s="3" t="s">
        <v>156</v>
      </c>
      <c r="P478" s="3" t="s">
        <v>185</v>
      </c>
      <c r="Q478" s="3" t="s">
        <v>169</v>
      </c>
      <c r="R478" s="3" t="s">
        <v>159</v>
      </c>
      <c r="S478" s="3" t="s">
        <v>34</v>
      </c>
      <c r="T478" s="155">
        <v>5.3840000000000003</v>
      </c>
      <c r="U478" s="3" t="s">
        <v>719</v>
      </c>
      <c r="V478" s="166">
        <v>1.15E-2</v>
      </c>
      <c r="W478" s="166">
        <v>3.0810000000000001E-2</v>
      </c>
      <c r="X478" s="5" t="s">
        <v>161</v>
      </c>
      <c r="Y478" s="5" t="s">
        <v>156</v>
      </c>
      <c r="Z478" s="155">
        <v>2500000</v>
      </c>
      <c r="AA478" s="164">
        <v>1</v>
      </c>
      <c r="AB478" s="174">
        <v>107.25</v>
      </c>
      <c r="AD478" s="155">
        <v>2681.25</v>
      </c>
      <c r="AG478" s="3" t="s">
        <v>36</v>
      </c>
      <c r="AH478" s="166">
        <v>1.572E-3</v>
      </c>
      <c r="AI478" s="166">
        <v>8.5916252913503608E-3</v>
      </c>
      <c r="AJ478" s="166">
        <v>1.3782663189762501E-3</v>
      </c>
    </row>
    <row r="479" spans="1:36">
      <c r="A479" s="3">
        <v>161</v>
      </c>
      <c r="B479" s="3">
        <v>9943</v>
      </c>
      <c r="C479" s="3" t="s">
        <v>467</v>
      </c>
      <c r="D479" s="3" t="s">
        <v>468</v>
      </c>
      <c r="E479" s="5" t="s">
        <v>149</v>
      </c>
      <c r="F479" s="3" t="s">
        <v>469</v>
      </c>
      <c r="G479" s="3" t="s">
        <v>470</v>
      </c>
      <c r="H479" s="3" t="s">
        <v>152</v>
      </c>
      <c r="I479" s="3" t="s">
        <v>166</v>
      </c>
      <c r="J479" s="3" t="s">
        <v>30</v>
      </c>
      <c r="K479" s="3" t="s">
        <v>30</v>
      </c>
      <c r="L479" s="3" t="s">
        <v>154</v>
      </c>
      <c r="M479" s="3" t="s">
        <v>31</v>
      </c>
      <c r="N479" s="3" t="s">
        <v>167</v>
      </c>
      <c r="O479" s="3" t="s">
        <v>156</v>
      </c>
      <c r="P479" s="3" t="s">
        <v>168</v>
      </c>
      <c r="Q479" s="3" t="s">
        <v>169</v>
      </c>
      <c r="R479" s="3" t="s">
        <v>159</v>
      </c>
      <c r="S479" s="3" t="s">
        <v>34</v>
      </c>
      <c r="T479" s="155">
        <v>5.8140000000000001</v>
      </c>
      <c r="U479" s="3" t="s">
        <v>471</v>
      </c>
      <c r="V479" s="166">
        <v>2.5000000000000001E-2</v>
      </c>
      <c r="W479" s="166">
        <v>2.9170000000000001E-2</v>
      </c>
      <c r="X479" s="5" t="s">
        <v>161</v>
      </c>
      <c r="Y479" s="5" t="s">
        <v>156</v>
      </c>
      <c r="Z479" s="155">
        <v>73872.95</v>
      </c>
      <c r="AA479" s="164">
        <v>1</v>
      </c>
      <c r="AB479" s="174">
        <v>116.08</v>
      </c>
      <c r="AD479" s="155">
        <v>85.751999999999995</v>
      </c>
      <c r="AG479" s="3" t="s">
        <v>36</v>
      </c>
      <c r="AH479" s="166">
        <v>5.5000000000000002E-5</v>
      </c>
      <c r="AI479" s="166">
        <v>2.7477730514565199E-4</v>
      </c>
      <c r="AJ479" s="166">
        <v>4.4079704602874801E-5</v>
      </c>
    </row>
    <row r="480" spans="1:36">
      <c r="A480" s="3">
        <v>161</v>
      </c>
      <c r="B480" s="3">
        <v>9943</v>
      </c>
      <c r="C480" s="3" t="s">
        <v>892</v>
      </c>
      <c r="D480" s="3" t="s">
        <v>893</v>
      </c>
      <c r="E480" s="5" t="s">
        <v>149</v>
      </c>
      <c r="F480" s="3" t="s">
        <v>894</v>
      </c>
      <c r="G480" s="3" t="s">
        <v>895</v>
      </c>
      <c r="H480" s="3" t="s">
        <v>152</v>
      </c>
      <c r="I480" s="3" t="s">
        <v>166</v>
      </c>
      <c r="J480" s="3" t="s">
        <v>30</v>
      </c>
      <c r="K480" s="3" t="s">
        <v>30</v>
      </c>
      <c r="L480" s="3" t="s">
        <v>154</v>
      </c>
      <c r="M480" s="3" t="s">
        <v>31</v>
      </c>
      <c r="N480" s="3" t="s">
        <v>167</v>
      </c>
      <c r="O480" s="3" t="s">
        <v>156</v>
      </c>
      <c r="P480" s="3" t="s">
        <v>896</v>
      </c>
      <c r="Q480" s="3" t="s">
        <v>169</v>
      </c>
      <c r="R480" s="3" t="s">
        <v>159</v>
      </c>
      <c r="S480" s="3" t="s">
        <v>34</v>
      </c>
      <c r="T480" s="155">
        <v>2.827</v>
      </c>
      <c r="U480" s="3" t="s">
        <v>400</v>
      </c>
      <c r="V480" s="166">
        <v>9.4000000000000004E-3</v>
      </c>
      <c r="W480" s="166">
        <v>3.823E-2</v>
      </c>
      <c r="X480" s="5" t="s">
        <v>161</v>
      </c>
      <c r="Y480" s="5" t="s">
        <v>156</v>
      </c>
      <c r="Z480" s="155">
        <v>237628.25</v>
      </c>
      <c r="AA480" s="164">
        <v>1</v>
      </c>
      <c r="AB480" s="174">
        <v>107.19</v>
      </c>
      <c r="AD480" s="155">
        <v>254.714</v>
      </c>
      <c r="AG480" s="3" t="s">
        <v>36</v>
      </c>
      <c r="AH480" s="166">
        <v>5.8E-4</v>
      </c>
      <c r="AI480" s="166">
        <v>8.1618828863444103E-4</v>
      </c>
      <c r="AJ480" s="166">
        <v>1.3093271529197601E-4</v>
      </c>
    </row>
    <row r="481" spans="1:36">
      <c r="A481" s="3">
        <v>161</v>
      </c>
      <c r="B481" s="3">
        <v>9943</v>
      </c>
      <c r="C481" s="3" t="s">
        <v>614</v>
      </c>
      <c r="D481" s="3" t="s">
        <v>615</v>
      </c>
      <c r="E481" s="5" t="s">
        <v>149</v>
      </c>
      <c r="F481" s="3" t="s">
        <v>897</v>
      </c>
      <c r="G481" s="3" t="s">
        <v>898</v>
      </c>
      <c r="H481" s="3" t="s">
        <v>152</v>
      </c>
      <c r="I481" s="3" t="s">
        <v>153</v>
      </c>
      <c r="J481" s="3" t="s">
        <v>30</v>
      </c>
      <c r="K481" s="3" t="s">
        <v>30</v>
      </c>
      <c r="L481" s="3" t="s">
        <v>154</v>
      </c>
      <c r="M481" s="3" t="s">
        <v>31</v>
      </c>
      <c r="N481" s="3" t="s">
        <v>282</v>
      </c>
      <c r="O481" s="3" t="s">
        <v>156</v>
      </c>
      <c r="P481" s="3" t="s">
        <v>258</v>
      </c>
      <c r="Q481" s="3" t="s">
        <v>169</v>
      </c>
      <c r="R481" s="3" t="s">
        <v>159</v>
      </c>
      <c r="S481" s="3" t="s">
        <v>34</v>
      </c>
      <c r="T481" s="155">
        <v>2.3919999999999999</v>
      </c>
      <c r="U481" s="3" t="s">
        <v>899</v>
      </c>
      <c r="V481" s="166">
        <v>2.8000000000000001E-2</v>
      </c>
      <c r="W481" s="166">
        <v>5.2229999999999999E-2</v>
      </c>
      <c r="X481" s="5" t="s">
        <v>161</v>
      </c>
      <c r="Y481" s="5" t="s">
        <v>156</v>
      </c>
      <c r="Z481" s="155">
        <v>2497279</v>
      </c>
      <c r="AA481" s="164">
        <v>1</v>
      </c>
      <c r="AB481" s="174">
        <v>95.72</v>
      </c>
      <c r="AD481" s="155">
        <v>2390.395</v>
      </c>
      <c r="AG481" s="3" t="s">
        <v>36</v>
      </c>
      <c r="AH481" s="166">
        <v>1.603E-3</v>
      </c>
      <c r="AI481" s="166">
        <v>7.6596296802443403E-3</v>
      </c>
      <c r="AJ481" s="166">
        <v>1.2287558228057101E-3</v>
      </c>
    </row>
    <row r="482" spans="1:36">
      <c r="A482" s="3">
        <v>161</v>
      </c>
      <c r="B482" s="3">
        <v>9943</v>
      </c>
      <c r="C482" s="3" t="s">
        <v>614</v>
      </c>
      <c r="D482" s="3" t="s">
        <v>615</v>
      </c>
      <c r="E482" s="5" t="s">
        <v>149</v>
      </c>
      <c r="F482" s="3" t="s">
        <v>616</v>
      </c>
      <c r="G482" s="3" t="s">
        <v>617</v>
      </c>
      <c r="H482" s="3" t="s">
        <v>152</v>
      </c>
      <c r="I482" s="3" t="s">
        <v>166</v>
      </c>
      <c r="J482" s="3" t="s">
        <v>30</v>
      </c>
      <c r="K482" s="3" t="s">
        <v>30</v>
      </c>
      <c r="L482" s="3" t="s">
        <v>154</v>
      </c>
      <c r="M482" s="3" t="s">
        <v>31</v>
      </c>
      <c r="N482" s="3" t="s">
        <v>282</v>
      </c>
      <c r="O482" s="3" t="s">
        <v>156</v>
      </c>
      <c r="P482" s="3" t="s">
        <v>258</v>
      </c>
      <c r="Q482" s="3" t="s">
        <v>169</v>
      </c>
      <c r="R482" s="3" t="s">
        <v>159</v>
      </c>
      <c r="S482" s="3" t="s">
        <v>34</v>
      </c>
      <c r="T482" s="155">
        <v>1.962</v>
      </c>
      <c r="U482" s="3" t="s">
        <v>618</v>
      </c>
      <c r="V482" s="166">
        <v>3.9E-2</v>
      </c>
      <c r="W482" s="166">
        <v>3.2160000000000001E-2</v>
      </c>
      <c r="X482" s="5" t="s">
        <v>161</v>
      </c>
      <c r="Y482" s="5" t="s">
        <v>156</v>
      </c>
      <c r="Z482" s="155">
        <v>1744718.77</v>
      </c>
      <c r="AA482" s="164">
        <v>1</v>
      </c>
      <c r="AB482" s="174">
        <v>122.88</v>
      </c>
      <c r="AD482" s="155">
        <v>2143.91</v>
      </c>
      <c r="AG482" s="3" t="s">
        <v>36</v>
      </c>
      <c r="AH482" s="166">
        <v>1.2639999999999999E-3</v>
      </c>
      <c r="AI482" s="166">
        <v>6.8698088675717903E-3</v>
      </c>
      <c r="AJ482" s="166">
        <v>1.10205297122431E-3</v>
      </c>
    </row>
    <row r="483" spans="1:36">
      <c r="A483" s="3">
        <v>161</v>
      </c>
      <c r="B483" s="3">
        <v>9943</v>
      </c>
      <c r="C483" s="3" t="s">
        <v>614</v>
      </c>
      <c r="D483" s="3" t="s">
        <v>615</v>
      </c>
      <c r="E483" s="5" t="s">
        <v>149</v>
      </c>
      <c r="F483" s="3" t="s">
        <v>900</v>
      </c>
      <c r="G483" s="3" t="s">
        <v>901</v>
      </c>
      <c r="H483" s="3" t="s">
        <v>152</v>
      </c>
      <c r="I483" s="3" t="s">
        <v>166</v>
      </c>
      <c r="J483" s="3" t="s">
        <v>30</v>
      </c>
      <c r="K483" s="3" t="s">
        <v>30</v>
      </c>
      <c r="L483" s="3" t="s">
        <v>154</v>
      </c>
      <c r="M483" s="3" t="s">
        <v>31</v>
      </c>
      <c r="N483" s="3" t="s">
        <v>282</v>
      </c>
      <c r="O483" s="3" t="s">
        <v>156</v>
      </c>
      <c r="P483" s="3" t="s">
        <v>258</v>
      </c>
      <c r="Q483" s="3" t="s">
        <v>169</v>
      </c>
      <c r="R483" s="3" t="s">
        <v>159</v>
      </c>
      <c r="S483" s="3" t="s">
        <v>34</v>
      </c>
      <c r="T483" s="155">
        <v>3.5430000000000001</v>
      </c>
      <c r="U483" s="3" t="s">
        <v>642</v>
      </c>
      <c r="V483" s="166">
        <v>3.2500000000000001E-2</v>
      </c>
      <c r="W483" s="166">
        <v>3.193E-2</v>
      </c>
      <c r="X483" s="5" t="s">
        <v>161</v>
      </c>
      <c r="Y483" s="5" t="s">
        <v>156</v>
      </c>
      <c r="Z483" s="155">
        <v>1212766.01</v>
      </c>
      <c r="AA483" s="164">
        <v>1</v>
      </c>
      <c r="AB483" s="174">
        <v>119.15</v>
      </c>
      <c r="AD483" s="155">
        <v>1445.011</v>
      </c>
      <c r="AG483" s="3" t="s">
        <v>36</v>
      </c>
      <c r="AH483" s="166">
        <v>3.5509999999999999E-3</v>
      </c>
      <c r="AI483" s="166">
        <v>4.6302994813065702E-3</v>
      </c>
      <c r="AJ483" s="166">
        <v>7.42791451610782E-4</v>
      </c>
    </row>
    <row r="484" spans="1:36">
      <c r="A484" s="3">
        <v>161</v>
      </c>
      <c r="B484" s="3">
        <v>9943</v>
      </c>
      <c r="C484" s="3" t="s">
        <v>902</v>
      </c>
      <c r="D484" s="3" t="s">
        <v>903</v>
      </c>
      <c r="E484" s="5" t="s">
        <v>149</v>
      </c>
      <c r="F484" s="3" t="s">
        <v>904</v>
      </c>
      <c r="G484" s="3" t="s">
        <v>905</v>
      </c>
      <c r="H484" s="3" t="s">
        <v>152</v>
      </c>
      <c r="I484" s="3" t="s">
        <v>153</v>
      </c>
      <c r="J484" s="3" t="s">
        <v>30</v>
      </c>
      <c r="K484" s="3" t="s">
        <v>30</v>
      </c>
      <c r="L484" s="3" t="s">
        <v>154</v>
      </c>
      <c r="M484" s="3" t="s">
        <v>31</v>
      </c>
      <c r="N484" s="3" t="s">
        <v>906</v>
      </c>
      <c r="O484" s="3" t="s">
        <v>156</v>
      </c>
      <c r="P484" s="3" t="s">
        <v>179</v>
      </c>
      <c r="Q484" s="3" t="s">
        <v>169</v>
      </c>
      <c r="R484" s="3" t="s">
        <v>159</v>
      </c>
      <c r="S484" s="3" t="s">
        <v>34</v>
      </c>
      <c r="T484" s="155">
        <v>5.2619999999999996</v>
      </c>
      <c r="U484" s="3" t="s">
        <v>907</v>
      </c>
      <c r="V484" s="166">
        <v>2.3400000000000001E-2</v>
      </c>
      <c r="W484" s="166">
        <v>4.7940000000000003E-2</v>
      </c>
      <c r="X484" s="5" t="s">
        <v>161</v>
      </c>
      <c r="Y484" s="5" t="s">
        <v>156</v>
      </c>
      <c r="Z484" s="155">
        <v>958139.75</v>
      </c>
      <c r="AA484" s="164">
        <v>1</v>
      </c>
      <c r="AB484" s="174">
        <v>88.72</v>
      </c>
      <c r="AD484" s="155">
        <v>850.06200000000001</v>
      </c>
      <c r="AG484" s="3" t="s">
        <v>36</v>
      </c>
      <c r="AH484" s="166">
        <v>1.047E-3</v>
      </c>
      <c r="AI484" s="166">
        <v>2.7238827499119198E-3</v>
      </c>
      <c r="AJ484" s="166">
        <v>4.3696457000092702E-4</v>
      </c>
    </row>
    <row r="485" spans="1:36">
      <c r="A485" s="3">
        <v>161</v>
      </c>
      <c r="B485" s="3">
        <v>9943</v>
      </c>
      <c r="C485" s="3" t="s">
        <v>429</v>
      </c>
      <c r="D485" s="3" t="s">
        <v>430</v>
      </c>
      <c r="E485" s="5" t="s">
        <v>149</v>
      </c>
      <c r="F485" s="3" t="s">
        <v>908</v>
      </c>
      <c r="G485" s="3" t="s">
        <v>909</v>
      </c>
      <c r="H485" s="3" t="s">
        <v>152</v>
      </c>
      <c r="I485" s="3" t="s">
        <v>486</v>
      </c>
      <c r="J485" s="3" t="s">
        <v>30</v>
      </c>
      <c r="K485" s="3" t="s">
        <v>30</v>
      </c>
      <c r="L485" s="3" t="s">
        <v>154</v>
      </c>
      <c r="M485" s="3" t="s">
        <v>31</v>
      </c>
      <c r="N485" s="3" t="s">
        <v>491</v>
      </c>
      <c r="O485" s="3" t="s">
        <v>156</v>
      </c>
      <c r="P485" s="3" t="s">
        <v>492</v>
      </c>
      <c r="Q485" s="3" t="s">
        <v>493</v>
      </c>
      <c r="R485" s="3" t="s">
        <v>159</v>
      </c>
      <c r="S485" s="3" t="s">
        <v>86</v>
      </c>
      <c r="T485" s="155">
        <v>1.2649999999999999</v>
      </c>
      <c r="U485" s="3" t="s">
        <v>910</v>
      </c>
      <c r="V485" s="166">
        <v>3.2550000000000003E-2</v>
      </c>
      <c r="W485" s="166">
        <v>5.6849999999999998E-2</v>
      </c>
      <c r="X485" s="5" t="s">
        <v>161</v>
      </c>
      <c r="Y485" s="5" t="s">
        <v>156</v>
      </c>
      <c r="Z485" s="155">
        <v>500000</v>
      </c>
      <c r="AA485" s="164">
        <v>3.306</v>
      </c>
      <c r="AB485" s="174">
        <v>98.194000000000003</v>
      </c>
      <c r="AD485" s="155">
        <v>1623.153</v>
      </c>
      <c r="AG485" s="3" t="s">
        <v>36</v>
      </c>
      <c r="AH485" s="166">
        <v>5.0000000000000001E-4</v>
      </c>
      <c r="AI485" s="166">
        <v>5.2011272830300003E-3</v>
      </c>
      <c r="AJ485" s="166">
        <v>8.3436350071338001E-4</v>
      </c>
    </row>
    <row r="486" spans="1:36">
      <c r="A486" s="3">
        <v>161</v>
      </c>
      <c r="B486" s="3">
        <v>9943</v>
      </c>
      <c r="C486" s="3" t="s">
        <v>321</v>
      </c>
      <c r="D486" s="3" t="s">
        <v>322</v>
      </c>
      <c r="E486" s="5" t="s">
        <v>149</v>
      </c>
      <c r="F486" s="3" t="s">
        <v>489</v>
      </c>
      <c r="G486" s="3" t="s">
        <v>490</v>
      </c>
      <c r="H486" s="3" t="s">
        <v>152</v>
      </c>
      <c r="I486" s="3" t="s">
        <v>486</v>
      </c>
      <c r="J486" s="3" t="s">
        <v>30</v>
      </c>
      <c r="K486" s="3" t="s">
        <v>30</v>
      </c>
      <c r="L486" s="3" t="s">
        <v>154</v>
      </c>
      <c r="M486" s="3" t="s">
        <v>31</v>
      </c>
      <c r="N486" s="3" t="s">
        <v>491</v>
      </c>
      <c r="O486" s="3" t="s">
        <v>156</v>
      </c>
      <c r="P486" s="3" t="s">
        <v>492</v>
      </c>
      <c r="Q486" s="3" t="s">
        <v>493</v>
      </c>
      <c r="R486" s="3" t="s">
        <v>159</v>
      </c>
      <c r="S486" s="3" t="s">
        <v>86</v>
      </c>
      <c r="T486" s="155">
        <v>4.6920000000000002</v>
      </c>
      <c r="U486" s="3" t="s">
        <v>494</v>
      </c>
      <c r="V486" s="166">
        <v>3.2750000000000001E-2</v>
      </c>
      <c r="W486" s="166">
        <v>5.3719999999999997E-2</v>
      </c>
      <c r="X486" s="5" t="s">
        <v>161</v>
      </c>
      <c r="Y486" s="5" t="s">
        <v>156</v>
      </c>
      <c r="Z486" s="155">
        <v>536000</v>
      </c>
      <c r="AA486" s="164">
        <v>3.306</v>
      </c>
      <c r="AB486" s="174">
        <v>99.813000000000002</v>
      </c>
      <c r="AD486" s="155">
        <v>1768.7080000000001</v>
      </c>
      <c r="AG486" s="3" t="s">
        <v>36</v>
      </c>
      <c r="AH486" s="166">
        <v>7.1500000000000003E-4</v>
      </c>
      <c r="AI486" s="166">
        <v>5.6675346019962602E-3</v>
      </c>
      <c r="AJ486" s="166">
        <v>9.0918444283505004E-4</v>
      </c>
    </row>
    <row r="487" spans="1:36">
      <c r="A487" s="3">
        <v>161</v>
      </c>
      <c r="B487" s="3">
        <v>9943</v>
      </c>
      <c r="C487" s="3" t="s">
        <v>495</v>
      </c>
      <c r="D487" s="3" t="s">
        <v>496</v>
      </c>
      <c r="E487" s="5" t="s">
        <v>149</v>
      </c>
      <c r="F487" s="3" t="s">
        <v>497</v>
      </c>
      <c r="G487" s="3" t="s">
        <v>498</v>
      </c>
      <c r="H487" s="3" t="s">
        <v>152</v>
      </c>
      <c r="I487" s="3" t="s">
        <v>486</v>
      </c>
      <c r="J487" s="3" t="s">
        <v>81</v>
      </c>
      <c r="K487" s="3" t="s">
        <v>30</v>
      </c>
      <c r="L487" s="3" t="s">
        <v>154</v>
      </c>
      <c r="M487" s="3" t="s">
        <v>131</v>
      </c>
      <c r="N487" s="3" t="s">
        <v>491</v>
      </c>
      <c r="O487" s="3" t="s">
        <v>156</v>
      </c>
      <c r="P487" s="3" t="s">
        <v>492</v>
      </c>
      <c r="Q487" s="3" t="s">
        <v>493</v>
      </c>
      <c r="R487" s="3" t="s">
        <v>159</v>
      </c>
      <c r="S487" s="3" t="s">
        <v>86</v>
      </c>
      <c r="T487" s="155">
        <v>4.8289999999999997</v>
      </c>
      <c r="U487" s="3" t="s">
        <v>499</v>
      </c>
      <c r="V487" s="166">
        <v>3.0769999999999999E-2</v>
      </c>
      <c r="W487" s="166">
        <v>6.0100000000000001E-2</v>
      </c>
      <c r="X487" s="5" t="s">
        <v>161</v>
      </c>
      <c r="Y487" s="5" t="s">
        <v>156</v>
      </c>
      <c r="Z487" s="155">
        <v>86000</v>
      </c>
      <c r="AA487" s="164">
        <v>3.306</v>
      </c>
      <c r="AB487" s="174">
        <v>100.04</v>
      </c>
      <c r="AD487" s="155">
        <v>284.42899999999997</v>
      </c>
      <c r="AG487" s="3" t="s">
        <v>36</v>
      </c>
      <c r="AH487" s="166">
        <v>1.4300000000000001E-4</v>
      </c>
      <c r="AI487" s="166">
        <v>9.1140533546576401E-4</v>
      </c>
      <c r="AJ487" s="166">
        <v>1.4620740944933401E-4</v>
      </c>
    </row>
    <row r="488" spans="1:36">
      <c r="A488" s="3">
        <v>161</v>
      </c>
      <c r="B488" s="3">
        <v>9943</v>
      </c>
      <c r="C488" s="3" t="s">
        <v>911</v>
      </c>
      <c r="D488" s="3" t="s">
        <v>912</v>
      </c>
      <c r="E488" s="5" t="s">
        <v>913</v>
      </c>
      <c r="F488" s="3" t="s">
        <v>914</v>
      </c>
      <c r="G488" s="3" t="s">
        <v>915</v>
      </c>
      <c r="H488" s="3" t="s">
        <v>152</v>
      </c>
      <c r="I488" s="3" t="s">
        <v>153</v>
      </c>
      <c r="J488" s="3" t="s">
        <v>30</v>
      </c>
      <c r="K488" s="3" t="s">
        <v>30</v>
      </c>
      <c r="L488" s="3" t="s">
        <v>131</v>
      </c>
      <c r="M488" s="3" t="s">
        <v>31</v>
      </c>
      <c r="N488" s="3" t="s">
        <v>238</v>
      </c>
      <c r="O488" s="3" t="s">
        <v>156</v>
      </c>
      <c r="P488" s="3" t="s">
        <v>916</v>
      </c>
      <c r="Q488" s="3" t="s">
        <v>158</v>
      </c>
      <c r="R488" s="3" t="s">
        <v>159</v>
      </c>
      <c r="S488" s="3" t="s">
        <v>34</v>
      </c>
      <c r="T488" s="155">
        <v>6.18</v>
      </c>
      <c r="U488" s="3" t="s">
        <v>917</v>
      </c>
      <c r="V488" s="166">
        <v>7.0000000000000007E-2</v>
      </c>
      <c r="W488" s="166">
        <v>1E-4</v>
      </c>
      <c r="X488" s="5" t="s">
        <v>918</v>
      </c>
      <c r="Y488" s="5" t="s">
        <v>156</v>
      </c>
      <c r="Z488" s="155">
        <v>145534.70000000001</v>
      </c>
      <c r="AA488" s="164">
        <v>1</v>
      </c>
      <c r="AB488" s="174">
        <v>0</v>
      </c>
      <c r="AD488" s="155">
        <v>0</v>
      </c>
      <c r="AG488" s="3" t="s">
        <v>36</v>
      </c>
      <c r="AH488" s="166">
        <v>0</v>
      </c>
      <c r="AI488" s="166">
        <v>4.66342045422504E-12</v>
      </c>
      <c r="AJ488" s="166">
        <v>7.4810470956573602E-13</v>
      </c>
    </row>
    <row r="489" spans="1:36">
      <c r="A489" s="3">
        <v>161</v>
      </c>
      <c r="B489" s="3">
        <v>9943</v>
      </c>
      <c r="C489" s="3" t="s">
        <v>919</v>
      </c>
      <c r="D489" s="3" t="s">
        <v>920</v>
      </c>
      <c r="E489" s="5" t="s">
        <v>913</v>
      </c>
      <c r="F489" s="3" t="s">
        <v>921</v>
      </c>
      <c r="G489" s="3" t="s">
        <v>922</v>
      </c>
      <c r="H489" s="3" t="s">
        <v>152</v>
      </c>
      <c r="I489" s="3" t="s">
        <v>486</v>
      </c>
      <c r="J489" s="3" t="s">
        <v>30</v>
      </c>
      <c r="K489" s="3" t="s">
        <v>30</v>
      </c>
      <c r="L489" s="3" t="s">
        <v>154</v>
      </c>
      <c r="M489" s="3" t="s">
        <v>31</v>
      </c>
      <c r="N489" s="3" t="s">
        <v>923</v>
      </c>
      <c r="O489" s="3" t="s">
        <v>156</v>
      </c>
      <c r="P489" s="3" t="s">
        <v>185</v>
      </c>
      <c r="Q489" s="3" t="s">
        <v>169</v>
      </c>
      <c r="R489" s="3" t="s">
        <v>159</v>
      </c>
      <c r="S489" s="3" t="s">
        <v>34</v>
      </c>
      <c r="T489" s="155">
        <v>0.23799999999999999</v>
      </c>
      <c r="U489" s="3" t="s">
        <v>924</v>
      </c>
      <c r="V489" s="166">
        <v>3.3700000000000001E-2</v>
      </c>
      <c r="W489" s="166">
        <v>4.2389999999999997E-2</v>
      </c>
      <c r="X489" s="5" t="s">
        <v>161</v>
      </c>
      <c r="Y489" s="5" t="s">
        <v>156</v>
      </c>
      <c r="Z489" s="155">
        <v>119632.67</v>
      </c>
      <c r="AA489" s="164">
        <v>1</v>
      </c>
      <c r="AB489" s="174">
        <v>93.85</v>
      </c>
      <c r="AD489" s="155">
        <v>112.27500000000001</v>
      </c>
      <c r="AG489" s="3" t="s">
        <v>36</v>
      </c>
      <c r="AH489" s="166">
        <v>1.709E-3</v>
      </c>
      <c r="AI489" s="166">
        <v>3.5976763458807598E-4</v>
      </c>
      <c r="AJ489" s="166">
        <v>5.7713831387607699E-5</v>
      </c>
    </row>
    <row r="490" spans="1:36">
      <c r="A490" s="3">
        <v>161</v>
      </c>
      <c r="B490" s="3">
        <v>12468</v>
      </c>
      <c r="C490" s="3" t="s">
        <v>162</v>
      </c>
      <c r="D490" s="3" t="s">
        <v>163</v>
      </c>
      <c r="E490" s="5" t="s">
        <v>149</v>
      </c>
      <c r="F490" s="3" t="s">
        <v>164</v>
      </c>
      <c r="G490" s="3" t="s">
        <v>165</v>
      </c>
      <c r="H490" s="3" t="s">
        <v>152</v>
      </c>
      <c r="I490" s="3" t="s">
        <v>166</v>
      </c>
      <c r="J490" s="3" t="s">
        <v>30</v>
      </c>
      <c r="K490" s="3" t="s">
        <v>30</v>
      </c>
      <c r="L490" s="3" t="s">
        <v>154</v>
      </c>
      <c r="M490" s="3" t="s">
        <v>31</v>
      </c>
      <c r="N490" s="3" t="s">
        <v>167</v>
      </c>
      <c r="O490" s="3" t="s">
        <v>156</v>
      </c>
      <c r="P490" s="3" t="s">
        <v>168</v>
      </c>
      <c r="Q490" s="3" t="s">
        <v>169</v>
      </c>
      <c r="R490" s="3" t="s">
        <v>159</v>
      </c>
      <c r="S490" s="3" t="s">
        <v>34</v>
      </c>
      <c r="T490" s="155">
        <v>1.7490000000000001</v>
      </c>
      <c r="U490" s="3" t="s">
        <v>170</v>
      </c>
      <c r="V490" s="166">
        <v>2.3400000000000001E-2</v>
      </c>
      <c r="W490" s="166">
        <v>2.9860000000000001E-2</v>
      </c>
      <c r="X490" s="5" t="s">
        <v>161</v>
      </c>
      <c r="Y490" s="5" t="s">
        <v>156</v>
      </c>
      <c r="Z490" s="155">
        <v>15740.74</v>
      </c>
      <c r="AA490" s="164">
        <v>1</v>
      </c>
      <c r="AB490" s="174">
        <v>118.73</v>
      </c>
      <c r="AD490" s="155">
        <v>18.689</v>
      </c>
      <c r="AG490" s="3" t="s">
        <v>36</v>
      </c>
      <c r="AH490" s="166">
        <v>1.0000000000000001E-5</v>
      </c>
      <c r="AI490" s="166">
        <v>0.102501449196909</v>
      </c>
      <c r="AJ490" s="166">
        <v>7.8583165479743802E-4</v>
      </c>
    </row>
    <row r="491" spans="1:36">
      <c r="A491" s="3">
        <v>161</v>
      </c>
      <c r="B491" s="3">
        <v>12468</v>
      </c>
      <c r="C491" s="3" t="s">
        <v>196</v>
      </c>
      <c r="D491" s="3" t="s">
        <v>197</v>
      </c>
      <c r="E491" s="5" t="s">
        <v>149</v>
      </c>
      <c r="F491" s="3" t="s">
        <v>198</v>
      </c>
      <c r="G491" s="3" t="s">
        <v>199</v>
      </c>
      <c r="H491" s="3" t="s">
        <v>152</v>
      </c>
      <c r="I491" s="3" t="s">
        <v>166</v>
      </c>
      <c r="J491" s="3" t="s">
        <v>30</v>
      </c>
      <c r="K491" s="3" t="s">
        <v>30</v>
      </c>
      <c r="L491" s="3" t="s">
        <v>154</v>
      </c>
      <c r="M491" s="3" t="s">
        <v>31</v>
      </c>
      <c r="N491" s="3" t="s">
        <v>167</v>
      </c>
      <c r="O491" s="3" t="s">
        <v>156</v>
      </c>
      <c r="P491" s="3" t="s">
        <v>168</v>
      </c>
      <c r="Q491" s="3" t="s">
        <v>169</v>
      </c>
      <c r="R491" s="3" t="s">
        <v>159</v>
      </c>
      <c r="S491" s="3" t="s">
        <v>34</v>
      </c>
      <c r="T491" s="155">
        <v>2.6160000000000001</v>
      </c>
      <c r="U491" s="3" t="s">
        <v>200</v>
      </c>
      <c r="V491" s="166">
        <v>1.14E-2</v>
      </c>
      <c r="W491" s="166">
        <v>2.895E-2</v>
      </c>
      <c r="X491" s="5" t="s">
        <v>161</v>
      </c>
      <c r="Y491" s="5" t="s">
        <v>156</v>
      </c>
      <c r="Z491" s="155">
        <v>27000</v>
      </c>
      <c r="AA491" s="164">
        <v>1</v>
      </c>
      <c r="AB491" s="174">
        <v>111.73</v>
      </c>
      <c r="AC491" s="155">
        <v>3.9060000000000001</v>
      </c>
      <c r="AD491" s="155">
        <v>34.073</v>
      </c>
      <c r="AG491" s="3" t="s">
        <v>36</v>
      </c>
      <c r="AH491" s="166">
        <v>1.1E-5</v>
      </c>
      <c r="AI491" s="166">
        <v>0.18687817721568301</v>
      </c>
      <c r="AJ491" s="166">
        <v>1.43270937530665E-3</v>
      </c>
    </row>
    <row r="492" spans="1:36">
      <c r="A492" s="3">
        <v>161</v>
      </c>
      <c r="B492" s="3">
        <v>12468</v>
      </c>
      <c r="C492" s="3" t="s">
        <v>162</v>
      </c>
      <c r="D492" s="3" t="s">
        <v>163</v>
      </c>
      <c r="E492" s="5" t="s">
        <v>149</v>
      </c>
      <c r="F492" s="3" t="s">
        <v>215</v>
      </c>
      <c r="G492" s="3" t="s">
        <v>216</v>
      </c>
      <c r="H492" s="3" t="s">
        <v>152</v>
      </c>
      <c r="I492" s="3" t="s">
        <v>166</v>
      </c>
      <c r="J492" s="3" t="s">
        <v>30</v>
      </c>
      <c r="K492" s="3" t="s">
        <v>30</v>
      </c>
      <c r="L492" s="3" t="s">
        <v>154</v>
      </c>
      <c r="M492" s="3" t="s">
        <v>31</v>
      </c>
      <c r="N492" s="3" t="s">
        <v>167</v>
      </c>
      <c r="O492" s="3" t="s">
        <v>156</v>
      </c>
      <c r="P492" s="3" t="s">
        <v>168</v>
      </c>
      <c r="Q492" s="3" t="s">
        <v>169</v>
      </c>
      <c r="R492" s="3" t="s">
        <v>159</v>
      </c>
      <c r="S492" s="3" t="s">
        <v>34</v>
      </c>
      <c r="T492" s="155">
        <v>4.8460000000000001</v>
      </c>
      <c r="U492" s="3" t="s">
        <v>217</v>
      </c>
      <c r="V492" s="166">
        <v>6.4999999999999997E-3</v>
      </c>
      <c r="W492" s="166">
        <v>2.8850000000000001E-2</v>
      </c>
      <c r="X492" s="5" t="s">
        <v>161</v>
      </c>
      <c r="Y492" s="5" t="s">
        <v>156</v>
      </c>
      <c r="Z492" s="155">
        <v>14811.87</v>
      </c>
      <c r="AA492" s="164">
        <v>1</v>
      </c>
      <c r="AB492" s="174">
        <v>105.89</v>
      </c>
      <c r="AD492" s="155">
        <v>15.683999999999999</v>
      </c>
      <c r="AG492" s="3" t="s">
        <v>36</v>
      </c>
      <c r="AH492" s="166">
        <v>6.9999999999999999E-6</v>
      </c>
      <c r="AI492" s="166">
        <v>8.6021939934423003E-2</v>
      </c>
      <c r="AJ492" s="166">
        <v>6.5949080659039201E-4</v>
      </c>
    </row>
    <row r="493" spans="1:36">
      <c r="A493" s="3">
        <v>161</v>
      </c>
      <c r="B493" s="3">
        <v>12468</v>
      </c>
      <c r="C493" s="3" t="s">
        <v>516</v>
      </c>
      <c r="D493" s="3" t="s">
        <v>517</v>
      </c>
      <c r="E493" s="5" t="s">
        <v>149</v>
      </c>
      <c r="F493" s="3" t="s">
        <v>518</v>
      </c>
      <c r="G493" s="3" t="s">
        <v>519</v>
      </c>
      <c r="H493" s="3" t="s">
        <v>152</v>
      </c>
      <c r="I493" s="3" t="s">
        <v>153</v>
      </c>
      <c r="J493" s="3" t="s">
        <v>30</v>
      </c>
      <c r="K493" s="3" t="s">
        <v>30</v>
      </c>
      <c r="L493" s="3" t="s">
        <v>154</v>
      </c>
      <c r="M493" s="3" t="s">
        <v>31</v>
      </c>
      <c r="N493" s="3" t="s">
        <v>167</v>
      </c>
      <c r="O493" s="3" t="s">
        <v>156</v>
      </c>
      <c r="P493" s="3" t="s">
        <v>168</v>
      </c>
      <c r="Q493" s="3" t="s">
        <v>169</v>
      </c>
      <c r="R493" s="3" t="s">
        <v>159</v>
      </c>
      <c r="S493" s="3" t="s">
        <v>34</v>
      </c>
      <c r="T493" s="155">
        <v>4.5410000000000004</v>
      </c>
      <c r="U493" s="3" t="s">
        <v>476</v>
      </c>
      <c r="V493" s="166">
        <v>2.5499999999999998E-2</v>
      </c>
      <c r="W493" s="166">
        <v>4.9320000000000003E-2</v>
      </c>
      <c r="X493" s="5" t="s">
        <v>161</v>
      </c>
      <c r="Y493" s="5" t="s">
        <v>156</v>
      </c>
      <c r="Z493" s="155">
        <v>38461.54</v>
      </c>
      <c r="AA493" s="164">
        <v>1</v>
      </c>
      <c r="AB493" s="174">
        <v>90.63</v>
      </c>
      <c r="AD493" s="155">
        <v>34.857999999999997</v>
      </c>
      <c r="AG493" s="3" t="s">
        <v>36</v>
      </c>
      <c r="AH493" s="166">
        <v>1.4E-5</v>
      </c>
      <c r="AI493" s="166">
        <v>0.19118025729742599</v>
      </c>
      <c r="AJ493" s="166">
        <v>1.4656914524986699E-3</v>
      </c>
    </row>
    <row r="494" spans="1:36">
      <c r="A494" s="3">
        <v>161</v>
      </c>
      <c r="B494" s="3">
        <v>12468</v>
      </c>
      <c r="C494" s="3" t="s">
        <v>388</v>
      </c>
      <c r="D494" s="3" t="s">
        <v>389</v>
      </c>
      <c r="E494" s="5" t="s">
        <v>149</v>
      </c>
      <c r="F494" s="3" t="s">
        <v>390</v>
      </c>
      <c r="G494" s="3" t="s">
        <v>391</v>
      </c>
      <c r="H494" s="3" t="s">
        <v>152</v>
      </c>
      <c r="I494" s="3" t="s">
        <v>166</v>
      </c>
      <c r="J494" s="3" t="s">
        <v>30</v>
      </c>
      <c r="K494" s="3" t="s">
        <v>30</v>
      </c>
      <c r="L494" s="3" t="s">
        <v>154</v>
      </c>
      <c r="M494" s="3" t="s">
        <v>31</v>
      </c>
      <c r="N494" s="3" t="s">
        <v>392</v>
      </c>
      <c r="O494" s="3" t="s">
        <v>156</v>
      </c>
      <c r="P494" s="3" t="s">
        <v>359</v>
      </c>
      <c r="Q494" s="3" t="s">
        <v>158</v>
      </c>
      <c r="R494" s="3" t="s">
        <v>159</v>
      </c>
      <c r="S494" s="3" t="s">
        <v>34</v>
      </c>
      <c r="T494" s="155">
        <v>2.7869999999999999</v>
      </c>
      <c r="U494" s="3" t="s">
        <v>393</v>
      </c>
      <c r="V494" s="166">
        <v>0.01</v>
      </c>
      <c r="W494" s="166">
        <v>3.2149999999999998E-2</v>
      </c>
      <c r="X494" s="5" t="s">
        <v>161</v>
      </c>
      <c r="Y494" s="5" t="s">
        <v>156</v>
      </c>
      <c r="Z494" s="155">
        <v>10698.18</v>
      </c>
      <c r="AA494" s="164">
        <v>1</v>
      </c>
      <c r="AB494" s="174">
        <v>109.08</v>
      </c>
      <c r="AD494" s="155">
        <v>11.67</v>
      </c>
      <c r="AG494" s="3" t="s">
        <v>36</v>
      </c>
      <c r="AH494" s="166">
        <v>6.0000000000000002E-6</v>
      </c>
      <c r="AI494" s="166">
        <v>6.4002866086962401E-2</v>
      </c>
      <c r="AJ494" s="166">
        <v>4.90680654400088E-4</v>
      </c>
    </row>
    <row r="495" spans="1:36">
      <c r="A495" s="3">
        <v>161</v>
      </c>
      <c r="B495" s="3">
        <v>12468</v>
      </c>
      <c r="C495" s="3" t="s">
        <v>829</v>
      </c>
      <c r="D495" s="3" t="s">
        <v>830</v>
      </c>
      <c r="E495" s="5" t="s">
        <v>149</v>
      </c>
      <c r="F495" s="3" t="s">
        <v>925</v>
      </c>
      <c r="G495" s="3" t="s">
        <v>926</v>
      </c>
      <c r="H495" s="3" t="s">
        <v>152</v>
      </c>
      <c r="I495" s="3" t="s">
        <v>166</v>
      </c>
      <c r="J495" s="3" t="s">
        <v>30</v>
      </c>
      <c r="K495" s="3" t="s">
        <v>30</v>
      </c>
      <c r="L495" s="3" t="s">
        <v>154</v>
      </c>
      <c r="M495" s="3" t="s">
        <v>31</v>
      </c>
      <c r="N495" s="3" t="s">
        <v>167</v>
      </c>
      <c r="O495" s="3" t="s">
        <v>156</v>
      </c>
      <c r="P495" s="3" t="s">
        <v>258</v>
      </c>
      <c r="Q495" s="3" t="s">
        <v>169</v>
      </c>
      <c r="R495" s="3" t="s">
        <v>159</v>
      </c>
      <c r="S495" s="3" t="s">
        <v>34</v>
      </c>
      <c r="T495" s="155">
        <v>0.23599999999999999</v>
      </c>
      <c r="U495" s="3" t="s">
        <v>927</v>
      </c>
      <c r="V495" s="166">
        <v>4.9500000000000002E-2</v>
      </c>
      <c r="W495" s="166">
        <v>7.041E-2</v>
      </c>
      <c r="X495" s="5" t="s">
        <v>161</v>
      </c>
      <c r="Y495" s="5" t="s">
        <v>156</v>
      </c>
      <c r="Z495" s="155">
        <v>6666.68</v>
      </c>
      <c r="AA495" s="164">
        <v>1</v>
      </c>
      <c r="AB495" s="174">
        <v>144.53</v>
      </c>
      <c r="AD495" s="155">
        <v>9.6349999999999998</v>
      </c>
      <c r="AG495" s="3" t="s">
        <v>36</v>
      </c>
      <c r="AH495" s="166">
        <v>3.0000000000000001E-5</v>
      </c>
      <c r="AI495" s="166">
        <v>5.2845985902918398E-2</v>
      </c>
      <c r="AJ495" s="166">
        <v>4.0514596502646199E-4</v>
      </c>
    </row>
    <row r="496" spans="1:36">
      <c r="A496" s="3">
        <v>161</v>
      </c>
      <c r="B496" s="3">
        <v>12468</v>
      </c>
      <c r="C496" s="3" t="s">
        <v>420</v>
      </c>
      <c r="D496" s="3" t="s">
        <v>421</v>
      </c>
      <c r="E496" s="5" t="s">
        <v>149</v>
      </c>
      <c r="F496" s="3" t="s">
        <v>422</v>
      </c>
      <c r="G496" s="3" t="s">
        <v>423</v>
      </c>
      <c r="H496" s="3" t="s">
        <v>152</v>
      </c>
      <c r="I496" s="3" t="s">
        <v>166</v>
      </c>
      <c r="J496" s="3" t="s">
        <v>30</v>
      </c>
      <c r="K496" s="3" t="s">
        <v>30</v>
      </c>
      <c r="L496" s="3" t="s">
        <v>154</v>
      </c>
      <c r="M496" s="3" t="s">
        <v>31</v>
      </c>
      <c r="N496" s="3" t="s">
        <v>167</v>
      </c>
      <c r="O496" s="3" t="s">
        <v>156</v>
      </c>
      <c r="P496" s="3" t="s">
        <v>424</v>
      </c>
      <c r="Q496" s="3" t="s">
        <v>169</v>
      </c>
      <c r="R496" s="3" t="s">
        <v>159</v>
      </c>
      <c r="S496" s="3" t="s">
        <v>34</v>
      </c>
      <c r="T496" s="155">
        <v>2.4140000000000001</v>
      </c>
      <c r="U496" s="3" t="s">
        <v>425</v>
      </c>
      <c r="V496" s="166">
        <v>1.34E-2</v>
      </c>
      <c r="W496" s="166">
        <v>2.8539999999999999E-2</v>
      </c>
      <c r="X496" s="5" t="s">
        <v>161</v>
      </c>
      <c r="Y496" s="5" t="s">
        <v>156</v>
      </c>
      <c r="Z496" s="155">
        <v>16666.650000000001</v>
      </c>
      <c r="AA496" s="164">
        <v>1</v>
      </c>
      <c r="AB496" s="174">
        <v>116.33</v>
      </c>
      <c r="AD496" s="155">
        <v>19.388000000000002</v>
      </c>
      <c r="AG496" s="3" t="s">
        <v>36</v>
      </c>
      <c r="AH496" s="166">
        <v>7.9999999999999996E-6</v>
      </c>
      <c r="AI496" s="166">
        <v>0.10633700784271</v>
      </c>
      <c r="AJ496" s="166">
        <v>8.1523712585485303E-4</v>
      </c>
    </row>
    <row r="497" spans="1:36">
      <c r="A497" s="3">
        <v>161</v>
      </c>
      <c r="B497" s="3">
        <v>12468</v>
      </c>
      <c r="C497" s="3" t="s">
        <v>429</v>
      </c>
      <c r="D497" s="3" t="s">
        <v>430</v>
      </c>
      <c r="E497" s="5" t="s">
        <v>149</v>
      </c>
      <c r="F497" s="3" t="s">
        <v>442</v>
      </c>
      <c r="G497" s="3" t="s">
        <v>443</v>
      </c>
      <c r="H497" s="3" t="s">
        <v>152</v>
      </c>
      <c r="I497" s="3" t="s">
        <v>166</v>
      </c>
      <c r="J497" s="3" t="s">
        <v>30</v>
      </c>
      <c r="K497" s="3" t="s">
        <v>30</v>
      </c>
      <c r="L497" s="3" t="s">
        <v>154</v>
      </c>
      <c r="M497" s="3" t="s">
        <v>31</v>
      </c>
      <c r="N497" s="3" t="s">
        <v>245</v>
      </c>
      <c r="O497" s="3" t="s">
        <v>156</v>
      </c>
      <c r="P497" s="3" t="s">
        <v>246</v>
      </c>
      <c r="Q497" s="3" t="s">
        <v>169</v>
      </c>
      <c r="R497" s="3" t="s">
        <v>159</v>
      </c>
      <c r="S497" s="3" t="s">
        <v>34</v>
      </c>
      <c r="T497" s="155">
        <v>2.5369999999999999</v>
      </c>
      <c r="U497" s="3" t="s">
        <v>444</v>
      </c>
      <c r="V497" s="166">
        <v>1.7500000000000002E-2</v>
      </c>
      <c r="W497" s="166">
        <v>2.5860000000000001E-2</v>
      </c>
      <c r="X497" s="5" t="s">
        <v>161</v>
      </c>
      <c r="Y497" s="5" t="s">
        <v>156</v>
      </c>
      <c r="Z497" s="155">
        <v>21431.02</v>
      </c>
      <c r="AA497" s="164">
        <v>1</v>
      </c>
      <c r="AB497" s="174">
        <v>117.2</v>
      </c>
      <c r="AD497" s="155">
        <v>25.117000000000001</v>
      </c>
      <c r="AG497" s="3" t="s">
        <v>36</v>
      </c>
      <c r="AH497" s="166">
        <v>1.0000000000000001E-5</v>
      </c>
      <c r="AI497" s="166">
        <v>0.13775737088776799</v>
      </c>
      <c r="AJ497" s="166">
        <v>1.05612265556675E-3</v>
      </c>
    </row>
    <row r="498" spans="1:36">
      <c r="A498" s="3">
        <v>161</v>
      </c>
      <c r="B498" s="3">
        <v>12468</v>
      </c>
      <c r="C498" s="3" t="s">
        <v>321</v>
      </c>
      <c r="D498" s="3" t="s">
        <v>322</v>
      </c>
      <c r="E498" s="5" t="s">
        <v>149</v>
      </c>
      <c r="F498" s="3" t="s">
        <v>489</v>
      </c>
      <c r="G498" s="3" t="s">
        <v>490</v>
      </c>
      <c r="H498" s="3" t="s">
        <v>152</v>
      </c>
      <c r="I498" s="3" t="s">
        <v>486</v>
      </c>
      <c r="J498" s="3" t="s">
        <v>30</v>
      </c>
      <c r="K498" s="3" t="s">
        <v>30</v>
      </c>
      <c r="L498" s="3" t="s">
        <v>154</v>
      </c>
      <c r="M498" s="3" t="s">
        <v>31</v>
      </c>
      <c r="N498" s="3" t="s">
        <v>491</v>
      </c>
      <c r="O498" s="3" t="s">
        <v>156</v>
      </c>
      <c r="P498" s="3" t="s">
        <v>492</v>
      </c>
      <c r="Q498" s="3" t="s">
        <v>493</v>
      </c>
      <c r="R498" s="3" t="s">
        <v>159</v>
      </c>
      <c r="S498" s="3" t="s">
        <v>86</v>
      </c>
      <c r="T498" s="155">
        <v>4.6920000000000002</v>
      </c>
      <c r="U498" s="3" t="s">
        <v>494</v>
      </c>
      <c r="V498" s="166">
        <v>3.2750000000000001E-2</v>
      </c>
      <c r="W498" s="166">
        <v>5.3719999999999997E-2</v>
      </c>
      <c r="X498" s="5" t="s">
        <v>161</v>
      </c>
      <c r="Y498" s="5" t="s">
        <v>156</v>
      </c>
      <c r="Z498" s="155">
        <v>2000</v>
      </c>
      <c r="AA498" s="164">
        <v>3.306</v>
      </c>
      <c r="AB498" s="174">
        <v>99.813000000000002</v>
      </c>
      <c r="AD498" s="155">
        <v>6.6</v>
      </c>
      <c r="AG498" s="3" t="s">
        <v>36</v>
      </c>
      <c r="AH498" s="166">
        <v>3.0000000000000001E-6</v>
      </c>
      <c r="AI498" s="166">
        <v>3.6196431797499998E-2</v>
      </c>
      <c r="AJ498" s="166">
        <v>2.7750146090666102E-4</v>
      </c>
    </row>
    <row r="499" spans="1:36">
      <c r="A499" s="3">
        <v>161</v>
      </c>
      <c r="B499" s="3">
        <v>12468</v>
      </c>
      <c r="C499" s="3" t="s">
        <v>495</v>
      </c>
      <c r="D499" s="3" t="s">
        <v>496</v>
      </c>
      <c r="E499" s="5" t="s">
        <v>149</v>
      </c>
      <c r="F499" s="3" t="s">
        <v>497</v>
      </c>
      <c r="G499" s="3" t="s">
        <v>498</v>
      </c>
      <c r="H499" s="3" t="s">
        <v>152</v>
      </c>
      <c r="I499" s="3" t="s">
        <v>486</v>
      </c>
      <c r="J499" s="3" t="s">
        <v>81</v>
      </c>
      <c r="K499" s="3" t="s">
        <v>30</v>
      </c>
      <c r="L499" s="3" t="s">
        <v>154</v>
      </c>
      <c r="M499" s="3" t="s">
        <v>131</v>
      </c>
      <c r="N499" s="3" t="s">
        <v>491</v>
      </c>
      <c r="O499" s="3" t="s">
        <v>156</v>
      </c>
      <c r="P499" s="3" t="s">
        <v>492</v>
      </c>
      <c r="Q499" s="3" t="s">
        <v>493</v>
      </c>
      <c r="R499" s="3" t="s">
        <v>159</v>
      </c>
      <c r="S499" s="3" t="s">
        <v>86</v>
      </c>
      <c r="T499" s="155">
        <v>4.8289999999999997</v>
      </c>
      <c r="U499" s="3" t="s">
        <v>499</v>
      </c>
      <c r="V499" s="166">
        <v>3.0769999999999999E-2</v>
      </c>
      <c r="W499" s="166">
        <v>6.0100000000000001E-2</v>
      </c>
      <c r="X499" s="5" t="s">
        <v>161</v>
      </c>
      <c r="Y499" s="5" t="s">
        <v>156</v>
      </c>
      <c r="Z499" s="155">
        <v>2000</v>
      </c>
      <c r="AA499" s="164">
        <v>3.306</v>
      </c>
      <c r="AB499" s="174">
        <v>100.04</v>
      </c>
      <c r="AD499" s="155">
        <v>6.6150000000000002</v>
      </c>
      <c r="AG499" s="3" t="s">
        <v>36</v>
      </c>
      <c r="AH499" s="166">
        <v>3.0000000000000001E-6</v>
      </c>
      <c r="AI499" s="166">
        <v>3.6278513837700602E-2</v>
      </c>
      <c r="AJ499" s="166">
        <v>2.7813074630687098E-4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34"/>
  <sheetViews>
    <sheetView rightToLeft="1" workbookViewId="0">
      <selection activeCell="F1" sqref="F1"/>
    </sheetView>
  </sheetViews>
  <sheetFormatPr defaultColWidth="0" defaultRowHeight="14.25"/>
  <cols>
    <col min="1" max="11" width="11.625" style="5" customWidth="1"/>
    <col min="12" max="13" width="11.625" style="3" customWidth="1"/>
    <col min="14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27" width="9" style="5" hidden="1" customWidth="1"/>
    <col min="28" max="16384" width="9" style="5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136</v>
      </c>
      <c r="E1" s="22" t="s">
        <v>137</v>
      </c>
      <c r="F1" s="22" t="s">
        <v>3</v>
      </c>
      <c r="G1" s="22" t="s">
        <v>4</v>
      </c>
      <c r="H1" s="22" t="s">
        <v>138</v>
      </c>
      <c r="I1" s="22" t="s">
        <v>5</v>
      </c>
      <c r="J1" s="22" t="s">
        <v>6</v>
      </c>
      <c r="K1" s="22" t="s">
        <v>7</v>
      </c>
      <c r="L1" s="22" t="s">
        <v>146</v>
      </c>
      <c r="M1" s="22" t="s">
        <v>8</v>
      </c>
      <c r="N1" s="22" t="s">
        <v>139</v>
      </c>
      <c r="O1" s="22" t="s">
        <v>140</v>
      </c>
      <c r="P1" s="22" t="s">
        <v>11</v>
      </c>
      <c r="Q1" s="22" t="s">
        <v>17</v>
      </c>
      <c r="R1" s="163" t="s">
        <v>18</v>
      </c>
      <c r="S1" s="169" t="s">
        <v>19</v>
      </c>
      <c r="T1" s="22" t="s">
        <v>16</v>
      </c>
      <c r="U1" s="22" t="s">
        <v>20</v>
      </c>
      <c r="V1" s="165" t="s">
        <v>23</v>
      </c>
      <c r="W1" s="165" t="s">
        <v>24</v>
      </c>
      <c r="X1" s="165" t="s">
        <v>25</v>
      </c>
    </row>
    <row r="2" spans="1:24">
      <c r="A2" s="21">
        <v>14076</v>
      </c>
      <c r="B2" s="21">
        <v>14079</v>
      </c>
      <c r="C2" s="21" t="s">
        <v>321</v>
      </c>
      <c r="D2" s="21" t="s">
        <v>322</v>
      </c>
      <c r="E2" s="21" t="s">
        <v>149</v>
      </c>
      <c r="F2" s="21" t="s">
        <v>928</v>
      </c>
      <c r="G2" s="21" t="s">
        <v>929</v>
      </c>
      <c r="H2" s="21" t="s">
        <v>152</v>
      </c>
      <c r="I2" s="21" t="s">
        <v>930</v>
      </c>
      <c r="J2" s="21" t="s">
        <v>30</v>
      </c>
      <c r="K2" s="21" t="s">
        <v>30</v>
      </c>
      <c r="L2" s="23" t="s">
        <v>154</v>
      </c>
      <c r="M2" s="21" t="s">
        <v>31</v>
      </c>
      <c r="N2" s="23" t="s">
        <v>245</v>
      </c>
      <c r="O2" s="23" t="s">
        <v>156</v>
      </c>
      <c r="P2" s="21" t="s">
        <v>34</v>
      </c>
      <c r="Q2" s="158">
        <v>1819</v>
      </c>
      <c r="R2" s="175">
        <v>1</v>
      </c>
      <c r="S2" s="176">
        <v>6529</v>
      </c>
      <c r="T2" s="23"/>
      <c r="U2" s="158">
        <v>118.76300000000001</v>
      </c>
      <c r="V2" s="177">
        <v>9.9999999999999995E-7</v>
      </c>
      <c r="W2" s="177">
        <v>0.49846700292471702</v>
      </c>
      <c r="X2" s="177">
        <v>1.24835105967741E-2</v>
      </c>
    </row>
    <row r="3" spans="1:24">
      <c r="A3" s="21">
        <v>14076</v>
      </c>
      <c r="B3" s="21">
        <v>14079</v>
      </c>
      <c r="C3" s="21" t="s">
        <v>429</v>
      </c>
      <c r="D3" s="21" t="s">
        <v>430</v>
      </c>
      <c r="E3" s="21" t="s">
        <v>149</v>
      </c>
      <c r="F3" s="21" t="s">
        <v>931</v>
      </c>
      <c r="G3" s="21" t="s">
        <v>932</v>
      </c>
      <c r="H3" s="21" t="s">
        <v>152</v>
      </c>
      <c r="I3" s="21" t="s">
        <v>930</v>
      </c>
      <c r="J3" s="21" t="s">
        <v>30</v>
      </c>
      <c r="K3" s="21" t="s">
        <v>30</v>
      </c>
      <c r="L3" s="23" t="s">
        <v>154</v>
      </c>
      <c r="M3" s="21" t="s">
        <v>31</v>
      </c>
      <c r="N3" s="23" t="s">
        <v>245</v>
      </c>
      <c r="O3" s="23" t="s">
        <v>156</v>
      </c>
      <c r="P3" s="21" t="s">
        <v>34</v>
      </c>
      <c r="Q3" s="158">
        <v>1775</v>
      </c>
      <c r="R3" s="175">
        <v>1</v>
      </c>
      <c r="S3" s="176">
        <v>6732</v>
      </c>
      <c r="T3" s="23"/>
      <c r="U3" s="158">
        <v>119.49299999999999</v>
      </c>
      <c r="V3" s="177">
        <v>9.9999999999999995E-7</v>
      </c>
      <c r="W3" s="177">
        <v>0.50153299707528298</v>
      </c>
      <c r="X3" s="177">
        <v>1.2560294757498199E-2</v>
      </c>
    </row>
    <row r="4" spans="1:24">
      <c r="A4" s="21">
        <v>161</v>
      </c>
      <c r="B4" s="21">
        <v>9938</v>
      </c>
      <c r="C4" s="21" t="s">
        <v>933</v>
      </c>
      <c r="D4" s="21" t="s">
        <v>934</v>
      </c>
      <c r="E4" s="21" t="s">
        <v>935</v>
      </c>
      <c r="F4" s="21" t="s">
        <v>936</v>
      </c>
      <c r="G4" s="21" t="s">
        <v>937</v>
      </c>
      <c r="H4" s="21" t="s">
        <v>152</v>
      </c>
      <c r="I4" s="21" t="s">
        <v>930</v>
      </c>
      <c r="J4" s="21" t="s">
        <v>30</v>
      </c>
      <c r="K4" s="21" t="s">
        <v>82</v>
      </c>
      <c r="L4" s="23" t="s">
        <v>154</v>
      </c>
      <c r="M4" s="21" t="s">
        <v>31</v>
      </c>
      <c r="N4" s="23" t="s">
        <v>210</v>
      </c>
      <c r="O4" s="23" t="s">
        <v>156</v>
      </c>
      <c r="P4" s="21" t="s">
        <v>34</v>
      </c>
      <c r="Q4" s="158">
        <v>100</v>
      </c>
      <c r="R4" s="175">
        <v>1</v>
      </c>
      <c r="S4" s="176">
        <v>31800</v>
      </c>
      <c r="T4" s="23"/>
      <c r="U4" s="158">
        <v>31.8</v>
      </c>
      <c r="V4" s="177">
        <v>1.9999999999999999E-6</v>
      </c>
      <c r="W4" s="177">
        <v>2.2627831103810298E-3</v>
      </c>
      <c r="X4" s="177">
        <v>3.79921884595807E-4</v>
      </c>
    </row>
    <row r="5" spans="1:24">
      <c r="A5" s="21">
        <v>161</v>
      </c>
      <c r="B5" s="21">
        <v>9938</v>
      </c>
      <c r="C5" s="21" t="s">
        <v>938</v>
      </c>
      <c r="D5" s="21" t="s">
        <v>939</v>
      </c>
      <c r="E5" s="21" t="s">
        <v>149</v>
      </c>
      <c r="F5" s="21" t="s">
        <v>940</v>
      </c>
      <c r="G5" s="21" t="s">
        <v>941</v>
      </c>
      <c r="H5" s="21" t="s">
        <v>152</v>
      </c>
      <c r="I5" s="21" t="s">
        <v>930</v>
      </c>
      <c r="J5" s="21" t="s">
        <v>30</v>
      </c>
      <c r="K5" s="21" t="s">
        <v>30</v>
      </c>
      <c r="L5" s="23" t="s">
        <v>154</v>
      </c>
      <c r="M5" s="21" t="s">
        <v>31</v>
      </c>
      <c r="N5" s="23" t="s">
        <v>178</v>
      </c>
      <c r="O5" s="23" t="s">
        <v>156</v>
      </c>
      <c r="P5" s="21" t="s">
        <v>34</v>
      </c>
      <c r="Q5" s="158">
        <v>10900</v>
      </c>
      <c r="R5" s="175">
        <v>1</v>
      </c>
      <c r="S5" s="176">
        <v>1509</v>
      </c>
      <c r="T5" s="23"/>
      <c r="U5" s="158">
        <v>164.48099999999999</v>
      </c>
      <c r="V5" s="177">
        <v>2.0000000000000002E-5</v>
      </c>
      <c r="W5" s="177">
        <v>1.1703925433288799E-2</v>
      </c>
      <c r="X5" s="177">
        <v>1.9650921855409701E-3</v>
      </c>
    </row>
    <row r="6" spans="1:24">
      <c r="A6" s="21">
        <v>161</v>
      </c>
      <c r="B6" s="21">
        <v>9938</v>
      </c>
      <c r="C6" s="21" t="s">
        <v>942</v>
      </c>
      <c r="D6" s="21" t="s">
        <v>943</v>
      </c>
      <c r="E6" s="21" t="s">
        <v>149</v>
      </c>
      <c r="F6" s="21" t="s">
        <v>944</v>
      </c>
      <c r="G6" s="21" t="s">
        <v>945</v>
      </c>
      <c r="H6" s="21" t="s">
        <v>152</v>
      </c>
      <c r="I6" s="21" t="s">
        <v>930</v>
      </c>
      <c r="J6" s="21" t="s">
        <v>30</v>
      </c>
      <c r="K6" s="21" t="s">
        <v>30</v>
      </c>
      <c r="L6" s="23" t="s">
        <v>154</v>
      </c>
      <c r="M6" s="21" t="s">
        <v>31</v>
      </c>
      <c r="N6" s="23" t="s">
        <v>946</v>
      </c>
      <c r="O6" s="23" t="s">
        <v>156</v>
      </c>
      <c r="P6" s="21" t="s">
        <v>34</v>
      </c>
      <c r="Q6" s="158">
        <v>361</v>
      </c>
      <c r="R6" s="175">
        <v>1</v>
      </c>
      <c r="S6" s="176">
        <v>167700</v>
      </c>
      <c r="T6" s="23"/>
      <c r="U6" s="158">
        <v>605.39700000000005</v>
      </c>
      <c r="V6" s="177">
        <v>7.9999999999999996E-6</v>
      </c>
      <c r="W6" s="177">
        <v>4.3078053669035998E-2</v>
      </c>
      <c r="X6" s="177">
        <v>7.2328166405235201E-3</v>
      </c>
    </row>
    <row r="7" spans="1:24">
      <c r="A7" s="21">
        <v>161</v>
      </c>
      <c r="B7" s="21">
        <v>9938</v>
      </c>
      <c r="C7" s="21" t="s">
        <v>181</v>
      </c>
      <c r="D7" s="21" t="s">
        <v>182</v>
      </c>
      <c r="E7" s="21" t="s">
        <v>149</v>
      </c>
      <c r="F7" s="21" t="s">
        <v>947</v>
      </c>
      <c r="G7" s="21" t="s">
        <v>948</v>
      </c>
      <c r="H7" s="21" t="s">
        <v>152</v>
      </c>
      <c r="I7" s="21" t="s">
        <v>930</v>
      </c>
      <c r="J7" s="21" t="s">
        <v>30</v>
      </c>
      <c r="K7" s="21" t="s">
        <v>30</v>
      </c>
      <c r="L7" s="23" t="s">
        <v>154</v>
      </c>
      <c r="M7" s="21" t="s">
        <v>31</v>
      </c>
      <c r="N7" s="23" t="s">
        <v>167</v>
      </c>
      <c r="O7" s="23" t="s">
        <v>156</v>
      </c>
      <c r="P7" s="21" t="s">
        <v>34</v>
      </c>
      <c r="Q7" s="158">
        <v>8100</v>
      </c>
      <c r="R7" s="175">
        <v>1</v>
      </c>
      <c r="S7" s="176">
        <v>3926</v>
      </c>
      <c r="T7" s="23"/>
      <c r="U7" s="158">
        <v>318.00599999999997</v>
      </c>
      <c r="V7" s="177">
        <v>3.8000000000000002E-5</v>
      </c>
      <c r="W7" s="177">
        <v>2.26282580440198E-2</v>
      </c>
      <c r="X7" s="177">
        <v>3.7992905293325299E-3</v>
      </c>
    </row>
    <row r="8" spans="1:24">
      <c r="A8" s="21">
        <v>161</v>
      </c>
      <c r="B8" s="21">
        <v>9938</v>
      </c>
      <c r="C8" s="21" t="s">
        <v>196</v>
      </c>
      <c r="D8" s="21" t="s">
        <v>197</v>
      </c>
      <c r="E8" s="21" t="s">
        <v>149</v>
      </c>
      <c r="F8" s="21" t="s">
        <v>949</v>
      </c>
      <c r="G8" s="21" t="s">
        <v>950</v>
      </c>
      <c r="H8" s="21" t="s">
        <v>152</v>
      </c>
      <c r="I8" s="21" t="s">
        <v>930</v>
      </c>
      <c r="J8" s="21" t="s">
        <v>30</v>
      </c>
      <c r="K8" s="21" t="s">
        <v>30</v>
      </c>
      <c r="L8" s="23" t="s">
        <v>154</v>
      </c>
      <c r="M8" s="21" t="s">
        <v>31</v>
      </c>
      <c r="N8" s="23" t="s">
        <v>167</v>
      </c>
      <c r="O8" s="23" t="s">
        <v>156</v>
      </c>
      <c r="P8" s="21" t="s">
        <v>34</v>
      </c>
      <c r="Q8" s="158">
        <v>7538</v>
      </c>
      <c r="R8" s="175">
        <v>1</v>
      </c>
      <c r="S8" s="176">
        <v>2476</v>
      </c>
      <c r="T8" s="23"/>
      <c r="U8" s="158">
        <v>186.64099999999999</v>
      </c>
      <c r="V8" s="177">
        <v>1.5E-5</v>
      </c>
      <c r="W8" s="177">
        <v>1.3280749401592899E-2</v>
      </c>
      <c r="X8" s="177">
        <v>2.2298413481830199E-3</v>
      </c>
    </row>
    <row r="9" spans="1:24">
      <c r="A9" s="21">
        <v>161</v>
      </c>
      <c r="B9" s="21">
        <v>9938</v>
      </c>
      <c r="C9" s="21" t="s">
        <v>206</v>
      </c>
      <c r="D9" s="21" t="s">
        <v>207</v>
      </c>
      <c r="E9" s="21" t="s">
        <v>149</v>
      </c>
      <c r="F9" s="21" t="s">
        <v>951</v>
      </c>
      <c r="G9" s="21" t="s">
        <v>952</v>
      </c>
      <c r="H9" s="21" t="s">
        <v>152</v>
      </c>
      <c r="I9" s="21" t="s">
        <v>930</v>
      </c>
      <c r="J9" s="21" t="s">
        <v>30</v>
      </c>
      <c r="K9" s="21" t="s">
        <v>82</v>
      </c>
      <c r="L9" s="23" t="s">
        <v>154</v>
      </c>
      <c r="M9" s="21" t="s">
        <v>31</v>
      </c>
      <c r="N9" s="23" t="s">
        <v>210</v>
      </c>
      <c r="O9" s="23" t="s">
        <v>156</v>
      </c>
      <c r="P9" s="21" t="s">
        <v>34</v>
      </c>
      <c r="Q9" s="158">
        <v>3402.2</v>
      </c>
      <c r="R9" s="175">
        <v>1</v>
      </c>
      <c r="S9" s="176">
        <v>10190</v>
      </c>
      <c r="T9" s="23"/>
      <c r="U9" s="158">
        <v>346.68400000000003</v>
      </c>
      <c r="V9" s="177">
        <v>2.5999999999999998E-5</v>
      </c>
      <c r="W9" s="177">
        <v>2.4668902740260901E-2</v>
      </c>
      <c r="X9" s="177">
        <v>4.1419153152563604E-3</v>
      </c>
    </row>
    <row r="10" spans="1:24">
      <c r="A10" s="21">
        <v>161</v>
      </c>
      <c r="B10" s="21">
        <v>9938</v>
      </c>
      <c r="C10" s="21" t="s">
        <v>511</v>
      </c>
      <c r="D10" s="21" t="s">
        <v>512</v>
      </c>
      <c r="E10" s="21" t="s">
        <v>149</v>
      </c>
      <c r="F10" s="21" t="s">
        <v>953</v>
      </c>
      <c r="G10" s="21" t="s">
        <v>954</v>
      </c>
      <c r="H10" s="21" t="s">
        <v>152</v>
      </c>
      <c r="I10" s="21" t="s">
        <v>930</v>
      </c>
      <c r="J10" s="21" t="s">
        <v>30</v>
      </c>
      <c r="K10" s="21" t="s">
        <v>30</v>
      </c>
      <c r="L10" s="23" t="s">
        <v>154</v>
      </c>
      <c r="M10" s="21" t="s">
        <v>31</v>
      </c>
      <c r="N10" s="23" t="s">
        <v>210</v>
      </c>
      <c r="O10" s="23" t="s">
        <v>156</v>
      </c>
      <c r="P10" s="21" t="s">
        <v>34</v>
      </c>
      <c r="Q10" s="158">
        <v>14980</v>
      </c>
      <c r="R10" s="175">
        <v>1</v>
      </c>
      <c r="S10" s="176">
        <v>1428</v>
      </c>
      <c r="T10" s="23"/>
      <c r="U10" s="158">
        <v>213.91399999999999</v>
      </c>
      <c r="V10" s="177">
        <v>2.6999999999999999E-5</v>
      </c>
      <c r="W10" s="177">
        <v>1.5221443125386499E-2</v>
      </c>
      <c r="X10" s="177">
        <v>2.5556843393138799E-3</v>
      </c>
    </row>
    <row r="11" spans="1:24">
      <c r="A11" s="21">
        <v>161</v>
      </c>
      <c r="B11" s="21">
        <v>9938</v>
      </c>
      <c r="C11" s="21" t="s">
        <v>693</v>
      </c>
      <c r="D11" s="21" t="s">
        <v>694</v>
      </c>
      <c r="E11" s="21" t="s">
        <v>149</v>
      </c>
      <c r="F11" s="21" t="s">
        <v>955</v>
      </c>
      <c r="G11" s="21" t="s">
        <v>956</v>
      </c>
      <c r="H11" s="21" t="s">
        <v>152</v>
      </c>
      <c r="I11" s="21" t="s">
        <v>930</v>
      </c>
      <c r="J11" s="21" t="s">
        <v>30</v>
      </c>
      <c r="K11" s="21" t="s">
        <v>30</v>
      </c>
      <c r="L11" s="23" t="s">
        <v>154</v>
      </c>
      <c r="M11" s="21" t="s">
        <v>31</v>
      </c>
      <c r="N11" s="23" t="s">
        <v>697</v>
      </c>
      <c r="O11" s="23" t="s">
        <v>156</v>
      </c>
      <c r="P11" s="21" t="s">
        <v>34</v>
      </c>
      <c r="Q11" s="158">
        <v>58545</v>
      </c>
      <c r="R11" s="175">
        <v>1</v>
      </c>
      <c r="S11" s="176">
        <v>634.70000000000005</v>
      </c>
      <c r="T11" s="157">
        <v>12.308999999999999</v>
      </c>
      <c r="U11" s="158">
        <v>383.89400000000001</v>
      </c>
      <c r="V11" s="177">
        <v>2.0999999999999999E-5</v>
      </c>
      <c r="W11" s="177">
        <v>2.7316622614986099E-2</v>
      </c>
      <c r="X11" s="177">
        <v>4.5864681847171797E-3</v>
      </c>
    </row>
    <row r="12" spans="1:24">
      <c r="A12" s="21">
        <v>161</v>
      </c>
      <c r="B12" s="21">
        <v>9938</v>
      </c>
      <c r="C12" s="21" t="s">
        <v>957</v>
      </c>
      <c r="D12" s="21" t="s">
        <v>958</v>
      </c>
      <c r="E12" s="21" t="s">
        <v>149</v>
      </c>
      <c r="F12" s="21" t="s">
        <v>959</v>
      </c>
      <c r="G12" s="21" t="s">
        <v>960</v>
      </c>
      <c r="H12" s="21" t="s">
        <v>152</v>
      </c>
      <c r="I12" s="21" t="s">
        <v>930</v>
      </c>
      <c r="J12" s="21" t="s">
        <v>30</v>
      </c>
      <c r="K12" s="21" t="s">
        <v>30</v>
      </c>
      <c r="L12" s="23" t="s">
        <v>154</v>
      </c>
      <c r="M12" s="21" t="s">
        <v>31</v>
      </c>
      <c r="N12" s="23" t="s">
        <v>282</v>
      </c>
      <c r="O12" s="23" t="s">
        <v>156</v>
      </c>
      <c r="P12" s="21" t="s">
        <v>34</v>
      </c>
      <c r="Q12" s="158">
        <v>200</v>
      </c>
      <c r="R12" s="175">
        <v>1</v>
      </c>
      <c r="S12" s="176">
        <v>24800</v>
      </c>
      <c r="T12" s="23"/>
      <c r="U12" s="158">
        <v>49.6</v>
      </c>
      <c r="V12" s="177">
        <v>2.1999999999999999E-5</v>
      </c>
      <c r="W12" s="177">
        <v>3.5293723985817299E-3</v>
      </c>
      <c r="X12" s="177">
        <v>5.9258256213685695E-4</v>
      </c>
    </row>
    <row r="13" spans="1:24">
      <c r="A13" s="21">
        <v>161</v>
      </c>
      <c r="B13" s="21">
        <v>9938</v>
      </c>
      <c r="C13" s="21" t="s">
        <v>961</v>
      </c>
      <c r="D13" s="21" t="s">
        <v>962</v>
      </c>
      <c r="E13" s="21" t="s">
        <v>149</v>
      </c>
      <c r="F13" s="21" t="s">
        <v>963</v>
      </c>
      <c r="G13" s="21" t="s">
        <v>964</v>
      </c>
      <c r="H13" s="21" t="s">
        <v>152</v>
      </c>
      <c r="I13" s="21" t="s">
        <v>930</v>
      </c>
      <c r="J13" s="21" t="s">
        <v>30</v>
      </c>
      <c r="K13" s="21" t="s">
        <v>30</v>
      </c>
      <c r="L13" s="23" t="s">
        <v>154</v>
      </c>
      <c r="M13" s="21" t="s">
        <v>31</v>
      </c>
      <c r="N13" s="23" t="s">
        <v>245</v>
      </c>
      <c r="O13" s="23" t="s">
        <v>156</v>
      </c>
      <c r="P13" s="21" t="s">
        <v>34</v>
      </c>
      <c r="Q13" s="158">
        <v>11345</v>
      </c>
      <c r="R13" s="175">
        <v>1</v>
      </c>
      <c r="S13" s="176">
        <v>3274</v>
      </c>
      <c r="T13" s="23"/>
      <c r="U13" s="158">
        <v>371.435</v>
      </c>
      <c r="V13" s="177">
        <v>9.0000000000000002E-6</v>
      </c>
      <c r="W13" s="177">
        <v>2.6430110799978299E-2</v>
      </c>
      <c r="X13" s="177">
        <v>4.4376226157675797E-3</v>
      </c>
    </row>
    <row r="14" spans="1:24">
      <c r="A14" s="21">
        <v>161</v>
      </c>
      <c r="B14" s="21">
        <v>9938</v>
      </c>
      <c r="C14" s="21" t="s">
        <v>965</v>
      </c>
      <c r="D14" s="21" t="s">
        <v>966</v>
      </c>
      <c r="E14" s="21" t="s">
        <v>149</v>
      </c>
      <c r="F14" s="21" t="s">
        <v>967</v>
      </c>
      <c r="G14" s="21" t="s">
        <v>968</v>
      </c>
      <c r="H14" s="21" t="s">
        <v>152</v>
      </c>
      <c r="I14" s="21" t="s">
        <v>930</v>
      </c>
      <c r="J14" s="21" t="s">
        <v>30</v>
      </c>
      <c r="K14" s="21" t="s">
        <v>30</v>
      </c>
      <c r="L14" s="23" t="s">
        <v>154</v>
      </c>
      <c r="M14" s="21" t="s">
        <v>31</v>
      </c>
      <c r="N14" s="23" t="s">
        <v>282</v>
      </c>
      <c r="O14" s="23" t="s">
        <v>156</v>
      </c>
      <c r="P14" s="21" t="s">
        <v>34</v>
      </c>
      <c r="Q14" s="158">
        <v>420</v>
      </c>
      <c r="R14" s="175">
        <v>1</v>
      </c>
      <c r="S14" s="176">
        <v>38150</v>
      </c>
      <c r="T14" s="23"/>
      <c r="U14" s="158">
        <v>160.22999999999999</v>
      </c>
      <c r="V14" s="177">
        <v>2.0000000000000002E-5</v>
      </c>
      <c r="W14" s="177">
        <v>1.14014382948539E-2</v>
      </c>
      <c r="X14" s="177">
        <v>1.9143045147416999E-3</v>
      </c>
    </row>
    <row r="15" spans="1:24">
      <c r="A15" s="21">
        <v>161</v>
      </c>
      <c r="B15" s="21">
        <v>9938</v>
      </c>
      <c r="C15" s="21" t="s">
        <v>263</v>
      </c>
      <c r="D15" s="21" t="s">
        <v>264</v>
      </c>
      <c r="E15" s="21" t="s">
        <v>149</v>
      </c>
      <c r="F15" s="21" t="s">
        <v>969</v>
      </c>
      <c r="G15" s="21" t="s">
        <v>970</v>
      </c>
      <c r="H15" s="21" t="s">
        <v>152</v>
      </c>
      <c r="I15" s="21" t="s">
        <v>930</v>
      </c>
      <c r="J15" s="21" t="s">
        <v>30</v>
      </c>
      <c r="K15" s="21" t="s">
        <v>30</v>
      </c>
      <c r="L15" s="23" t="s">
        <v>154</v>
      </c>
      <c r="M15" s="21" t="s">
        <v>31</v>
      </c>
      <c r="N15" s="23" t="s">
        <v>155</v>
      </c>
      <c r="O15" s="23" t="s">
        <v>156</v>
      </c>
      <c r="P15" s="21" t="s">
        <v>34</v>
      </c>
      <c r="Q15" s="158">
        <v>4643</v>
      </c>
      <c r="R15" s="175">
        <v>1</v>
      </c>
      <c r="S15" s="176">
        <v>12400</v>
      </c>
      <c r="T15" s="23"/>
      <c r="U15" s="158">
        <v>575.73199999999997</v>
      </c>
      <c r="V15" s="177">
        <v>1.8E-5</v>
      </c>
      <c r="W15" s="177">
        <v>4.0967190116537502E-2</v>
      </c>
      <c r="X15" s="177">
        <v>6.8784020900035598E-3</v>
      </c>
    </row>
    <row r="16" spans="1:24">
      <c r="A16" s="21">
        <v>161</v>
      </c>
      <c r="B16" s="21">
        <v>9938</v>
      </c>
      <c r="C16" s="21" t="s">
        <v>971</v>
      </c>
      <c r="D16" s="21" t="s">
        <v>972</v>
      </c>
      <c r="E16" s="21" t="s">
        <v>149</v>
      </c>
      <c r="F16" s="21" t="s">
        <v>973</v>
      </c>
      <c r="G16" s="21" t="s">
        <v>974</v>
      </c>
      <c r="H16" s="21" t="s">
        <v>152</v>
      </c>
      <c r="I16" s="21" t="s">
        <v>930</v>
      </c>
      <c r="J16" s="21" t="s">
        <v>30</v>
      </c>
      <c r="K16" s="21" t="s">
        <v>82</v>
      </c>
      <c r="L16" s="23" t="s">
        <v>154</v>
      </c>
      <c r="M16" s="21" t="s">
        <v>31</v>
      </c>
      <c r="N16" s="23" t="s">
        <v>975</v>
      </c>
      <c r="O16" s="23" t="s">
        <v>156</v>
      </c>
      <c r="P16" s="21" t="s">
        <v>34</v>
      </c>
      <c r="Q16" s="158">
        <v>6307</v>
      </c>
      <c r="R16" s="175">
        <v>1</v>
      </c>
      <c r="S16" s="176">
        <v>6440</v>
      </c>
      <c r="T16" s="23"/>
      <c r="U16" s="158">
        <v>406.17099999999999</v>
      </c>
      <c r="V16" s="177">
        <v>5.0000000000000004E-6</v>
      </c>
      <c r="W16" s="177">
        <v>2.8901774407860101E-2</v>
      </c>
      <c r="X16" s="177">
        <v>4.85261559131405E-3</v>
      </c>
    </row>
    <row r="17" spans="1:24">
      <c r="A17" s="21">
        <v>161</v>
      </c>
      <c r="B17" s="21">
        <v>9938</v>
      </c>
      <c r="C17" s="21" t="s">
        <v>768</v>
      </c>
      <c r="D17" s="21" t="s">
        <v>769</v>
      </c>
      <c r="E17" s="21" t="s">
        <v>149</v>
      </c>
      <c r="F17" s="21" t="s">
        <v>976</v>
      </c>
      <c r="G17" s="21" t="s">
        <v>977</v>
      </c>
      <c r="H17" s="21" t="s">
        <v>152</v>
      </c>
      <c r="I17" s="21" t="s">
        <v>930</v>
      </c>
      <c r="J17" s="21" t="s">
        <v>30</v>
      </c>
      <c r="K17" s="21" t="s">
        <v>30</v>
      </c>
      <c r="L17" s="23" t="s">
        <v>154</v>
      </c>
      <c r="M17" s="21" t="s">
        <v>31</v>
      </c>
      <c r="N17" s="23" t="s">
        <v>282</v>
      </c>
      <c r="O17" s="23" t="s">
        <v>156</v>
      </c>
      <c r="P17" s="21" t="s">
        <v>34</v>
      </c>
      <c r="Q17" s="158">
        <v>10419</v>
      </c>
      <c r="R17" s="175">
        <v>1</v>
      </c>
      <c r="S17" s="176">
        <v>1463</v>
      </c>
      <c r="T17" s="23"/>
      <c r="U17" s="158">
        <v>152.43</v>
      </c>
      <c r="V17" s="177">
        <v>3.1000000000000001E-5</v>
      </c>
      <c r="W17" s="177">
        <v>1.0846413887795199E-2</v>
      </c>
      <c r="X17" s="177">
        <v>1.82111576953718E-3</v>
      </c>
    </row>
    <row r="18" spans="1:24">
      <c r="A18" s="21">
        <v>161</v>
      </c>
      <c r="B18" s="21">
        <v>9938</v>
      </c>
      <c r="C18" s="21" t="s">
        <v>536</v>
      </c>
      <c r="D18" s="21" t="s">
        <v>537</v>
      </c>
      <c r="E18" s="21" t="s">
        <v>149</v>
      </c>
      <c r="F18" s="21" t="s">
        <v>978</v>
      </c>
      <c r="G18" s="21" t="s">
        <v>979</v>
      </c>
      <c r="H18" s="21" t="s">
        <v>152</v>
      </c>
      <c r="I18" s="21" t="s">
        <v>930</v>
      </c>
      <c r="J18" s="21" t="s">
        <v>30</v>
      </c>
      <c r="K18" s="21" t="s">
        <v>30</v>
      </c>
      <c r="L18" s="23" t="s">
        <v>154</v>
      </c>
      <c r="M18" s="21" t="s">
        <v>31</v>
      </c>
      <c r="N18" s="23" t="s">
        <v>155</v>
      </c>
      <c r="O18" s="23" t="s">
        <v>156</v>
      </c>
      <c r="P18" s="21" t="s">
        <v>34</v>
      </c>
      <c r="Q18" s="158">
        <v>3070</v>
      </c>
      <c r="R18" s="175">
        <v>1</v>
      </c>
      <c r="S18" s="176">
        <v>16970</v>
      </c>
      <c r="T18" s="23"/>
      <c r="U18" s="158">
        <v>520.97900000000004</v>
      </c>
      <c r="V18" s="177">
        <v>3.8000000000000002E-5</v>
      </c>
      <c r="W18" s="177">
        <v>3.7071147234691799E-2</v>
      </c>
      <c r="X18" s="177">
        <v>6.2242554564414798E-3</v>
      </c>
    </row>
    <row r="19" spans="1:24">
      <c r="A19" s="21">
        <v>161</v>
      </c>
      <c r="B19" s="21">
        <v>9938</v>
      </c>
      <c r="C19" s="21" t="s">
        <v>321</v>
      </c>
      <c r="D19" s="21" t="s">
        <v>322</v>
      </c>
      <c r="E19" s="21" t="s">
        <v>149</v>
      </c>
      <c r="F19" s="21" t="s">
        <v>928</v>
      </c>
      <c r="G19" s="21" t="s">
        <v>929</v>
      </c>
      <c r="H19" s="21" t="s">
        <v>152</v>
      </c>
      <c r="I19" s="21" t="s">
        <v>930</v>
      </c>
      <c r="J19" s="21" t="s">
        <v>30</v>
      </c>
      <c r="K19" s="21" t="s">
        <v>30</v>
      </c>
      <c r="L19" s="23" t="s">
        <v>154</v>
      </c>
      <c r="M19" s="21" t="s">
        <v>31</v>
      </c>
      <c r="N19" s="23" t="s">
        <v>245</v>
      </c>
      <c r="O19" s="23" t="s">
        <v>156</v>
      </c>
      <c r="P19" s="21" t="s">
        <v>34</v>
      </c>
      <c r="Q19" s="158">
        <v>18111</v>
      </c>
      <c r="R19" s="175">
        <v>1</v>
      </c>
      <c r="S19" s="176">
        <v>6529</v>
      </c>
      <c r="T19" s="23"/>
      <c r="U19" s="158">
        <v>1182.4670000000001</v>
      </c>
      <c r="V19" s="177">
        <v>1.1E-5</v>
      </c>
      <c r="W19" s="177">
        <v>8.4140464972066606E-2</v>
      </c>
      <c r="X19" s="177">
        <v>1.41272063930034E-2</v>
      </c>
    </row>
    <row r="20" spans="1:24">
      <c r="A20" s="5">
        <v>161</v>
      </c>
      <c r="B20" s="5">
        <v>9938</v>
      </c>
      <c r="C20" s="5" t="s">
        <v>495</v>
      </c>
      <c r="D20" s="5" t="s">
        <v>496</v>
      </c>
      <c r="E20" s="21" t="s">
        <v>149</v>
      </c>
      <c r="F20" s="5" t="s">
        <v>980</v>
      </c>
      <c r="G20" s="5" t="s">
        <v>981</v>
      </c>
      <c r="H20" s="21" t="s">
        <v>152</v>
      </c>
      <c r="I20" s="5" t="s">
        <v>930</v>
      </c>
      <c r="J20" s="5" t="s">
        <v>30</v>
      </c>
      <c r="K20" s="21" t="s">
        <v>30</v>
      </c>
      <c r="L20" s="23" t="s">
        <v>154</v>
      </c>
      <c r="M20" s="21" t="s">
        <v>31</v>
      </c>
      <c r="N20" s="23" t="s">
        <v>245</v>
      </c>
      <c r="O20" s="5" t="s">
        <v>156</v>
      </c>
      <c r="P20" s="5" t="s">
        <v>34</v>
      </c>
      <c r="Q20" s="156">
        <v>2025</v>
      </c>
      <c r="R20" s="168">
        <v>1</v>
      </c>
      <c r="S20" s="170">
        <v>21790</v>
      </c>
      <c r="U20" s="156">
        <v>441.24799999999999</v>
      </c>
      <c r="V20" s="167">
        <v>7.9999999999999996E-6</v>
      </c>
      <c r="W20" s="167">
        <v>3.1397716682322399E-2</v>
      </c>
      <c r="X20" s="167">
        <v>5.2716849614210196E-3</v>
      </c>
    </row>
    <row r="21" spans="1:24" s="45" customFormat="1">
      <c r="A21" s="45">
        <v>161</v>
      </c>
      <c r="B21" s="45">
        <v>9938</v>
      </c>
      <c r="C21" s="45" t="s">
        <v>396</v>
      </c>
      <c r="D21" s="45" t="s">
        <v>397</v>
      </c>
      <c r="E21" s="45" t="s">
        <v>149</v>
      </c>
      <c r="F21" s="45" t="s">
        <v>982</v>
      </c>
      <c r="G21" s="45" t="s">
        <v>983</v>
      </c>
      <c r="H21" s="45" t="s">
        <v>152</v>
      </c>
      <c r="I21" s="45" t="s">
        <v>930</v>
      </c>
      <c r="J21" s="45" t="s">
        <v>30</v>
      </c>
      <c r="K21" s="45" t="s">
        <v>30</v>
      </c>
      <c r="L21" s="45" t="s">
        <v>154</v>
      </c>
      <c r="M21" s="45" t="s">
        <v>31</v>
      </c>
      <c r="N21" s="23" t="s">
        <v>167</v>
      </c>
      <c r="O21" s="45" t="s">
        <v>156</v>
      </c>
      <c r="P21" s="45" t="s">
        <v>34</v>
      </c>
      <c r="Q21" s="156">
        <v>954</v>
      </c>
      <c r="R21" s="168">
        <v>1</v>
      </c>
      <c r="S21" s="170">
        <v>40000</v>
      </c>
      <c r="T21" s="42"/>
      <c r="U21" s="156">
        <v>381.6</v>
      </c>
      <c r="V21" s="167">
        <v>2.0000000000000002E-5</v>
      </c>
      <c r="W21" s="167">
        <v>2.7153397324572399E-2</v>
      </c>
      <c r="X21" s="167">
        <v>4.5590626151496899E-3</v>
      </c>
    </row>
    <row r="22" spans="1:24">
      <c r="A22" s="5">
        <v>161</v>
      </c>
      <c r="B22" s="5">
        <v>9938</v>
      </c>
      <c r="C22" s="5" t="s">
        <v>603</v>
      </c>
      <c r="D22" s="5" t="s">
        <v>604</v>
      </c>
      <c r="E22" s="5" t="s">
        <v>149</v>
      </c>
      <c r="F22" s="5" t="s">
        <v>984</v>
      </c>
      <c r="G22" s="5" t="s">
        <v>985</v>
      </c>
      <c r="H22" s="5" t="s">
        <v>152</v>
      </c>
      <c r="I22" s="5" t="s">
        <v>930</v>
      </c>
      <c r="J22" s="5" t="s">
        <v>30</v>
      </c>
      <c r="K22" s="5" t="s">
        <v>30</v>
      </c>
      <c r="L22" s="3" t="s">
        <v>154</v>
      </c>
      <c r="M22" s="5" t="s">
        <v>31</v>
      </c>
      <c r="N22" s="5" t="s">
        <v>155</v>
      </c>
      <c r="O22" s="5" t="s">
        <v>156</v>
      </c>
      <c r="P22" s="5" t="s">
        <v>34</v>
      </c>
      <c r="Q22" s="156">
        <v>600</v>
      </c>
      <c r="R22" s="168">
        <v>1</v>
      </c>
      <c r="S22" s="170">
        <v>32500</v>
      </c>
      <c r="U22" s="156">
        <v>195</v>
      </c>
      <c r="V22" s="167">
        <v>9.0000000000000002E-6</v>
      </c>
      <c r="W22" s="167">
        <v>1.3875556808940301E-2</v>
      </c>
      <c r="X22" s="167">
        <v>2.32970966969127E-3</v>
      </c>
    </row>
    <row r="23" spans="1:24">
      <c r="A23" s="5">
        <v>161</v>
      </c>
      <c r="B23" s="5">
        <v>9938</v>
      </c>
      <c r="C23" s="5" t="s">
        <v>815</v>
      </c>
      <c r="D23" s="5" t="s">
        <v>816</v>
      </c>
      <c r="E23" s="5" t="s">
        <v>817</v>
      </c>
      <c r="F23" s="5" t="s">
        <v>986</v>
      </c>
      <c r="G23" s="5" t="s">
        <v>987</v>
      </c>
      <c r="H23" s="5" t="s">
        <v>152</v>
      </c>
      <c r="I23" s="5" t="s">
        <v>930</v>
      </c>
      <c r="J23" s="5" t="s">
        <v>30</v>
      </c>
      <c r="K23" s="5" t="s">
        <v>82</v>
      </c>
      <c r="L23" s="3" t="s">
        <v>154</v>
      </c>
      <c r="M23" s="3" t="s">
        <v>31</v>
      </c>
      <c r="N23" s="5" t="s">
        <v>487</v>
      </c>
      <c r="O23" s="5" t="s">
        <v>156</v>
      </c>
      <c r="P23" s="5" t="s">
        <v>34</v>
      </c>
      <c r="Q23" s="156">
        <v>5850</v>
      </c>
      <c r="R23" s="168">
        <v>1</v>
      </c>
      <c r="S23" s="170">
        <v>11190</v>
      </c>
      <c r="U23" s="156">
        <v>654.61500000000001</v>
      </c>
      <c r="V23" s="167">
        <v>5.0000000000000002E-5</v>
      </c>
      <c r="W23" s="167">
        <v>4.6580244207612503E-2</v>
      </c>
      <c r="X23" s="167">
        <v>7.8208353611536E-3</v>
      </c>
    </row>
    <row r="24" spans="1:24">
      <c r="A24" s="5">
        <v>161</v>
      </c>
      <c r="B24" s="5">
        <v>9938</v>
      </c>
      <c r="C24" s="5" t="s">
        <v>988</v>
      </c>
      <c r="D24" s="5" t="s">
        <v>989</v>
      </c>
      <c r="E24" s="5" t="s">
        <v>149</v>
      </c>
      <c r="F24" s="5" t="s">
        <v>990</v>
      </c>
      <c r="G24" s="5" t="s">
        <v>991</v>
      </c>
      <c r="H24" s="5" t="s">
        <v>152</v>
      </c>
      <c r="I24" s="5" t="s">
        <v>930</v>
      </c>
      <c r="J24" s="5" t="s">
        <v>30</v>
      </c>
      <c r="K24" s="5" t="s">
        <v>237</v>
      </c>
      <c r="L24" s="3" t="s">
        <v>154</v>
      </c>
      <c r="M24" s="3" t="s">
        <v>31</v>
      </c>
      <c r="N24" s="5" t="s">
        <v>992</v>
      </c>
      <c r="O24" s="5" t="s">
        <v>156</v>
      </c>
      <c r="P24" s="5" t="s">
        <v>34</v>
      </c>
      <c r="Q24" s="156">
        <v>400</v>
      </c>
      <c r="R24" s="168">
        <v>1</v>
      </c>
      <c r="S24" s="170">
        <v>104950</v>
      </c>
      <c r="U24" s="156">
        <v>419.8</v>
      </c>
      <c r="V24" s="167">
        <v>1.4E-5</v>
      </c>
      <c r="W24" s="167">
        <v>2.9871583325093001E-2</v>
      </c>
      <c r="X24" s="167">
        <v>5.0154467658276702E-3</v>
      </c>
    </row>
    <row r="25" spans="1:24">
      <c r="A25" s="5">
        <v>161</v>
      </c>
      <c r="B25" s="5">
        <v>9938</v>
      </c>
      <c r="C25" s="5" t="s">
        <v>993</v>
      </c>
      <c r="D25" s="5" t="s">
        <v>994</v>
      </c>
      <c r="E25" s="5" t="s">
        <v>817</v>
      </c>
      <c r="F25" s="5" t="s">
        <v>995</v>
      </c>
      <c r="G25" s="5" t="s">
        <v>996</v>
      </c>
      <c r="H25" s="5" t="s">
        <v>152</v>
      </c>
      <c r="I25" s="5" t="s">
        <v>930</v>
      </c>
      <c r="J25" s="5" t="s">
        <v>30</v>
      </c>
      <c r="K25" s="5" t="s">
        <v>30</v>
      </c>
      <c r="L25" s="3" t="s">
        <v>154</v>
      </c>
      <c r="M25" s="3" t="s">
        <v>31</v>
      </c>
      <c r="N25" s="5" t="s">
        <v>487</v>
      </c>
      <c r="O25" s="5" t="s">
        <v>156</v>
      </c>
      <c r="P25" s="5" t="s">
        <v>34</v>
      </c>
      <c r="Q25" s="156">
        <v>16825</v>
      </c>
      <c r="R25" s="168">
        <v>1</v>
      </c>
      <c r="S25" s="170">
        <v>1744</v>
      </c>
      <c r="U25" s="156">
        <v>293.428</v>
      </c>
      <c r="V25" s="167">
        <v>1.4E-5</v>
      </c>
      <c r="W25" s="167">
        <v>2.0879368632480699E-2</v>
      </c>
      <c r="X25" s="167">
        <v>3.5056515331188202E-3</v>
      </c>
    </row>
    <row r="26" spans="1:24">
      <c r="A26" s="5">
        <v>161</v>
      </c>
      <c r="B26" s="5">
        <v>9938</v>
      </c>
      <c r="C26" s="5" t="s">
        <v>997</v>
      </c>
      <c r="D26" s="5" t="s">
        <v>998</v>
      </c>
      <c r="E26" s="5" t="s">
        <v>149</v>
      </c>
      <c r="F26" s="5" t="s">
        <v>999</v>
      </c>
      <c r="G26" s="5" t="s">
        <v>1000</v>
      </c>
      <c r="H26" s="5" t="s">
        <v>152</v>
      </c>
      <c r="I26" s="5" t="s">
        <v>930</v>
      </c>
      <c r="J26" s="5" t="s">
        <v>30</v>
      </c>
      <c r="K26" s="5" t="s">
        <v>82</v>
      </c>
      <c r="L26" s="3" t="s">
        <v>154</v>
      </c>
      <c r="M26" s="3" t="s">
        <v>31</v>
      </c>
      <c r="N26" s="5" t="s">
        <v>923</v>
      </c>
      <c r="O26" s="5" t="s">
        <v>156</v>
      </c>
      <c r="P26" s="5" t="s">
        <v>34</v>
      </c>
      <c r="Q26" s="156">
        <v>508</v>
      </c>
      <c r="R26" s="168">
        <v>1</v>
      </c>
      <c r="S26" s="170">
        <v>48800</v>
      </c>
      <c r="U26" s="156">
        <v>247.904</v>
      </c>
      <c r="V26" s="167">
        <v>6.9999999999999999E-6</v>
      </c>
      <c r="W26" s="167">
        <v>1.7640030949556601E-2</v>
      </c>
      <c r="X26" s="167">
        <v>2.9617658766930501E-3</v>
      </c>
    </row>
    <row r="27" spans="1:24">
      <c r="A27" s="5">
        <v>161</v>
      </c>
      <c r="B27" s="5">
        <v>9938</v>
      </c>
      <c r="C27" s="5" t="s">
        <v>1001</v>
      </c>
      <c r="D27" s="5" t="s">
        <v>1002</v>
      </c>
      <c r="E27" s="5" t="s">
        <v>149</v>
      </c>
      <c r="F27" s="5" t="s">
        <v>1001</v>
      </c>
      <c r="G27" s="5" t="s">
        <v>1003</v>
      </c>
      <c r="H27" s="5" t="s">
        <v>152</v>
      </c>
      <c r="I27" s="5" t="s">
        <v>930</v>
      </c>
      <c r="J27" s="5" t="s">
        <v>30</v>
      </c>
      <c r="K27" s="5" t="s">
        <v>30</v>
      </c>
      <c r="L27" s="3" t="s">
        <v>154</v>
      </c>
      <c r="M27" s="3" t="s">
        <v>31</v>
      </c>
      <c r="N27" s="5" t="s">
        <v>1004</v>
      </c>
      <c r="O27" s="5" t="s">
        <v>156</v>
      </c>
      <c r="P27" s="5" t="s">
        <v>34</v>
      </c>
      <c r="Q27" s="156">
        <v>5250</v>
      </c>
      <c r="R27" s="168">
        <v>1</v>
      </c>
      <c r="S27" s="170">
        <v>15000</v>
      </c>
      <c r="U27" s="156">
        <v>787.5</v>
      </c>
      <c r="V27" s="167">
        <v>6.3999999999999997E-5</v>
      </c>
      <c r="W27" s="167">
        <v>5.6035902497643397E-2</v>
      </c>
      <c r="X27" s="167">
        <v>9.4084428968301392E-3</v>
      </c>
    </row>
    <row r="28" spans="1:24">
      <c r="A28" s="5">
        <v>161</v>
      </c>
      <c r="B28" s="5">
        <v>9938</v>
      </c>
      <c r="C28" s="5" t="s">
        <v>420</v>
      </c>
      <c r="D28" s="5" t="s">
        <v>421</v>
      </c>
      <c r="E28" s="5" t="s">
        <v>149</v>
      </c>
      <c r="F28" s="5" t="s">
        <v>1005</v>
      </c>
      <c r="G28" s="5" t="s">
        <v>1006</v>
      </c>
      <c r="H28" s="5" t="s">
        <v>152</v>
      </c>
      <c r="I28" s="5" t="s">
        <v>930</v>
      </c>
      <c r="J28" s="5" t="s">
        <v>30</v>
      </c>
      <c r="K28" s="5" t="s">
        <v>30</v>
      </c>
      <c r="L28" s="3" t="s">
        <v>154</v>
      </c>
      <c r="M28" s="3" t="s">
        <v>31</v>
      </c>
      <c r="N28" s="5" t="s">
        <v>167</v>
      </c>
      <c r="O28" s="5" t="s">
        <v>156</v>
      </c>
      <c r="P28" s="5" t="s">
        <v>34</v>
      </c>
      <c r="Q28" s="156">
        <v>899</v>
      </c>
      <c r="R28" s="168">
        <v>1</v>
      </c>
      <c r="S28" s="170">
        <v>32870</v>
      </c>
      <c r="U28" s="156">
        <v>295.50099999999998</v>
      </c>
      <c r="V28" s="167">
        <v>6.9999999999999999E-6</v>
      </c>
      <c r="W28" s="167">
        <v>2.10268978218754E-2</v>
      </c>
      <c r="X28" s="167">
        <v>3.5304217231607198E-3</v>
      </c>
    </row>
    <row r="29" spans="1:24">
      <c r="A29" s="5">
        <v>161</v>
      </c>
      <c r="B29" s="5">
        <v>9938</v>
      </c>
      <c r="C29" s="5" t="s">
        <v>429</v>
      </c>
      <c r="D29" s="5" t="s">
        <v>430</v>
      </c>
      <c r="E29" s="5" t="s">
        <v>149</v>
      </c>
      <c r="F29" s="5" t="s">
        <v>931</v>
      </c>
      <c r="G29" s="5" t="s">
        <v>932</v>
      </c>
      <c r="H29" s="5" t="s">
        <v>152</v>
      </c>
      <c r="I29" s="5" t="s">
        <v>930</v>
      </c>
      <c r="J29" s="5" t="s">
        <v>30</v>
      </c>
      <c r="K29" s="5" t="s">
        <v>30</v>
      </c>
      <c r="L29" s="3" t="s">
        <v>154</v>
      </c>
      <c r="M29" s="3" t="s">
        <v>31</v>
      </c>
      <c r="N29" s="5" t="s">
        <v>245</v>
      </c>
      <c r="O29" s="5" t="s">
        <v>156</v>
      </c>
      <c r="P29" s="5" t="s">
        <v>34</v>
      </c>
      <c r="Q29" s="156">
        <v>16882</v>
      </c>
      <c r="R29" s="168">
        <v>1</v>
      </c>
      <c r="S29" s="170">
        <v>6732</v>
      </c>
      <c r="U29" s="156">
        <v>1136.4960000000001</v>
      </c>
      <c r="V29" s="167">
        <v>1.2999999999999999E-5</v>
      </c>
      <c r="W29" s="167">
        <v>8.0869323801369394E-2</v>
      </c>
      <c r="X29" s="167">
        <v>1.35779809225424E-2</v>
      </c>
    </row>
    <row r="30" spans="1:24">
      <c r="A30" s="5">
        <v>161</v>
      </c>
      <c r="B30" s="5">
        <v>9938</v>
      </c>
      <c r="C30" s="5" t="s">
        <v>1007</v>
      </c>
      <c r="D30" s="5" t="s">
        <v>1008</v>
      </c>
      <c r="E30" s="5" t="s">
        <v>149</v>
      </c>
      <c r="F30" s="5" t="s">
        <v>1009</v>
      </c>
      <c r="G30" s="5" t="s">
        <v>1010</v>
      </c>
      <c r="H30" s="5" t="s">
        <v>152</v>
      </c>
      <c r="I30" s="5" t="s">
        <v>930</v>
      </c>
      <c r="J30" s="5" t="s">
        <v>30</v>
      </c>
      <c r="K30" s="5" t="s">
        <v>30</v>
      </c>
      <c r="L30" s="3" t="s">
        <v>154</v>
      </c>
      <c r="M30" s="3" t="s">
        <v>31</v>
      </c>
      <c r="N30" s="5" t="s">
        <v>1011</v>
      </c>
      <c r="O30" s="5" t="s">
        <v>156</v>
      </c>
      <c r="P30" s="5" t="s">
        <v>34</v>
      </c>
      <c r="Q30" s="156">
        <v>471</v>
      </c>
      <c r="R30" s="168">
        <v>1</v>
      </c>
      <c r="S30" s="170">
        <v>35060</v>
      </c>
      <c r="U30" s="156">
        <v>165.13300000000001</v>
      </c>
      <c r="V30" s="167">
        <v>3.4E-5</v>
      </c>
      <c r="W30" s="167">
        <v>1.17502911400411E-2</v>
      </c>
      <c r="X30" s="167">
        <v>1.9728770000064701E-3</v>
      </c>
    </row>
    <row r="31" spans="1:24">
      <c r="A31" s="5">
        <v>161</v>
      </c>
      <c r="B31" s="5">
        <v>9938</v>
      </c>
      <c r="C31" s="5" t="s">
        <v>1012</v>
      </c>
      <c r="D31" s="5" t="s">
        <v>1013</v>
      </c>
      <c r="E31" s="5" t="s">
        <v>149</v>
      </c>
      <c r="F31" s="5" t="s">
        <v>1014</v>
      </c>
      <c r="G31" s="5" t="s">
        <v>1015</v>
      </c>
      <c r="H31" s="5" t="s">
        <v>152</v>
      </c>
      <c r="I31" s="5" t="s">
        <v>930</v>
      </c>
      <c r="J31" s="5" t="s">
        <v>30</v>
      </c>
      <c r="K31" s="5" t="s">
        <v>30</v>
      </c>
      <c r="L31" s="3" t="s">
        <v>154</v>
      </c>
      <c r="M31" s="3" t="s">
        <v>31</v>
      </c>
      <c r="N31" s="5" t="s">
        <v>906</v>
      </c>
      <c r="O31" s="5" t="s">
        <v>156</v>
      </c>
      <c r="P31" s="5" t="s">
        <v>34</v>
      </c>
      <c r="Q31" s="156">
        <v>19241</v>
      </c>
      <c r="R31" s="168">
        <v>1</v>
      </c>
      <c r="S31" s="170">
        <v>875.3</v>
      </c>
      <c r="U31" s="156">
        <v>168.416</v>
      </c>
      <c r="V31" s="167">
        <v>6.7000000000000002E-5</v>
      </c>
      <c r="W31" s="167">
        <v>1.19839607111429E-2</v>
      </c>
      <c r="X31" s="167">
        <v>2.0121101829917898E-3</v>
      </c>
    </row>
    <row r="32" spans="1:24">
      <c r="A32" s="5">
        <v>161</v>
      </c>
      <c r="B32" s="5">
        <v>9938</v>
      </c>
      <c r="C32" s="5" t="s">
        <v>1016</v>
      </c>
      <c r="D32" s="5" t="s">
        <v>1017</v>
      </c>
      <c r="E32" s="5" t="s">
        <v>149</v>
      </c>
      <c r="F32" s="5" t="s">
        <v>1018</v>
      </c>
      <c r="G32" s="5" t="s">
        <v>1019</v>
      </c>
      <c r="H32" s="5" t="s">
        <v>152</v>
      </c>
      <c r="I32" s="5" t="s">
        <v>930</v>
      </c>
      <c r="J32" s="5" t="s">
        <v>30</v>
      </c>
      <c r="K32" s="5" t="s">
        <v>237</v>
      </c>
      <c r="L32" s="3" t="s">
        <v>154</v>
      </c>
      <c r="M32" s="3" t="s">
        <v>31</v>
      </c>
      <c r="N32" s="5" t="s">
        <v>992</v>
      </c>
      <c r="O32" s="5" t="s">
        <v>156</v>
      </c>
      <c r="P32" s="5" t="s">
        <v>34</v>
      </c>
      <c r="Q32" s="156">
        <v>1178</v>
      </c>
      <c r="R32" s="168">
        <v>1</v>
      </c>
      <c r="S32" s="170">
        <v>34590</v>
      </c>
      <c r="U32" s="156">
        <v>407.47</v>
      </c>
      <c r="V32" s="167">
        <v>2.5000000000000001E-5</v>
      </c>
      <c r="W32" s="167">
        <v>2.8994235425898799E-2</v>
      </c>
      <c r="X32" s="167">
        <v>4.8681398207745504E-3</v>
      </c>
    </row>
    <row r="33" spans="1:24">
      <c r="A33" s="5">
        <v>161</v>
      </c>
      <c r="B33" s="5">
        <v>9938</v>
      </c>
      <c r="C33" s="5" t="s">
        <v>1020</v>
      </c>
      <c r="D33" s="5" t="s">
        <v>1021</v>
      </c>
      <c r="E33" s="5" t="s">
        <v>817</v>
      </c>
      <c r="F33" s="5" t="s">
        <v>1022</v>
      </c>
      <c r="G33" s="5" t="s">
        <v>1023</v>
      </c>
      <c r="H33" s="5" t="s">
        <v>152</v>
      </c>
      <c r="I33" s="5" t="s">
        <v>930</v>
      </c>
      <c r="J33" s="5" t="s">
        <v>30</v>
      </c>
      <c r="K33" s="5" t="s">
        <v>30</v>
      </c>
      <c r="L33" s="3" t="s">
        <v>154</v>
      </c>
      <c r="M33" s="3" t="s">
        <v>31</v>
      </c>
      <c r="N33" s="5" t="s">
        <v>487</v>
      </c>
      <c r="O33" s="5" t="s">
        <v>156</v>
      </c>
      <c r="P33" s="5" t="s">
        <v>34</v>
      </c>
      <c r="Q33" s="156">
        <v>13705</v>
      </c>
      <c r="R33" s="168">
        <v>1</v>
      </c>
      <c r="S33" s="170">
        <v>454.7</v>
      </c>
      <c r="U33" s="156">
        <v>62.317</v>
      </c>
      <c r="V33" s="167">
        <v>1.2E-5</v>
      </c>
      <c r="W33" s="167">
        <v>4.4342462004333203E-3</v>
      </c>
      <c r="X33" s="167">
        <v>7.4451111354934105E-4</v>
      </c>
    </row>
    <row r="34" spans="1:24">
      <c r="A34" s="5">
        <v>161</v>
      </c>
      <c r="B34" s="5">
        <v>9938</v>
      </c>
      <c r="C34" s="5" t="s">
        <v>1024</v>
      </c>
      <c r="D34" s="5" t="s">
        <v>1025</v>
      </c>
      <c r="E34" s="5" t="s">
        <v>935</v>
      </c>
      <c r="F34" s="5" t="s">
        <v>1026</v>
      </c>
      <c r="G34" s="5" t="s">
        <v>1027</v>
      </c>
      <c r="H34" s="5" t="s">
        <v>152</v>
      </c>
      <c r="I34" s="5" t="s">
        <v>930</v>
      </c>
      <c r="J34" s="5" t="s">
        <v>81</v>
      </c>
      <c r="K34" s="5" t="s">
        <v>1028</v>
      </c>
      <c r="L34" s="3" t="s">
        <v>154</v>
      </c>
      <c r="M34" s="3" t="s">
        <v>1029</v>
      </c>
      <c r="N34" s="5" t="s">
        <v>1030</v>
      </c>
      <c r="O34" s="5" t="s">
        <v>156</v>
      </c>
      <c r="P34" s="5" t="s">
        <v>86</v>
      </c>
      <c r="Q34" s="156">
        <v>240</v>
      </c>
      <c r="R34" s="168">
        <v>3.306</v>
      </c>
      <c r="S34" s="170">
        <v>16179</v>
      </c>
      <c r="U34" s="156">
        <v>128.37100000000001</v>
      </c>
      <c r="V34" s="167">
        <v>0</v>
      </c>
      <c r="W34" s="167">
        <v>9.1344325750247202E-3</v>
      </c>
      <c r="X34" s="167">
        <v>1.5336736528992201E-3</v>
      </c>
    </row>
    <row r="35" spans="1:24">
      <c r="A35" s="5">
        <v>161</v>
      </c>
      <c r="B35" s="5">
        <v>9938</v>
      </c>
      <c r="C35" s="5" t="s">
        <v>1031</v>
      </c>
      <c r="D35" s="5" t="s">
        <v>1032</v>
      </c>
      <c r="E35" s="5" t="s">
        <v>935</v>
      </c>
      <c r="F35" s="5" t="s">
        <v>1033</v>
      </c>
      <c r="G35" s="5" t="s">
        <v>1034</v>
      </c>
      <c r="H35" s="5" t="s">
        <v>152</v>
      </c>
      <c r="I35" s="5" t="s">
        <v>930</v>
      </c>
      <c r="J35" s="5" t="s">
        <v>81</v>
      </c>
      <c r="K35" s="5" t="s">
        <v>82</v>
      </c>
      <c r="L35" s="3" t="s">
        <v>154</v>
      </c>
      <c r="M35" s="3" t="s">
        <v>1029</v>
      </c>
      <c r="N35" s="5" t="s">
        <v>1035</v>
      </c>
      <c r="O35" s="5" t="s">
        <v>156</v>
      </c>
      <c r="P35" s="5" t="s">
        <v>86</v>
      </c>
      <c r="Q35" s="156">
        <v>457</v>
      </c>
      <c r="R35" s="168">
        <v>3.306</v>
      </c>
      <c r="S35" s="170">
        <v>24355</v>
      </c>
      <c r="U35" s="156">
        <v>367.96600000000001</v>
      </c>
      <c r="V35" s="167">
        <v>0</v>
      </c>
      <c r="W35" s="167">
        <v>2.6183216193749199E-2</v>
      </c>
      <c r="X35" s="167">
        <v>4.3961689458755001E-3</v>
      </c>
    </row>
    <row r="36" spans="1:24">
      <c r="A36" s="5">
        <v>161</v>
      </c>
      <c r="B36" s="5">
        <v>9938</v>
      </c>
      <c r="C36" s="5" t="s">
        <v>1036</v>
      </c>
      <c r="D36" s="5" t="s">
        <v>1037</v>
      </c>
      <c r="E36" s="5" t="s">
        <v>935</v>
      </c>
      <c r="F36" s="5" t="s">
        <v>1038</v>
      </c>
      <c r="G36" s="5" t="s">
        <v>1039</v>
      </c>
      <c r="H36" s="5" t="s">
        <v>152</v>
      </c>
      <c r="I36" s="5" t="s">
        <v>930</v>
      </c>
      <c r="J36" s="5" t="s">
        <v>81</v>
      </c>
      <c r="K36" s="5" t="s">
        <v>82</v>
      </c>
      <c r="L36" s="3" t="s">
        <v>154</v>
      </c>
      <c r="M36" s="3" t="s">
        <v>1029</v>
      </c>
      <c r="N36" s="5" t="s">
        <v>1040</v>
      </c>
      <c r="O36" s="5" t="s">
        <v>156</v>
      </c>
      <c r="P36" s="5" t="s">
        <v>86</v>
      </c>
      <c r="Q36" s="156">
        <v>300</v>
      </c>
      <c r="R36" s="168">
        <v>3.306</v>
      </c>
      <c r="S36" s="170">
        <v>21957</v>
      </c>
      <c r="U36" s="156">
        <v>217.77</v>
      </c>
      <c r="V36" s="167">
        <v>0</v>
      </c>
      <c r="W36" s="167">
        <v>1.54957611757385E-2</v>
      </c>
      <c r="X36" s="167">
        <v>2.6017424127501802E-3</v>
      </c>
    </row>
    <row r="37" spans="1:24">
      <c r="A37" s="5">
        <v>161</v>
      </c>
      <c r="B37" s="5">
        <v>9938</v>
      </c>
      <c r="C37" s="5" t="s">
        <v>1041</v>
      </c>
      <c r="D37" s="5" t="s">
        <v>1042</v>
      </c>
      <c r="E37" s="5" t="s">
        <v>935</v>
      </c>
      <c r="F37" s="5" t="s">
        <v>1043</v>
      </c>
      <c r="G37" s="5" t="s">
        <v>1044</v>
      </c>
      <c r="H37" s="5" t="s">
        <v>152</v>
      </c>
      <c r="I37" s="5" t="s">
        <v>930</v>
      </c>
      <c r="J37" s="5" t="s">
        <v>81</v>
      </c>
      <c r="K37" s="5" t="s">
        <v>82</v>
      </c>
      <c r="L37" s="3" t="s">
        <v>154</v>
      </c>
      <c r="M37" s="3" t="s">
        <v>1029</v>
      </c>
      <c r="N37" s="5" t="s">
        <v>1030</v>
      </c>
      <c r="O37" s="5" t="s">
        <v>156</v>
      </c>
      <c r="P37" s="5" t="s">
        <v>86</v>
      </c>
      <c r="Q37" s="156">
        <v>187</v>
      </c>
      <c r="R37" s="168">
        <v>3.306</v>
      </c>
      <c r="S37" s="170">
        <v>96809</v>
      </c>
      <c r="U37" s="156">
        <v>598.495</v>
      </c>
      <c r="V37" s="167">
        <v>0</v>
      </c>
      <c r="W37" s="167">
        <v>4.2586897096568398E-2</v>
      </c>
      <c r="X37" s="167">
        <v>7.1503513216922901E-3</v>
      </c>
    </row>
    <row r="38" spans="1:24">
      <c r="A38" s="5">
        <v>161</v>
      </c>
      <c r="B38" s="5">
        <v>9938</v>
      </c>
      <c r="C38" s="5" t="s">
        <v>1045</v>
      </c>
      <c r="D38" s="5" t="s">
        <v>1046</v>
      </c>
      <c r="E38" s="5" t="s">
        <v>935</v>
      </c>
      <c r="F38" s="5" t="s">
        <v>1047</v>
      </c>
      <c r="G38" s="5" t="s">
        <v>1048</v>
      </c>
      <c r="H38" s="5" t="s">
        <v>152</v>
      </c>
      <c r="I38" s="5" t="s">
        <v>930</v>
      </c>
      <c r="J38" s="5" t="s">
        <v>81</v>
      </c>
      <c r="K38" s="5" t="s">
        <v>82</v>
      </c>
      <c r="L38" s="3" t="s">
        <v>154</v>
      </c>
      <c r="M38" s="3" t="s">
        <v>1029</v>
      </c>
      <c r="N38" s="5" t="s">
        <v>1030</v>
      </c>
      <c r="O38" s="5" t="s">
        <v>156</v>
      </c>
      <c r="P38" s="5" t="s">
        <v>86</v>
      </c>
      <c r="Q38" s="156">
        <v>200</v>
      </c>
      <c r="R38" s="168">
        <v>3.306</v>
      </c>
      <c r="S38" s="170">
        <v>32991</v>
      </c>
      <c r="T38" s="155">
        <v>0.11799999999999999</v>
      </c>
      <c r="U38" s="156">
        <v>218.52699999999999</v>
      </c>
      <c r="V38" s="167">
        <v>0</v>
      </c>
      <c r="W38" s="167">
        <v>1.55496320644337E-2</v>
      </c>
      <c r="X38" s="167">
        <v>2.6107873492551602E-3</v>
      </c>
    </row>
    <row r="39" spans="1:24">
      <c r="A39" s="5">
        <v>161</v>
      </c>
      <c r="B39" s="5">
        <v>9938</v>
      </c>
      <c r="C39" s="5" t="s">
        <v>1049</v>
      </c>
      <c r="D39" s="5" t="s">
        <v>1050</v>
      </c>
      <c r="E39" s="5" t="s">
        <v>935</v>
      </c>
      <c r="F39" s="5" t="s">
        <v>1051</v>
      </c>
      <c r="G39" s="5" t="s">
        <v>1052</v>
      </c>
      <c r="H39" s="5" t="s">
        <v>152</v>
      </c>
      <c r="I39" s="5" t="s">
        <v>930</v>
      </c>
      <c r="J39" s="5" t="s">
        <v>81</v>
      </c>
      <c r="K39" s="5" t="s">
        <v>82</v>
      </c>
      <c r="L39" s="3" t="s">
        <v>154</v>
      </c>
      <c r="M39" s="3" t="s">
        <v>1053</v>
      </c>
      <c r="N39" s="5" t="s">
        <v>491</v>
      </c>
      <c r="O39" s="5" t="s">
        <v>156</v>
      </c>
      <c r="P39" s="5" t="s">
        <v>86</v>
      </c>
      <c r="Q39" s="156">
        <v>104</v>
      </c>
      <c r="R39" s="168">
        <v>3.306</v>
      </c>
      <c r="S39" s="170">
        <v>31543</v>
      </c>
      <c r="U39" s="156">
        <v>108.452</v>
      </c>
      <c r="V39" s="167">
        <v>0</v>
      </c>
      <c r="W39" s="167">
        <v>7.7171153702990797E-3</v>
      </c>
      <c r="X39" s="167">
        <v>1.2957057181824201E-3</v>
      </c>
    </row>
    <row r="40" spans="1:24">
      <c r="A40" s="5">
        <v>161</v>
      </c>
      <c r="B40" s="5">
        <v>9938</v>
      </c>
      <c r="C40" s="5" t="s">
        <v>1054</v>
      </c>
      <c r="D40" s="5" t="s">
        <v>1055</v>
      </c>
      <c r="E40" s="5" t="s">
        <v>935</v>
      </c>
      <c r="F40" s="5" t="s">
        <v>1056</v>
      </c>
      <c r="G40" s="5" t="s">
        <v>1057</v>
      </c>
      <c r="H40" s="5" t="s">
        <v>152</v>
      </c>
      <c r="I40" s="5" t="s">
        <v>930</v>
      </c>
      <c r="J40" s="5" t="s">
        <v>81</v>
      </c>
      <c r="K40" s="5" t="s">
        <v>82</v>
      </c>
      <c r="L40" s="3" t="s">
        <v>154</v>
      </c>
      <c r="M40" s="3" t="s">
        <v>1053</v>
      </c>
      <c r="N40" s="5" t="s">
        <v>1058</v>
      </c>
      <c r="O40" s="5" t="s">
        <v>156</v>
      </c>
      <c r="P40" s="5" t="s">
        <v>86</v>
      </c>
      <c r="Q40" s="156">
        <v>75</v>
      </c>
      <c r="R40" s="168">
        <v>3.306</v>
      </c>
      <c r="S40" s="170">
        <v>56881</v>
      </c>
      <c r="U40" s="156">
        <v>141.036</v>
      </c>
      <c r="V40" s="167">
        <v>0</v>
      </c>
      <c r="W40" s="167">
        <v>1.0035687838014999E-2</v>
      </c>
      <c r="X40" s="167">
        <v>1.6849946506768099E-3</v>
      </c>
    </row>
    <row r="41" spans="1:24">
      <c r="A41" s="5">
        <v>161</v>
      </c>
      <c r="B41" s="5">
        <v>9938</v>
      </c>
      <c r="C41" s="5" t="s">
        <v>1059</v>
      </c>
      <c r="D41" s="5" t="s">
        <v>1060</v>
      </c>
      <c r="E41" s="5" t="s">
        <v>935</v>
      </c>
      <c r="F41" s="5" t="s">
        <v>1061</v>
      </c>
      <c r="G41" s="5" t="s">
        <v>1062</v>
      </c>
      <c r="H41" s="5" t="s">
        <v>152</v>
      </c>
      <c r="I41" s="5" t="s">
        <v>930</v>
      </c>
      <c r="J41" s="5" t="s">
        <v>81</v>
      </c>
      <c r="K41" s="5" t="s">
        <v>82</v>
      </c>
      <c r="L41" s="3" t="s">
        <v>154</v>
      </c>
      <c r="M41" s="3" t="s">
        <v>1029</v>
      </c>
      <c r="N41" s="5" t="s">
        <v>1063</v>
      </c>
      <c r="O41" s="5" t="s">
        <v>156</v>
      </c>
      <c r="P41" s="5" t="s">
        <v>86</v>
      </c>
      <c r="Q41" s="156">
        <v>113</v>
      </c>
      <c r="R41" s="168">
        <v>3.306</v>
      </c>
      <c r="S41" s="170">
        <v>51795</v>
      </c>
      <c r="U41" s="156">
        <v>193.495</v>
      </c>
      <c r="V41" s="167">
        <v>0</v>
      </c>
      <c r="W41" s="167">
        <v>1.3768446412078601E-2</v>
      </c>
      <c r="X41" s="167">
        <v>2.3117258056396099E-3</v>
      </c>
    </row>
    <row r="42" spans="1:24">
      <c r="A42" s="5">
        <v>161</v>
      </c>
      <c r="B42" s="5">
        <v>9938</v>
      </c>
      <c r="C42" s="5" t="s">
        <v>997</v>
      </c>
      <c r="D42" s="5" t="s">
        <v>998</v>
      </c>
      <c r="E42" s="5" t="s">
        <v>149</v>
      </c>
      <c r="F42" s="5" t="s">
        <v>1064</v>
      </c>
      <c r="G42" s="5" t="s">
        <v>1065</v>
      </c>
      <c r="H42" s="5" t="s">
        <v>152</v>
      </c>
      <c r="I42" s="5" t="s">
        <v>930</v>
      </c>
      <c r="J42" s="5" t="s">
        <v>81</v>
      </c>
      <c r="K42" s="5" t="s">
        <v>82</v>
      </c>
      <c r="L42" s="3" t="s">
        <v>154</v>
      </c>
      <c r="M42" s="3" t="s">
        <v>1029</v>
      </c>
      <c r="N42" s="5" t="s">
        <v>923</v>
      </c>
      <c r="O42" s="5" t="s">
        <v>156</v>
      </c>
      <c r="P42" s="5" t="s">
        <v>86</v>
      </c>
      <c r="Q42" s="156">
        <v>136</v>
      </c>
      <c r="R42" s="168">
        <v>3.306</v>
      </c>
      <c r="S42" s="170">
        <v>14478</v>
      </c>
      <c r="U42" s="156">
        <v>65.094999999999999</v>
      </c>
      <c r="V42" s="167">
        <v>1.9999999999999999E-6</v>
      </c>
      <c r="W42" s="167">
        <v>4.6319742710932603E-3</v>
      </c>
      <c r="X42" s="167">
        <v>7.7770970907446398E-4</v>
      </c>
    </row>
    <row r="43" spans="1:24">
      <c r="A43" s="5">
        <v>161</v>
      </c>
      <c r="B43" s="5">
        <v>9938</v>
      </c>
      <c r="C43" s="5" t="s">
        <v>1066</v>
      </c>
      <c r="D43" s="5" t="s">
        <v>1067</v>
      </c>
      <c r="E43" s="5" t="s">
        <v>935</v>
      </c>
      <c r="F43" s="5" t="s">
        <v>1068</v>
      </c>
      <c r="G43" s="5" t="s">
        <v>1069</v>
      </c>
      <c r="H43" s="5" t="s">
        <v>152</v>
      </c>
      <c r="I43" s="5" t="s">
        <v>930</v>
      </c>
      <c r="J43" s="5" t="s">
        <v>81</v>
      </c>
      <c r="K43" s="5" t="s">
        <v>82</v>
      </c>
      <c r="L43" s="3" t="s">
        <v>154</v>
      </c>
      <c r="M43" s="3" t="s">
        <v>1029</v>
      </c>
      <c r="N43" s="5" t="s">
        <v>1030</v>
      </c>
      <c r="O43" s="5" t="s">
        <v>156</v>
      </c>
      <c r="P43" s="5" t="s">
        <v>86</v>
      </c>
      <c r="Q43" s="156">
        <v>450</v>
      </c>
      <c r="R43" s="168">
        <v>3.306</v>
      </c>
      <c r="S43" s="170">
        <v>18658</v>
      </c>
      <c r="T43" s="155">
        <v>5.0000000000000001E-3</v>
      </c>
      <c r="U43" s="156">
        <v>277.58999999999997</v>
      </c>
      <c r="V43" s="167">
        <v>0</v>
      </c>
      <c r="W43" s="167">
        <v>1.97523847368564E-2</v>
      </c>
      <c r="X43" s="167">
        <v>3.3164306380315299E-3</v>
      </c>
    </row>
    <row r="44" spans="1:24">
      <c r="A44" s="5">
        <v>161</v>
      </c>
      <c r="B44" s="5">
        <v>9938</v>
      </c>
      <c r="C44" s="5" t="s">
        <v>933</v>
      </c>
      <c r="D44" s="5" t="s">
        <v>934</v>
      </c>
      <c r="E44" s="5" t="s">
        <v>935</v>
      </c>
      <c r="F44" s="5" t="s">
        <v>1070</v>
      </c>
      <c r="G44" s="5" t="s">
        <v>937</v>
      </c>
      <c r="H44" s="5" t="s">
        <v>152</v>
      </c>
      <c r="I44" s="5" t="s">
        <v>930</v>
      </c>
      <c r="J44" s="5" t="s">
        <v>81</v>
      </c>
      <c r="K44" s="5" t="s">
        <v>82</v>
      </c>
      <c r="L44" s="3" t="s">
        <v>154</v>
      </c>
      <c r="M44" s="3" t="s">
        <v>1053</v>
      </c>
      <c r="N44" s="5" t="s">
        <v>1071</v>
      </c>
      <c r="O44" s="5" t="s">
        <v>156</v>
      </c>
      <c r="P44" s="5" t="s">
        <v>86</v>
      </c>
      <c r="Q44" s="156">
        <v>170</v>
      </c>
      <c r="R44" s="168">
        <v>3.306</v>
      </c>
      <c r="S44" s="170">
        <v>9625</v>
      </c>
      <c r="U44" s="156">
        <v>54.094000000000001</v>
      </c>
      <c r="V44" s="167">
        <v>3.0000000000000001E-6</v>
      </c>
      <c r="W44" s="167">
        <v>3.8491808570997898E-3</v>
      </c>
      <c r="X44" s="167">
        <v>6.4627848717379102E-4</v>
      </c>
    </row>
    <row r="45" spans="1:24">
      <c r="A45" s="5">
        <v>161</v>
      </c>
      <c r="B45" s="5">
        <v>9938</v>
      </c>
      <c r="C45" s="5" t="s">
        <v>1072</v>
      </c>
      <c r="D45" s="5" t="s">
        <v>1073</v>
      </c>
      <c r="E45" s="5" t="s">
        <v>935</v>
      </c>
      <c r="F45" s="5" t="s">
        <v>1074</v>
      </c>
      <c r="G45" s="5" t="s">
        <v>1075</v>
      </c>
      <c r="H45" s="5" t="s">
        <v>152</v>
      </c>
      <c r="I45" s="5" t="s">
        <v>930</v>
      </c>
      <c r="J45" s="5" t="s">
        <v>81</v>
      </c>
      <c r="K45" s="5" t="s">
        <v>1076</v>
      </c>
      <c r="L45" s="3" t="s">
        <v>154</v>
      </c>
      <c r="M45" s="3" t="s">
        <v>1053</v>
      </c>
      <c r="N45" s="5" t="s">
        <v>1030</v>
      </c>
      <c r="O45" s="5" t="s">
        <v>156</v>
      </c>
      <c r="P45" s="5" t="s">
        <v>86</v>
      </c>
      <c r="Q45" s="156">
        <v>385</v>
      </c>
      <c r="R45" s="168">
        <v>3.306</v>
      </c>
      <c r="S45" s="170">
        <v>27929</v>
      </c>
      <c r="T45" s="155">
        <v>0.25</v>
      </c>
      <c r="U45" s="156">
        <v>356.31</v>
      </c>
      <c r="V45" s="167">
        <v>0</v>
      </c>
      <c r="W45" s="167">
        <v>2.5353865628744001E-2</v>
      </c>
      <c r="X45" s="167">
        <v>4.2569207659673902E-3</v>
      </c>
    </row>
    <row r="46" spans="1:24">
      <c r="A46" s="5">
        <v>161</v>
      </c>
      <c r="B46" s="5">
        <v>9942</v>
      </c>
      <c r="C46" s="5" t="s">
        <v>933</v>
      </c>
      <c r="D46" s="5" t="s">
        <v>934</v>
      </c>
      <c r="E46" s="5" t="s">
        <v>935</v>
      </c>
      <c r="F46" s="5" t="s">
        <v>936</v>
      </c>
      <c r="G46" s="5" t="s">
        <v>937</v>
      </c>
      <c r="H46" s="5" t="s">
        <v>152</v>
      </c>
      <c r="I46" s="5" t="s">
        <v>930</v>
      </c>
      <c r="J46" s="5" t="s">
        <v>30</v>
      </c>
      <c r="K46" s="5" t="s">
        <v>82</v>
      </c>
      <c r="L46" s="3" t="s">
        <v>154</v>
      </c>
      <c r="M46" s="3" t="s">
        <v>31</v>
      </c>
      <c r="N46" s="5" t="s">
        <v>210</v>
      </c>
      <c r="O46" s="5" t="s">
        <v>156</v>
      </c>
      <c r="P46" s="5" t="s">
        <v>34</v>
      </c>
      <c r="Q46" s="156">
        <v>113</v>
      </c>
      <c r="R46" s="168">
        <v>1</v>
      </c>
      <c r="S46" s="170">
        <v>31800</v>
      </c>
      <c r="U46" s="156">
        <v>35.933999999999997</v>
      </c>
      <c r="V46" s="167">
        <v>1.9999999999999999E-6</v>
      </c>
      <c r="W46" s="167">
        <v>3.2920364981187801E-3</v>
      </c>
      <c r="X46" s="167">
        <v>3.63678154447447E-4</v>
      </c>
    </row>
    <row r="47" spans="1:24">
      <c r="A47" s="5">
        <v>161</v>
      </c>
      <c r="B47" s="5">
        <v>9942</v>
      </c>
      <c r="C47" s="5" t="s">
        <v>938</v>
      </c>
      <c r="D47" s="5" t="s">
        <v>939</v>
      </c>
      <c r="E47" s="5" t="s">
        <v>149</v>
      </c>
      <c r="F47" s="5" t="s">
        <v>940</v>
      </c>
      <c r="G47" s="5" t="s">
        <v>941</v>
      </c>
      <c r="H47" s="5" t="s">
        <v>152</v>
      </c>
      <c r="I47" s="5" t="s">
        <v>930</v>
      </c>
      <c r="J47" s="5" t="s">
        <v>30</v>
      </c>
      <c r="K47" s="5" t="s">
        <v>30</v>
      </c>
      <c r="L47" s="3" t="s">
        <v>154</v>
      </c>
      <c r="M47" s="3" t="s">
        <v>31</v>
      </c>
      <c r="N47" s="5" t="s">
        <v>178</v>
      </c>
      <c r="O47" s="5" t="s">
        <v>156</v>
      </c>
      <c r="P47" s="5" t="s">
        <v>34</v>
      </c>
      <c r="Q47" s="156">
        <v>6600</v>
      </c>
      <c r="R47" s="168">
        <v>1</v>
      </c>
      <c r="S47" s="170">
        <v>1509</v>
      </c>
      <c r="U47" s="156">
        <v>99.593999999999994</v>
      </c>
      <c r="V47" s="167">
        <v>1.2E-5</v>
      </c>
      <c r="W47" s="167">
        <v>9.1241465740981107E-3</v>
      </c>
      <c r="X47" s="167">
        <v>1.0079635474491901E-3</v>
      </c>
    </row>
    <row r="48" spans="1:24">
      <c r="A48" s="5">
        <v>161</v>
      </c>
      <c r="B48" s="5">
        <v>9942</v>
      </c>
      <c r="C48" s="5" t="s">
        <v>942</v>
      </c>
      <c r="D48" s="5" t="s">
        <v>943</v>
      </c>
      <c r="E48" s="5" t="s">
        <v>149</v>
      </c>
      <c r="F48" s="5" t="s">
        <v>944</v>
      </c>
      <c r="G48" s="5" t="s">
        <v>945</v>
      </c>
      <c r="H48" s="5" t="s">
        <v>152</v>
      </c>
      <c r="I48" s="5" t="s">
        <v>930</v>
      </c>
      <c r="J48" s="5" t="s">
        <v>30</v>
      </c>
      <c r="K48" s="5" t="s">
        <v>30</v>
      </c>
      <c r="L48" s="3" t="s">
        <v>154</v>
      </c>
      <c r="M48" s="3" t="s">
        <v>31</v>
      </c>
      <c r="N48" s="5" t="s">
        <v>946</v>
      </c>
      <c r="O48" s="5" t="s">
        <v>156</v>
      </c>
      <c r="P48" s="5" t="s">
        <v>34</v>
      </c>
      <c r="Q48" s="156">
        <v>196</v>
      </c>
      <c r="R48" s="168">
        <v>1</v>
      </c>
      <c r="S48" s="170">
        <v>167700</v>
      </c>
      <c r="U48" s="156">
        <v>328.69200000000001</v>
      </c>
      <c r="V48" s="167">
        <v>3.9999999999999998E-6</v>
      </c>
      <c r="W48" s="167">
        <v>3.01125970011593E-2</v>
      </c>
      <c r="X48" s="167">
        <v>3.3266015456570501E-3</v>
      </c>
    </row>
    <row r="49" spans="1:24">
      <c r="A49" s="5">
        <v>161</v>
      </c>
      <c r="B49" s="5">
        <v>9942</v>
      </c>
      <c r="C49" s="5" t="s">
        <v>181</v>
      </c>
      <c r="D49" s="5" t="s">
        <v>182</v>
      </c>
      <c r="E49" s="5" t="s">
        <v>149</v>
      </c>
      <c r="F49" s="5" t="s">
        <v>947</v>
      </c>
      <c r="G49" s="5" t="s">
        <v>948</v>
      </c>
      <c r="H49" s="5" t="s">
        <v>152</v>
      </c>
      <c r="I49" s="5" t="s">
        <v>930</v>
      </c>
      <c r="J49" s="5" t="s">
        <v>30</v>
      </c>
      <c r="K49" s="5" t="s">
        <v>30</v>
      </c>
      <c r="L49" s="3" t="s">
        <v>154</v>
      </c>
      <c r="M49" s="3" t="s">
        <v>31</v>
      </c>
      <c r="N49" s="5" t="s">
        <v>167</v>
      </c>
      <c r="O49" s="5" t="s">
        <v>156</v>
      </c>
      <c r="P49" s="5" t="s">
        <v>34</v>
      </c>
      <c r="Q49" s="156">
        <v>6100</v>
      </c>
      <c r="R49" s="168">
        <v>1</v>
      </c>
      <c r="S49" s="170">
        <v>3926</v>
      </c>
      <c r="U49" s="156">
        <v>239.48599999999999</v>
      </c>
      <c r="V49" s="167">
        <v>2.8E-5</v>
      </c>
      <c r="W49" s="167">
        <v>2.1940130594658901E-2</v>
      </c>
      <c r="X49" s="167">
        <v>2.42377209595373E-3</v>
      </c>
    </row>
    <row r="50" spans="1:24">
      <c r="A50" s="5">
        <v>161</v>
      </c>
      <c r="B50" s="5">
        <v>9942</v>
      </c>
      <c r="C50" s="5" t="s">
        <v>196</v>
      </c>
      <c r="D50" s="5" t="s">
        <v>197</v>
      </c>
      <c r="E50" s="5" t="s">
        <v>149</v>
      </c>
      <c r="F50" s="5" t="s">
        <v>949</v>
      </c>
      <c r="G50" s="5" t="s">
        <v>950</v>
      </c>
      <c r="H50" s="5" t="s">
        <v>152</v>
      </c>
      <c r="I50" s="5" t="s">
        <v>930</v>
      </c>
      <c r="J50" s="5" t="s">
        <v>30</v>
      </c>
      <c r="K50" s="5" t="s">
        <v>30</v>
      </c>
      <c r="L50" s="3" t="s">
        <v>154</v>
      </c>
      <c r="M50" s="3" t="s">
        <v>31</v>
      </c>
      <c r="N50" s="5" t="s">
        <v>167</v>
      </c>
      <c r="O50" s="5" t="s">
        <v>156</v>
      </c>
      <c r="P50" s="5" t="s">
        <v>34</v>
      </c>
      <c r="Q50" s="156">
        <v>5550</v>
      </c>
      <c r="R50" s="168">
        <v>1</v>
      </c>
      <c r="S50" s="170">
        <v>2476</v>
      </c>
      <c r="U50" s="156">
        <v>137.41800000000001</v>
      </c>
      <c r="V50" s="167">
        <v>1.1E-5</v>
      </c>
      <c r="W50" s="167">
        <v>1.25893324288553E-2</v>
      </c>
      <c r="X50" s="167">
        <v>1.3907698733193999E-3</v>
      </c>
    </row>
    <row r="51" spans="1:24">
      <c r="A51" s="5">
        <v>161</v>
      </c>
      <c r="B51" s="5">
        <v>9942</v>
      </c>
      <c r="C51" s="5" t="s">
        <v>206</v>
      </c>
      <c r="D51" s="5" t="s">
        <v>207</v>
      </c>
      <c r="E51" s="5" t="s">
        <v>149</v>
      </c>
      <c r="F51" s="5" t="s">
        <v>951</v>
      </c>
      <c r="G51" s="5" t="s">
        <v>952</v>
      </c>
      <c r="H51" s="5" t="s">
        <v>152</v>
      </c>
      <c r="I51" s="5" t="s">
        <v>930</v>
      </c>
      <c r="J51" s="5" t="s">
        <v>30</v>
      </c>
      <c r="K51" s="5" t="s">
        <v>82</v>
      </c>
      <c r="L51" s="3" t="s">
        <v>154</v>
      </c>
      <c r="M51" s="3" t="s">
        <v>31</v>
      </c>
      <c r="N51" s="5" t="s">
        <v>210</v>
      </c>
      <c r="O51" s="5" t="s">
        <v>156</v>
      </c>
      <c r="P51" s="5" t="s">
        <v>34</v>
      </c>
      <c r="Q51" s="156">
        <v>2995.7</v>
      </c>
      <c r="R51" s="168">
        <v>1</v>
      </c>
      <c r="S51" s="170">
        <v>10190</v>
      </c>
      <c r="U51" s="156">
        <v>305.262</v>
      </c>
      <c r="V51" s="167">
        <v>2.3E-5</v>
      </c>
      <c r="W51" s="167">
        <v>2.7966079085059499E-2</v>
      </c>
      <c r="X51" s="167">
        <v>3.0894712238451099E-3</v>
      </c>
    </row>
    <row r="52" spans="1:24">
      <c r="A52" s="5">
        <v>161</v>
      </c>
      <c r="B52" s="5">
        <v>9942</v>
      </c>
      <c r="C52" s="5" t="s">
        <v>511</v>
      </c>
      <c r="D52" s="5" t="s">
        <v>512</v>
      </c>
      <c r="E52" s="5" t="s">
        <v>149</v>
      </c>
      <c r="F52" s="5" t="s">
        <v>953</v>
      </c>
      <c r="G52" s="5" t="s">
        <v>954</v>
      </c>
      <c r="H52" s="5" t="s">
        <v>152</v>
      </c>
      <c r="I52" s="5" t="s">
        <v>930</v>
      </c>
      <c r="J52" s="5" t="s">
        <v>30</v>
      </c>
      <c r="K52" s="5" t="s">
        <v>30</v>
      </c>
      <c r="L52" s="3" t="s">
        <v>154</v>
      </c>
      <c r="M52" s="3" t="s">
        <v>31</v>
      </c>
      <c r="N52" s="5" t="s">
        <v>210</v>
      </c>
      <c r="O52" s="5" t="s">
        <v>156</v>
      </c>
      <c r="P52" s="5" t="s">
        <v>34</v>
      </c>
      <c r="Q52" s="156">
        <v>17957</v>
      </c>
      <c r="R52" s="168">
        <v>1</v>
      </c>
      <c r="S52" s="170">
        <v>1428</v>
      </c>
      <c r="U52" s="156">
        <v>256.42599999999999</v>
      </c>
      <c r="V52" s="167">
        <v>3.3000000000000003E-5</v>
      </c>
      <c r="W52" s="167">
        <v>2.3492058200733201E-2</v>
      </c>
      <c r="X52" s="167">
        <v>2.5952167831361601E-3</v>
      </c>
    </row>
    <row r="53" spans="1:24">
      <c r="A53" s="5">
        <v>161</v>
      </c>
      <c r="B53" s="5">
        <v>9942</v>
      </c>
      <c r="C53" s="5" t="s">
        <v>693</v>
      </c>
      <c r="D53" s="5" t="s">
        <v>694</v>
      </c>
      <c r="E53" s="5" t="s">
        <v>149</v>
      </c>
      <c r="F53" s="5" t="s">
        <v>955</v>
      </c>
      <c r="G53" s="5" t="s">
        <v>956</v>
      </c>
      <c r="H53" s="5" t="s">
        <v>152</v>
      </c>
      <c r="I53" s="5" t="s">
        <v>930</v>
      </c>
      <c r="J53" s="5" t="s">
        <v>30</v>
      </c>
      <c r="K53" s="5" t="s">
        <v>30</v>
      </c>
      <c r="L53" s="3" t="s">
        <v>154</v>
      </c>
      <c r="M53" s="3" t="s">
        <v>31</v>
      </c>
      <c r="N53" s="5" t="s">
        <v>697</v>
      </c>
      <c r="O53" s="5" t="s">
        <v>156</v>
      </c>
      <c r="P53" s="5" t="s">
        <v>34</v>
      </c>
      <c r="Q53" s="156">
        <v>55646</v>
      </c>
      <c r="R53" s="168">
        <v>1</v>
      </c>
      <c r="S53" s="170">
        <v>634.70000000000005</v>
      </c>
      <c r="T53" s="155">
        <v>11.699</v>
      </c>
      <c r="U53" s="156">
        <v>364.88400000000001</v>
      </c>
      <c r="V53" s="167">
        <v>2.0000000000000002E-5</v>
      </c>
      <c r="W53" s="167">
        <v>3.3428309337656198E-2</v>
      </c>
      <c r="X53" s="167">
        <v>3.6928952194680499E-3</v>
      </c>
    </row>
    <row r="54" spans="1:24">
      <c r="A54" s="5">
        <v>161</v>
      </c>
      <c r="B54" s="5">
        <v>9942</v>
      </c>
      <c r="C54" s="5" t="s">
        <v>957</v>
      </c>
      <c r="D54" s="5" t="s">
        <v>958</v>
      </c>
      <c r="E54" s="5" t="s">
        <v>149</v>
      </c>
      <c r="F54" s="5" t="s">
        <v>959</v>
      </c>
      <c r="G54" s="5" t="s">
        <v>960</v>
      </c>
      <c r="H54" s="5" t="s">
        <v>152</v>
      </c>
      <c r="I54" s="5" t="s">
        <v>930</v>
      </c>
      <c r="J54" s="5" t="s">
        <v>30</v>
      </c>
      <c r="K54" s="5" t="s">
        <v>30</v>
      </c>
      <c r="L54" s="3" t="s">
        <v>154</v>
      </c>
      <c r="M54" s="3" t="s">
        <v>31</v>
      </c>
      <c r="N54" s="5" t="s">
        <v>282</v>
      </c>
      <c r="O54" s="5" t="s">
        <v>156</v>
      </c>
      <c r="P54" s="5" t="s">
        <v>34</v>
      </c>
      <c r="Q54" s="156">
        <v>120</v>
      </c>
      <c r="R54" s="168">
        <v>1</v>
      </c>
      <c r="S54" s="170">
        <v>24800</v>
      </c>
      <c r="U54" s="156">
        <v>29.76</v>
      </c>
      <c r="V54" s="167">
        <v>1.2999999999999999E-5</v>
      </c>
      <c r="W54" s="167">
        <v>2.7264152664333201E-3</v>
      </c>
      <c r="X54" s="167">
        <v>3.0119279446641099E-4</v>
      </c>
    </row>
    <row r="55" spans="1:24">
      <c r="A55" s="5">
        <v>161</v>
      </c>
      <c r="B55" s="5">
        <v>9942</v>
      </c>
      <c r="C55" s="5" t="s">
        <v>961</v>
      </c>
      <c r="D55" s="5" t="s">
        <v>962</v>
      </c>
      <c r="E55" s="5" t="s">
        <v>149</v>
      </c>
      <c r="F55" s="5" t="s">
        <v>963</v>
      </c>
      <c r="G55" s="5" t="s">
        <v>964</v>
      </c>
      <c r="H55" s="5" t="s">
        <v>152</v>
      </c>
      <c r="I55" s="5" t="s">
        <v>930</v>
      </c>
      <c r="J55" s="5" t="s">
        <v>30</v>
      </c>
      <c r="K55" s="5" t="s">
        <v>30</v>
      </c>
      <c r="L55" s="3" t="s">
        <v>154</v>
      </c>
      <c r="M55" s="3" t="s">
        <v>31</v>
      </c>
      <c r="N55" s="5" t="s">
        <v>245</v>
      </c>
      <c r="O55" s="5" t="s">
        <v>156</v>
      </c>
      <c r="P55" s="5" t="s">
        <v>34</v>
      </c>
      <c r="Q55" s="156">
        <v>14720</v>
      </c>
      <c r="R55" s="168">
        <v>1</v>
      </c>
      <c r="S55" s="170">
        <v>3274</v>
      </c>
      <c r="U55" s="156">
        <v>481.93299999999999</v>
      </c>
      <c r="V55" s="167">
        <v>1.2E-5</v>
      </c>
      <c r="W55" s="167">
        <v>4.4151510192034699E-2</v>
      </c>
      <c r="X55" s="167">
        <v>4.8775096363246704E-3</v>
      </c>
    </row>
    <row r="56" spans="1:24">
      <c r="A56" s="5">
        <v>161</v>
      </c>
      <c r="B56" s="5">
        <v>9942</v>
      </c>
      <c r="C56" s="5" t="s">
        <v>965</v>
      </c>
      <c r="D56" s="5" t="s">
        <v>966</v>
      </c>
      <c r="E56" s="5" t="s">
        <v>149</v>
      </c>
      <c r="F56" s="5" t="s">
        <v>967</v>
      </c>
      <c r="G56" s="5" t="s">
        <v>968</v>
      </c>
      <c r="H56" s="5" t="s">
        <v>152</v>
      </c>
      <c r="I56" s="5" t="s">
        <v>930</v>
      </c>
      <c r="J56" s="5" t="s">
        <v>30</v>
      </c>
      <c r="K56" s="5" t="s">
        <v>30</v>
      </c>
      <c r="L56" s="3" t="s">
        <v>154</v>
      </c>
      <c r="M56" s="3" t="s">
        <v>31</v>
      </c>
      <c r="N56" s="5" t="s">
        <v>282</v>
      </c>
      <c r="O56" s="5" t="s">
        <v>156</v>
      </c>
      <c r="P56" s="5" t="s">
        <v>34</v>
      </c>
      <c r="Q56" s="156">
        <v>309</v>
      </c>
      <c r="R56" s="168">
        <v>1</v>
      </c>
      <c r="S56" s="170">
        <v>38150</v>
      </c>
      <c r="U56" s="156">
        <v>117.883</v>
      </c>
      <c r="V56" s="167">
        <v>1.5E-5</v>
      </c>
      <c r="W56" s="167">
        <v>1.07997101498855E-2</v>
      </c>
      <c r="X56" s="167">
        <v>1.1930665586855199E-3</v>
      </c>
    </row>
    <row r="57" spans="1:24">
      <c r="A57" s="5">
        <v>161</v>
      </c>
      <c r="B57" s="5">
        <v>9942</v>
      </c>
      <c r="C57" s="5" t="s">
        <v>263</v>
      </c>
      <c r="D57" s="5" t="s">
        <v>264</v>
      </c>
      <c r="E57" s="5" t="s">
        <v>149</v>
      </c>
      <c r="F57" s="5" t="s">
        <v>969</v>
      </c>
      <c r="G57" s="5" t="s">
        <v>970</v>
      </c>
      <c r="H57" s="5" t="s">
        <v>152</v>
      </c>
      <c r="I57" s="5" t="s">
        <v>930</v>
      </c>
      <c r="J57" s="5" t="s">
        <v>30</v>
      </c>
      <c r="K57" s="5" t="s">
        <v>30</v>
      </c>
      <c r="L57" s="3" t="s">
        <v>154</v>
      </c>
      <c r="M57" s="3" t="s">
        <v>31</v>
      </c>
      <c r="N57" s="5" t="s">
        <v>155</v>
      </c>
      <c r="O57" s="5" t="s">
        <v>156</v>
      </c>
      <c r="P57" s="5" t="s">
        <v>34</v>
      </c>
      <c r="Q57" s="156">
        <v>2509</v>
      </c>
      <c r="R57" s="168">
        <v>1</v>
      </c>
      <c r="S57" s="170">
        <v>12400</v>
      </c>
      <c r="U57" s="156">
        <v>311.11599999999999</v>
      </c>
      <c r="V57" s="167">
        <v>1.0000000000000001E-5</v>
      </c>
      <c r="W57" s="167">
        <v>2.8502399597838301E-2</v>
      </c>
      <c r="X57" s="167">
        <v>3.1487196721509399E-3</v>
      </c>
    </row>
    <row r="58" spans="1:24">
      <c r="A58" s="5">
        <v>161</v>
      </c>
      <c r="B58" s="5">
        <v>9942</v>
      </c>
      <c r="C58" s="5" t="s">
        <v>971</v>
      </c>
      <c r="D58" s="5" t="s">
        <v>972</v>
      </c>
      <c r="E58" s="5" t="s">
        <v>149</v>
      </c>
      <c r="F58" s="5" t="s">
        <v>973</v>
      </c>
      <c r="G58" s="5" t="s">
        <v>974</v>
      </c>
      <c r="H58" s="5" t="s">
        <v>152</v>
      </c>
      <c r="I58" s="5" t="s">
        <v>930</v>
      </c>
      <c r="J58" s="5" t="s">
        <v>30</v>
      </c>
      <c r="K58" s="5" t="s">
        <v>82</v>
      </c>
      <c r="L58" s="3" t="s">
        <v>154</v>
      </c>
      <c r="M58" s="3" t="s">
        <v>31</v>
      </c>
      <c r="N58" s="5" t="s">
        <v>975</v>
      </c>
      <c r="O58" s="5" t="s">
        <v>156</v>
      </c>
      <c r="P58" s="5" t="s">
        <v>34</v>
      </c>
      <c r="Q58" s="156">
        <v>4990</v>
      </c>
      <c r="R58" s="168">
        <v>1</v>
      </c>
      <c r="S58" s="170">
        <v>6440</v>
      </c>
      <c r="U58" s="156">
        <v>321.35599999999999</v>
      </c>
      <c r="V58" s="167">
        <v>3.9999999999999998E-6</v>
      </c>
      <c r="W58" s="167">
        <v>2.94405209798368E-2</v>
      </c>
      <c r="X58" s="167">
        <v>3.2523559025049802E-3</v>
      </c>
    </row>
    <row r="59" spans="1:24">
      <c r="A59" s="5">
        <v>161</v>
      </c>
      <c r="B59" s="5">
        <v>9942</v>
      </c>
      <c r="C59" s="5" t="s">
        <v>768</v>
      </c>
      <c r="D59" s="5" t="s">
        <v>769</v>
      </c>
      <c r="E59" s="5" t="s">
        <v>149</v>
      </c>
      <c r="F59" s="5" t="s">
        <v>976</v>
      </c>
      <c r="G59" s="5" t="s">
        <v>977</v>
      </c>
      <c r="H59" s="5" t="s">
        <v>152</v>
      </c>
      <c r="I59" s="5" t="s">
        <v>930</v>
      </c>
      <c r="J59" s="5" t="s">
        <v>30</v>
      </c>
      <c r="K59" s="5" t="s">
        <v>30</v>
      </c>
      <c r="L59" s="3" t="s">
        <v>154</v>
      </c>
      <c r="M59" s="3" t="s">
        <v>31</v>
      </c>
      <c r="N59" s="5" t="s">
        <v>282</v>
      </c>
      <c r="O59" s="5" t="s">
        <v>156</v>
      </c>
      <c r="P59" s="5" t="s">
        <v>34</v>
      </c>
      <c r="Q59" s="156">
        <v>9583</v>
      </c>
      <c r="R59" s="168">
        <v>1</v>
      </c>
      <c r="S59" s="170">
        <v>1463</v>
      </c>
      <c r="U59" s="156">
        <v>140.19900000000001</v>
      </c>
      <c r="V59" s="167">
        <v>2.9E-5</v>
      </c>
      <c r="W59" s="167">
        <v>1.28441359072282E-2</v>
      </c>
      <c r="X59" s="167">
        <v>1.41891854628047E-3</v>
      </c>
    </row>
    <row r="60" spans="1:24">
      <c r="A60" s="5">
        <v>161</v>
      </c>
      <c r="B60" s="5">
        <v>9942</v>
      </c>
      <c r="C60" s="5" t="s">
        <v>536</v>
      </c>
      <c r="D60" s="5" t="s">
        <v>537</v>
      </c>
      <c r="E60" s="5" t="s">
        <v>149</v>
      </c>
      <c r="F60" s="5" t="s">
        <v>978</v>
      </c>
      <c r="G60" s="5" t="s">
        <v>979</v>
      </c>
      <c r="H60" s="5" t="s">
        <v>152</v>
      </c>
      <c r="I60" s="5" t="s">
        <v>930</v>
      </c>
      <c r="J60" s="5" t="s">
        <v>30</v>
      </c>
      <c r="K60" s="5" t="s">
        <v>30</v>
      </c>
      <c r="L60" s="3" t="s">
        <v>154</v>
      </c>
      <c r="M60" s="3" t="s">
        <v>31</v>
      </c>
      <c r="N60" s="5" t="s">
        <v>155</v>
      </c>
      <c r="O60" s="5" t="s">
        <v>156</v>
      </c>
      <c r="P60" s="5" t="s">
        <v>34</v>
      </c>
      <c r="Q60" s="156">
        <v>2280</v>
      </c>
      <c r="R60" s="168">
        <v>1</v>
      </c>
      <c r="S60" s="170">
        <v>16970</v>
      </c>
      <c r="U60" s="156">
        <v>386.916</v>
      </c>
      <c r="V60" s="167">
        <v>2.8E-5</v>
      </c>
      <c r="W60" s="167">
        <v>3.5446696546616703E-2</v>
      </c>
      <c r="X60" s="167">
        <v>3.91587067418569E-3</v>
      </c>
    </row>
    <row r="61" spans="1:24">
      <c r="A61" s="5">
        <v>161</v>
      </c>
      <c r="B61" s="5">
        <v>9942</v>
      </c>
      <c r="C61" s="5" t="s">
        <v>321</v>
      </c>
      <c r="D61" s="5" t="s">
        <v>322</v>
      </c>
      <c r="E61" s="5" t="s">
        <v>149</v>
      </c>
      <c r="F61" s="5" t="s">
        <v>928</v>
      </c>
      <c r="G61" s="5" t="s">
        <v>929</v>
      </c>
      <c r="H61" s="5" t="s">
        <v>152</v>
      </c>
      <c r="I61" s="5" t="s">
        <v>930</v>
      </c>
      <c r="J61" s="5" t="s">
        <v>30</v>
      </c>
      <c r="K61" s="5" t="s">
        <v>30</v>
      </c>
      <c r="L61" s="3" t="s">
        <v>154</v>
      </c>
      <c r="M61" s="3" t="s">
        <v>31</v>
      </c>
      <c r="N61" s="5" t="s">
        <v>245</v>
      </c>
      <c r="O61" s="5" t="s">
        <v>156</v>
      </c>
      <c r="P61" s="5" t="s">
        <v>34</v>
      </c>
      <c r="Q61" s="156">
        <v>14775</v>
      </c>
      <c r="R61" s="168">
        <v>1</v>
      </c>
      <c r="S61" s="170">
        <v>6529</v>
      </c>
      <c r="U61" s="156">
        <v>964.66</v>
      </c>
      <c r="V61" s="167">
        <v>9.0000000000000002E-6</v>
      </c>
      <c r="W61" s="167">
        <v>8.8375775178553301E-2</v>
      </c>
      <c r="X61" s="167">
        <v>9.7630566469008705E-3</v>
      </c>
    </row>
    <row r="62" spans="1:24">
      <c r="A62" s="5">
        <v>161</v>
      </c>
      <c r="B62" s="5">
        <v>9942</v>
      </c>
      <c r="C62" s="5" t="s">
        <v>495</v>
      </c>
      <c r="D62" s="5" t="s">
        <v>496</v>
      </c>
      <c r="E62" s="5" t="s">
        <v>149</v>
      </c>
      <c r="F62" s="5" t="s">
        <v>980</v>
      </c>
      <c r="G62" s="5" t="s">
        <v>981</v>
      </c>
      <c r="H62" s="5" t="s">
        <v>152</v>
      </c>
      <c r="I62" s="5" t="s">
        <v>930</v>
      </c>
      <c r="J62" s="5" t="s">
        <v>30</v>
      </c>
      <c r="K62" s="5" t="s">
        <v>30</v>
      </c>
      <c r="L62" s="3" t="s">
        <v>154</v>
      </c>
      <c r="M62" s="3" t="s">
        <v>31</v>
      </c>
      <c r="N62" s="5" t="s">
        <v>245</v>
      </c>
      <c r="O62" s="5" t="s">
        <v>156</v>
      </c>
      <c r="P62" s="5" t="s">
        <v>34</v>
      </c>
      <c r="Q62" s="156">
        <v>1379</v>
      </c>
      <c r="R62" s="168">
        <v>1</v>
      </c>
      <c r="S62" s="170">
        <v>21790</v>
      </c>
      <c r="U62" s="156">
        <v>300.48399999999998</v>
      </c>
      <c r="V62" s="167">
        <v>5.0000000000000004E-6</v>
      </c>
      <c r="W62" s="167">
        <v>2.7528374918026701E-2</v>
      </c>
      <c r="X62" s="167">
        <v>3.04111712942623E-3</v>
      </c>
    </row>
    <row r="63" spans="1:24">
      <c r="A63" s="5">
        <v>161</v>
      </c>
      <c r="B63" s="5">
        <v>9942</v>
      </c>
      <c r="C63" s="5" t="s">
        <v>396</v>
      </c>
      <c r="D63" s="5" t="s">
        <v>397</v>
      </c>
      <c r="E63" s="5" t="s">
        <v>149</v>
      </c>
      <c r="F63" s="5" t="s">
        <v>982</v>
      </c>
      <c r="G63" s="5" t="s">
        <v>983</v>
      </c>
      <c r="H63" s="5" t="s">
        <v>152</v>
      </c>
      <c r="I63" s="5" t="s">
        <v>930</v>
      </c>
      <c r="J63" s="5" t="s">
        <v>30</v>
      </c>
      <c r="K63" s="5" t="s">
        <v>30</v>
      </c>
      <c r="L63" s="3" t="s">
        <v>154</v>
      </c>
      <c r="M63" s="3" t="s">
        <v>31</v>
      </c>
      <c r="N63" s="5" t="s">
        <v>167</v>
      </c>
      <c r="O63" s="5" t="s">
        <v>156</v>
      </c>
      <c r="P63" s="5" t="s">
        <v>34</v>
      </c>
      <c r="Q63" s="156">
        <v>609</v>
      </c>
      <c r="R63" s="168">
        <v>1</v>
      </c>
      <c r="S63" s="170">
        <v>40000</v>
      </c>
      <c r="U63" s="156">
        <v>243.6</v>
      </c>
      <c r="V63" s="167">
        <v>1.2999999999999999E-5</v>
      </c>
      <c r="W63" s="167">
        <v>2.2317028188950101E-2</v>
      </c>
      <c r="X63" s="167">
        <v>2.4654087611565099E-3</v>
      </c>
    </row>
    <row r="64" spans="1:24">
      <c r="A64" s="5">
        <v>161</v>
      </c>
      <c r="B64" s="5">
        <v>9942</v>
      </c>
      <c r="C64" s="5" t="s">
        <v>603</v>
      </c>
      <c r="D64" s="5" t="s">
        <v>604</v>
      </c>
      <c r="E64" s="5" t="s">
        <v>149</v>
      </c>
      <c r="F64" s="5" t="s">
        <v>984</v>
      </c>
      <c r="G64" s="5" t="s">
        <v>985</v>
      </c>
      <c r="H64" s="5" t="s">
        <v>152</v>
      </c>
      <c r="I64" s="5" t="s">
        <v>930</v>
      </c>
      <c r="J64" s="5" t="s">
        <v>30</v>
      </c>
      <c r="K64" s="5" t="s">
        <v>30</v>
      </c>
      <c r="L64" s="3" t="s">
        <v>154</v>
      </c>
      <c r="M64" s="3" t="s">
        <v>31</v>
      </c>
      <c r="N64" s="5" t="s">
        <v>155</v>
      </c>
      <c r="O64" s="5" t="s">
        <v>156</v>
      </c>
      <c r="P64" s="5" t="s">
        <v>34</v>
      </c>
      <c r="Q64" s="156">
        <v>330</v>
      </c>
      <c r="R64" s="168">
        <v>1</v>
      </c>
      <c r="S64" s="170">
        <v>32500</v>
      </c>
      <c r="U64" s="156">
        <v>107.25</v>
      </c>
      <c r="V64" s="167">
        <v>5.0000000000000004E-6</v>
      </c>
      <c r="W64" s="167">
        <v>9.8255388886079702E-3</v>
      </c>
      <c r="X64" s="167">
        <v>1.08544782279982E-3</v>
      </c>
    </row>
    <row r="65" spans="1:24">
      <c r="A65" s="5">
        <v>161</v>
      </c>
      <c r="B65" s="5">
        <v>9942</v>
      </c>
      <c r="C65" s="5" t="s">
        <v>815</v>
      </c>
      <c r="D65" s="5" t="s">
        <v>816</v>
      </c>
      <c r="E65" s="5" t="s">
        <v>817</v>
      </c>
      <c r="F65" s="5" t="s">
        <v>986</v>
      </c>
      <c r="G65" s="5" t="s">
        <v>987</v>
      </c>
      <c r="H65" s="5" t="s">
        <v>152</v>
      </c>
      <c r="I65" s="5" t="s">
        <v>930</v>
      </c>
      <c r="J65" s="5" t="s">
        <v>30</v>
      </c>
      <c r="K65" s="5" t="s">
        <v>82</v>
      </c>
      <c r="L65" s="3" t="s">
        <v>154</v>
      </c>
      <c r="M65" s="3" t="s">
        <v>31</v>
      </c>
      <c r="N65" s="5" t="s">
        <v>487</v>
      </c>
      <c r="O65" s="5" t="s">
        <v>156</v>
      </c>
      <c r="P65" s="5" t="s">
        <v>34</v>
      </c>
      <c r="Q65" s="156">
        <v>3834</v>
      </c>
      <c r="R65" s="168">
        <v>1</v>
      </c>
      <c r="S65" s="170">
        <v>11190</v>
      </c>
      <c r="U65" s="156">
        <v>429.02499999999998</v>
      </c>
      <c r="V65" s="167">
        <v>3.3000000000000003E-5</v>
      </c>
      <c r="W65" s="167">
        <v>3.9304409244470602E-2</v>
      </c>
      <c r="X65" s="167">
        <v>4.3420402610495398E-3</v>
      </c>
    </row>
    <row r="66" spans="1:24">
      <c r="A66" s="5">
        <v>161</v>
      </c>
      <c r="B66" s="5">
        <v>9942</v>
      </c>
      <c r="C66" s="5" t="s">
        <v>988</v>
      </c>
      <c r="D66" s="5" t="s">
        <v>989</v>
      </c>
      <c r="E66" s="5" t="s">
        <v>149</v>
      </c>
      <c r="F66" s="5" t="s">
        <v>990</v>
      </c>
      <c r="G66" s="5" t="s">
        <v>991</v>
      </c>
      <c r="H66" s="5" t="s">
        <v>152</v>
      </c>
      <c r="I66" s="5" t="s">
        <v>930</v>
      </c>
      <c r="J66" s="5" t="s">
        <v>30</v>
      </c>
      <c r="K66" s="5" t="s">
        <v>237</v>
      </c>
      <c r="L66" s="3" t="s">
        <v>154</v>
      </c>
      <c r="M66" s="3" t="s">
        <v>31</v>
      </c>
      <c r="N66" s="5" t="s">
        <v>992</v>
      </c>
      <c r="O66" s="5" t="s">
        <v>156</v>
      </c>
      <c r="P66" s="5" t="s">
        <v>34</v>
      </c>
      <c r="Q66" s="156">
        <v>248</v>
      </c>
      <c r="R66" s="168">
        <v>1</v>
      </c>
      <c r="S66" s="170">
        <v>104950</v>
      </c>
      <c r="U66" s="156">
        <v>260.27600000000001</v>
      </c>
      <c r="V66" s="167">
        <v>7.9999999999999996E-6</v>
      </c>
      <c r="W66" s="167">
        <v>2.3844773517681401E-2</v>
      </c>
      <c r="X66" s="167">
        <v>2.6341819816041601E-3</v>
      </c>
    </row>
    <row r="67" spans="1:24">
      <c r="A67" s="5">
        <v>161</v>
      </c>
      <c r="B67" s="5">
        <v>9942</v>
      </c>
      <c r="C67" s="5" t="s">
        <v>993</v>
      </c>
      <c r="D67" s="5" t="s">
        <v>994</v>
      </c>
      <c r="E67" s="5" t="s">
        <v>817</v>
      </c>
      <c r="F67" s="5" t="s">
        <v>995</v>
      </c>
      <c r="G67" s="5" t="s">
        <v>996</v>
      </c>
      <c r="H67" s="5" t="s">
        <v>152</v>
      </c>
      <c r="I67" s="5" t="s">
        <v>930</v>
      </c>
      <c r="J67" s="5" t="s">
        <v>30</v>
      </c>
      <c r="K67" s="5" t="s">
        <v>30</v>
      </c>
      <c r="L67" s="3" t="s">
        <v>154</v>
      </c>
      <c r="M67" s="3" t="s">
        <v>31</v>
      </c>
      <c r="N67" s="5" t="s">
        <v>487</v>
      </c>
      <c r="O67" s="5" t="s">
        <v>156</v>
      </c>
      <c r="P67" s="5" t="s">
        <v>34</v>
      </c>
      <c r="Q67" s="156">
        <v>7879</v>
      </c>
      <c r="R67" s="168">
        <v>1</v>
      </c>
      <c r="S67" s="170">
        <v>1744</v>
      </c>
      <c r="U67" s="156">
        <v>137.41</v>
      </c>
      <c r="V67" s="167">
        <v>6.9999999999999999E-6</v>
      </c>
      <c r="W67" s="167">
        <v>1.25885775343057E-2</v>
      </c>
      <c r="X67" s="167">
        <v>1.39068647854029E-3</v>
      </c>
    </row>
    <row r="68" spans="1:24">
      <c r="A68" s="5">
        <v>161</v>
      </c>
      <c r="B68" s="5">
        <v>9942</v>
      </c>
      <c r="C68" s="5" t="s">
        <v>997</v>
      </c>
      <c r="D68" s="5" t="s">
        <v>998</v>
      </c>
      <c r="E68" s="5" t="s">
        <v>149</v>
      </c>
      <c r="F68" s="5" t="s">
        <v>999</v>
      </c>
      <c r="G68" s="5" t="s">
        <v>1000</v>
      </c>
      <c r="H68" s="5" t="s">
        <v>152</v>
      </c>
      <c r="I68" s="5" t="s">
        <v>930</v>
      </c>
      <c r="J68" s="5" t="s">
        <v>30</v>
      </c>
      <c r="K68" s="5" t="s">
        <v>82</v>
      </c>
      <c r="L68" s="3" t="s">
        <v>154</v>
      </c>
      <c r="M68" s="3" t="s">
        <v>31</v>
      </c>
      <c r="N68" s="5" t="s">
        <v>923</v>
      </c>
      <c r="O68" s="5" t="s">
        <v>156</v>
      </c>
      <c r="P68" s="5" t="s">
        <v>34</v>
      </c>
      <c r="Q68" s="156">
        <v>223</v>
      </c>
      <c r="R68" s="168">
        <v>1</v>
      </c>
      <c r="S68" s="170">
        <v>48800</v>
      </c>
      <c r="U68" s="156">
        <v>108.824</v>
      </c>
      <c r="V68" s="167">
        <v>3.0000000000000001E-6</v>
      </c>
      <c r="W68" s="167">
        <v>9.9697384057237607E-3</v>
      </c>
      <c r="X68" s="167">
        <v>1.1013778449265E-3</v>
      </c>
    </row>
    <row r="69" spans="1:24">
      <c r="A69" s="5">
        <v>161</v>
      </c>
      <c r="B69" s="5">
        <v>9942</v>
      </c>
      <c r="C69" s="5" t="s">
        <v>1001</v>
      </c>
      <c r="D69" s="5" t="s">
        <v>1002</v>
      </c>
      <c r="E69" s="5" t="s">
        <v>149</v>
      </c>
      <c r="F69" s="5" t="s">
        <v>1001</v>
      </c>
      <c r="G69" s="5" t="s">
        <v>1003</v>
      </c>
      <c r="H69" s="5" t="s">
        <v>152</v>
      </c>
      <c r="I69" s="5" t="s">
        <v>930</v>
      </c>
      <c r="J69" s="5" t="s">
        <v>30</v>
      </c>
      <c r="K69" s="5" t="s">
        <v>30</v>
      </c>
      <c r="L69" s="3" t="s">
        <v>154</v>
      </c>
      <c r="M69" s="3" t="s">
        <v>31</v>
      </c>
      <c r="N69" s="5" t="s">
        <v>1004</v>
      </c>
      <c r="O69" s="5" t="s">
        <v>156</v>
      </c>
      <c r="P69" s="5" t="s">
        <v>34</v>
      </c>
      <c r="Q69" s="156">
        <v>4980</v>
      </c>
      <c r="R69" s="168">
        <v>1</v>
      </c>
      <c r="S69" s="170">
        <v>15000</v>
      </c>
      <c r="U69" s="156">
        <v>747</v>
      </c>
      <c r="V69" s="167">
        <v>6.0999999999999999E-5</v>
      </c>
      <c r="W69" s="167">
        <v>6.8435221909465299E-2</v>
      </c>
      <c r="X69" s="167">
        <v>7.5601820385218198E-3</v>
      </c>
    </row>
    <row r="70" spans="1:24">
      <c r="A70" s="5">
        <v>161</v>
      </c>
      <c r="B70" s="5">
        <v>9942</v>
      </c>
      <c r="C70" s="5" t="s">
        <v>420</v>
      </c>
      <c r="D70" s="5" t="s">
        <v>421</v>
      </c>
      <c r="E70" s="5" t="s">
        <v>149</v>
      </c>
      <c r="F70" s="5" t="s">
        <v>1005</v>
      </c>
      <c r="G70" s="5" t="s">
        <v>1006</v>
      </c>
      <c r="H70" s="5" t="s">
        <v>152</v>
      </c>
      <c r="I70" s="5" t="s">
        <v>930</v>
      </c>
      <c r="J70" s="5" t="s">
        <v>30</v>
      </c>
      <c r="K70" s="5" t="s">
        <v>30</v>
      </c>
      <c r="L70" s="3" t="s">
        <v>154</v>
      </c>
      <c r="M70" s="3" t="s">
        <v>31</v>
      </c>
      <c r="N70" s="5" t="s">
        <v>167</v>
      </c>
      <c r="O70" s="5" t="s">
        <v>156</v>
      </c>
      <c r="P70" s="5" t="s">
        <v>34</v>
      </c>
      <c r="Q70" s="156">
        <v>800</v>
      </c>
      <c r="R70" s="168">
        <v>1</v>
      </c>
      <c r="S70" s="170">
        <v>32870</v>
      </c>
      <c r="U70" s="156">
        <v>262.95999999999998</v>
      </c>
      <c r="V70" s="167">
        <v>6.9999999999999999E-6</v>
      </c>
      <c r="W70" s="167">
        <v>2.4090663926791201E-2</v>
      </c>
      <c r="X70" s="167">
        <v>2.6613460091696101E-3</v>
      </c>
    </row>
    <row r="71" spans="1:24">
      <c r="A71" s="5">
        <v>161</v>
      </c>
      <c r="B71" s="5">
        <v>9942</v>
      </c>
      <c r="C71" s="5" t="s">
        <v>429</v>
      </c>
      <c r="D71" s="5" t="s">
        <v>430</v>
      </c>
      <c r="E71" s="5" t="s">
        <v>149</v>
      </c>
      <c r="F71" s="5" t="s">
        <v>931</v>
      </c>
      <c r="G71" s="5" t="s">
        <v>932</v>
      </c>
      <c r="H71" s="5" t="s">
        <v>152</v>
      </c>
      <c r="I71" s="5" t="s">
        <v>930</v>
      </c>
      <c r="J71" s="5" t="s">
        <v>30</v>
      </c>
      <c r="K71" s="5" t="s">
        <v>30</v>
      </c>
      <c r="L71" s="3" t="s">
        <v>154</v>
      </c>
      <c r="M71" s="3" t="s">
        <v>31</v>
      </c>
      <c r="N71" s="5" t="s">
        <v>245</v>
      </c>
      <c r="O71" s="5" t="s">
        <v>156</v>
      </c>
      <c r="P71" s="5" t="s">
        <v>34</v>
      </c>
      <c r="Q71" s="156">
        <v>9574</v>
      </c>
      <c r="R71" s="168">
        <v>1</v>
      </c>
      <c r="S71" s="170">
        <v>6732</v>
      </c>
      <c r="U71" s="156">
        <v>644.52200000000005</v>
      </c>
      <c r="V71" s="167">
        <v>6.9999999999999999E-6</v>
      </c>
      <c r="W71" s="167">
        <v>5.9046832926721998E-2</v>
      </c>
      <c r="X71" s="167">
        <v>6.5230270797508802E-3</v>
      </c>
    </row>
    <row r="72" spans="1:24">
      <c r="A72" s="5">
        <v>161</v>
      </c>
      <c r="B72" s="5">
        <v>9942</v>
      </c>
      <c r="C72" s="5" t="s">
        <v>1007</v>
      </c>
      <c r="D72" s="5" t="s">
        <v>1008</v>
      </c>
      <c r="E72" s="5" t="s">
        <v>149</v>
      </c>
      <c r="F72" s="5" t="s">
        <v>1009</v>
      </c>
      <c r="G72" s="5" t="s">
        <v>1010</v>
      </c>
      <c r="H72" s="5" t="s">
        <v>152</v>
      </c>
      <c r="I72" s="5" t="s">
        <v>930</v>
      </c>
      <c r="J72" s="5" t="s">
        <v>30</v>
      </c>
      <c r="K72" s="5" t="s">
        <v>30</v>
      </c>
      <c r="L72" s="3" t="s">
        <v>154</v>
      </c>
      <c r="M72" s="3" t="s">
        <v>31</v>
      </c>
      <c r="N72" s="5" t="s">
        <v>1011</v>
      </c>
      <c r="O72" s="5" t="s">
        <v>156</v>
      </c>
      <c r="P72" s="5" t="s">
        <v>34</v>
      </c>
      <c r="Q72" s="156">
        <v>361</v>
      </c>
      <c r="R72" s="168">
        <v>1</v>
      </c>
      <c r="S72" s="170">
        <v>35060</v>
      </c>
      <c r="U72" s="156">
        <v>126.56699999999999</v>
      </c>
      <c r="V72" s="167">
        <v>2.5999999999999998E-5</v>
      </c>
      <c r="W72" s="167">
        <v>1.1595198604185401E-2</v>
      </c>
      <c r="X72" s="167">
        <v>1.2809458313209801E-3</v>
      </c>
    </row>
    <row r="73" spans="1:24">
      <c r="A73" s="5">
        <v>161</v>
      </c>
      <c r="B73" s="5">
        <v>9942</v>
      </c>
      <c r="C73" s="5" t="s">
        <v>1012</v>
      </c>
      <c r="D73" s="5" t="s">
        <v>1013</v>
      </c>
      <c r="E73" s="5" t="s">
        <v>149</v>
      </c>
      <c r="F73" s="5" t="s">
        <v>1014</v>
      </c>
      <c r="G73" s="5" t="s">
        <v>1015</v>
      </c>
      <c r="H73" s="5" t="s">
        <v>152</v>
      </c>
      <c r="I73" s="5" t="s">
        <v>930</v>
      </c>
      <c r="J73" s="5" t="s">
        <v>30</v>
      </c>
      <c r="K73" s="5" t="s">
        <v>30</v>
      </c>
      <c r="L73" s="3" t="s">
        <v>154</v>
      </c>
      <c r="M73" s="3" t="s">
        <v>31</v>
      </c>
      <c r="N73" s="5" t="s">
        <v>906</v>
      </c>
      <c r="O73" s="5" t="s">
        <v>156</v>
      </c>
      <c r="P73" s="5" t="s">
        <v>34</v>
      </c>
      <c r="Q73" s="156">
        <v>10058</v>
      </c>
      <c r="R73" s="168">
        <v>1</v>
      </c>
      <c r="S73" s="170">
        <v>875.3</v>
      </c>
      <c r="U73" s="156">
        <v>88.037999999999997</v>
      </c>
      <c r="V73" s="167">
        <v>3.4999999999999997E-5</v>
      </c>
      <c r="W73" s="167">
        <v>8.0654320703924497E-3</v>
      </c>
      <c r="X73" s="167">
        <v>8.9100514282200699E-4</v>
      </c>
    </row>
    <row r="74" spans="1:24">
      <c r="A74" s="5">
        <v>161</v>
      </c>
      <c r="B74" s="5">
        <v>9942</v>
      </c>
      <c r="C74" s="5" t="s">
        <v>1016</v>
      </c>
      <c r="D74" s="5" t="s">
        <v>1017</v>
      </c>
      <c r="E74" s="5" t="s">
        <v>149</v>
      </c>
      <c r="F74" s="5" t="s">
        <v>1018</v>
      </c>
      <c r="G74" s="5" t="s">
        <v>1019</v>
      </c>
      <c r="H74" s="5" t="s">
        <v>152</v>
      </c>
      <c r="I74" s="5" t="s">
        <v>930</v>
      </c>
      <c r="J74" s="5" t="s">
        <v>30</v>
      </c>
      <c r="K74" s="5" t="s">
        <v>237</v>
      </c>
      <c r="L74" s="3" t="s">
        <v>154</v>
      </c>
      <c r="M74" s="3" t="s">
        <v>31</v>
      </c>
      <c r="N74" s="5" t="s">
        <v>992</v>
      </c>
      <c r="O74" s="5" t="s">
        <v>156</v>
      </c>
      <c r="P74" s="5" t="s">
        <v>34</v>
      </c>
      <c r="Q74" s="156">
        <v>650</v>
      </c>
      <c r="R74" s="168">
        <v>1</v>
      </c>
      <c r="S74" s="170">
        <v>34590</v>
      </c>
      <c r="U74" s="156">
        <v>224.83500000000001</v>
      </c>
      <c r="V74" s="167">
        <v>1.4E-5</v>
      </c>
      <c r="W74" s="167">
        <v>2.0597902433754499E-2</v>
      </c>
      <c r="X74" s="167">
        <v>2.2754933448876202E-3</v>
      </c>
    </row>
    <row r="75" spans="1:24">
      <c r="A75" s="5">
        <v>161</v>
      </c>
      <c r="B75" s="5">
        <v>9942</v>
      </c>
      <c r="C75" s="5" t="s">
        <v>1020</v>
      </c>
      <c r="D75" s="5" t="s">
        <v>1021</v>
      </c>
      <c r="E75" s="5" t="s">
        <v>817</v>
      </c>
      <c r="F75" s="5" t="s">
        <v>1022</v>
      </c>
      <c r="G75" s="5" t="s">
        <v>1023</v>
      </c>
      <c r="H75" s="5" t="s">
        <v>152</v>
      </c>
      <c r="I75" s="5" t="s">
        <v>930</v>
      </c>
      <c r="J75" s="5" t="s">
        <v>30</v>
      </c>
      <c r="K75" s="5" t="s">
        <v>30</v>
      </c>
      <c r="L75" s="3" t="s">
        <v>154</v>
      </c>
      <c r="M75" s="3" t="s">
        <v>31</v>
      </c>
      <c r="N75" s="5" t="s">
        <v>487</v>
      </c>
      <c r="O75" s="5" t="s">
        <v>156</v>
      </c>
      <c r="P75" s="5" t="s">
        <v>34</v>
      </c>
      <c r="Q75" s="156">
        <v>19273</v>
      </c>
      <c r="R75" s="168">
        <v>1</v>
      </c>
      <c r="S75" s="170">
        <v>454.7</v>
      </c>
      <c r="U75" s="156">
        <v>87.634</v>
      </c>
      <c r="V75" s="167">
        <v>1.7E-5</v>
      </c>
      <c r="W75" s="167">
        <v>8.0284804402577393E-3</v>
      </c>
      <c r="X75" s="167">
        <v>8.8692301898805296E-4</v>
      </c>
    </row>
    <row r="76" spans="1:24">
      <c r="A76" s="5">
        <v>161</v>
      </c>
      <c r="B76" s="5">
        <v>9942</v>
      </c>
      <c r="C76" s="5" t="s">
        <v>1024</v>
      </c>
      <c r="D76" s="5" t="s">
        <v>1025</v>
      </c>
      <c r="E76" s="5" t="s">
        <v>935</v>
      </c>
      <c r="F76" s="5" t="s">
        <v>1026</v>
      </c>
      <c r="G76" s="5" t="s">
        <v>1027</v>
      </c>
      <c r="H76" s="5" t="s">
        <v>152</v>
      </c>
      <c r="I76" s="5" t="s">
        <v>930</v>
      </c>
      <c r="J76" s="5" t="s">
        <v>81</v>
      </c>
      <c r="K76" s="5" t="s">
        <v>1028</v>
      </c>
      <c r="L76" s="3" t="s">
        <v>154</v>
      </c>
      <c r="M76" s="3" t="s">
        <v>1029</v>
      </c>
      <c r="N76" s="5" t="s">
        <v>1030</v>
      </c>
      <c r="O76" s="5" t="s">
        <v>156</v>
      </c>
      <c r="P76" s="5" t="s">
        <v>86</v>
      </c>
      <c r="Q76" s="156">
        <v>260</v>
      </c>
      <c r="R76" s="168">
        <v>3.306</v>
      </c>
      <c r="S76" s="170">
        <v>16179</v>
      </c>
      <c r="U76" s="156">
        <v>139.06800000000001</v>
      </c>
      <c r="V76" s="167">
        <v>0</v>
      </c>
      <c r="W76" s="167">
        <v>1.2740514024292699E-2</v>
      </c>
      <c r="X76" s="167">
        <v>1.4074712202353601E-3</v>
      </c>
    </row>
    <row r="77" spans="1:24">
      <c r="A77" s="5">
        <v>161</v>
      </c>
      <c r="B77" s="5">
        <v>9942</v>
      </c>
      <c r="C77" s="5" t="s">
        <v>1031</v>
      </c>
      <c r="D77" s="5" t="s">
        <v>1032</v>
      </c>
      <c r="E77" s="5" t="s">
        <v>935</v>
      </c>
      <c r="F77" s="5" t="s">
        <v>1033</v>
      </c>
      <c r="G77" s="5" t="s">
        <v>1034</v>
      </c>
      <c r="H77" s="5" t="s">
        <v>152</v>
      </c>
      <c r="I77" s="5" t="s">
        <v>930</v>
      </c>
      <c r="J77" s="5" t="s">
        <v>81</v>
      </c>
      <c r="K77" s="5" t="s">
        <v>82</v>
      </c>
      <c r="L77" s="3" t="s">
        <v>154</v>
      </c>
      <c r="M77" s="3" t="s">
        <v>1029</v>
      </c>
      <c r="N77" s="5" t="s">
        <v>1035</v>
      </c>
      <c r="O77" s="5" t="s">
        <v>156</v>
      </c>
      <c r="P77" s="5" t="s">
        <v>86</v>
      </c>
      <c r="Q77" s="156">
        <v>652</v>
      </c>
      <c r="R77" s="168">
        <v>3.306</v>
      </c>
      <c r="S77" s="170">
        <v>24355</v>
      </c>
      <c r="U77" s="156">
        <v>524.97500000000002</v>
      </c>
      <c r="V77" s="167">
        <v>0</v>
      </c>
      <c r="W77" s="167">
        <v>4.8094748374720102E-2</v>
      </c>
      <c r="X77" s="167">
        <v>5.3131274023018099E-3</v>
      </c>
    </row>
    <row r="78" spans="1:24">
      <c r="A78" s="5">
        <v>161</v>
      </c>
      <c r="B78" s="5">
        <v>9942</v>
      </c>
      <c r="C78" s="5" t="s">
        <v>1036</v>
      </c>
      <c r="D78" s="5" t="s">
        <v>1037</v>
      </c>
      <c r="E78" s="5" t="s">
        <v>935</v>
      </c>
      <c r="F78" s="5" t="s">
        <v>1038</v>
      </c>
      <c r="G78" s="5" t="s">
        <v>1039</v>
      </c>
      <c r="H78" s="5" t="s">
        <v>152</v>
      </c>
      <c r="I78" s="5" t="s">
        <v>930</v>
      </c>
      <c r="J78" s="5" t="s">
        <v>81</v>
      </c>
      <c r="K78" s="5" t="s">
        <v>82</v>
      </c>
      <c r="L78" s="3" t="s">
        <v>154</v>
      </c>
      <c r="M78" s="3" t="s">
        <v>1029</v>
      </c>
      <c r="N78" s="5" t="s">
        <v>1040</v>
      </c>
      <c r="O78" s="5" t="s">
        <v>156</v>
      </c>
      <c r="P78" s="5" t="s">
        <v>86</v>
      </c>
      <c r="Q78" s="156">
        <v>350</v>
      </c>
      <c r="R78" s="168">
        <v>3.306</v>
      </c>
      <c r="S78" s="170">
        <v>21957</v>
      </c>
      <c r="U78" s="156">
        <v>254.06399999999999</v>
      </c>
      <c r="V78" s="167">
        <v>0</v>
      </c>
      <c r="W78" s="167">
        <v>2.3275711927376899E-2</v>
      </c>
      <c r="X78" s="167">
        <v>2.57131655801389E-3</v>
      </c>
    </row>
    <row r="79" spans="1:24">
      <c r="A79" s="5">
        <v>161</v>
      </c>
      <c r="B79" s="5">
        <v>9942</v>
      </c>
      <c r="C79" s="5" t="s">
        <v>1041</v>
      </c>
      <c r="D79" s="5" t="s">
        <v>1042</v>
      </c>
      <c r="E79" s="5" t="s">
        <v>935</v>
      </c>
      <c r="F79" s="5" t="s">
        <v>1043</v>
      </c>
      <c r="G79" s="5" t="s">
        <v>1044</v>
      </c>
      <c r="H79" s="5" t="s">
        <v>152</v>
      </c>
      <c r="I79" s="5" t="s">
        <v>930</v>
      </c>
      <c r="J79" s="5" t="s">
        <v>81</v>
      </c>
      <c r="K79" s="5" t="s">
        <v>82</v>
      </c>
      <c r="L79" s="3" t="s">
        <v>154</v>
      </c>
      <c r="M79" s="3" t="s">
        <v>1029</v>
      </c>
      <c r="N79" s="5" t="s">
        <v>1030</v>
      </c>
      <c r="O79" s="5" t="s">
        <v>156</v>
      </c>
      <c r="P79" s="5" t="s">
        <v>86</v>
      </c>
      <c r="Q79" s="156">
        <v>121</v>
      </c>
      <c r="R79" s="168">
        <v>3.306</v>
      </c>
      <c r="S79" s="170">
        <v>96809</v>
      </c>
      <c r="U79" s="156">
        <v>387.26100000000002</v>
      </c>
      <c r="V79" s="167">
        <v>0</v>
      </c>
      <c r="W79" s="167">
        <v>3.5478318780638701E-2</v>
      </c>
      <c r="X79" s="167">
        <v>3.91936404848917E-3</v>
      </c>
    </row>
    <row r="80" spans="1:24">
      <c r="A80" s="5">
        <v>161</v>
      </c>
      <c r="B80" s="5">
        <v>9942</v>
      </c>
      <c r="C80" s="5" t="s">
        <v>1045</v>
      </c>
      <c r="D80" s="5" t="s">
        <v>1046</v>
      </c>
      <c r="E80" s="5" t="s">
        <v>935</v>
      </c>
      <c r="F80" s="5" t="s">
        <v>1047</v>
      </c>
      <c r="G80" s="5" t="s">
        <v>1048</v>
      </c>
      <c r="H80" s="5" t="s">
        <v>152</v>
      </c>
      <c r="I80" s="5" t="s">
        <v>930</v>
      </c>
      <c r="J80" s="5" t="s">
        <v>81</v>
      </c>
      <c r="K80" s="5" t="s">
        <v>82</v>
      </c>
      <c r="L80" s="3" t="s">
        <v>154</v>
      </c>
      <c r="M80" s="3" t="s">
        <v>1029</v>
      </c>
      <c r="N80" s="5" t="s">
        <v>1030</v>
      </c>
      <c r="O80" s="5" t="s">
        <v>156</v>
      </c>
      <c r="P80" s="5" t="s">
        <v>86</v>
      </c>
      <c r="Q80" s="156">
        <v>150</v>
      </c>
      <c r="R80" s="168">
        <v>3.306</v>
      </c>
      <c r="S80" s="170">
        <v>32991</v>
      </c>
      <c r="T80" s="155">
        <v>8.8999999999999996E-2</v>
      </c>
      <c r="U80" s="156">
        <v>163.89500000000001</v>
      </c>
      <c r="V80" s="167">
        <v>0</v>
      </c>
      <c r="W80" s="167">
        <v>1.5014976269197801E-2</v>
      </c>
      <c r="X80" s="167">
        <v>1.6587358195373899E-3</v>
      </c>
    </row>
    <row r="81" spans="1:24">
      <c r="A81" s="5">
        <v>161</v>
      </c>
      <c r="B81" s="5">
        <v>9942</v>
      </c>
      <c r="C81" s="5" t="s">
        <v>1049</v>
      </c>
      <c r="D81" s="5" t="s">
        <v>1050</v>
      </c>
      <c r="E81" s="5" t="s">
        <v>935</v>
      </c>
      <c r="F81" s="5" t="s">
        <v>1051</v>
      </c>
      <c r="G81" s="5" t="s">
        <v>1052</v>
      </c>
      <c r="H81" s="5" t="s">
        <v>152</v>
      </c>
      <c r="I81" s="5" t="s">
        <v>930</v>
      </c>
      <c r="J81" s="5" t="s">
        <v>81</v>
      </c>
      <c r="K81" s="5" t="s">
        <v>82</v>
      </c>
      <c r="L81" s="3" t="s">
        <v>154</v>
      </c>
      <c r="M81" s="3" t="s">
        <v>1053</v>
      </c>
      <c r="N81" s="5" t="s">
        <v>491</v>
      </c>
      <c r="O81" s="5" t="s">
        <v>156</v>
      </c>
      <c r="P81" s="5" t="s">
        <v>86</v>
      </c>
      <c r="Q81" s="156">
        <v>160</v>
      </c>
      <c r="R81" s="168">
        <v>3.306</v>
      </c>
      <c r="S81" s="170">
        <v>31543</v>
      </c>
      <c r="U81" s="156">
        <v>166.85</v>
      </c>
      <c r="V81" s="167">
        <v>0</v>
      </c>
      <c r="W81" s="167">
        <v>1.5285685009276601E-2</v>
      </c>
      <c r="X81" s="167">
        <v>1.6886415800114699E-3</v>
      </c>
    </row>
    <row r="82" spans="1:24">
      <c r="A82" s="5">
        <v>161</v>
      </c>
      <c r="B82" s="5">
        <v>9942</v>
      </c>
      <c r="C82" s="5" t="s">
        <v>1054</v>
      </c>
      <c r="D82" s="5" t="s">
        <v>1055</v>
      </c>
      <c r="E82" s="5" t="s">
        <v>935</v>
      </c>
      <c r="F82" s="5" t="s">
        <v>1056</v>
      </c>
      <c r="G82" s="5" t="s">
        <v>1057</v>
      </c>
      <c r="H82" s="5" t="s">
        <v>152</v>
      </c>
      <c r="I82" s="5" t="s">
        <v>930</v>
      </c>
      <c r="J82" s="5" t="s">
        <v>81</v>
      </c>
      <c r="K82" s="5" t="s">
        <v>82</v>
      </c>
      <c r="L82" s="3" t="s">
        <v>154</v>
      </c>
      <c r="M82" s="3" t="s">
        <v>1053</v>
      </c>
      <c r="N82" s="5" t="s">
        <v>1058</v>
      </c>
      <c r="O82" s="5" t="s">
        <v>156</v>
      </c>
      <c r="P82" s="5" t="s">
        <v>86</v>
      </c>
      <c r="Q82" s="156">
        <v>75</v>
      </c>
      <c r="R82" s="168">
        <v>3.306</v>
      </c>
      <c r="S82" s="170">
        <v>56881</v>
      </c>
      <c r="U82" s="156">
        <v>141.036</v>
      </c>
      <c r="V82" s="167">
        <v>0</v>
      </c>
      <c r="W82" s="167">
        <v>1.2920830032802399E-2</v>
      </c>
      <c r="X82" s="167">
        <v>1.42739110667332E-3</v>
      </c>
    </row>
    <row r="83" spans="1:24">
      <c r="A83" s="5">
        <v>161</v>
      </c>
      <c r="B83" s="5">
        <v>9942</v>
      </c>
      <c r="C83" s="5" t="s">
        <v>1059</v>
      </c>
      <c r="D83" s="5" t="s">
        <v>1060</v>
      </c>
      <c r="E83" s="5" t="s">
        <v>935</v>
      </c>
      <c r="F83" s="5" t="s">
        <v>1061</v>
      </c>
      <c r="G83" s="5" t="s">
        <v>1062</v>
      </c>
      <c r="H83" s="5" t="s">
        <v>152</v>
      </c>
      <c r="I83" s="5" t="s">
        <v>930</v>
      </c>
      <c r="J83" s="5" t="s">
        <v>81</v>
      </c>
      <c r="K83" s="5" t="s">
        <v>82</v>
      </c>
      <c r="L83" s="3" t="s">
        <v>154</v>
      </c>
      <c r="M83" s="3" t="s">
        <v>1029</v>
      </c>
      <c r="N83" s="5" t="s">
        <v>1063</v>
      </c>
      <c r="O83" s="5" t="s">
        <v>156</v>
      </c>
      <c r="P83" s="5" t="s">
        <v>86</v>
      </c>
      <c r="Q83" s="156">
        <v>111</v>
      </c>
      <c r="R83" s="168">
        <v>3.306</v>
      </c>
      <c r="S83" s="170">
        <v>51795</v>
      </c>
      <c r="U83" s="156">
        <v>190.07</v>
      </c>
      <c r="V83" s="167">
        <v>0</v>
      </c>
      <c r="W83" s="167">
        <v>1.7412965656238798E-2</v>
      </c>
      <c r="X83" s="167">
        <v>1.92364672048336E-3</v>
      </c>
    </row>
    <row r="84" spans="1:24">
      <c r="A84" s="5">
        <v>161</v>
      </c>
      <c r="B84" s="5">
        <v>9942</v>
      </c>
      <c r="C84" s="5" t="s">
        <v>997</v>
      </c>
      <c r="D84" s="5" t="s">
        <v>998</v>
      </c>
      <c r="E84" s="5" t="s">
        <v>149</v>
      </c>
      <c r="F84" s="5" t="s">
        <v>1064</v>
      </c>
      <c r="G84" s="5" t="s">
        <v>1065</v>
      </c>
      <c r="H84" s="5" t="s">
        <v>152</v>
      </c>
      <c r="I84" s="5" t="s">
        <v>930</v>
      </c>
      <c r="J84" s="5" t="s">
        <v>81</v>
      </c>
      <c r="K84" s="5" t="s">
        <v>82</v>
      </c>
      <c r="L84" s="3" t="s">
        <v>154</v>
      </c>
      <c r="M84" s="3" t="s">
        <v>1029</v>
      </c>
      <c r="N84" s="5" t="s">
        <v>923</v>
      </c>
      <c r="O84" s="5" t="s">
        <v>156</v>
      </c>
      <c r="P84" s="5" t="s">
        <v>86</v>
      </c>
      <c r="Q84" s="156">
        <v>220</v>
      </c>
      <c r="R84" s="168">
        <v>3.306</v>
      </c>
      <c r="S84" s="170">
        <v>14478</v>
      </c>
      <c r="U84" s="156">
        <v>105.301</v>
      </c>
      <c r="V84" s="167">
        <v>3.0000000000000001E-6</v>
      </c>
      <c r="W84" s="167">
        <v>9.6470200330000793E-3</v>
      </c>
      <c r="X84" s="167">
        <v>1.0657264716001399E-3</v>
      </c>
    </row>
    <row r="85" spans="1:24">
      <c r="A85" s="5">
        <v>161</v>
      </c>
      <c r="B85" s="5">
        <v>9942</v>
      </c>
      <c r="C85" s="5" t="s">
        <v>1066</v>
      </c>
      <c r="D85" s="5" t="s">
        <v>1067</v>
      </c>
      <c r="E85" s="5" t="s">
        <v>935</v>
      </c>
      <c r="F85" s="5" t="s">
        <v>1068</v>
      </c>
      <c r="G85" s="5" t="s">
        <v>1069</v>
      </c>
      <c r="H85" s="5" t="s">
        <v>152</v>
      </c>
      <c r="I85" s="5" t="s">
        <v>930</v>
      </c>
      <c r="J85" s="5" t="s">
        <v>81</v>
      </c>
      <c r="K85" s="5" t="s">
        <v>82</v>
      </c>
      <c r="L85" s="3" t="s">
        <v>154</v>
      </c>
      <c r="M85" s="3" t="s">
        <v>1029</v>
      </c>
      <c r="N85" s="5" t="s">
        <v>1030</v>
      </c>
      <c r="O85" s="5" t="s">
        <v>156</v>
      </c>
      <c r="P85" s="5" t="s">
        <v>86</v>
      </c>
      <c r="Q85" s="156">
        <v>380</v>
      </c>
      <c r="R85" s="168">
        <v>3.306</v>
      </c>
      <c r="S85" s="170">
        <v>18658</v>
      </c>
      <c r="T85" s="155">
        <v>4.0000000000000001E-3</v>
      </c>
      <c r="U85" s="156">
        <v>234.40899999999999</v>
      </c>
      <c r="V85" s="167">
        <v>0</v>
      </c>
      <c r="W85" s="167">
        <v>2.1475035408702998E-2</v>
      </c>
      <c r="X85" s="167">
        <v>2.3723920584093399E-3</v>
      </c>
    </row>
    <row r="86" spans="1:24">
      <c r="A86" s="5">
        <v>161</v>
      </c>
      <c r="B86" s="5">
        <v>9942</v>
      </c>
      <c r="C86" s="5" t="s">
        <v>933</v>
      </c>
      <c r="D86" s="5" t="s">
        <v>934</v>
      </c>
      <c r="E86" s="5" t="s">
        <v>935</v>
      </c>
      <c r="F86" s="5" t="s">
        <v>1070</v>
      </c>
      <c r="G86" s="5" t="s">
        <v>937</v>
      </c>
      <c r="H86" s="5" t="s">
        <v>152</v>
      </c>
      <c r="I86" s="5" t="s">
        <v>930</v>
      </c>
      <c r="J86" s="5" t="s">
        <v>81</v>
      </c>
      <c r="K86" s="5" t="s">
        <v>82</v>
      </c>
      <c r="L86" s="3" t="s">
        <v>154</v>
      </c>
      <c r="M86" s="3" t="s">
        <v>1053</v>
      </c>
      <c r="N86" s="5" t="s">
        <v>1071</v>
      </c>
      <c r="O86" s="5" t="s">
        <v>156</v>
      </c>
      <c r="P86" s="5" t="s">
        <v>86</v>
      </c>
      <c r="Q86" s="156">
        <v>274</v>
      </c>
      <c r="R86" s="168">
        <v>3.306</v>
      </c>
      <c r="S86" s="170">
        <v>9625</v>
      </c>
      <c r="U86" s="156">
        <v>87.186999999999998</v>
      </c>
      <c r="V86" s="167">
        <v>5.0000000000000004E-6</v>
      </c>
      <c r="W86" s="167">
        <v>7.9875433516776104E-3</v>
      </c>
      <c r="X86" s="167">
        <v>8.8240061322742997E-4</v>
      </c>
    </row>
    <row r="87" spans="1:24">
      <c r="A87" s="5">
        <v>161</v>
      </c>
      <c r="B87" s="5">
        <v>9942</v>
      </c>
      <c r="C87" s="5" t="s">
        <v>1072</v>
      </c>
      <c r="D87" s="5" t="s">
        <v>1073</v>
      </c>
      <c r="E87" s="5" t="s">
        <v>935</v>
      </c>
      <c r="F87" s="5" t="s">
        <v>1074</v>
      </c>
      <c r="G87" s="5" t="s">
        <v>1075</v>
      </c>
      <c r="H87" s="5" t="s">
        <v>152</v>
      </c>
      <c r="I87" s="5" t="s">
        <v>930</v>
      </c>
      <c r="J87" s="5" t="s">
        <v>81</v>
      </c>
      <c r="K87" s="5" t="s">
        <v>1076</v>
      </c>
      <c r="L87" s="3" t="s">
        <v>154</v>
      </c>
      <c r="M87" s="3" t="s">
        <v>1053</v>
      </c>
      <c r="N87" s="5" t="s">
        <v>1030</v>
      </c>
      <c r="O87" s="5" t="s">
        <v>156</v>
      </c>
      <c r="P87" s="5" t="s">
        <v>86</v>
      </c>
      <c r="Q87" s="156">
        <v>250</v>
      </c>
      <c r="R87" s="168">
        <v>3.306</v>
      </c>
      <c r="S87" s="170">
        <v>27929</v>
      </c>
      <c r="T87" s="155">
        <v>0.16200000000000001</v>
      </c>
      <c r="U87" s="156">
        <v>231.37</v>
      </c>
      <c r="V87" s="167">
        <v>0</v>
      </c>
      <c r="W87" s="167">
        <v>2.1196624583974099E-2</v>
      </c>
      <c r="X87" s="167">
        <v>2.3416354325416001E-3</v>
      </c>
    </row>
    <row r="88" spans="1:24">
      <c r="A88" s="5">
        <v>161</v>
      </c>
      <c r="B88" s="5">
        <v>9943</v>
      </c>
      <c r="C88" s="5" t="s">
        <v>938</v>
      </c>
      <c r="D88" s="5" t="s">
        <v>939</v>
      </c>
      <c r="E88" s="5" t="s">
        <v>149</v>
      </c>
      <c r="F88" s="5" t="s">
        <v>940</v>
      </c>
      <c r="G88" s="5" t="s">
        <v>941</v>
      </c>
      <c r="H88" s="5" t="s">
        <v>152</v>
      </c>
      <c r="I88" s="5" t="s">
        <v>930</v>
      </c>
      <c r="J88" s="5" t="s">
        <v>30</v>
      </c>
      <c r="K88" s="5" t="s">
        <v>30</v>
      </c>
      <c r="L88" s="3" t="s">
        <v>154</v>
      </c>
      <c r="M88" s="3" t="s">
        <v>31</v>
      </c>
      <c r="N88" s="5" t="s">
        <v>178</v>
      </c>
      <c r="O88" s="5" t="s">
        <v>156</v>
      </c>
      <c r="P88" s="5" t="s">
        <v>34</v>
      </c>
      <c r="Q88" s="156">
        <v>121000</v>
      </c>
      <c r="R88" s="168">
        <v>1</v>
      </c>
      <c r="S88" s="170">
        <v>1509</v>
      </c>
      <c r="U88" s="156">
        <v>1825.89</v>
      </c>
      <c r="V88" s="167">
        <v>2.2000000000000001E-4</v>
      </c>
      <c r="W88" s="167">
        <v>4.7447176856241597E-3</v>
      </c>
      <c r="X88" s="167">
        <v>9.3857815912561104E-4</v>
      </c>
    </row>
    <row r="89" spans="1:24">
      <c r="A89" s="5">
        <v>161</v>
      </c>
      <c r="B89" s="5">
        <v>9943</v>
      </c>
      <c r="C89" s="5" t="s">
        <v>942</v>
      </c>
      <c r="D89" s="5" t="s">
        <v>943</v>
      </c>
      <c r="E89" s="5" t="s">
        <v>149</v>
      </c>
      <c r="F89" s="5" t="s">
        <v>944</v>
      </c>
      <c r="G89" s="5" t="s">
        <v>945</v>
      </c>
      <c r="H89" s="5" t="s">
        <v>152</v>
      </c>
      <c r="I89" s="5" t="s">
        <v>930</v>
      </c>
      <c r="J89" s="5" t="s">
        <v>30</v>
      </c>
      <c r="K89" s="5" t="s">
        <v>30</v>
      </c>
      <c r="L89" s="3" t="s">
        <v>154</v>
      </c>
      <c r="M89" s="3" t="s">
        <v>31</v>
      </c>
      <c r="N89" s="5" t="s">
        <v>946</v>
      </c>
      <c r="O89" s="5" t="s">
        <v>156</v>
      </c>
      <c r="P89" s="5" t="s">
        <v>34</v>
      </c>
      <c r="Q89" s="156">
        <v>3228</v>
      </c>
      <c r="R89" s="168">
        <v>1</v>
      </c>
      <c r="S89" s="170">
        <v>167700</v>
      </c>
      <c r="U89" s="156">
        <v>5413.3559999999998</v>
      </c>
      <c r="V89" s="167">
        <v>6.9999999999999994E-5</v>
      </c>
      <c r="W89" s="167">
        <v>1.40670281078157E-2</v>
      </c>
      <c r="X89" s="167">
        <v>2.78267459111534E-3</v>
      </c>
    </row>
    <row r="90" spans="1:24">
      <c r="A90" s="5">
        <v>161</v>
      </c>
      <c r="B90" s="5">
        <v>9943</v>
      </c>
      <c r="C90" s="5" t="s">
        <v>181</v>
      </c>
      <c r="D90" s="5" t="s">
        <v>182</v>
      </c>
      <c r="E90" s="5" t="s">
        <v>149</v>
      </c>
      <c r="F90" s="5" t="s">
        <v>947</v>
      </c>
      <c r="G90" s="5" t="s">
        <v>948</v>
      </c>
      <c r="H90" s="5" t="s">
        <v>152</v>
      </c>
      <c r="I90" s="5" t="s">
        <v>930</v>
      </c>
      <c r="J90" s="5" t="s">
        <v>30</v>
      </c>
      <c r="K90" s="5" t="s">
        <v>30</v>
      </c>
      <c r="L90" s="3" t="s">
        <v>154</v>
      </c>
      <c r="M90" s="3" t="s">
        <v>31</v>
      </c>
      <c r="N90" s="5" t="s">
        <v>167</v>
      </c>
      <c r="O90" s="5" t="s">
        <v>156</v>
      </c>
      <c r="P90" s="5" t="s">
        <v>34</v>
      </c>
      <c r="Q90" s="156">
        <v>86500</v>
      </c>
      <c r="R90" s="168">
        <v>1</v>
      </c>
      <c r="S90" s="170">
        <v>3926</v>
      </c>
      <c r="U90" s="156">
        <v>3395.99</v>
      </c>
      <c r="V90" s="167">
        <v>4.0099999999999999E-4</v>
      </c>
      <c r="W90" s="167">
        <v>8.8247450904505604E-3</v>
      </c>
      <c r="X90" s="167">
        <v>1.74567035396929E-3</v>
      </c>
    </row>
    <row r="91" spans="1:24">
      <c r="A91" s="5">
        <v>161</v>
      </c>
      <c r="B91" s="5">
        <v>9943</v>
      </c>
      <c r="C91" s="5" t="s">
        <v>196</v>
      </c>
      <c r="D91" s="5" t="s">
        <v>197</v>
      </c>
      <c r="E91" s="5" t="s">
        <v>149</v>
      </c>
      <c r="F91" s="5" t="s">
        <v>949</v>
      </c>
      <c r="G91" s="5" t="s">
        <v>950</v>
      </c>
      <c r="H91" s="5" t="s">
        <v>152</v>
      </c>
      <c r="I91" s="5" t="s">
        <v>930</v>
      </c>
      <c r="J91" s="5" t="s">
        <v>30</v>
      </c>
      <c r="K91" s="5" t="s">
        <v>30</v>
      </c>
      <c r="L91" s="3" t="s">
        <v>154</v>
      </c>
      <c r="M91" s="3" t="s">
        <v>31</v>
      </c>
      <c r="N91" s="5" t="s">
        <v>167</v>
      </c>
      <c r="O91" s="5" t="s">
        <v>156</v>
      </c>
      <c r="P91" s="5" t="s">
        <v>34</v>
      </c>
      <c r="Q91" s="156">
        <v>106904</v>
      </c>
      <c r="R91" s="168">
        <v>1</v>
      </c>
      <c r="S91" s="170">
        <v>2476</v>
      </c>
      <c r="U91" s="156">
        <v>2646.9430000000002</v>
      </c>
      <c r="V91" s="167">
        <v>2.1699999999999999E-4</v>
      </c>
      <c r="W91" s="167">
        <v>6.8782880977100299E-3</v>
      </c>
      <c r="X91" s="167">
        <v>1.3606312131582701E-3</v>
      </c>
    </row>
    <row r="92" spans="1:24">
      <c r="A92" s="5">
        <v>161</v>
      </c>
      <c r="B92" s="5">
        <v>9943</v>
      </c>
      <c r="C92" s="5" t="s">
        <v>206</v>
      </c>
      <c r="D92" s="5" t="s">
        <v>207</v>
      </c>
      <c r="E92" s="5" t="s">
        <v>149</v>
      </c>
      <c r="F92" s="5" t="s">
        <v>951</v>
      </c>
      <c r="G92" s="5" t="s">
        <v>952</v>
      </c>
      <c r="H92" s="5" t="s">
        <v>152</v>
      </c>
      <c r="I92" s="5" t="s">
        <v>930</v>
      </c>
      <c r="J92" s="5" t="s">
        <v>30</v>
      </c>
      <c r="K92" s="5" t="s">
        <v>82</v>
      </c>
      <c r="L92" s="3" t="s">
        <v>154</v>
      </c>
      <c r="M92" s="3" t="s">
        <v>31</v>
      </c>
      <c r="N92" s="5" t="s">
        <v>210</v>
      </c>
      <c r="O92" s="5" t="s">
        <v>156</v>
      </c>
      <c r="P92" s="5" t="s">
        <v>34</v>
      </c>
      <c r="Q92" s="156">
        <v>41511.699999999997</v>
      </c>
      <c r="R92" s="168">
        <v>1</v>
      </c>
      <c r="S92" s="170">
        <v>10190</v>
      </c>
      <c r="U92" s="156">
        <v>4230.0420000000004</v>
      </c>
      <c r="V92" s="167">
        <v>3.1500000000000001E-4</v>
      </c>
      <c r="W92" s="167">
        <v>1.09920949124088E-2</v>
      </c>
      <c r="X92" s="167">
        <v>2.1744054949953098E-3</v>
      </c>
    </row>
    <row r="93" spans="1:24">
      <c r="A93" s="5">
        <v>161</v>
      </c>
      <c r="B93" s="5">
        <v>9943</v>
      </c>
      <c r="C93" s="5" t="s">
        <v>511</v>
      </c>
      <c r="D93" s="5" t="s">
        <v>512</v>
      </c>
      <c r="E93" s="5" t="s">
        <v>149</v>
      </c>
      <c r="F93" s="5" t="s">
        <v>953</v>
      </c>
      <c r="G93" s="5" t="s">
        <v>954</v>
      </c>
      <c r="H93" s="5" t="s">
        <v>152</v>
      </c>
      <c r="I93" s="5" t="s">
        <v>930</v>
      </c>
      <c r="J93" s="5" t="s">
        <v>30</v>
      </c>
      <c r="K93" s="5" t="s">
        <v>30</v>
      </c>
      <c r="L93" s="3" t="s">
        <v>154</v>
      </c>
      <c r="M93" s="3" t="s">
        <v>31</v>
      </c>
      <c r="N93" s="5" t="s">
        <v>210</v>
      </c>
      <c r="O93" s="5" t="s">
        <v>156</v>
      </c>
      <c r="P93" s="5" t="s">
        <v>34</v>
      </c>
      <c r="Q93" s="156">
        <v>369015</v>
      </c>
      <c r="R93" s="168">
        <v>1</v>
      </c>
      <c r="S93" s="170">
        <v>1428</v>
      </c>
      <c r="U93" s="156">
        <v>5269.5339999999997</v>
      </c>
      <c r="V93" s="167">
        <v>6.69E-4</v>
      </c>
      <c r="W93" s="167">
        <v>1.3693295934443701E-2</v>
      </c>
      <c r="X93" s="167">
        <v>2.7087446170828799E-3</v>
      </c>
    </row>
    <row r="94" spans="1:24">
      <c r="A94" s="5">
        <v>161</v>
      </c>
      <c r="B94" s="5">
        <v>9943</v>
      </c>
      <c r="C94" s="5" t="s">
        <v>693</v>
      </c>
      <c r="D94" s="5" t="s">
        <v>694</v>
      </c>
      <c r="E94" s="5" t="s">
        <v>149</v>
      </c>
      <c r="F94" s="5" t="s">
        <v>955</v>
      </c>
      <c r="G94" s="5" t="s">
        <v>956</v>
      </c>
      <c r="H94" s="5" t="s">
        <v>152</v>
      </c>
      <c r="I94" s="5" t="s">
        <v>930</v>
      </c>
      <c r="J94" s="5" t="s">
        <v>30</v>
      </c>
      <c r="K94" s="5" t="s">
        <v>30</v>
      </c>
      <c r="L94" s="3" t="s">
        <v>154</v>
      </c>
      <c r="M94" s="3" t="s">
        <v>31</v>
      </c>
      <c r="N94" s="5" t="s">
        <v>697</v>
      </c>
      <c r="O94" s="5" t="s">
        <v>156</v>
      </c>
      <c r="P94" s="5" t="s">
        <v>34</v>
      </c>
      <c r="Q94" s="156">
        <v>809728</v>
      </c>
      <c r="R94" s="168">
        <v>1</v>
      </c>
      <c r="S94" s="170">
        <v>634.70000000000005</v>
      </c>
      <c r="T94" s="155">
        <v>170.24100000000001</v>
      </c>
      <c r="U94" s="156">
        <v>5309.585</v>
      </c>
      <c r="V94" s="167">
        <v>2.92E-4</v>
      </c>
      <c r="W94" s="167">
        <v>1.37973699106573E-2</v>
      </c>
      <c r="X94" s="167">
        <v>2.7293320508312399E-3</v>
      </c>
    </row>
    <row r="95" spans="1:24">
      <c r="A95" s="5">
        <v>161</v>
      </c>
      <c r="B95" s="5">
        <v>9943</v>
      </c>
      <c r="C95" s="5" t="s">
        <v>957</v>
      </c>
      <c r="D95" s="5" t="s">
        <v>958</v>
      </c>
      <c r="E95" s="5" t="s">
        <v>149</v>
      </c>
      <c r="F95" s="5" t="s">
        <v>959</v>
      </c>
      <c r="G95" s="5" t="s">
        <v>960</v>
      </c>
      <c r="H95" s="5" t="s">
        <v>152</v>
      </c>
      <c r="I95" s="5" t="s">
        <v>930</v>
      </c>
      <c r="J95" s="5" t="s">
        <v>30</v>
      </c>
      <c r="K95" s="5" t="s">
        <v>30</v>
      </c>
      <c r="L95" s="3" t="s">
        <v>154</v>
      </c>
      <c r="M95" s="3" t="s">
        <v>31</v>
      </c>
      <c r="N95" s="5" t="s">
        <v>282</v>
      </c>
      <c r="O95" s="5" t="s">
        <v>156</v>
      </c>
      <c r="P95" s="5" t="s">
        <v>34</v>
      </c>
      <c r="Q95" s="156">
        <v>1880</v>
      </c>
      <c r="R95" s="168">
        <v>1</v>
      </c>
      <c r="S95" s="170">
        <v>24800</v>
      </c>
      <c r="U95" s="156">
        <v>466.24</v>
      </c>
      <c r="V95" s="167">
        <v>2.0799999999999999E-4</v>
      </c>
      <c r="W95" s="167">
        <v>1.2115610325624301E-3</v>
      </c>
      <c r="X95" s="167">
        <v>2.39665412982559E-4</v>
      </c>
    </row>
    <row r="96" spans="1:24">
      <c r="A96" s="5">
        <v>161</v>
      </c>
      <c r="B96" s="5">
        <v>9943</v>
      </c>
      <c r="C96" s="5" t="s">
        <v>961</v>
      </c>
      <c r="D96" s="5" t="s">
        <v>962</v>
      </c>
      <c r="E96" s="5" t="s">
        <v>149</v>
      </c>
      <c r="F96" s="5" t="s">
        <v>963</v>
      </c>
      <c r="G96" s="5" t="s">
        <v>964</v>
      </c>
      <c r="H96" s="5" t="s">
        <v>152</v>
      </c>
      <c r="I96" s="5" t="s">
        <v>930</v>
      </c>
      <c r="J96" s="5" t="s">
        <v>30</v>
      </c>
      <c r="K96" s="5" t="s">
        <v>30</v>
      </c>
      <c r="L96" s="3" t="s">
        <v>154</v>
      </c>
      <c r="M96" s="3" t="s">
        <v>31</v>
      </c>
      <c r="N96" s="5" t="s">
        <v>245</v>
      </c>
      <c r="O96" s="5" t="s">
        <v>156</v>
      </c>
      <c r="P96" s="5" t="s">
        <v>34</v>
      </c>
      <c r="Q96" s="156">
        <v>380725</v>
      </c>
      <c r="R96" s="168">
        <v>1</v>
      </c>
      <c r="S96" s="170">
        <v>3274</v>
      </c>
      <c r="U96" s="156">
        <v>12464.936</v>
      </c>
      <c r="V96" s="167">
        <v>3.0699999999999998E-4</v>
      </c>
      <c r="W96" s="167">
        <v>3.2391110451194798E-2</v>
      </c>
      <c r="X96" s="167">
        <v>6.4074600078798003E-3</v>
      </c>
    </row>
    <row r="97" spans="1:24">
      <c r="A97" s="5">
        <v>161</v>
      </c>
      <c r="B97" s="5">
        <v>9943</v>
      </c>
      <c r="C97" s="5" t="s">
        <v>965</v>
      </c>
      <c r="D97" s="5" t="s">
        <v>966</v>
      </c>
      <c r="E97" s="5" t="s">
        <v>149</v>
      </c>
      <c r="F97" s="5" t="s">
        <v>967</v>
      </c>
      <c r="G97" s="5" t="s">
        <v>968</v>
      </c>
      <c r="H97" s="5" t="s">
        <v>152</v>
      </c>
      <c r="I97" s="5" t="s">
        <v>930</v>
      </c>
      <c r="J97" s="5" t="s">
        <v>30</v>
      </c>
      <c r="K97" s="5" t="s">
        <v>30</v>
      </c>
      <c r="L97" s="3" t="s">
        <v>154</v>
      </c>
      <c r="M97" s="3" t="s">
        <v>31</v>
      </c>
      <c r="N97" s="5" t="s">
        <v>282</v>
      </c>
      <c r="O97" s="5" t="s">
        <v>156</v>
      </c>
      <c r="P97" s="5" t="s">
        <v>34</v>
      </c>
      <c r="Q97" s="156">
        <v>7160</v>
      </c>
      <c r="R97" s="168">
        <v>1</v>
      </c>
      <c r="S97" s="170">
        <v>38150</v>
      </c>
      <c r="U97" s="156">
        <v>2731.54</v>
      </c>
      <c r="V97" s="167">
        <v>3.4299999999999999E-4</v>
      </c>
      <c r="W97" s="167">
        <v>7.0981199015218996E-3</v>
      </c>
      <c r="X97" s="167">
        <v>1.40411732622336E-3</v>
      </c>
    </row>
    <row r="98" spans="1:24">
      <c r="A98" s="5">
        <v>161</v>
      </c>
      <c r="B98" s="5">
        <v>9943</v>
      </c>
      <c r="C98" s="5" t="s">
        <v>263</v>
      </c>
      <c r="D98" s="5" t="s">
        <v>264</v>
      </c>
      <c r="E98" s="5" t="s">
        <v>149</v>
      </c>
      <c r="F98" s="5" t="s">
        <v>969</v>
      </c>
      <c r="G98" s="5" t="s">
        <v>970</v>
      </c>
      <c r="H98" s="5" t="s">
        <v>152</v>
      </c>
      <c r="I98" s="5" t="s">
        <v>930</v>
      </c>
      <c r="J98" s="5" t="s">
        <v>30</v>
      </c>
      <c r="K98" s="5" t="s">
        <v>30</v>
      </c>
      <c r="L98" s="3" t="s">
        <v>154</v>
      </c>
      <c r="M98" s="3" t="s">
        <v>31</v>
      </c>
      <c r="N98" s="5" t="s">
        <v>155</v>
      </c>
      <c r="O98" s="5" t="s">
        <v>156</v>
      </c>
      <c r="P98" s="5" t="s">
        <v>34</v>
      </c>
      <c r="Q98" s="156">
        <v>37769</v>
      </c>
      <c r="R98" s="168">
        <v>1</v>
      </c>
      <c r="S98" s="170">
        <v>12400</v>
      </c>
      <c r="U98" s="156">
        <v>4683.3559999999998</v>
      </c>
      <c r="V98" s="167">
        <v>1.4300000000000001E-4</v>
      </c>
      <c r="W98" s="167">
        <v>1.21700661273538E-2</v>
      </c>
      <c r="X98" s="167">
        <v>2.4074263252495398E-3</v>
      </c>
    </row>
    <row r="99" spans="1:24">
      <c r="A99" s="5">
        <v>161</v>
      </c>
      <c r="B99" s="5">
        <v>9943</v>
      </c>
      <c r="C99" s="5" t="s">
        <v>971</v>
      </c>
      <c r="D99" s="5" t="s">
        <v>972</v>
      </c>
      <c r="E99" s="5" t="s">
        <v>149</v>
      </c>
      <c r="F99" s="5" t="s">
        <v>973</v>
      </c>
      <c r="G99" s="5" t="s">
        <v>974</v>
      </c>
      <c r="H99" s="5" t="s">
        <v>152</v>
      </c>
      <c r="I99" s="5" t="s">
        <v>930</v>
      </c>
      <c r="J99" s="5" t="s">
        <v>30</v>
      </c>
      <c r="K99" s="5" t="s">
        <v>82</v>
      </c>
      <c r="L99" s="3" t="s">
        <v>154</v>
      </c>
      <c r="M99" s="3" t="s">
        <v>31</v>
      </c>
      <c r="N99" s="5" t="s">
        <v>975</v>
      </c>
      <c r="O99" s="5" t="s">
        <v>156</v>
      </c>
      <c r="P99" s="5" t="s">
        <v>34</v>
      </c>
      <c r="Q99" s="156">
        <v>81135</v>
      </c>
      <c r="R99" s="168">
        <v>1</v>
      </c>
      <c r="S99" s="170">
        <v>6440</v>
      </c>
      <c r="U99" s="156">
        <v>5225.0940000000001</v>
      </c>
      <c r="V99" s="167">
        <v>6.4999999999999994E-5</v>
      </c>
      <c r="W99" s="167">
        <v>1.3577814605944901E-2</v>
      </c>
      <c r="X99" s="167">
        <v>2.6859006335421499E-3</v>
      </c>
    </row>
    <row r="100" spans="1:24">
      <c r="A100" s="5">
        <v>161</v>
      </c>
      <c r="B100" s="5">
        <v>9943</v>
      </c>
      <c r="C100" s="5" t="s">
        <v>768</v>
      </c>
      <c r="D100" s="5" t="s">
        <v>769</v>
      </c>
      <c r="E100" s="5" t="s">
        <v>149</v>
      </c>
      <c r="F100" s="5" t="s">
        <v>976</v>
      </c>
      <c r="G100" s="5" t="s">
        <v>977</v>
      </c>
      <c r="H100" s="5" t="s">
        <v>152</v>
      </c>
      <c r="I100" s="5" t="s">
        <v>930</v>
      </c>
      <c r="J100" s="5" t="s">
        <v>30</v>
      </c>
      <c r="K100" s="5" t="s">
        <v>30</v>
      </c>
      <c r="L100" s="3" t="s">
        <v>154</v>
      </c>
      <c r="M100" s="3" t="s">
        <v>31</v>
      </c>
      <c r="N100" s="5" t="s">
        <v>282</v>
      </c>
      <c r="O100" s="5" t="s">
        <v>156</v>
      </c>
      <c r="P100" s="5" t="s">
        <v>34</v>
      </c>
      <c r="Q100" s="156">
        <v>115383</v>
      </c>
      <c r="R100" s="168">
        <v>1</v>
      </c>
      <c r="S100" s="170">
        <v>1463</v>
      </c>
      <c r="U100" s="156">
        <v>1688.0530000000001</v>
      </c>
      <c r="V100" s="167">
        <v>3.4900000000000003E-4</v>
      </c>
      <c r="W100" s="167">
        <v>4.3865382357858602E-3</v>
      </c>
      <c r="X100" s="167">
        <v>8.6772475309801304E-4</v>
      </c>
    </row>
    <row r="101" spans="1:24">
      <c r="A101" s="5">
        <v>161</v>
      </c>
      <c r="B101" s="5">
        <v>9943</v>
      </c>
      <c r="C101" s="5" t="s">
        <v>536</v>
      </c>
      <c r="D101" s="5" t="s">
        <v>537</v>
      </c>
      <c r="E101" s="5" t="s">
        <v>149</v>
      </c>
      <c r="F101" s="5" t="s">
        <v>978</v>
      </c>
      <c r="G101" s="5" t="s">
        <v>979</v>
      </c>
      <c r="H101" s="5" t="s">
        <v>152</v>
      </c>
      <c r="I101" s="5" t="s">
        <v>930</v>
      </c>
      <c r="J101" s="5" t="s">
        <v>30</v>
      </c>
      <c r="K101" s="5" t="s">
        <v>30</v>
      </c>
      <c r="L101" s="3" t="s">
        <v>154</v>
      </c>
      <c r="M101" s="3" t="s">
        <v>31</v>
      </c>
      <c r="N101" s="5" t="s">
        <v>155</v>
      </c>
      <c r="O101" s="5" t="s">
        <v>156</v>
      </c>
      <c r="P101" s="5" t="s">
        <v>34</v>
      </c>
      <c r="Q101" s="156">
        <v>30700</v>
      </c>
      <c r="R101" s="168">
        <v>1</v>
      </c>
      <c r="S101" s="170">
        <v>16970</v>
      </c>
      <c r="U101" s="156">
        <v>5209.79</v>
      </c>
      <c r="V101" s="167">
        <v>3.8400000000000001E-4</v>
      </c>
      <c r="W101" s="167">
        <v>1.35380459673846E-2</v>
      </c>
      <c r="X101" s="167">
        <v>2.6780337849656999E-3</v>
      </c>
    </row>
    <row r="102" spans="1:24">
      <c r="A102" s="5">
        <v>161</v>
      </c>
      <c r="B102" s="5">
        <v>9943</v>
      </c>
      <c r="C102" s="5" t="s">
        <v>321</v>
      </c>
      <c r="D102" s="5" t="s">
        <v>322</v>
      </c>
      <c r="E102" s="5" t="s">
        <v>149</v>
      </c>
      <c r="F102" s="5" t="s">
        <v>928</v>
      </c>
      <c r="G102" s="5" t="s">
        <v>929</v>
      </c>
      <c r="H102" s="5" t="s">
        <v>152</v>
      </c>
      <c r="I102" s="5" t="s">
        <v>930</v>
      </c>
      <c r="J102" s="5" t="s">
        <v>30</v>
      </c>
      <c r="K102" s="5" t="s">
        <v>30</v>
      </c>
      <c r="L102" s="3" t="s">
        <v>154</v>
      </c>
      <c r="M102" s="3" t="s">
        <v>31</v>
      </c>
      <c r="N102" s="5" t="s">
        <v>245</v>
      </c>
      <c r="O102" s="5" t="s">
        <v>156</v>
      </c>
      <c r="P102" s="5" t="s">
        <v>34</v>
      </c>
      <c r="Q102" s="156">
        <v>183901</v>
      </c>
      <c r="R102" s="168">
        <v>1</v>
      </c>
      <c r="S102" s="170">
        <v>6529</v>
      </c>
      <c r="U102" s="156">
        <v>12006.896000000001</v>
      </c>
      <c r="V102" s="167">
        <v>1.1400000000000001E-4</v>
      </c>
      <c r="W102" s="167">
        <v>3.1200857212985499E-2</v>
      </c>
      <c r="X102" s="167">
        <v>6.1720096044560902E-3</v>
      </c>
    </row>
    <row r="103" spans="1:24">
      <c r="A103" s="5">
        <v>161</v>
      </c>
      <c r="B103" s="5">
        <v>9943</v>
      </c>
      <c r="C103" s="5" t="s">
        <v>1077</v>
      </c>
      <c r="D103" s="5" t="s">
        <v>1078</v>
      </c>
      <c r="E103" s="5" t="s">
        <v>149</v>
      </c>
      <c r="F103" s="5" t="s">
        <v>1079</v>
      </c>
      <c r="G103" s="5" t="s">
        <v>1080</v>
      </c>
      <c r="H103" s="5" t="s">
        <v>152</v>
      </c>
      <c r="I103" s="5" t="s">
        <v>930</v>
      </c>
      <c r="J103" s="5" t="s">
        <v>30</v>
      </c>
      <c r="K103" s="5" t="s">
        <v>30</v>
      </c>
      <c r="L103" s="3" t="s">
        <v>154</v>
      </c>
      <c r="M103" s="3" t="s">
        <v>31</v>
      </c>
      <c r="N103" s="5" t="s">
        <v>599</v>
      </c>
      <c r="O103" s="5" t="s">
        <v>156</v>
      </c>
      <c r="P103" s="5" t="s">
        <v>34</v>
      </c>
      <c r="Q103" s="156">
        <v>80000</v>
      </c>
      <c r="R103" s="168">
        <v>1</v>
      </c>
      <c r="S103" s="170">
        <v>4523</v>
      </c>
      <c r="U103" s="156">
        <v>3618.4</v>
      </c>
      <c r="V103" s="167">
        <v>1.085E-3</v>
      </c>
      <c r="W103" s="167">
        <v>9.4026948357581498E-3</v>
      </c>
      <c r="X103" s="167">
        <v>1.8599977057654701E-3</v>
      </c>
    </row>
    <row r="104" spans="1:24">
      <c r="A104" s="5">
        <v>161</v>
      </c>
      <c r="B104" s="5">
        <v>9943</v>
      </c>
      <c r="C104" s="5" t="s">
        <v>495</v>
      </c>
      <c r="D104" s="5" t="s">
        <v>496</v>
      </c>
      <c r="E104" s="5" t="s">
        <v>149</v>
      </c>
      <c r="F104" s="5" t="s">
        <v>980</v>
      </c>
      <c r="G104" s="5" t="s">
        <v>981</v>
      </c>
      <c r="H104" s="5" t="s">
        <v>152</v>
      </c>
      <c r="I104" s="5" t="s">
        <v>930</v>
      </c>
      <c r="J104" s="5" t="s">
        <v>30</v>
      </c>
      <c r="K104" s="5" t="s">
        <v>30</v>
      </c>
      <c r="L104" s="3" t="s">
        <v>154</v>
      </c>
      <c r="M104" s="3" t="s">
        <v>31</v>
      </c>
      <c r="N104" s="5" t="s">
        <v>245</v>
      </c>
      <c r="O104" s="5" t="s">
        <v>156</v>
      </c>
      <c r="P104" s="5" t="s">
        <v>34</v>
      </c>
      <c r="Q104" s="156">
        <v>36476</v>
      </c>
      <c r="R104" s="168">
        <v>1</v>
      </c>
      <c r="S104" s="170">
        <v>21790</v>
      </c>
      <c r="U104" s="156">
        <v>7948.12</v>
      </c>
      <c r="V104" s="167">
        <v>1.3999999999999999E-4</v>
      </c>
      <c r="W104" s="167">
        <v>2.0653811253334101E-2</v>
      </c>
      <c r="X104" s="167">
        <v>4.0856416397158203E-3</v>
      </c>
    </row>
    <row r="105" spans="1:24">
      <c r="A105" s="5">
        <v>161</v>
      </c>
      <c r="B105" s="5">
        <v>9943</v>
      </c>
      <c r="C105" s="5" t="s">
        <v>396</v>
      </c>
      <c r="D105" s="5" t="s">
        <v>397</v>
      </c>
      <c r="E105" s="5" t="s">
        <v>149</v>
      </c>
      <c r="F105" s="5" t="s">
        <v>982</v>
      </c>
      <c r="G105" s="5" t="s">
        <v>983</v>
      </c>
      <c r="H105" s="5" t="s">
        <v>152</v>
      </c>
      <c r="I105" s="5" t="s">
        <v>930</v>
      </c>
      <c r="J105" s="5" t="s">
        <v>30</v>
      </c>
      <c r="K105" s="5" t="s">
        <v>30</v>
      </c>
      <c r="L105" s="3" t="s">
        <v>154</v>
      </c>
      <c r="M105" s="3" t="s">
        <v>31</v>
      </c>
      <c r="N105" s="5" t="s">
        <v>167</v>
      </c>
      <c r="O105" s="5" t="s">
        <v>156</v>
      </c>
      <c r="P105" s="5" t="s">
        <v>34</v>
      </c>
      <c r="Q105" s="156">
        <v>9853</v>
      </c>
      <c r="R105" s="168">
        <v>1</v>
      </c>
      <c r="S105" s="170">
        <v>40000</v>
      </c>
      <c r="U105" s="156">
        <v>3941.2</v>
      </c>
      <c r="V105" s="167">
        <v>2.0699999999999999E-4</v>
      </c>
      <c r="W105" s="167">
        <v>1.02415158320501E-2</v>
      </c>
      <c r="X105" s="167">
        <v>2.0259294046990001E-3</v>
      </c>
    </row>
    <row r="106" spans="1:24">
      <c r="A106" s="5">
        <v>161</v>
      </c>
      <c r="B106" s="5">
        <v>9943</v>
      </c>
      <c r="C106" s="5" t="s">
        <v>603</v>
      </c>
      <c r="D106" s="5" t="s">
        <v>604</v>
      </c>
      <c r="E106" s="5" t="s">
        <v>149</v>
      </c>
      <c r="F106" s="5" t="s">
        <v>984</v>
      </c>
      <c r="G106" s="5" t="s">
        <v>985</v>
      </c>
      <c r="H106" s="5" t="s">
        <v>152</v>
      </c>
      <c r="I106" s="5" t="s">
        <v>930</v>
      </c>
      <c r="J106" s="5" t="s">
        <v>30</v>
      </c>
      <c r="K106" s="5" t="s">
        <v>30</v>
      </c>
      <c r="L106" s="3" t="s">
        <v>154</v>
      </c>
      <c r="M106" s="3" t="s">
        <v>31</v>
      </c>
      <c r="N106" s="5" t="s">
        <v>155</v>
      </c>
      <c r="O106" s="5" t="s">
        <v>156</v>
      </c>
      <c r="P106" s="5" t="s">
        <v>34</v>
      </c>
      <c r="Q106" s="156">
        <v>6500</v>
      </c>
      <c r="R106" s="168">
        <v>1</v>
      </c>
      <c r="S106" s="170">
        <v>32500</v>
      </c>
      <c r="U106" s="156">
        <v>2112.5</v>
      </c>
      <c r="V106" s="167">
        <v>1.03E-4</v>
      </c>
      <c r="W106" s="167">
        <v>5.4894961420901799E-3</v>
      </c>
      <c r="X106" s="167">
        <v>1.0859067967691699E-3</v>
      </c>
    </row>
    <row r="107" spans="1:24">
      <c r="A107" s="5">
        <v>161</v>
      </c>
      <c r="B107" s="5">
        <v>9943</v>
      </c>
      <c r="C107" s="5" t="s">
        <v>1081</v>
      </c>
      <c r="D107" s="5" t="s">
        <v>1082</v>
      </c>
      <c r="E107" s="5" t="s">
        <v>149</v>
      </c>
      <c r="F107" s="5" t="s">
        <v>1083</v>
      </c>
      <c r="G107" s="5" t="s">
        <v>1084</v>
      </c>
      <c r="H107" s="5" t="s">
        <v>152</v>
      </c>
      <c r="I107" s="5" t="s">
        <v>930</v>
      </c>
      <c r="J107" s="5" t="s">
        <v>30</v>
      </c>
      <c r="K107" s="5" t="s">
        <v>30</v>
      </c>
      <c r="L107" s="3" t="s">
        <v>154</v>
      </c>
      <c r="M107" s="3" t="s">
        <v>31</v>
      </c>
      <c r="N107" s="5" t="s">
        <v>167</v>
      </c>
      <c r="O107" s="5" t="s">
        <v>156</v>
      </c>
      <c r="P107" s="5" t="s">
        <v>34</v>
      </c>
      <c r="Q107" s="156">
        <v>535000</v>
      </c>
      <c r="R107" s="168">
        <v>1</v>
      </c>
      <c r="S107" s="170">
        <v>220.8</v>
      </c>
      <c r="U107" s="156">
        <v>1181.28</v>
      </c>
      <c r="V107" s="167">
        <v>6.96E-4</v>
      </c>
      <c r="W107" s="167">
        <v>3.0696482853151599E-3</v>
      </c>
      <c r="X107" s="167">
        <v>6.0722365959170704E-4</v>
      </c>
    </row>
    <row r="108" spans="1:24">
      <c r="A108" s="5">
        <v>161</v>
      </c>
      <c r="B108" s="5">
        <v>9943</v>
      </c>
      <c r="C108" s="5" t="s">
        <v>815</v>
      </c>
      <c r="D108" s="5" t="s">
        <v>816</v>
      </c>
      <c r="E108" s="5" t="s">
        <v>817</v>
      </c>
      <c r="F108" s="5" t="s">
        <v>986</v>
      </c>
      <c r="G108" s="5" t="s">
        <v>987</v>
      </c>
      <c r="H108" s="5" t="s">
        <v>152</v>
      </c>
      <c r="I108" s="5" t="s">
        <v>930</v>
      </c>
      <c r="J108" s="5" t="s">
        <v>30</v>
      </c>
      <c r="K108" s="5" t="s">
        <v>82</v>
      </c>
      <c r="L108" s="3" t="s">
        <v>154</v>
      </c>
      <c r="M108" s="3" t="s">
        <v>31</v>
      </c>
      <c r="N108" s="5" t="s">
        <v>487</v>
      </c>
      <c r="O108" s="5" t="s">
        <v>156</v>
      </c>
      <c r="P108" s="5" t="s">
        <v>34</v>
      </c>
      <c r="Q108" s="156">
        <v>55000</v>
      </c>
      <c r="R108" s="168">
        <v>1</v>
      </c>
      <c r="S108" s="170">
        <v>11190</v>
      </c>
      <c r="U108" s="156">
        <v>6154.5</v>
      </c>
      <c r="V108" s="167">
        <v>4.7100000000000001E-4</v>
      </c>
      <c r="W108" s="167">
        <v>1.5992948642127299E-2</v>
      </c>
      <c r="X108" s="167">
        <v>3.1636513044808702E-3</v>
      </c>
    </row>
    <row r="109" spans="1:24">
      <c r="A109" s="5">
        <v>161</v>
      </c>
      <c r="B109" s="5">
        <v>9943</v>
      </c>
      <c r="C109" s="5" t="s">
        <v>988</v>
      </c>
      <c r="D109" s="5" t="s">
        <v>989</v>
      </c>
      <c r="E109" s="5" t="s">
        <v>149</v>
      </c>
      <c r="F109" s="5" t="s">
        <v>990</v>
      </c>
      <c r="G109" s="5" t="s">
        <v>991</v>
      </c>
      <c r="H109" s="5" t="s">
        <v>152</v>
      </c>
      <c r="I109" s="5" t="s">
        <v>930</v>
      </c>
      <c r="J109" s="5" t="s">
        <v>30</v>
      </c>
      <c r="K109" s="5" t="s">
        <v>237</v>
      </c>
      <c r="L109" s="3" t="s">
        <v>154</v>
      </c>
      <c r="M109" s="3" t="s">
        <v>31</v>
      </c>
      <c r="N109" s="5" t="s">
        <v>992</v>
      </c>
      <c r="O109" s="5" t="s">
        <v>156</v>
      </c>
      <c r="P109" s="5" t="s">
        <v>34</v>
      </c>
      <c r="Q109" s="156">
        <v>1526</v>
      </c>
      <c r="R109" s="168">
        <v>1</v>
      </c>
      <c r="S109" s="170">
        <v>104950</v>
      </c>
      <c r="U109" s="156">
        <v>1601.537</v>
      </c>
      <c r="V109" s="167">
        <v>5.1999999999999997E-5</v>
      </c>
      <c r="W109" s="167">
        <v>4.1617189031548799E-3</v>
      </c>
      <c r="X109" s="167">
        <v>8.23252030095764E-4</v>
      </c>
    </row>
    <row r="110" spans="1:24">
      <c r="A110" s="5">
        <v>161</v>
      </c>
      <c r="B110" s="5">
        <v>9943</v>
      </c>
      <c r="C110" s="5" t="s">
        <v>993</v>
      </c>
      <c r="D110" s="5" t="s">
        <v>994</v>
      </c>
      <c r="E110" s="5" t="s">
        <v>817</v>
      </c>
      <c r="F110" s="5" t="s">
        <v>995</v>
      </c>
      <c r="G110" s="5" t="s">
        <v>996</v>
      </c>
      <c r="H110" s="5" t="s">
        <v>152</v>
      </c>
      <c r="I110" s="5" t="s">
        <v>930</v>
      </c>
      <c r="J110" s="5" t="s">
        <v>30</v>
      </c>
      <c r="K110" s="5" t="s">
        <v>30</v>
      </c>
      <c r="L110" s="3" t="s">
        <v>154</v>
      </c>
      <c r="M110" s="3" t="s">
        <v>31</v>
      </c>
      <c r="N110" s="5" t="s">
        <v>487</v>
      </c>
      <c r="O110" s="5" t="s">
        <v>156</v>
      </c>
      <c r="P110" s="5" t="s">
        <v>34</v>
      </c>
      <c r="Q110" s="156">
        <v>94264</v>
      </c>
      <c r="R110" s="168">
        <v>1</v>
      </c>
      <c r="S110" s="170">
        <v>1744</v>
      </c>
      <c r="U110" s="156">
        <v>1643.9639999999999</v>
      </c>
      <c r="V110" s="167">
        <v>8.0000000000000007E-5</v>
      </c>
      <c r="W110" s="167">
        <v>4.2719691900849803E-3</v>
      </c>
      <c r="X110" s="167">
        <v>8.4506123313084702E-4</v>
      </c>
    </row>
    <row r="111" spans="1:24">
      <c r="A111" s="5">
        <v>161</v>
      </c>
      <c r="B111" s="5">
        <v>9943</v>
      </c>
      <c r="C111" s="5" t="s">
        <v>997</v>
      </c>
      <c r="D111" s="5" t="s">
        <v>998</v>
      </c>
      <c r="E111" s="5" t="s">
        <v>149</v>
      </c>
      <c r="F111" s="5" t="s">
        <v>999</v>
      </c>
      <c r="G111" s="5" t="s">
        <v>1000</v>
      </c>
      <c r="H111" s="5" t="s">
        <v>152</v>
      </c>
      <c r="I111" s="5" t="s">
        <v>930</v>
      </c>
      <c r="J111" s="5" t="s">
        <v>30</v>
      </c>
      <c r="K111" s="5" t="s">
        <v>82</v>
      </c>
      <c r="L111" s="3" t="s">
        <v>154</v>
      </c>
      <c r="M111" s="3" t="s">
        <v>31</v>
      </c>
      <c r="N111" s="5" t="s">
        <v>923</v>
      </c>
      <c r="O111" s="5" t="s">
        <v>156</v>
      </c>
      <c r="P111" s="5" t="s">
        <v>34</v>
      </c>
      <c r="Q111" s="156">
        <v>5093</v>
      </c>
      <c r="R111" s="168">
        <v>1</v>
      </c>
      <c r="S111" s="170">
        <v>48800</v>
      </c>
      <c r="U111" s="156">
        <v>2485.384</v>
      </c>
      <c r="V111" s="167">
        <v>6.7999999999999999E-5</v>
      </c>
      <c r="W111" s="167">
        <v>6.4584643217101296E-3</v>
      </c>
      <c r="X111" s="167">
        <v>1.27758361097341E-3</v>
      </c>
    </row>
    <row r="112" spans="1:24">
      <c r="A112" s="5">
        <v>161</v>
      </c>
      <c r="B112" s="5">
        <v>9943</v>
      </c>
      <c r="C112" s="5" t="s">
        <v>1001</v>
      </c>
      <c r="D112" s="5" t="s">
        <v>1002</v>
      </c>
      <c r="E112" s="5" t="s">
        <v>149</v>
      </c>
      <c r="F112" s="5" t="s">
        <v>1001</v>
      </c>
      <c r="G112" s="5" t="s">
        <v>1003</v>
      </c>
      <c r="H112" s="5" t="s">
        <v>152</v>
      </c>
      <c r="I112" s="5" t="s">
        <v>930</v>
      </c>
      <c r="J112" s="5" t="s">
        <v>30</v>
      </c>
      <c r="K112" s="5" t="s">
        <v>30</v>
      </c>
      <c r="L112" s="3" t="s">
        <v>154</v>
      </c>
      <c r="M112" s="3" t="s">
        <v>31</v>
      </c>
      <c r="N112" s="5" t="s">
        <v>1004</v>
      </c>
      <c r="O112" s="5" t="s">
        <v>156</v>
      </c>
      <c r="P112" s="5" t="s">
        <v>34</v>
      </c>
      <c r="Q112" s="156">
        <v>55675</v>
      </c>
      <c r="R112" s="168">
        <v>1</v>
      </c>
      <c r="S112" s="170">
        <v>15000</v>
      </c>
      <c r="U112" s="156">
        <v>8351.25</v>
      </c>
      <c r="V112" s="167">
        <v>6.8300000000000001E-4</v>
      </c>
      <c r="W112" s="167">
        <v>2.1701374985387299E-2</v>
      </c>
      <c r="X112" s="167">
        <v>4.2928658634407103E-3</v>
      </c>
    </row>
    <row r="113" spans="1:24">
      <c r="A113" s="5">
        <v>161</v>
      </c>
      <c r="B113" s="5">
        <v>9943</v>
      </c>
      <c r="C113" s="5" t="s">
        <v>420</v>
      </c>
      <c r="D113" s="5" t="s">
        <v>421</v>
      </c>
      <c r="E113" s="5" t="s">
        <v>149</v>
      </c>
      <c r="F113" s="5" t="s">
        <v>1005</v>
      </c>
      <c r="G113" s="5" t="s">
        <v>1006</v>
      </c>
      <c r="H113" s="5" t="s">
        <v>152</v>
      </c>
      <c r="I113" s="5" t="s">
        <v>930</v>
      </c>
      <c r="J113" s="5" t="s">
        <v>30</v>
      </c>
      <c r="K113" s="5" t="s">
        <v>30</v>
      </c>
      <c r="L113" s="3" t="s">
        <v>154</v>
      </c>
      <c r="M113" s="3" t="s">
        <v>31</v>
      </c>
      <c r="N113" s="5" t="s">
        <v>167</v>
      </c>
      <c r="O113" s="5" t="s">
        <v>156</v>
      </c>
      <c r="P113" s="5" t="s">
        <v>34</v>
      </c>
      <c r="Q113" s="156">
        <v>11757</v>
      </c>
      <c r="R113" s="168">
        <v>1</v>
      </c>
      <c r="S113" s="170">
        <v>32870</v>
      </c>
      <c r="U113" s="156">
        <v>3864.5259999999998</v>
      </c>
      <c r="V113" s="167">
        <v>9.7E-5</v>
      </c>
      <c r="W113" s="167">
        <v>1.00422721983704E-2</v>
      </c>
      <c r="X113" s="167">
        <v>1.98651594844993E-3</v>
      </c>
    </row>
    <row r="114" spans="1:24">
      <c r="A114" s="5">
        <v>161</v>
      </c>
      <c r="B114" s="5">
        <v>9943</v>
      </c>
      <c r="C114" s="5" t="s">
        <v>429</v>
      </c>
      <c r="D114" s="5" t="s">
        <v>430</v>
      </c>
      <c r="E114" s="5" t="s">
        <v>149</v>
      </c>
      <c r="F114" s="5" t="s">
        <v>931</v>
      </c>
      <c r="G114" s="5" t="s">
        <v>932</v>
      </c>
      <c r="H114" s="5" t="s">
        <v>152</v>
      </c>
      <c r="I114" s="5" t="s">
        <v>930</v>
      </c>
      <c r="J114" s="5" t="s">
        <v>30</v>
      </c>
      <c r="K114" s="5" t="s">
        <v>30</v>
      </c>
      <c r="L114" s="3" t="s">
        <v>154</v>
      </c>
      <c r="M114" s="3" t="s">
        <v>31</v>
      </c>
      <c r="N114" s="5" t="s">
        <v>245</v>
      </c>
      <c r="O114" s="5" t="s">
        <v>156</v>
      </c>
      <c r="P114" s="5" t="s">
        <v>34</v>
      </c>
      <c r="Q114" s="156">
        <v>229164</v>
      </c>
      <c r="R114" s="168">
        <v>1</v>
      </c>
      <c r="S114" s="170">
        <v>6732</v>
      </c>
      <c r="U114" s="156">
        <v>15427.32</v>
      </c>
      <c r="V114" s="167">
        <v>1.7100000000000001E-4</v>
      </c>
      <c r="W114" s="167">
        <v>4.0089096453372199E-2</v>
      </c>
      <c r="X114" s="167">
        <v>7.9302400781861102E-3</v>
      </c>
    </row>
    <row r="115" spans="1:24">
      <c r="A115" s="5">
        <v>161</v>
      </c>
      <c r="B115" s="5">
        <v>9943</v>
      </c>
      <c r="C115" s="5" t="s">
        <v>1007</v>
      </c>
      <c r="D115" s="5" t="s">
        <v>1008</v>
      </c>
      <c r="E115" s="5" t="s">
        <v>149</v>
      </c>
      <c r="F115" s="5" t="s">
        <v>1009</v>
      </c>
      <c r="G115" s="5" t="s">
        <v>1010</v>
      </c>
      <c r="H115" s="5" t="s">
        <v>152</v>
      </c>
      <c r="I115" s="5" t="s">
        <v>930</v>
      </c>
      <c r="J115" s="5" t="s">
        <v>30</v>
      </c>
      <c r="K115" s="5" t="s">
        <v>30</v>
      </c>
      <c r="L115" s="3" t="s">
        <v>154</v>
      </c>
      <c r="M115" s="3" t="s">
        <v>31</v>
      </c>
      <c r="N115" s="5" t="s">
        <v>1011</v>
      </c>
      <c r="O115" s="5" t="s">
        <v>156</v>
      </c>
      <c r="P115" s="5" t="s">
        <v>34</v>
      </c>
      <c r="Q115" s="156">
        <v>7658</v>
      </c>
      <c r="R115" s="168">
        <v>1</v>
      </c>
      <c r="S115" s="170">
        <v>35060</v>
      </c>
      <c r="U115" s="156">
        <v>2684.895</v>
      </c>
      <c r="V115" s="167">
        <v>5.5199999999999997E-4</v>
      </c>
      <c r="W115" s="167">
        <v>6.9769087084108799E-3</v>
      </c>
      <c r="X115" s="167">
        <v>1.3801398873042299E-3</v>
      </c>
    </row>
    <row r="116" spans="1:24">
      <c r="A116" s="5">
        <v>161</v>
      </c>
      <c r="B116" s="5">
        <v>9943</v>
      </c>
      <c r="C116" s="5" t="s">
        <v>1012</v>
      </c>
      <c r="D116" s="5" t="s">
        <v>1013</v>
      </c>
      <c r="E116" s="5" t="s">
        <v>149</v>
      </c>
      <c r="F116" s="5" t="s">
        <v>1014</v>
      </c>
      <c r="G116" s="5" t="s">
        <v>1015</v>
      </c>
      <c r="H116" s="5" t="s">
        <v>152</v>
      </c>
      <c r="I116" s="5" t="s">
        <v>930</v>
      </c>
      <c r="J116" s="5" t="s">
        <v>30</v>
      </c>
      <c r="K116" s="5" t="s">
        <v>30</v>
      </c>
      <c r="L116" s="3" t="s">
        <v>154</v>
      </c>
      <c r="M116" s="3" t="s">
        <v>31</v>
      </c>
      <c r="N116" s="5" t="s">
        <v>906</v>
      </c>
      <c r="O116" s="5" t="s">
        <v>156</v>
      </c>
      <c r="P116" s="5" t="s">
        <v>34</v>
      </c>
      <c r="Q116" s="156">
        <v>192407</v>
      </c>
      <c r="R116" s="168">
        <v>1</v>
      </c>
      <c r="S116" s="170">
        <v>875.3</v>
      </c>
      <c r="U116" s="156">
        <v>1684.1379999999999</v>
      </c>
      <c r="V116" s="167">
        <v>6.6699999999999995E-4</v>
      </c>
      <c r="W116" s="167">
        <v>4.3763652730414897E-3</v>
      </c>
      <c r="X116" s="167">
        <v>8.6571238454879605E-4</v>
      </c>
    </row>
    <row r="117" spans="1:24">
      <c r="A117" s="5">
        <v>161</v>
      </c>
      <c r="B117" s="5">
        <v>9943</v>
      </c>
      <c r="C117" s="5" t="s">
        <v>1016</v>
      </c>
      <c r="D117" s="5" t="s">
        <v>1017</v>
      </c>
      <c r="E117" s="5" t="s">
        <v>149</v>
      </c>
      <c r="F117" s="5" t="s">
        <v>1018</v>
      </c>
      <c r="G117" s="5" t="s">
        <v>1019</v>
      </c>
      <c r="H117" s="5" t="s">
        <v>152</v>
      </c>
      <c r="I117" s="5" t="s">
        <v>930</v>
      </c>
      <c r="J117" s="5" t="s">
        <v>30</v>
      </c>
      <c r="K117" s="5" t="s">
        <v>237</v>
      </c>
      <c r="L117" s="3" t="s">
        <v>154</v>
      </c>
      <c r="M117" s="3" t="s">
        <v>31</v>
      </c>
      <c r="N117" s="5" t="s">
        <v>992</v>
      </c>
      <c r="O117" s="5" t="s">
        <v>156</v>
      </c>
      <c r="P117" s="5" t="s">
        <v>34</v>
      </c>
      <c r="Q117" s="156">
        <v>1193</v>
      </c>
      <c r="R117" s="168">
        <v>1</v>
      </c>
      <c r="S117" s="170">
        <v>34590</v>
      </c>
      <c r="U117" s="156">
        <v>412.65899999999999</v>
      </c>
      <c r="V117" s="167">
        <v>2.5000000000000001E-5</v>
      </c>
      <c r="W117" s="167">
        <v>1.07232584220116E-3</v>
      </c>
      <c r="X117" s="167">
        <v>2.1212255009511399E-4</v>
      </c>
    </row>
    <row r="118" spans="1:24">
      <c r="A118" s="5">
        <v>161</v>
      </c>
      <c r="B118" s="5">
        <v>9943</v>
      </c>
      <c r="C118" s="5" t="s">
        <v>1020</v>
      </c>
      <c r="D118" s="5" t="s">
        <v>1021</v>
      </c>
      <c r="E118" s="5" t="s">
        <v>817</v>
      </c>
      <c r="F118" s="5" t="s">
        <v>1022</v>
      </c>
      <c r="G118" s="5" t="s">
        <v>1023</v>
      </c>
      <c r="H118" s="5" t="s">
        <v>152</v>
      </c>
      <c r="I118" s="5" t="s">
        <v>930</v>
      </c>
      <c r="J118" s="5" t="s">
        <v>30</v>
      </c>
      <c r="K118" s="5" t="s">
        <v>30</v>
      </c>
      <c r="L118" s="3" t="s">
        <v>154</v>
      </c>
      <c r="M118" s="3" t="s">
        <v>31</v>
      </c>
      <c r="N118" s="5" t="s">
        <v>487</v>
      </c>
      <c r="O118" s="5" t="s">
        <v>156</v>
      </c>
      <c r="P118" s="5" t="s">
        <v>34</v>
      </c>
      <c r="Q118" s="156">
        <v>69416</v>
      </c>
      <c r="R118" s="168">
        <v>1</v>
      </c>
      <c r="S118" s="170">
        <v>454.7</v>
      </c>
      <c r="U118" s="156">
        <v>315.63499999999999</v>
      </c>
      <c r="V118" s="167">
        <v>6.2000000000000003E-5</v>
      </c>
      <c r="W118" s="167">
        <v>8.20201020361828E-4</v>
      </c>
      <c r="X118" s="167">
        <v>1.6224838121277701E-4</v>
      </c>
    </row>
    <row r="119" spans="1:24">
      <c r="A119" s="5">
        <v>161</v>
      </c>
      <c r="B119" s="5">
        <v>9943</v>
      </c>
      <c r="C119" s="5" t="s">
        <v>619</v>
      </c>
      <c r="D119" s="5" t="s">
        <v>620</v>
      </c>
      <c r="E119" s="5" t="s">
        <v>149</v>
      </c>
      <c r="F119" s="5" t="s">
        <v>1085</v>
      </c>
      <c r="G119" s="5" t="s">
        <v>1086</v>
      </c>
      <c r="H119" s="5" t="s">
        <v>152</v>
      </c>
      <c r="I119" s="5" t="s">
        <v>930</v>
      </c>
      <c r="J119" s="5" t="s">
        <v>30</v>
      </c>
      <c r="K119" s="5" t="s">
        <v>30</v>
      </c>
      <c r="L119" s="3" t="s">
        <v>154</v>
      </c>
      <c r="M119" s="3" t="s">
        <v>31</v>
      </c>
      <c r="N119" s="5" t="s">
        <v>282</v>
      </c>
      <c r="O119" s="5" t="s">
        <v>156</v>
      </c>
      <c r="P119" s="5" t="s">
        <v>34</v>
      </c>
      <c r="Q119" s="156">
        <v>174511</v>
      </c>
      <c r="R119" s="168">
        <v>1</v>
      </c>
      <c r="S119" s="170">
        <v>2195</v>
      </c>
      <c r="U119" s="156">
        <v>3830.5160000000001</v>
      </c>
      <c r="V119" s="167">
        <v>6.0800000000000003E-4</v>
      </c>
      <c r="W119" s="167">
        <v>9.9538959879232995E-3</v>
      </c>
      <c r="X119" s="167">
        <v>1.9690337742916402E-3</v>
      </c>
    </row>
    <row r="120" spans="1:24">
      <c r="A120" s="5">
        <v>161</v>
      </c>
      <c r="B120" s="5">
        <v>9943</v>
      </c>
      <c r="C120" s="5" t="s">
        <v>630</v>
      </c>
      <c r="D120" s="5" t="s">
        <v>631</v>
      </c>
      <c r="E120" s="5" t="s">
        <v>149</v>
      </c>
      <c r="F120" s="5" t="s">
        <v>1087</v>
      </c>
      <c r="G120" s="5" t="s">
        <v>1088</v>
      </c>
      <c r="H120" s="5" t="s">
        <v>152</v>
      </c>
      <c r="I120" s="5" t="s">
        <v>930</v>
      </c>
      <c r="J120" s="5" t="s">
        <v>30</v>
      </c>
      <c r="K120" s="5" t="s">
        <v>30</v>
      </c>
      <c r="L120" s="3" t="s">
        <v>154</v>
      </c>
      <c r="M120" s="3" t="s">
        <v>31</v>
      </c>
      <c r="N120" s="5" t="s">
        <v>282</v>
      </c>
      <c r="O120" s="5" t="s">
        <v>156</v>
      </c>
      <c r="P120" s="5" t="s">
        <v>34</v>
      </c>
      <c r="Q120" s="156">
        <v>184374</v>
      </c>
      <c r="R120" s="168">
        <v>1</v>
      </c>
      <c r="S120" s="170">
        <v>1849</v>
      </c>
      <c r="U120" s="156">
        <v>3409.0749999999998</v>
      </c>
      <c r="V120" s="167">
        <v>8.9309999999999997E-3</v>
      </c>
      <c r="W120" s="167">
        <v>8.8587481599361299E-3</v>
      </c>
      <c r="X120" s="167">
        <v>1.75239668427532E-3</v>
      </c>
    </row>
    <row r="121" spans="1:24">
      <c r="A121" s="5">
        <v>161</v>
      </c>
      <c r="B121" s="5">
        <v>9943</v>
      </c>
      <c r="C121" s="5" t="s">
        <v>1089</v>
      </c>
      <c r="D121" s="5" t="s">
        <v>1090</v>
      </c>
      <c r="E121" s="5" t="s">
        <v>149</v>
      </c>
      <c r="F121" s="5" t="s">
        <v>1091</v>
      </c>
      <c r="G121" s="5" t="s">
        <v>1092</v>
      </c>
      <c r="H121" s="5" t="s">
        <v>152</v>
      </c>
      <c r="I121" s="5" t="s">
        <v>930</v>
      </c>
      <c r="J121" s="5" t="s">
        <v>30</v>
      </c>
      <c r="K121" s="5" t="s">
        <v>30</v>
      </c>
      <c r="L121" s="3" t="s">
        <v>154</v>
      </c>
      <c r="M121" s="3" t="s">
        <v>31</v>
      </c>
      <c r="N121" s="5" t="s">
        <v>1093</v>
      </c>
      <c r="O121" s="5" t="s">
        <v>156</v>
      </c>
      <c r="P121" s="5" t="s">
        <v>34</v>
      </c>
      <c r="Q121" s="156">
        <v>90000</v>
      </c>
      <c r="R121" s="168">
        <v>1</v>
      </c>
      <c r="S121" s="170">
        <v>1925</v>
      </c>
      <c r="U121" s="156">
        <v>1732.5</v>
      </c>
      <c r="V121" s="167">
        <v>1.2097999999999999E-2</v>
      </c>
      <c r="W121" s="167">
        <v>4.5020364810278001E-3</v>
      </c>
      <c r="X121" s="167">
        <v>8.9057208303080799E-4</v>
      </c>
    </row>
    <row r="122" spans="1:24">
      <c r="A122" s="5">
        <v>161</v>
      </c>
      <c r="B122" s="5">
        <v>9943</v>
      </c>
      <c r="C122" s="5" t="s">
        <v>1094</v>
      </c>
      <c r="D122" s="5" t="s">
        <v>1095</v>
      </c>
      <c r="E122" s="5" t="s">
        <v>149</v>
      </c>
      <c r="F122" s="5" t="s">
        <v>1096</v>
      </c>
      <c r="G122" s="5" t="s">
        <v>1097</v>
      </c>
      <c r="H122" s="5" t="s">
        <v>152</v>
      </c>
      <c r="I122" s="5" t="s">
        <v>930</v>
      </c>
      <c r="J122" s="5" t="s">
        <v>30</v>
      </c>
      <c r="K122" s="5" t="s">
        <v>30</v>
      </c>
      <c r="L122" s="3" t="s">
        <v>154</v>
      </c>
      <c r="M122" s="3" t="s">
        <v>31</v>
      </c>
      <c r="N122" s="5" t="s">
        <v>599</v>
      </c>
      <c r="O122" s="5" t="s">
        <v>156</v>
      </c>
      <c r="P122" s="5" t="s">
        <v>34</v>
      </c>
      <c r="Q122" s="156">
        <v>34454</v>
      </c>
      <c r="R122" s="168">
        <v>1</v>
      </c>
      <c r="S122" s="170">
        <v>7959</v>
      </c>
      <c r="U122" s="156">
        <v>2742.194</v>
      </c>
      <c r="V122" s="167">
        <v>2.3159999999999999E-3</v>
      </c>
      <c r="W122" s="167">
        <v>7.1258047883234902E-3</v>
      </c>
      <c r="X122" s="167">
        <v>1.4095938227847E-3</v>
      </c>
    </row>
    <row r="123" spans="1:24">
      <c r="A123" s="5">
        <v>161</v>
      </c>
      <c r="B123" s="5">
        <v>9943</v>
      </c>
      <c r="C123" s="5" t="s">
        <v>1098</v>
      </c>
      <c r="D123" s="5" t="s">
        <v>1099</v>
      </c>
      <c r="E123" s="5" t="s">
        <v>149</v>
      </c>
      <c r="F123" s="5" t="s">
        <v>1100</v>
      </c>
      <c r="G123" s="5" t="s">
        <v>1101</v>
      </c>
      <c r="H123" s="5" t="s">
        <v>152</v>
      </c>
      <c r="I123" s="5" t="s">
        <v>930</v>
      </c>
      <c r="J123" s="5" t="s">
        <v>30</v>
      </c>
      <c r="K123" s="5" t="s">
        <v>237</v>
      </c>
      <c r="L123" s="3" t="s">
        <v>154</v>
      </c>
      <c r="M123" s="3" t="s">
        <v>31</v>
      </c>
      <c r="N123" s="5" t="s">
        <v>946</v>
      </c>
      <c r="O123" s="5" t="s">
        <v>156</v>
      </c>
      <c r="P123" s="5" t="s">
        <v>34</v>
      </c>
      <c r="Q123" s="156">
        <v>110100</v>
      </c>
      <c r="R123" s="168">
        <v>1</v>
      </c>
      <c r="S123" s="170">
        <v>1436</v>
      </c>
      <c r="U123" s="156">
        <v>1581.0360000000001</v>
      </c>
      <c r="V123" s="167">
        <v>1.7899999999999999E-3</v>
      </c>
      <c r="W123" s="167">
        <v>4.1084454544405603E-3</v>
      </c>
      <c r="X123" s="167">
        <v>8.1271372228957901E-4</v>
      </c>
    </row>
    <row r="124" spans="1:24">
      <c r="A124" s="5">
        <v>161</v>
      </c>
      <c r="B124" s="5">
        <v>9943</v>
      </c>
      <c r="C124" s="5" t="s">
        <v>942</v>
      </c>
      <c r="D124" s="5" t="s">
        <v>943</v>
      </c>
      <c r="E124" s="5" t="s">
        <v>149</v>
      </c>
      <c r="F124" s="5" t="s">
        <v>944</v>
      </c>
      <c r="G124" s="5" t="s">
        <v>945</v>
      </c>
      <c r="H124" s="5" t="s">
        <v>152</v>
      </c>
      <c r="I124" s="5" t="s">
        <v>930</v>
      </c>
      <c r="J124" s="5" t="s">
        <v>30</v>
      </c>
      <c r="K124" s="5" t="s">
        <v>30</v>
      </c>
      <c r="L124" s="3" t="s">
        <v>154</v>
      </c>
      <c r="M124" s="3" t="s">
        <v>31</v>
      </c>
      <c r="N124" s="5" t="s">
        <v>946</v>
      </c>
      <c r="O124" s="5" t="s">
        <v>156</v>
      </c>
      <c r="P124" s="5" t="s">
        <v>34</v>
      </c>
      <c r="Q124" s="156">
        <v>4256</v>
      </c>
      <c r="R124" s="168">
        <v>1</v>
      </c>
      <c r="S124" s="170">
        <v>167700</v>
      </c>
      <c r="U124" s="156">
        <v>7137.3119999999999</v>
      </c>
      <c r="V124" s="167">
        <v>9.2E-5</v>
      </c>
      <c r="W124" s="167">
        <v>1.8546862337938001E-2</v>
      </c>
      <c r="X124" s="167">
        <v>3.6688547273193502E-3</v>
      </c>
    </row>
    <row r="125" spans="1:24">
      <c r="A125" s="5">
        <v>161</v>
      </c>
      <c r="B125" s="5">
        <v>9943</v>
      </c>
      <c r="C125" s="5" t="s">
        <v>181</v>
      </c>
      <c r="D125" s="5" t="s">
        <v>182</v>
      </c>
      <c r="E125" s="5" t="s">
        <v>149</v>
      </c>
      <c r="F125" s="5" t="s">
        <v>947</v>
      </c>
      <c r="G125" s="5" t="s">
        <v>948</v>
      </c>
      <c r="H125" s="5" t="s">
        <v>152</v>
      </c>
      <c r="I125" s="5" t="s">
        <v>930</v>
      </c>
      <c r="J125" s="5" t="s">
        <v>30</v>
      </c>
      <c r="K125" s="5" t="s">
        <v>30</v>
      </c>
      <c r="L125" s="3" t="s">
        <v>154</v>
      </c>
      <c r="M125" s="3" t="s">
        <v>31</v>
      </c>
      <c r="N125" s="5" t="s">
        <v>167</v>
      </c>
      <c r="O125" s="5" t="s">
        <v>156</v>
      </c>
      <c r="P125" s="5" t="s">
        <v>34</v>
      </c>
      <c r="Q125" s="156">
        <v>73508</v>
      </c>
      <c r="R125" s="168">
        <v>1</v>
      </c>
      <c r="S125" s="170">
        <v>3926</v>
      </c>
      <c r="U125" s="156">
        <v>2885.924</v>
      </c>
      <c r="V125" s="167">
        <v>3.4000000000000002E-4</v>
      </c>
      <c r="W125" s="167">
        <v>7.4992989839172304E-3</v>
      </c>
      <c r="X125" s="167">
        <v>1.4834767211511499E-3</v>
      </c>
    </row>
    <row r="126" spans="1:24">
      <c r="A126" s="5">
        <v>161</v>
      </c>
      <c r="B126" s="5">
        <v>9943</v>
      </c>
      <c r="C126" s="5" t="s">
        <v>1102</v>
      </c>
      <c r="D126" s="5" t="s">
        <v>1103</v>
      </c>
      <c r="E126" s="5" t="s">
        <v>149</v>
      </c>
      <c r="F126" s="5" t="s">
        <v>1104</v>
      </c>
      <c r="G126" s="5" t="s">
        <v>1105</v>
      </c>
      <c r="H126" s="5" t="s">
        <v>152</v>
      </c>
      <c r="I126" s="5" t="s">
        <v>930</v>
      </c>
      <c r="J126" s="5" t="s">
        <v>30</v>
      </c>
      <c r="K126" s="5" t="s">
        <v>30</v>
      </c>
      <c r="L126" s="3" t="s">
        <v>154</v>
      </c>
      <c r="M126" s="3" t="s">
        <v>31</v>
      </c>
      <c r="N126" s="5" t="s">
        <v>1011</v>
      </c>
      <c r="O126" s="5" t="s">
        <v>156</v>
      </c>
      <c r="P126" s="5" t="s">
        <v>34</v>
      </c>
      <c r="Q126" s="156">
        <v>27500</v>
      </c>
      <c r="R126" s="168">
        <v>1</v>
      </c>
      <c r="S126" s="170">
        <v>11550</v>
      </c>
      <c r="U126" s="156">
        <v>3176.25</v>
      </c>
      <c r="V126" s="167">
        <v>1.093E-3</v>
      </c>
      <c r="W126" s="167">
        <v>8.2537335485509695E-3</v>
      </c>
      <c r="X126" s="167">
        <v>1.6327154855564801E-3</v>
      </c>
    </row>
    <row r="127" spans="1:24">
      <c r="A127" s="5">
        <v>161</v>
      </c>
      <c r="B127" s="5">
        <v>9943</v>
      </c>
      <c r="C127" s="5" t="s">
        <v>1106</v>
      </c>
      <c r="D127" s="5" t="s">
        <v>1107</v>
      </c>
      <c r="E127" s="5" t="s">
        <v>149</v>
      </c>
      <c r="F127" s="5" t="s">
        <v>1108</v>
      </c>
      <c r="G127" s="5" t="s">
        <v>1109</v>
      </c>
      <c r="H127" s="5" t="s">
        <v>152</v>
      </c>
      <c r="I127" s="5" t="s">
        <v>930</v>
      </c>
      <c r="J127" s="5" t="s">
        <v>30</v>
      </c>
      <c r="K127" s="5" t="s">
        <v>30</v>
      </c>
      <c r="L127" s="3" t="s">
        <v>154</v>
      </c>
      <c r="M127" s="3" t="s">
        <v>31</v>
      </c>
      <c r="N127" s="5" t="s">
        <v>946</v>
      </c>
      <c r="O127" s="5" t="s">
        <v>156</v>
      </c>
      <c r="P127" s="5" t="s">
        <v>34</v>
      </c>
      <c r="Q127" s="156">
        <v>150000</v>
      </c>
      <c r="R127" s="168">
        <v>1</v>
      </c>
      <c r="S127" s="170">
        <v>4444</v>
      </c>
      <c r="U127" s="156">
        <v>6666</v>
      </c>
      <c r="V127" s="167">
        <v>1.475E-3</v>
      </c>
      <c r="W127" s="167">
        <v>1.7322121317478401E-2</v>
      </c>
      <c r="X127" s="167">
        <v>3.4265821099471101E-3</v>
      </c>
    </row>
    <row r="128" spans="1:24">
      <c r="A128" s="5">
        <v>161</v>
      </c>
      <c r="B128" s="5">
        <v>9943</v>
      </c>
      <c r="C128" s="5" t="s">
        <v>1110</v>
      </c>
      <c r="D128" s="5" t="s">
        <v>1111</v>
      </c>
      <c r="E128" s="5" t="s">
        <v>149</v>
      </c>
      <c r="F128" s="5" t="s">
        <v>1112</v>
      </c>
      <c r="G128" s="5" t="s">
        <v>1113</v>
      </c>
      <c r="H128" s="5" t="s">
        <v>152</v>
      </c>
      <c r="I128" s="5" t="s">
        <v>930</v>
      </c>
      <c r="J128" s="5" t="s">
        <v>30</v>
      </c>
      <c r="K128" s="5" t="s">
        <v>30</v>
      </c>
      <c r="L128" s="3" t="s">
        <v>154</v>
      </c>
      <c r="M128" s="3" t="s">
        <v>31</v>
      </c>
      <c r="N128" s="5" t="s">
        <v>245</v>
      </c>
      <c r="O128" s="5" t="s">
        <v>156</v>
      </c>
      <c r="P128" s="5" t="s">
        <v>34</v>
      </c>
      <c r="Q128" s="156">
        <v>1634</v>
      </c>
      <c r="R128" s="168">
        <v>1</v>
      </c>
      <c r="S128" s="170">
        <v>23710</v>
      </c>
      <c r="U128" s="156">
        <v>387.42099999999999</v>
      </c>
      <c r="V128" s="167">
        <v>1.5999999999999999E-5</v>
      </c>
      <c r="W128" s="167">
        <v>1.0067447482429201E-3</v>
      </c>
      <c r="X128" s="167">
        <v>1.9914960069766899E-4</v>
      </c>
    </row>
    <row r="129" spans="1:24">
      <c r="A129" s="5">
        <v>161</v>
      </c>
      <c r="B129" s="5">
        <v>9943</v>
      </c>
      <c r="C129" s="5" t="s">
        <v>1114</v>
      </c>
      <c r="D129" s="5" t="s">
        <v>1115</v>
      </c>
      <c r="E129" s="5" t="s">
        <v>149</v>
      </c>
      <c r="F129" s="5" t="s">
        <v>1116</v>
      </c>
      <c r="G129" s="5" t="s">
        <v>1117</v>
      </c>
      <c r="H129" s="5" t="s">
        <v>152</v>
      </c>
      <c r="I129" s="5" t="s">
        <v>930</v>
      </c>
      <c r="J129" s="5" t="s">
        <v>30</v>
      </c>
      <c r="K129" s="5" t="s">
        <v>30</v>
      </c>
      <c r="L129" s="3" t="s">
        <v>154</v>
      </c>
      <c r="M129" s="3" t="s">
        <v>31</v>
      </c>
      <c r="N129" s="5" t="s">
        <v>906</v>
      </c>
      <c r="O129" s="5" t="s">
        <v>156</v>
      </c>
      <c r="P129" s="5" t="s">
        <v>34</v>
      </c>
      <c r="Q129" s="156">
        <v>9003</v>
      </c>
      <c r="R129" s="168">
        <v>1</v>
      </c>
      <c r="S129" s="170">
        <v>67920</v>
      </c>
      <c r="U129" s="156">
        <v>6114.8379999999997</v>
      </c>
      <c r="V129" s="167">
        <v>9.8499999999999998E-4</v>
      </c>
      <c r="W129" s="167">
        <v>1.5889882799861799E-2</v>
      </c>
      <c r="X129" s="167">
        <v>3.1432632951383E-3</v>
      </c>
    </row>
    <row r="130" spans="1:24">
      <c r="A130" s="5">
        <v>161</v>
      </c>
      <c r="B130" s="5">
        <v>9943</v>
      </c>
      <c r="C130" s="5" t="s">
        <v>525</v>
      </c>
      <c r="D130" s="5" t="s">
        <v>526</v>
      </c>
      <c r="E130" s="5" t="s">
        <v>149</v>
      </c>
      <c r="F130" s="5" t="s">
        <v>1118</v>
      </c>
      <c r="G130" s="5" t="s">
        <v>1119</v>
      </c>
      <c r="H130" s="5" t="s">
        <v>152</v>
      </c>
      <c r="I130" s="5" t="s">
        <v>930</v>
      </c>
      <c r="J130" s="5" t="s">
        <v>30</v>
      </c>
      <c r="K130" s="5" t="s">
        <v>30</v>
      </c>
      <c r="L130" s="3" t="s">
        <v>154</v>
      </c>
      <c r="M130" s="3" t="s">
        <v>31</v>
      </c>
      <c r="N130" s="5" t="s">
        <v>194</v>
      </c>
      <c r="O130" s="5" t="s">
        <v>156</v>
      </c>
      <c r="P130" s="5" t="s">
        <v>34</v>
      </c>
      <c r="Q130" s="156">
        <v>2733084</v>
      </c>
      <c r="R130" s="168">
        <v>1</v>
      </c>
      <c r="S130" s="170">
        <v>113.5</v>
      </c>
      <c r="T130" s="155">
        <v>32.279000000000003</v>
      </c>
      <c r="U130" s="156">
        <v>3134.33</v>
      </c>
      <c r="V130" s="167">
        <v>2.1519999999999998E-3</v>
      </c>
      <c r="W130" s="167">
        <v>8.1448003768940392E-3</v>
      </c>
      <c r="X130" s="167">
        <v>1.6111668281872001E-3</v>
      </c>
    </row>
    <row r="131" spans="1:24">
      <c r="A131" s="5">
        <v>161</v>
      </c>
      <c r="B131" s="5">
        <v>9943</v>
      </c>
      <c r="C131" s="5" t="s">
        <v>961</v>
      </c>
      <c r="D131" s="5" t="s">
        <v>962</v>
      </c>
      <c r="E131" s="5" t="s">
        <v>149</v>
      </c>
      <c r="F131" s="5" t="s">
        <v>963</v>
      </c>
      <c r="G131" s="5" t="s">
        <v>964</v>
      </c>
      <c r="H131" s="5" t="s">
        <v>152</v>
      </c>
      <c r="I131" s="5" t="s">
        <v>930</v>
      </c>
      <c r="J131" s="5" t="s">
        <v>30</v>
      </c>
      <c r="K131" s="5" t="s">
        <v>30</v>
      </c>
      <c r="L131" s="3" t="s">
        <v>154</v>
      </c>
      <c r="M131" s="3" t="s">
        <v>31</v>
      </c>
      <c r="N131" s="5" t="s">
        <v>245</v>
      </c>
      <c r="O131" s="5" t="s">
        <v>156</v>
      </c>
      <c r="P131" s="5" t="s">
        <v>34</v>
      </c>
      <c r="Q131" s="156">
        <v>16123</v>
      </c>
      <c r="R131" s="168">
        <v>1</v>
      </c>
      <c r="S131" s="170">
        <v>3274</v>
      </c>
      <c r="U131" s="156">
        <v>527.86699999999996</v>
      </c>
      <c r="V131" s="167">
        <v>1.2999999999999999E-5</v>
      </c>
      <c r="W131" s="167">
        <v>1.3717036543558099E-3</v>
      </c>
      <c r="X131" s="167">
        <v>2.71344087483212E-4</v>
      </c>
    </row>
    <row r="132" spans="1:24">
      <c r="A132" s="5">
        <v>161</v>
      </c>
      <c r="B132" s="5">
        <v>9943</v>
      </c>
      <c r="C132" s="5" t="s">
        <v>1120</v>
      </c>
      <c r="D132" s="5" t="s">
        <v>1121</v>
      </c>
      <c r="E132" s="5" t="s">
        <v>149</v>
      </c>
      <c r="F132" s="5" t="s">
        <v>1122</v>
      </c>
      <c r="G132" s="5" t="s">
        <v>1123</v>
      </c>
      <c r="H132" s="5" t="s">
        <v>152</v>
      </c>
      <c r="I132" s="5" t="s">
        <v>930</v>
      </c>
      <c r="J132" s="5" t="s">
        <v>30</v>
      </c>
      <c r="K132" s="5" t="s">
        <v>30</v>
      </c>
      <c r="L132" s="3" t="s">
        <v>154</v>
      </c>
      <c r="M132" s="3" t="s">
        <v>31</v>
      </c>
      <c r="N132" s="5" t="s">
        <v>599</v>
      </c>
      <c r="O132" s="5" t="s">
        <v>156</v>
      </c>
      <c r="P132" s="5" t="s">
        <v>34</v>
      </c>
      <c r="Q132" s="156">
        <v>122741</v>
      </c>
      <c r="R132" s="168">
        <v>1</v>
      </c>
      <c r="S132" s="170">
        <v>7639</v>
      </c>
      <c r="U132" s="156">
        <v>9376.1849999999995</v>
      </c>
      <c r="V132" s="167">
        <v>1.1559999999999999E-3</v>
      </c>
      <c r="W132" s="167">
        <v>2.4364748558640899E-2</v>
      </c>
      <c r="X132" s="167">
        <v>4.8197221341567103E-3</v>
      </c>
    </row>
    <row r="133" spans="1:24">
      <c r="A133" s="5">
        <v>161</v>
      </c>
      <c r="B133" s="5">
        <v>9943</v>
      </c>
      <c r="C133" s="5" t="s">
        <v>263</v>
      </c>
      <c r="D133" s="5" t="s">
        <v>264</v>
      </c>
      <c r="E133" s="5" t="s">
        <v>149</v>
      </c>
      <c r="F133" s="5" t="s">
        <v>969</v>
      </c>
      <c r="G133" s="5" t="s">
        <v>970</v>
      </c>
      <c r="H133" s="5" t="s">
        <v>152</v>
      </c>
      <c r="I133" s="5" t="s">
        <v>930</v>
      </c>
      <c r="J133" s="5" t="s">
        <v>30</v>
      </c>
      <c r="K133" s="5" t="s">
        <v>30</v>
      </c>
      <c r="L133" s="3" t="s">
        <v>154</v>
      </c>
      <c r="M133" s="3" t="s">
        <v>31</v>
      </c>
      <c r="N133" s="5" t="s">
        <v>155</v>
      </c>
      <c r="O133" s="5" t="s">
        <v>156</v>
      </c>
      <c r="P133" s="5" t="s">
        <v>34</v>
      </c>
      <c r="Q133" s="156">
        <v>17301</v>
      </c>
      <c r="R133" s="168">
        <v>1</v>
      </c>
      <c r="S133" s="170">
        <v>12400</v>
      </c>
      <c r="U133" s="156">
        <v>2145.3240000000001</v>
      </c>
      <c r="V133" s="167">
        <v>6.6000000000000005E-5</v>
      </c>
      <c r="W133" s="167">
        <v>5.5747918681815197E-3</v>
      </c>
      <c r="X133" s="167">
        <v>1.1027796037263999E-3</v>
      </c>
    </row>
    <row r="134" spans="1:24">
      <c r="A134" s="5">
        <v>161</v>
      </c>
      <c r="B134" s="5">
        <v>9943</v>
      </c>
      <c r="C134" s="5" t="s">
        <v>268</v>
      </c>
      <c r="D134" s="5" t="s">
        <v>269</v>
      </c>
      <c r="E134" s="5" t="s">
        <v>149</v>
      </c>
      <c r="F134" s="5" t="s">
        <v>1124</v>
      </c>
      <c r="G134" s="5" t="s">
        <v>1125</v>
      </c>
      <c r="H134" s="5" t="s">
        <v>152</v>
      </c>
      <c r="I134" s="5" t="s">
        <v>930</v>
      </c>
      <c r="J134" s="5" t="s">
        <v>30</v>
      </c>
      <c r="K134" s="5" t="s">
        <v>30</v>
      </c>
      <c r="L134" s="3" t="s">
        <v>154</v>
      </c>
      <c r="M134" s="3" t="s">
        <v>31</v>
      </c>
      <c r="N134" s="5" t="s">
        <v>155</v>
      </c>
      <c r="O134" s="5" t="s">
        <v>156</v>
      </c>
      <c r="P134" s="5" t="s">
        <v>34</v>
      </c>
      <c r="Q134" s="156">
        <v>71064</v>
      </c>
      <c r="R134" s="168">
        <v>1</v>
      </c>
      <c r="S134" s="170">
        <v>11160</v>
      </c>
      <c r="U134" s="156">
        <v>7930.7420000000002</v>
      </c>
      <c r="V134" s="167">
        <v>3.1599999999999998E-4</v>
      </c>
      <c r="W134" s="167">
        <v>2.0608653163886902E-2</v>
      </c>
      <c r="X134" s="167">
        <v>4.0767086748333299E-3</v>
      </c>
    </row>
    <row r="135" spans="1:24">
      <c r="A135" s="5">
        <v>161</v>
      </c>
      <c r="B135" s="5">
        <v>9943</v>
      </c>
      <c r="C135" s="5" t="s">
        <v>1126</v>
      </c>
      <c r="D135" s="5" t="s">
        <v>1127</v>
      </c>
      <c r="E135" s="5" t="s">
        <v>149</v>
      </c>
      <c r="F135" s="5" t="s">
        <v>1128</v>
      </c>
      <c r="G135" s="5" t="s">
        <v>1129</v>
      </c>
      <c r="H135" s="5" t="s">
        <v>152</v>
      </c>
      <c r="I135" s="5" t="s">
        <v>930</v>
      </c>
      <c r="J135" s="5" t="s">
        <v>30</v>
      </c>
      <c r="K135" s="5" t="s">
        <v>30</v>
      </c>
      <c r="L135" s="3" t="s">
        <v>154</v>
      </c>
      <c r="M135" s="3" t="s">
        <v>31</v>
      </c>
      <c r="N135" s="5" t="s">
        <v>455</v>
      </c>
      <c r="O135" s="5" t="s">
        <v>156</v>
      </c>
      <c r="P135" s="5" t="s">
        <v>34</v>
      </c>
      <c r="Q135" s="156">
        <v>49240</v>
      </c>
      <c r="R135" s="168">
        <v>1</v>
      </c>
      <c r="S135" s="170">
        <v>8089</v>
      </c>
      <c r="U135" s="156">
        <v>3983.0239999999999</v>
      </c>
      <c r="V135" s="167">
        <v>6.8400000000000004E-4</v>
      </c>
      <c r="W135" s="167">
        <v>1.03501977212091E-2</v>
      </c>
      <c r="X135" s="167">
        <v>2.04742835452402E-3</v>
      </c>
    </row>
    <row r="136" spans="1:24">
      <c r="A136" s="5">
        <v>161</v>
      </c>
      <c r="B136" s="5">
        <v>9943</v>
      </c>
      <c r="C136" s="5" t="s">
        <v>1130</v>
      </c>
      <c r="D136" s="5" t="s">
        <v>1131</v>
      </c>
      <c r="E136" s="5" t="s">
        <v>149</v>
      </c>
      <c r="F136" s="5" t="s">
        <v>1132</v>
      </c>
      <c r="G136" s="5" t="s">
        <v>1133</v>
      </c>
      <c r="H136" s="5" t="s">
        <v>152</v>
      </c>
      <c r="I136" s="5" t="s">
        <v>930</v>
      </c>
      <c r="J136" s="5" t="s">
        <v>30</v>
      </c>
      <c r="K136" s="5" t="s">
        <v>237</v>
      </c>
      <c r="L136" s="3" t="s">
        <v>154</v>
      </c>
      <c r="M136" s="3" t="s">
        <v>31</v>
      </c>
      <c r="N136" s="5" t="s">
        <v>992</v>
      </c>
      <c r="O136" s="5" t="s">
        <v>156</v>
      </c>
      <c r="P136" s="5" t="s">
        <v>34</v>
      </c>
      <c r="Q136" s="156">
        <v>4000</v>
      </c>
      <c r="R136" s="168">
        <v>1</v>
      </c>
      <c r="S136" s="170">
        <v>23540</v>
      </c>
      <c r="U136" s="156">
        <v>941.6</v>
      </c>
      <c r="V136" s="167">
        <v>3.6000000000000001E-5</v>
      </c>
      <c r="W136" s="167">
        <v>2.4468210969903498E-3</v>
      </c>
      <c r="X136" s="167">
        <v>4.8401885909483901E-4</v>
      </c>
    </row>
    <row r="137" spans="1:24">
      <c r="A137" s="5">
        <v>161</v>
      </c>
      <c r="B137" s="5">
        <v>9943</v>
      </c>
      <c r="C137" s="5" t="s">
        <v>971</v>
      </c>
      <c r="D137" s="5" t="s">
        <v>972</v>
      </c>
      <c r="E137" s="5" t="s">
        <v>149</v>
      </c>
      <c r="F137" s="5" t="s">
        <v>973</v>
      </c>
      <c r="G137" s="5" t="s">
        <v>974</v>
      </c>
      <c r="H137" s="5" t="s">
        <v>152</v>
      </c>
      <c r="I137" s="5" t="s">
        <v>930</v>
      </c>
      <c r="J137" s="5" t="s">
        <v>30</v>
      </c>
      <c r="K137" s="5" t="s">
        <v>82</v>
      </c>
      <c r="L137" s="3" t="s">
        <v>154</v>
      </c>
      <c r="M137" s="3" t="s">
        <v>31</v>
      </c>
      <c r="N137" s="5" t="s">
        <v>975</v>
      </c>
      <c r="O137" s="5" t="s">
        <v>156</v>
      </c>
      <c r="P137" s="5" t="s">
        <v>34</v>
      </c>
      <c r="Q137" s="156">
        <v>99732</v>
      </c>
      <c r="R137" s="168">
        <v>1</v>
      </c>
      <c r="S137" s="170">
        <v>6440</v>
      </c>
      <c r="U137" s="156">
        <v>6422.741</v>
      </c>
      <c r="V137" s="167">
        <v>8.0000000000000007E-5</v>
      </c>
      <c r="W137" s="167">
        <v>1.66899932985776E-2</v>
      </c>
      <c r="X137" s="167">
        <v>3.3015374620623101E-3</v>
      </c>
    </row>
    <row r="138" spans="1:24">
      <c r="A138" s="5">
        <v>161</v>
      </c>
      <c r="B138" s="5">
        <v>9943</v>
      </c>
      <c r="C138" s="5" t="s">
        <v>308</v>
      </c>
      <c r="D138" s="5" t="s">
        <v>309</v>
      </c>
      <c r="E138" s="5" t="s">
        <v>149</v>
      </c>
      <c r="F138" s="5" t="s">
        <v>1134</v>
      </c>
      <c r="G138" s="5" t="s">
        <v>1135</v>
      </c>
      <c r="H138" s="5" t="s">
        <v>152</v>
      </c>
      <c r="I138" s="5" t="s">
        <v>930</v>
      </c>
      <c r="J138" s="5" t="s">
        <v>30</v>
      </c>
      <c r="K138" s="5" t="s">
        <v>30</v>
      </c>
      <c r="L138" s="3" t="s">
        <v>154</v>
      </c>
      <c r="M138" s="3" t="s">
        <v>31</v>
      </c>
      <c r="N138" s="5" t="s">
        <v>167</v>
      </c>
      <c r="O138" s="5" t="s">
        <v>156</v>
      </c>
      <c r="P138" s="5" t="s">
        <v>34</v>
      </c>
      <c r="Q138" s="156">
        <v>2314</v>
      </c>
      <c r="R138" s="168">
        <v>1</v>
      </c>
      <c r="S138" s="170">
        <v>88200</v>
      </c>
      <c r="U138" s="156">
        <v>2040.9480000000001</v>
      </c>
      <c r="V138" s="167">
        <v>4.28E-4</v>
      </c>
      <c r="W138" s="167">
        <v>5.3035626850682404E-3</v>
      </c>
      <c r="X138" s="167">
        <v>1.04912629824967E-3</v>
      </c>
    </row>
    <row r="139" spans="1:24">
      <c r="A139" s="5">
        <v>161</v>
      </c>
      <c r="B139" s="5">
        <v>9943</v>
      </c>
      <c r="C139" s="5" t="s">
        <v>536</v>
      </c>
      <c r="D139" s="5" t="s">
        <v>537</v>
      </c>
      <c r="E139" s="5" t="s">
        <v>149</v>
      </c>
      <c r="F139" s="5" t="s">
        <v>978</v>
      </c>
      <c r="G139" s="5" t="s">
        <v>979</v>
      </c>
      <c r="H139" s="5" t="s">
        <v>152</v>
      </c>
      <c r="I139" s="5" t="s">
        <v>930</v>
      </c>
      <c r="J139" s="5" t="s">
        <v>30</v>
      </c>
      <c r="K139" s="5" t="s">
        <v>30</v>
      </c>
      <c r="L139" s="3" t="s">
        <v>154</v>
      </c>
      <c r="M139" s="3" t="s">
        <v>31</v>
      </c>
      <c r="N139" s="5" t="s">
        <v>155</v>
      </c>
      <c r="O139" s="5" t="s">
        <v>156</v>
      </c>
      <c r="P139" s="5" t="s">
        <v>34</v>
      </c>
      <c r="Q139" s="156">
        <v>38885</v>
      </c>
      <c r="R139" s="168">
        <v>1</v>
      </c>
      <c r="S139" s="170">
        <v>16970</v>
      </c>
      <c r="U139" s="156">
        <v>6598.7839999999997</v>
      </c>
      <c r="V139" s="167">
        <v>4.86E-4</v>
      </c>
      <c r="W139" s="167">
        <v>1.71474565941938E-2</v>
      </c>
      <c r="X139" s="167">
        <v>3.3920307403384701E-3</v>
      </c>
    </row>
    <row r="140" spans="1:24">
      <c r="A140" s="5">
        <v>161</v>
      </c>
      <c r="B140" s="5">
        <v>9943</v>
      </c>
      <c r="C140" s="5" t="s">
        <v>321</v>
      </c>
      <c r="D140" s="5" t="s">
        <v>322</v>
      </c>
      <c r="E140" s="5" t="s">
        <v>149</v>
      </c>
      <c r="F140" s="5" t="s">
        <v>928</v>
      </c>
      <c r="G140" s="5" t="s">
        <v>929</v>
      </c>
      <c r="H140" s="5" t="s">
        <v>152</v>
      </c>
      <c r="I140" s="5" t="s">
        <v>930</v>
      </c>
      <c r="J140" s="5" t="s">
        <v>30</v>
      </c>
      <c r="K140" s="5" t="s">
        <v>30</v>
      </c>
      <c r="L140" s="3" t="s">
        <v>154</v>
      </c>
      <c r="M140" s="3" t="s">
        <v>31</v>
      </c>
      <c r="N140" s="5" t="s">
        <v>245</v>
      </c>
      <c r="O140" s="5" t="s">
        <v>156</v>
      </c>
      <c r="P140" s="5" t="s">
        <v>34</v>
      </c>
      <c r="Q140" s="156">
        <v>224933</v>
      </c>
      <c r="R140" s="168">
        <v>1</v>
      </c>
      <c r="S140" s="170">
        <v>6529</v>
      </c>
      <c r="U140" s="156">
        <v>14685.876</v>
      </c>
      <c r="V140" s="167">
        <v>1.3899999999999999E-4</v>
      </c>
      <c r="W140" s="167">
        <v>3.8162393980937903E-2</v>
      </c>
      <c r="X140" s="167">
        <v>7.54910868542924E-3</v>
      </c>
    </row>
    <row r="141" spans="1:24">
      <c r="A141" s="5">
        <v>161</v>
      </c>
      <c r="B141" s="5">
        <v>9943</v>
      </c>
      <c r="C141" s="5" t="s">
        <v>1136</v>
      </c>
      <c r="D141" s="5" t="s">
        <v>1137</v>
      </c>
      <c r="E141" s="5" t="s">
        <v>149</v>
      </c>
      <c r="F141" s="5" t="s">
        <v>1138</v>
      </c>
      <c r="G141" s="5" t="s">
        <v>1139</v>
      </c>
      <c r="H141" s="5" t="s">
        <v>152</v>
      </c>
      <c r="I141" s="5" t="s">
        <v>930</v>
      </c>
      <c r="J141" s="5" t="s">
        <v>30</v>
      </c>
      <c r="K141" s="5" t="s">
        <v>30</v>
      </c>
      <c r="L141" s="3" t="s">
        <v>154</v>
      </c>
      <c r="M141" s="3" t="s">
        <v>31</v>
      </c>
      <c r="N141" s="5" t="s">
        <v>1011</v>
      </c>
      <c r="O141" s="5" t="s">
        <v>156</v>
      </c>
      <c r="P141" s="5" t="s">
        <v>34</v>
      </c>
      <c r="Q141" s="156">
        <v>9100</v>
      </c>
      <c r="R141" s="168">
        <v>1</v>
      </c>
      <c r="S141" s="170">
        <v>27550</v>
      </c>
      <c r="U141" s="156">
        <v>2507.0500000000002</v>
      </c>
      <c r="V141" s="167">
        <v>6.2799999999999998E-4</v>
      </c>
      <c r="W141" s="167">
        <v>6.5147651138590199E-3</v>
      </c>
      <c r="X141" s="167">
        <v>1.2887207738888199E-3</v>
      </c>
    </row>
    <row r="142" spans="1:24">
      <c r="A142" s="5">
        <v>161</v>
      </c>
      <c r="B142" s="5">
        <v>9943</v>
      </c>
      <c r="C142" s="5" t="s">
        <v>1140</v>
      </c>
      <c r="D142" s="5" t="s">
        <v>1141</v>
      </c>
      <c r="E142" s="5" t="s">
        <v>149</v>
      </c>
      <c r="F142" s="5" t="s">
        <v>1142</v>
      </c>
      <c r="G142" s="5" t="s">
        <v>1143</v>
      </c>
      <c r="H142" s="5" t="s">
        <v>152</v>
      </c>
      <c r="I142" s="5" t="s">
        <v>930</v>
      </c>
      <c r="J142" s="5" t="s">
        <v>30</v>
      </c>
      <c r="K142" s="5" t="s">
        <v>30</v>
      </c>
      <c r="L142" s="3" t="s">
        <v>154</v>
      </c>
      <c r="M142" s="3" t="s">
        <v>31</v>
      </c>
      <c r="N142" s="5" t="s">
        <v>155</v>
      </c>
      <c r="O142" s="5" t="s">
        <v>156</v>
      </c>
      <c r="P142" s="5" t="s">
        <v>34</v>
      </c>
      <c r="Q142" s="156">
        <v>250000</v>
      </c>
      <c r="R142" s="168">
        <v>1</v>
      </c>
      <c r="S142" s="170">
        <v>1149</v>
      </c>
      <c r="U142" s="156">
        <v>2872.5</v>
      </c>
      <c r="V142" s="167">
        <v>2.3599999999999999E-4</v>
      </c>
      <c r="W142" s="167">
        <v>7.4644154642149298E-3</v>
      </c>
      <c r="X142" s="167">
        <v>1.47657622424588E-3</v>
      </c>
    </row>
    <row r="143" spans="1:24">
      <c r="A143" s="5">
        <v>161</v>
      </c>
      <c r="B143" s="5">
        <v>9943</v>
      </c>
      <c r="C143" s="5" t="s">
        <v>1144</v>
      </c>
      <c r="D143" s="5" t="s">
        <v>1145</v>
      </c>
      <c r="E143" s="5" t="s">
        <v>149</v>
      </c>
      <c r="F143" s="5" t="s">
        <v>1146</v>
      </c>
      <c r="G143" s="5" t="s">
        <v>1147</v>
      </c>
      <c r="H143" s="5" t="s">
        <v>152</v>
      </c>
      <c r="I143" s="5" t="s">
        <v>930</v>
      </c>
      <c r="J143" s="5" t="s">
        <v>30</v>
      </c>
      <c r="K143" s="5" t="s">
        <v>30</v>
      </c>
      <c r="L143" s="3" t="s">
        <v>154</v>
      </c>
      <c r="M143" s="3" t="s">
        <v>31</v>
      </c>
      <c r="N143" s="5" t="s">
        <v>599</v>
      </c>
      <c r="O143" s="5" t="s">
        <v>156</v>
      </c>
      <c r="P143" s="5" t="s">
        <v>34</v>
      </c>
      <c r="Q143" s="156">
        <v>230000</v>
      </c>
      <c r="R143" s="168">
        <v>1</v>
      </c>
      <c r="S143" s="170">
        <v>1400</v>
      </c>
      <c r="U143" s="156">
        <v>3220</v>
      </c>
      <c r="V143" s="167">
        <v>1.7830000000000001E-3</v>
      </c>
      <c r="W143" s="167">
        <v>8.3674213384759208E-3</v>
      </c>
      <c r="X143" s="167">
        <v>1.65520467957241E-3</v>
      </c>
    </row>
    <row r="144" spans="1:24">
      <c r="A144" s="5">
        <v>161</v>
      </c>
      <c r="B144" s="5">
        <v>9943</v>
      </c>
      <c r="C144" s="5" t="s">
        <v>495</v>
      </c>
      <c r="D144" s="5" t="s">
        <v>496</v>
      </c>
      <c r="E144" s="5" t="s">
        <v>149</v>
      </c>
      <c r="F144" s="5" t="s">
        <v>980</v>
      </c>
      <c r="G144" s="5" t="s">
        <v>981</v>
      </c>
      <c r="H144" s="5" t="s">
        <v>152</v>
      </c>
      <c r="I144" s="5" t="s">
        <v>930</v>
      </c>
      <c r="J144" s="5" t="s">
        <v>30</v>
      </c>
      <c r="K144" s="5" t="s">
        <v>30</v>
      </c>
      <c r="L144" s="3" t="s">
        <v>154</v>
      </c>
      <c r="M144" s="3" t="s">
        <v>31</v>
      </c>
      <c r="N144" s="5" t="s">
        <v>245</v>
      </c>
      <c r="O144" s="5" t="s">
        <v>156</v>
      </c>
      <c r="P144" s="5" t="s">
        <v>34</v>
      </c>
      <c r="Q144" s="156">
        <v>3285</v>
      </c>
      <c r="R144" s="168">
        <v>1</v>
      </c>
      <c r="S144" s="170">
        <v>21790</v>
      </c>
      <c r="U144" s="156">
        <v>715.80200000000002</v>
      </c>
      <c r="V144" s="167">
        <v>1.2999999999999999E-5</v>
      </c>
      <c r="W144" s="167">
        <v>1.8600660699419501E-3</v>
      </c>
      <c r="X144" s="167">
        <v>3.6794968709470498E-4</v>
      </c>
    </row>
    <row r="145" spans="1:24">
      <c r="A145" s="5">
        <v>161</v>
      </c>
      <c r="B145" s="5">
        <v>9943</v>
      </c>
      <c r="C145" s="5" t="s">
        <v>396</v>
      </c>
      <c r="D145" s="5" t="s">
        <v>397</v>
      </c>
      <c r="E145" s="5" t="s">
        <v>149</v>
      </c>
      <c r="F145" s="5" t="s">
        <v>982</v>
      </c>
      <c r="G145" s="5" t="s">
        <v>983</v>
      </c>
      <c r="H145" s="5" t="s">
        <v>152</v>
      </c>
      <c r="I145" s="5" t="s">
        <v>930</v>
      </c>
      <c r="J145" s="5" t="s">
        <v>30</v>
      </c>
      <c r="K145" s="5" t="s">
        <v>30</v>
      </c>
      <c r="L145" s="3" t="s">
        <v>154</v>
      </c>
      <c r="M145" s="3" t="s">
        <v>31</v>
      </c>
      <c r="N145" s="5" t="s">
        <v>167</v>
      </c>
      <c r="O145" s="5" t="s">
        <v>156</v>
      </c>
      <c r="P145" s="5" t="s">
        <v>34</v>
      </c>
      <c r="Q145" s="156">
        <v>7400</v>
      </c>
      <c r="R145" s="168">
        <v>1</v>
      </c>
      <c r="S145" s="170">
        <v>40000</v>
      </c>
      <c r="U145" s="156">
        <v>2960</v>
      </c>
      <c r="V145" s="167">
        <v>1.55E-4</v>
      </c>
      <c r="W145" s="167">
        <v>7.6917910440648203E-3</v>
      </c>
      <c r="X145" s="167">
        <v>1.5215546122777401E-3</v>
      </c>
    </row>
    <row r="146" spans="1:24">
      <c r="A146" s="5">
        <v>161</v>
      </c>
      <c r="B146" s="5">
        <v>9943</v>
      </c>
      <c r="C146" s="5" t="s">
        <v>815</v>
      </c>
      <c r="D146" s="5" t="s">
        <v>816</v>
      </c>
      <c r="E146" s="5" t="s">
        <v>817</v>
      </c>
      <c r="F146" s="5" t="s">
        <v>986</v>
      </c>
      <c r="G146" s="5" t="s">
        <v>987</v>
      </c>
      <c r="H146" s="5" t="s">
        <v>152</v>
      </c>
      <c r="I146" s="5" t="s">
        <v>930</v>
      </c>
      <c r="J146" s="5" t="s">
        <v>30</v>
      </c>
      <c r="K146" s="5" t="s">
        <v>82</v>
      </c>
      <c r="L146" s="3" t="s">
        <v>154</v>
      </c>
      <c r="M146" s="3" t="s">
        <v>31</v>
      </c>
      <c r="N146" s="5" t="s">
        <v>487</v>
      </c>
      <c r="O146" s="5" t="s">
        <v>156</v>
      </c>
      <c r="P146" s="5" t="s">
        <v>34</v>
      </c>
      <c r="Q146" s="156">
        <v>61442</v>
      </c>
      <c r="R146" s="168">
        <v>1</v>
      </c>
      <c r="S146" s="170">
        <v>11190</v>
      </c>
      <c r="U146" s="156">
        <v>6875.36</v>
      </c>
      <c r="V146" s="167">
        <v>5.2599999999999999E-4</v>
      </c>
      <c r="W146" s="167">
        <v>1.7866159099446999E-2</v>
      </c>
      <c r="X146" s="167">
        <v>3.5342011536347901E-3</v>
      </c>
    </row>
    <row r="147" spans="1:24">
      <c r="A147" s="5">
        <v>161</v>
      </c>
      <c r="B147" s="5">
        <v>9943</v>
      </c>
      <c r="C147" s="5" t="s">
        <v>988</v>
      </c>
      <c r="D147" s="5" t="s">
        <v>989</v>
      </c>
      <c r="E147" s="5" t="s">
        <v>149</v>
      </c>
      <c r="F147" s="5" t="s">
        <v>990</v>
      </c>
      <c r="G147" s="5" t="s">
        <v>991</v>
      </c>
      <c r="H147" s="5" t="s">
        <v>152</v>
      </c>
      <c r="I147" s="5" t="s">
        <v>930</v>
      </c>
      <c r="J147" s="5" t="s">
        <v>30</v>
      </c>
      <c r="K147" s="5" t="s">
        <v>237</v>
      </c>
      <c r="L147" s="3" t="s">
        <v>154</v>
      </c>
      <c r="M147" s="3" t="s">
        <v>31</v>
      </c>
      <c r="N147" s="5" t="s">
        <v>992</v>
      </c>
      <c r="O147" s="5" t="s">
        <v>156</v>
      </c>
      <c r="P147" s="5" t="s">
        <v>34</v>
      </c>
      <c r="Q147" s="156">
        <v>1678</v>
      </c>
      <c r="R147" s="168">
        <v>1</v>
      </c>
      <c r="S147" s="170">
        <v>104950</v>
      </c>
      <c r="U147" s="156">
        <v>1761.0609999999999</v>
      </c>
      <c r="V147" s="167">
        <v>5.7000000000000003E-5</v>
      </c>
      <c r="W147" s="167">
        <v>4.5762544688688596E-3</v>
      </c>
      <c r="X147" s="167">
        <v>9.0525354292312699E-4</v>
      </c>
    </row>
    <row r="148" spans="1:24">
      <c r="A148" s="5">
        <v>161</v>
      </c>
      <c r="B148" s="5">
        <v>9943</v>
      </c>
      <c r="C148" s="5" t="s">
        <v>993</v>
      </c>
      <c r="D148" s="5" t="s">
        <v>994</v>
      </c>
      <c r="E148" s="5" t="s">
        <v>817</v>
      </c>
      <c r="F148" s="5" t="s">
        <v>995</v>
      </c>
      <c r="G148" s="5" t="s">
        <v>996</v>
      </c>
      <c r="H148" s="5" t="s">
        <v>152</v>
      </c>
      <c r="I148" s="5" t="s">
        <v>930</v>
      </c>
      <c r="J148" s="5" t="s">
        <v>30</v>
      </c>
      <c r="K148" s="5" t="s">
        <v>30</v>
      </c>
      <c r="L148" s="3" t="s">
        <v>154</v>
      </c>
      <c r="M148" s="3" t="s">
        <v>31</v>
      </c>
      <c r="N148" s="5" t="s">
        <v>487</v>
      </c>
      <c r="O148" s="5" t="s">
        <v>156</v>
      </c>
      <c r="P148" s="5" t="s">
        <v>34</v>
      </c>
      <c r="Q148" s="156">
        <v>413104</v>
      </c>
      <c r="R148" s="168">
        <v>1</v>
      </c>
      <c r="S148" s="170">
        <v>1744</v>
      </c>
      <c r="U148" s="156">
        <v>7204.5339999999997</v>
      </c>
      <c r="V148" s="167">
        <v>3.5199999999999999E-4</v>
      </c>
      <c r="W148" s="167">
        <v>1.87215433283212E-2</v>
      </c>
      <c r="X148" s="167">
        <v>3.70340931481038E-3</v>
      </c>
    </row>
    <row r="149" spans="1:24">
      <c r="A149" s="5">
        <v>161</v>
      </c>
      <c r="B149" s="5">
        <v>9943</v>
      </c>
      <c r="C149" s="5" t="s">
        <v>1001</v>
      </c>
      <c r="D149" s="5" t="s">
        <v>1002</v>
      </c>
      <c r="E149" s="5" t="s">
        <v>149</v>
      </c>
      <c r="F149" s="5" t="s">
        <v>1001</v>
      </c>
      <c r="G149" s="5" t="s">
        <v>1003</v>
      </c>
      <c r="H149" s="5" t="s">
        <v>152</v>
      </c>
      <c r="I149" s="5" t="s">
        <v>930</v>
      </c>
      <c r="J149" s="5" t="s">
        <v>30</v>
      </c>
      <c r="K149" s="5" t="s">
        <v>30</v>
      </c>
      <c r="L149" s="3" t="s">
        <v>154</v>
      </c>
      <c r="M149" s="3" t="s">
        <v>31</v>
      </c>
      <c r="N149" s="5" t="s">
        <v>1004</v>
      </c>
      <c r="O149" s="5" t="s">
        <v>156</v>
      </c>
      <c r="P149" s="5" t="s">
        <v>34</v>
      </c>
      <c r="Q149" s="156">
        <v>73000</v>
      </c>
      <c r="R149" s="168">
        <v>1</v>
      </c>
      <c r="S149" s="170">
        <v>15000</v>
      </c>
      <c r="U149" s="156">
        <v>10950</v>
      </c>
      <c r="V149" s="167">
        <v>8.9599999999999999E-4</v>
      </c>
      <c r="W149" s="167">
        <v>2.8454429706929001E-2</v>
      </c>
      <c r="X149" s="167">
        <v>5.6287239879869201E-3</v>
      </c>
    </row>
    <row r="150" spans="1:24">
      <c r="A150" s="5">
        <v>161</v>
      </c>
      <c r="B150" s="5">
        <v>9943</v>
      </c>
      <c r="C150" s="5" t="s">
        <v>429</v>
      </c>
      <c r="D150" s="5" t="s">
        <v>430</v>
      </c>
      <c r="E150" s="5" t="s">
        <v>149</v>
      </c>
      <c r="F150" s="5" t="s">
        <v>931</v>
      </c>
      <c r="G150" s="5" t="s">
        <v>932</v>
      </c>
      <c r="H150" s="5" t="s">
        <v>152</v>
      </c>
      <c r="I150" s="5" t="s">
        <v>930</v>
      </c>
      <c r="J150" s="5" t="s">
        <v>30</v>
      </c>
      <c r="K150" s="5" t="s">
        <v>30</v>
      </c>
      <c r="L150" s="3" t="s">
        <v>154</v>
      </c>
      <c r="M150" s="3" t="s">
        <v>31</v>
      </c>
      <c r="N150" s="5" t="s">
        <v>245</v>
      </c>
      <c r="O150" s="5" t="s">
        <v>156</v>
      </c>
      <c r="P150" s="5" t="s">
        <v>34</v>
      </c>
      <c r="Q150" s="156">
        <v>218116</v>
      </c>
      <c r="R150" s="168">
        <v>1</v>
      </c>
      <c r="S150" s="170">
        <v>6732</v>
      </c>
      <c r="U150" s="156">
        <v>14683.569</v>
      </c>
      <c r="V150" s="167">
        <v>1.63E-4</v>
      </c>
      <c r="W150" s="167">
        <v>3.8156400490581999E-2</v>
      </c>
      <c r="X150" s="167">
        <v>7.5479230808226496E-3</v>
      </c>
    </row>
    <row r="151" spans="1:24">
      <c r="A151" s="5">
        <v>161</v>
      </c>
      <c r="B151" s="5">
        <v>9943</v>
      </c>
      <c r="C151" s="5" t="s">
        <v>1148</v>
      </c>
      <c r="D151" s="5" t="s">
        <v>1149</v>
      </c>
      <c r="E151" s="5" t="s">
        <v>149</v>
      </c>
      <c r="F151" s="5" t="s">
        <v>1150</v>
      </c>
      <c r="G151" s="5" t="s">
        <v>1151</v>
      </c>
      <c r="H151" s="5" t="s">
        <v>152</v>
      </c>
      <c r="I151" s="5" t="s">
        <v>930</v>
      </c>
      <c r="J151" s="5" t="s">
        <v>30</v>
      </c>
      <c r="K151" s="5" t="s">
        <v>30</v>
      </c>
      <c r="L151" s="3" t="s">
        <v>154</v>
      </c>
      <c r="M151" s="3" t="s">
        <v>31</v>
      </c>
      <c r="N151" s="5" t="s">
        <v>653</v>
      </c>
      <c r="O151" s="5" t="s">
        <v>156</v>
      </c>
      <c r="P151" s="5" t="s">
        <v>34</v>
      </c>
      <c r="Q151" s="156">
        <v>21000</v>
      </c>
      <c r="R151" s="168">
        <v>1</v>
      </c>
      <c r="S151" s="170">
        <v>19990</v>
      </c>
      <c r="U151" s="156">
        <v>4197.8999999999996</v>
      </c>
      <c r="V151" s="167">
        <v>2.199E-3</v>
      </c>
      <c r="W151" s="167">
        <v>1.09085708188783E-2</v>
      </c>
      <c r="X151" s="167">
        <v>2.1578831442164701E-3</v>
      </c>
    </row>
    <row r="152" spans="1:24">
      <c r="A152" s="5">
        <v>161</v>
      </c>
      <c r="B152" s="5">
        <v>9943</v>
      </c>
      <c r="C152" s="5" t="s">
        <v>1152</v>
      </c>
      <c r="D152" s="5" t="s">
        <v>1153</v>
      </c>
      <c r="E152" s="5" t="s">
        <v>149</v>
      </c>
      <c r="F152" s="5" t="s">
        <v>1154</v>
      </c>
      <c r="G152" s="5" t="s">
        <v>1155</v>
      </c>
      <c r="H152" s="5" t="s">
        <v>152</v>
      </c>
      <c r="I152" s="5" t="s">
        <v>930</v>
      </c>
      <c r="J152" s="5" t="s">
        <v>30</v>
      </c>
      <c r="K152" s="5" t="s">
        <v>237</v>
      </c>
      <c r="L152" s="3" t="s">
        <v>154</v>
      </c>
      <c r="M152" s="3" t="s">
        <v>31</v>
      </c>
      <c r="N152" s="5" t="s">
        <v>992</v>
      </c>
      <c r="O152" s="5" t="s">
        <v>156</v>
      </c>
      <c r="P152" s="5" t="s">
        <v>34</v>
      </c>
      <c r="Q152" s="156">
        <v>6096</v>
      </c>
      <c r="R152" s="168">
        <v>1</v>
      </c>
      <c r="S152" s="170">
        <v>19700</v>
      </c>
      <c r="U152" s="156">
        <v>1200.912</v>
      </c>
      <c r="V152" s="167">
        <v>4.6999999999999999E-4</v>
      </c>
      <c r="W152" s="167">
        <v>3.1206635696993099E-3</v>
      </c>
      <c r="X152" s="167">
        <v>6.1731526774989496E-4</v>
      </c>
    </row>
    <row r="153" spans="1:24">
      <c r="A153" s="5">
        <v>161</v>
      </c>
      <c r="B153" s="5">
        <v>9943</v>
      </c>
      <c r="C153" s="5" t="s">
        <v>870</v>
      </c>
      <c r="D153" s="5" t="s">
        <v>871</v>
      </c>
      <c r="E153" s="5" t="s">
        <v>149</v>
      </c>
      <c r="F153" s="5" t="s">
        <v>1156</v>
      </c>
      <c r="G153" s="5" t="s">
        <v>1157</v>
      </c>
      <c r="H153" s="5" t="s">
        <v>152</v>
      </c>
      <c r="I153" s="5" t="s">
        <v>930</v>
      </c>
      <c r="J153" s="5" t="s">
        <v>30</v>
      </c>
      <c r="K153" s="5" t="s">
        <v>30</v>
      </c>
      <c r="L153" s="3" t="s">
        <v>154</v>
      </c>
      <c r="M153" s="3" t="s">
        <v>31</v>
      </c>
      <c r="N153" s="5" t="s">
        <v>282</v>
      </c>
      <c r="O153" s="5" t="s">
        <v>156</v>
      </c>
      <c r="P153" s="5" t="s">
        <v>34</v>
      </c>
      <c r="Q153" s="156">
        <v>25898</v>
      </c>
      <c r="R153" s="168">
        <v>1</v>
      </c>
      <c r="S153" s="170">
        <v>4747</v>
      </c>
      <c r="U153" s="156">
        <v>1229.3779999999999</v>
      </c>
      <c r="V153" s="167">
        <v>1.271E-3</v>
      </c>
      <c r="W153" s="167">
        <v>3.1946348485397901E-3</v>
      </c>
      <c r="X153" s="167">
        <v>6.3194792480610301E-4</v>
      </c>
    </row>
    <row r="154" spans="1:24">
      <c r="A154" s="5">
        <v>161</v>
      </c>
      <c r="B154" s="5">
        <v>9943</v>
      </c>
      <c r="C154" s="5" t="s">
        <v>1158</v>
      </c>
      <c r="D154" s="5" t="s">
        <v>1159</v>
      </c>
      <c r="E154" s="5" t="s">
        <v>149</v>
      </c>
      <c r="F154" s="5" t="s">
        <v>1160</v>
      </c>
      <c r="G154" s="5" t="s">
        <v>1161</v>
      </c>
      <c r="H154" s="5" t="s">
        <v>152</v>
      </c>
      <c r="I154" s="5" t="s">
        <v>930</v>
      </c>
      <c r="J154" s="5" t="s">
        <v>30</v>
      </c>
      <c r="K154" s="5" t="s">
        <v>82</v>
      </c>
      <c r="L154" s="3" t="s">
        <v>154</v>
      </c>
      <c r="M154" s="3" t="s">
        <v>31</v>
      </c>
      <c r="N154" s="5" t="s">
        <v>992</v>
      </c>
      <c r="O154" s="5" t="s">
        <v>156</v>
      </c>
      <c r="P154" s="5" t="s">
        <v>34</v>
      </c>
      <c r="Q154" s="156">
        <v>11247</v>
      </c>
      <c r="R154" s="168">
        <v>1</v>
      </c>
      <c r="S154" s="170">
        <v>44900</v>
      </c>
      <c r="U154" s="156">
        <v>5049.9030000000002</v>
      </c>
      <c r="V154" s="167">
        <v>2.457E-3</v>
      </c>
      <c r="W154" s="167">
        <v>1.3122567117836499E-2</v>
      </c>
      <c r="X154" s="167">
        <v>2.5958456760828402E-3</v>
      </c>
    </row>
    <row r="155" spans="1:24">
      <c r="A155" s="5">
        <v>161</v>
      </c>
      <c r="B155" s="5">
        <v>9943</v>
      </c>
      <c r="C155" s="5" t="s">
        <v>1162</v>
      </c>
      <c r="D155" s="5" t="s">
        <v>1163</v>
      </c>
      <c r="E155" s="5" t="s">
        <v>149</v>
      </c>
      <c r="F155" s="5" t="s">
        <v>1164</v>
      </c>
      <c r="G155" s="5" t="s">
        <v>1165</v>
      </c>
      <c r="H155" s="5" t="s">
        <v>152</v>
      </c>
      <c r="I155" s="5" t="s">
        <v>930</v>
      </c>
      <c r="J155" s="5" t="s">
        <v>30</v>
      </c>
      <c r="K155" s="5" t="s">
        <v>30</v>
      </c>
      <c r="L155" s="3" t="s">
        <v>154</v>
      </c>
      <c r="M155" s="3" t="s">
        <v>31</v>
      </c>
      <c r="N155" s="5" t="s">
        <v>906</v>
      </c>
      <c r="O155" s="5" t="s">
        <v>156</v>
      </c>
      <c r="P155" s="5" t="s">
        <v>34</v>
      </c>
      <c r="Q155" s="156">
        <v>5337</v>
      </c>
      <c r="R155" s="168">
        <v>1</v>
      </c>
      <c r="S155" s="170">
        <v>19360</v>
      </c>
      <c r="U155" s="156">
        <v>1033.2429999999999</v>
      </c>
      <c r="V155" s="167">
        <v>1.916E-3</v>
      </c>
      <c r="W155" s="167">
        <v>2.6849631054394799E-3</v>
      </c>
      <c r="X155" s="167">
        <v>5.3112701235290998E-4</v>
      </c>
    </row>
    <row r="156" spans="1:24">
      <c r="A156" s="5">
        <v>161</v>
      </c>
      <c r="B156" s="5">
        <v>9943</v>
      </c>
      <c r="C156" s="5" t="s">
        <v>1016</v>
      </c>
      <c r="D156" s="5" t="s">
        <v>1017</v>
      </c>
      <c r="E156" s="5" t="s">
        <v>149</v>
      </c>
      <c r="F156" s="5" t="s">
        <v>1018</v>
      </c>
      <c r="G156" s="5" t="s">
        <v>1019</v>
      </c>
      <c r="H156" s="5" t="s">
        <v>152</v>
      </c>
      <c r="I156" s="5" t="s">
        <v>930</v>
      </c>
      <c r="J156" s="5" t="s">
        <v>30</v>
      </c>
      <c r="K156" s="5" t="s">
        <v>237</v>
      </c>
      <c r="L156" s="3" t="s">
        <v>154</v>
      </c>
      <c r="M156" s="3" t="s">
        <v>31</v>
      </c>
      <c r="N156" s="5" t="s">
        <v>992</v>
      </c>
      <c r="O156" s="5" t="s">
        <v>156</v>
      </c>
      <c r="P156" s="5" t="s">
        <v>34</v>
      </c>
      <c r="Q156" s="156">
        <v>10899</v>
      </c>
      <c r="R156" s="168">
        <v>1</v>
      </c>
      <c r="S156" s="170">
        <v>34590</v>
      </c>
      <c r="U156" s="156">
        <v>3769.9639999999999</v>
      </c>
      <c r="V156" s="167">
        <v>2.3000000000000001E-4</v>
      </c>
      <c r="W156" s="167">
        <v>9.7965459800087393E-3</v>
      </c>
      <c r="X156" s="167">
        <v>1.93790752178261E-3</v>
      </c>
    </row>
    <row r="157" spans="1:24">
      <c r="A157" s="5">
        <v>161</v>
      </c>
      <c r="B157" s="5">
        <v>9943</v>
      </c>
      <c r="C157" s="5" t="s">
        <v>462</v>
      </c>
      <c r="D157" s="5" t="s">
        <v>463</v>
      </c>
      <c r="E157" s="5" t="s">
        <v>149</v>
      </c>
      <c r="F157" s="5" t="s">
        <v>1166</v>
      </c>
      <c r="G157" s="5" t="s">
        <v>1167</v>
      </c>
      <c r="H157" s="5" t="s">
        <v>152</v>
      </c>
      <c r="I157" s="5" t="s">
        <v>930</v>
      </c>
      <c r="J157" s="5" t="s">
        <v>30</v>
      </c>
      <c r="K157" s="5" t="s">
        <v>30</v>
      </c>
      <c r="L157" s="3" t="s">
        <v>154</v>
      </c>
      <c r="M157" s="3" t="s">
        <v>31</v>
      </c>
      <c r="N157" s="5" t="s">
        <v>303</v>
      </c>
      <c r="O157" s="5" t="s">
        <v>156</v>
      </c>
      <c r="P157" s="5" t="s">
        <v>34</v>
      </c>
      <c r="Q157" s="156">
        <v>98692</v>
      </c>
      <c r="R157" s="168">
        <v>1</v>
      </c>
      <c r="S157" s="170">
        <v>4054</v>
      </c>
      <c r="U157" s="156">
        <v>4000.9740000000002</v>
      </c>
      <c r="V157" s="167">
        <v>1.0449999999999999E-3</v>
      </c>
      <c r="W157" s="167">
        <v>1.0396842405190201E-2</v>
      </c>
      <c r="X157" s="167">
        <v>2.0566553906776501E-3</v>
      </c>
    </row>
    <row r="158" spans="1:24">
      <c r="A158" s="5">
        <v>161</v>
      </c>
      <c r="B158" s="5">
        <v>9943</v>
      </c>
      <c r="C158" s="5" t="s">
        <v>1168</v>
      </c>
      <c r="D158" s="5" t="s">
        <v>1169</v>
      </c>
      <c r="E158" s="5" t="s">
        <v>149</v>
      </c>
      <c r="F158" s="5" t="s">
        <v>1170</v>
      </c>
      <c r="G158" s="5" t="s">
        <v>1171</v>
      </c>
      <c r="H158" s="5" t="s">
        <v>152</v>
      </c>
      <c r="I158" s="5" t="s">
        <v>930</v>
      </c>
      <c r="J158" s="5" t="s">
        <v>30</v>
      </c>
      <c r="K158" s="5" t="s">
        <v>30</v>
      </c>
      <c r="L158" s="3" t="s">
        <v>154</v>
      </c>
      <c r="M158" s="3" t="s">
        <v>31</v>
      </c>
      <c r="N158" s="5" t="s">
        <v>282</v>
      </c>
      <c r="O158" s="5" t="s">
        <v>156</v>
      </c>
      <c r="P158" s="5" t="s">
        <v>34</v>
      </c>
      <c r="Q158" s="156">
        <v>46230</v>
      </c>
      <c r="R158" s="168">
        <v>1</v>
      </c>
      <c r="S158" s="170">
        <v>9234</v>
      </c>
      <c r="U158" s="156">
        <v>4268.8779999999997</v>
      </c>
      <c r="V158" s="167">
        <v>2.7430000000000002E-3</v>
      </c>
      <c r="W158" s="167">
        <v>1.1093013211812001E-2</v>
      </c>
      <c r="X158" s="167">
        <v>2.1943686873182101E-3</v>
      </c>
    </row>
    <row r="159" spans="1:24">
      <c r="A159" s="5">
        <v>161</v>
      </c>
      <c r="B159" s="5">
        <v>9943</v>
      </c>
      <c r="C159" s="5" t="s">
        <v>1020</v>
      </c>
      <c r="D159" s="5" t="s">
        <v>1021</v>
      </c>
      <c r="E159" s="5" t="s">
        <v>817</v>
      </c>
      <c r="F159" s="5" t="s">
        <v>1022</v>
      </c>
      <c r="G159" s="5" t="s">
        <v>1023</v>
      </c>
      <c r="H159" s="5" t="s">
        <v>152</v>
      </c>
      <c r="I159" s="5" t="s">
        <v>930</v>
      </c>
      <c r="J159" s="5" t="s">
        <v>30</v>
      </c>
      <c r="K159" s="5" t="s">
        <v>30</v>
      </c>
      <c r="L159" s="3" t="s">
        <v>154</v>
      </c>
      <c r="M159" s="3" t="s">
        <v>31</v>
      </c>
      <c r="N159" s="5" t="s">
        <v>487</v>
      </c>
      <c r="O159" s="5" t="s">
        <v>156</v>
      </c>
      <c r="P159" s="5" t="s">
        <v>34</v>
      </c>
      <c r="Q159" s="156">
        <v>18283</v>
      </c>
      <c r="R159" s="168">
        <v>1</v>
      </c>
      <c r="S159" s="170">
        <v>454.7</v>
      </c>
      <c r="U159" s="156">
        <v>83.132999999999996</v>
      </c>
      <c r="V159" s="167">
        <v>1.5999999999999999E-5</v>
      </c>
      <c r="W159" s="167">
        <v>2.16027072364805E-4</v>
      </c>
      <c r="X159" s="167">
        <v>4.2733478646323598E-5</v>
      </c>
    </row>
    <row r="160" spans="1:24">
      <c r="A160" s="5">
        <v>161</v>
      </c>
      <c r="B160" s="5">
        <v>9943</v>
      </c>
      <c r="C160" s="5" t="s">
        <v>1172</v>
      </c>
      <c r="D160" s="5" t="s">
        <v>1173</v>
      </c>
      <c r="E160" s="5" t="s">
        <v>149</v>
      </c>
      <c r="F160" s="5" t="s">
        <v>1174</v>
      </c>
      <c r="G160" s="5" t="s">
        <v>1175</v>
      </c>
      <c r="H160" s="5" t="s">
        <v>152</v>
      </c>
      <c r="I160" s="5" t="s">
        <v>930</v>
      </c>
      <c r="J160" s="5" t="s">
        <v>30</v>
      </c>
      <c r="K160" s="5" t="s">
        <v>30</v>
      </c>
      <c r="L160" s="3" t="s">
        <v>154</v>
      </c>
      <c r="M160" s="3" t="s">
        <v>31</v>
      </c>
      <c r="N160" s="5" t="s">
        <v>1011</v>
      </c>
      <c r="O160" s="5" t="s">
        <v>156</v>
      </c>
      <c r="P160" s="5" t="s">
        <v>34</v>
      </c>
      <c r="Q160" s="156">
        <v>91523</v>
      </c>
      <c r="R160" s="168">
        <v>1</v>
      </c>
      <c r="S160" s="170">
        <v>3901</v>
      </c>
      <c r="T160" s="155">
        <v>61.774999999999999</v>
      </c>
      <c r="U160" s="156">
        <v>3632.087</v>
      </c>
      <c r="V160" s="167">
        <v>3.3199999999999999E-4</v>
      </c>
      <c r="W160" s="167">
        <v>9.4382624571193192E-3</v>
      </c>
      <c r="X160" s="167">
        <v>1.86703352850426E-3</v>
      </c>
    </row>
    <row r="161" spans="1:24">
      <c r="A161" s="5">
        <v>161</v>
      </c>
      <c r="B161" s="5">
        <v>9943</v>
      </c>
      <c r="C161" s="5" t="s">
        <v>1024</v>
      </c>
      <c r="D161" s="5" t="s">
        <v>1025</v>
      </c>
      <c r="E161" s="5" t="s">
        <v>935</v>
      </c>
      <c r="F161" s="5" t="s">
        <v>1026</v>
      </c>
      <c r="G161" s="5" t="s">
        <v>1027</v>
      </c>
      <c r="H161" s="5" t="s">
        <v>152</v>
      </c>
      <c r="I161" s="5" t="s">
        <v>930</v>
      </c>
      <c r="J161" s="5" t="s">
        <v>81</v>
      </c>
      <c r="K161" s="5" t="s">
        <v>1028</v>
      </c>
      <c r="L161" s="3" t="s">
        <v>154</v>
      </c>
      <c r="M161" s="3" t="s">
        <v>1029</v>
      </c>
      <c r="N161" s="5" t="s">
        <v>1030</v>
      </c>
      <c r="O161" s="5" t="s">
        <v>156</v>
      </c>
      <c r="P161" s="5" t="s">
        <v>86</v>
      </c>
      <c r="Q161" s="156">
        <v>3990</v>
      </c>
      <c r="R161" s="168">
        <v>3.306</v>
      </c>
      <c r="S161" s="170">
        <v>16179</v>
      </c>
      <c r="U161" s="156">
        <v>2134.1619999999998</v>
      </c>
      <c r="V161" s="167">
        <v>1.9999999999999999E-6</v>
      </c>
      <c r="W161" s="167">
        <v>5.5457870144271998E-3</v>
      </c>
      <c r="X161" s="167">
        <v>1.09704199739316E-3</v>
      </c>
    </row>
    <row r="162" spans="1:24">
      <c r="A162" s="5">
        <v>161</v>
      </c>
      <c r="B162" s="5">
        <v>9943</v>
      </c>
      <c r="C162" s="5" t="s">
        <v>1031</v>
      </c>
      <c r="D162" s="5" t="s">
        <v>1032</v>
      </c>
      <c r="E162" s="5" t="s">
        <v>935</v>
      </c>
      <c r="F162" s="5" t="s">
        <v>1033</v>
      </c>
      <c r="G162" s="5" t="s">
        <v>1034</v>
      </c>
      <c r="H162" s="5" t="s">
        <v>152</v>
      </c>
      <c r="I162" s="5" t="s">
        <v>930</v>
      </c>
      <c r="J162" s="5" t="s">
        <v>81</v>
      </c>
      <c r="K162" s="5" t="s">
        <v>82</v>
      </c>
      <c r="L162" s="3" t="s">
        <v>154</v>
      </c>
      <c r="M162" s="3" t="s">
        <v>1029</v>
      </c>
      <c r="N162" s="5" t="s">
        <v>1035</v>
      </c>
      <c r="O162" s="5" t="s">
        <v>156</v>
      </c>
      <c r="P162" s="5" t="s">
        <v>86</v>
      </c>
      <c r="Q162" s="156">
        <v>6563</v>
      </c>
      <c r="R162" s="168">
        <v>3.306</v>
      </c>
      <c r="S162" s="170">
        <v>24355</v>
      </c>
      <c r="U162" s="156">
        <v>5284.3720000000003</v>
      </c>
      <c r="V162" s="167">
        <v>9.9999999999999995E-7</v>
      </c>
      <c r="W162" s="167">
        <v>1.3731853263773601E-2</v>
      </c>
      <c r="X162" s="167">
        <v>2.7163718500566999E-3</v>
      </c>
    </row>
    <row r="163" spans="1:24">
      <c r="A163" s="5">
        <v>161</v>
      </c>
      <c r="B163" s="5">
        <v>9943</v>
      </c>
      <c r="C163" s="5" t="s">
        <v>1036</v>
      </c>
      <c r="D163" s="5" t="s">
        <v>1037</v>
      </c>
      <c r="E163" s="5" t="s">
        <v>935</v>
      </c>
      <c r="F163" s="5" t="s">
        <v>1038</v>
      </c>
      <c r="G163" s="5" t="s">
        <v>1039</v>
      </c>
      <c r="H163" s="5" t="s">
        <v>152</v>
      </c>
      <c r="I163" s="5" t="s">
        <v>930</v>
      </c>
      <c r="J163" s="5" t="s">
        <v>81</v>
      </c>
      <c r="K163" s="5" t="s">
        <v>82</v>
      </c>
      <c r="L163" s="3" t="s">
        <v>154</v>
      </c>
      <c r="M163" s="3" t="s">
        <v>1029</v>
      </c>
      <c r="N163" s="5" t="s">
        <v>1040</v>
      </c>
      <c r="O163" s="5" t="s">
        <v>156</v>
      </c>
      <c r="P163" s="5" t="s">
        <v>86</v>
      </c>
      <c r="Q163" s="156">
        <v>3800</v>
      </c>
      <c r="R163" s="168">
        <v>3.306</v>
      </c>
      <c r="S163" s="170">
        <v>21957</v>
      </c>
      <c r="U163" s="156">
        <v>2758.4140000000002</v>
      </c>
      <c r="V163" s="167">
        <v>0</v>
      </c>
      <c r="W163" s="167">
        <v>7.1679540777891404E-3</v>
      </c>
      <c r="X163" s="167">
        <v>1.41793160073827E-3</v>
      </c>
    </row>
    <row r="164" spans="1:24">
      <c r="A164" s="5">
        <v>161</v>
      </c>
      <c r="B164" s="5">
        <v>9943</v>
      </c>
      <c r="C164" s="5" t="s">
        <v>1041</v>
      </c>
      <c r="D164" s="5" t="s">
        <v>1042</v>
      </c>
      <c r="E164" s="5" t="s">
        <v>935</v>
      </c>
      <c r="F164" s="5" t="s">
        <v>1043</v>
      </c>
      <c r="G164" s="5" t="s">
        <v>1044</v>
      </c>
      <c r="H164" s="5" t="s">
        <v>152</v>
      </c>
      <c r="I164" s="5" t="s">
        <v>930</v>
      </c>
      <c r="J164" s="5" t="s">
        <v>81</v>
      </c>
      <c r="K164" s="5" t="s">
        <v>82</v>
      </c>
      <c r="L164" s="3" t="s">
        <v>154</v>
      </c>
      <c r="M164" s="3" t="s">
        <v>1029</v>
      </c>
      <c r="N164" s="5" t="s">
        <v>1030</v>
      </c>
      <c r="O164" s="5" t="s">
        <v>156</v>
      </c>
      <c r="P164" s="5" t="s">
        <v>86</v>
      </c>
      <c r="Q164" s="156">
        <v>1622</v>
      </c>
      <c r="R164" s="168">
        <v>3.306</v>
      </c>
      <c r="S164" s="170">
        <v>96809</v>
      </c>
      <c r="U164" s="156">
        <v>5191.22</v>
      </c>
      <c r="V164" s="167">
        <v>3.9999999999999998E-6</v>
      </c>
      <c r="W164" s="167">
        <v>1.34897903362034E-2</v>
      </c>
      <c r="X164" s="167">
        <v>2.66848807867031E-3</v>
      </c>
    </row>
    <row r="165" spans="1:24">
      <c r="A165" s="5">
        <v>161</v>
      </c>
      <c r="B165" s="5">
        <v>9943</v>
      </c>
      <c r="C165" s="5" t="s">
        <v>1045</v>
      </c>
      <c r="D165" s="5" t="s">
        <v>1046</v>
      </c>
      <c r="E165" s="5" t="s">
        <v>935</v>
      </c>
      <c r="F165" s="5" t="s">
        <v>1047</v>
      </c>
      <c r="G165" s="5" t="s">
        <v>1048</v>
      </c>
      <c r="H165" s="5" t="s">
        <v>152</v>
      </c>
      <c r="I165" s="5" t="s">
        <v>930</v>
      </c>
      <c r="J165" s="5" t="s">
        <v>81</v>
      </c>
      <c r="K165" s="5" t="s">
        <v>82</v>
      </c>
      <c r="L165" s="3" t="s">
        <v>154</v>
      </c>
      <c r="M165" s="3" t="s">
        <v>1029</v>
      </c>
      <c r="N165" s="5" t="s">
        <v>1030</v>
      </c>
      <c r="O165" s="5" t="s">
        <v>156</v>
      </c>
      <c r="P165" s="5" t="s">
        <v>86</v>
      </c>
      <c r="Q165" s="156">
        <v>2000</v>
      </c>
      <c r="R165" s="168">
        <v>3.306</v>
      </c>
      <c r="S165" s="170">
        <v>32991</v>
      </c>
      <c r="T165" s="155">
        <v>1.18</v>
      </c>
      <c r="U165" s="156">
        <v>2185.2660000000001</v>
      </c>
      <c r="V165" s="167">
        <v>3.9999999999999998E-6</v>
      </c>
      <c r="W165" s="167">
        <v>5.6785842728714004E-3</v>
      </c>
      <c r="X165" s="167">
        <v>1.1233113382951799E-3</v>
      </c>
    </row>
    <row r="166" spans="1:24">
      <c r="A166" s="5">
        <v>161</v>
      </c>
      <c r="B166" s="5">
        <v>9943</v>
      </c>
      <c r="C166" s="5" t="s">
        <v>1016</v>
      </c>
      <c r="D166" s="5" t="s">
        <v>1017</v>
      </c>
      <c r="E166" s="5" t="s">
        <v>149</v>
      </c>
      <c r="F166" s="5" t="s">
        <v>1176</v>
      </c>
      <c r="G166" s="5" t="s">
        <v>1019</v>
      </c>
      <c r="H166" s="5" t="s">
        <v>152</v>
      </c>
      <c r="I166" s="5" t="s">
        <v>930</v>
      </c>
      <c r="J166" s="5" t="s">
        <v>81</v>
      </c>
      <c r="K166" s="5" t="s">
        <v>237</v>
      </c>
      <c r="L166" s="3" t="s">
        <v>154</v>
      </c>
      <c r="M166" s="3" t="s">
        <v>1029</v>
      </c>
      <c r="N166" s="5" t="s">
        <v>1030</v>
      </c>
      <c r="O166" s="5" t="s">
        <v>156</v>
      </c>
      <c r="P166" s="5" t="s">
        <v>86</v>
      </c>
      <c r="Q166" s="156">
        <v>8750</v>
      </c>
      <c r="R166" s="168">
        <v>3.306</v>
      </c>
      <c r="S166" s="170">
        <v>10505</v>
      </c>
      <c r="U166" s="156">
        <v>3038.8339999999998</v>
      </c>
      <c r="V166" s="167">
        <v>2.02E-4</v>
      </c>
      <c r="W166" s="167">
        <v>7.8966470216641094E-3</v>
      </c>
      <c r="X166" s="167">
        <v>1.56207827650409E-3</v>
      </c>
    </row>
    <row r="167" spans="1:24">
      <c r="A167" s="5">
        <v>161</v>
      </c>
      <c r="B167" s="5">
        <v>9943</v>
      </c>
      <c r="C167" s="5" t="s">
        <v>1177</v>
      </c>
      <c r="D167" s="5" t="s">
        <v>1178</v>
      </c>
      <c r="E167" s="5" t="s">
        <v>935</v>
      </c>
      <c r="F167" s="5" t="s">
        <v>1179</v>
      </c>
      <c r="G167" s="5" t="s">
        <v>1180</v>
      </c>
      <c r="H167" s="5" t="s">
        <v>152</v>
      </c>
      <c r="I167" s="5" t="s">
        <v>930</v>
      </c>
      <c r="J167" s="5" t="s">
        <v>81</v>
      </c>
      <c r="K167" s="5" t="s">
        <v>82</v>
      </c>
      <c r="L167" s="3" t="s">
        <v>154</v>
      </c>
      <c r="M167" s="3" t="s">
        <v>1029</v>
      </c>
      <c r="N167" s="5" t="s">
        <v>1181</v>
      </c>
      <c r="O167" s="5" t="s">
        <v>156</v>
      </c>
      <c r="P167" s="5" t="s">
        <v>86</v>
      </c>
      <c r="Q167" s="156">
        <v>540</v>
      </c>
      <c r="R167" s="168">
        <v>3.306</v>
      </c>
      <c r="S167" s="170">
        <v>92563</v>
      </c>
      <c r="U167" s="156">
        <v>1652.472</v>
      </c>
      <c r="V167" s="167">
        <v>9.9999999999999995E-7</v>
      </c>
      <c r="W167" s="167">
        <v>4.2940766999529402E-3</v>
      </c>
      <c r="X167" s="167">
        <v>8.4943443872274003E-4</v>
      </c>
    </row>
    <row r="168" spans="1:24">
      <c r="A168" s="5">
        <v>161</v>
      </c>
      <c r="B168" s="5">
        <v>9943</v>
      </c>
      <c r="C168" s="5" t="s">
        <v>1182</v>
      </c>
      <c r="D168" s="5" t="s">
        <v>1183</v>
      </c>
      <c r="E168" s="5" t="s">
        <v>935</v>
      </c>
      <c r="F168" s="5" t="s">
        <v>1184</v>
      </c>
      <c r="G168" s="5" t="s">
        <v>1185</v>
      </c>
      <c r="H168" s="5" t="s">
        <v>152</v>
      </c>
      <c r="I168" s="5" t="s">
        <v>930</v>
      </c>
      <c r="J168" s="5" t="s">
        <v>81</v>
      </c>
      <c r="K168" s="5" t="s">
        <v>1186</v>
      </c>
      <c r="L168" s="3" t="s">
        <v>154</v>
      </c>
      <c r="M168" s="3" t="s">
        <v>1187</v>
      </c>
      <c r="N168" s="5" t="s">
        <v>1188</v>
      </c>
      <c r="O168" s="5" t="s">
        <v>156</v>
      </c>
      <c r="P168" s="5" t="s">
        <v>1189</v>
      </c>
      <c r="Q168" s="156">
        <v>380</v>
      </c>
      <c r="R168" s="168">
        <v>0.42420000000000002</v>
      </c>
      <c r="S168" s="170">
        <v>13850</v>
      </c>
      <c r="U168" s="156">
        <v>22.326000000000001</v>
      </c>
      <c r="V168" s="167">
        <v>0</v>
      </c>
      <c r="W168" s="167">
        <v>5.8014933768838297E-5</v>
      </c>
      <c r="X168" s="167">
        <v>1.14762465011419E-5</v>
      </c>
    </row>
    <row r="169" spans="1:24">
      <c r="A169" s="5">
        <v>161</v>
      </c>
      <c r="B169" s="5">
        <v>9943</v>
      </c>
      <c r="C169" s="5" t="s">
        <v>1054</v>
      </c>
      <c r="D169" s="5" t="s">
        <v>1055</v>
      </c>
      <c r="E169" s="5" t="s">
        <v>935</v>
      </c>
      <c r="F169" s="5" t="s">
        <v>1056</v>
      </c>
      <c r="G169" s="5" t="s">
        <v>1057</v>
      </c>
      <c r="H169" s="5" t="s">
        <v>152</v>
      </c>
      <c r="I169" s="5" t="s">
        <v>930</v>
      </c>
      <c r="J169" s="5" t="s">
        <v>81</v>
      </c>
      <c r="K169" s="5" t="s">
        <v>82</v>
      </c>
      <c r="L169" s="3" t="s">
        <v>154</v>
      </c>
      <c r="M169" s="3" t="s">
        <v>1053</v>
      </c>
      <c r="N169" s="5" t="s">
        <v>1058</v>
      </c>
      <c r="O169" s="5" t="s">
        <v>156</v>
      </c>
      <c r="P169" s="5" t="s">
        <v>86</v>
      </c>
      <c r="Q169" s="156">
        <v>1424</v>
      </c>
      <c r="R169" s="168">
        <v>3.306</v>
      </c>
      <c r="S169" s="170">
        <v>56881</v>
      </c>
      <c r="U169" s="156">
        <v>2677.8119999999999</v>
      </c>
      <c r="V169" s="167">
        <v>9.9999999999999995E-7</v>
      </c>
      <c r="W169" s="167">
        <v>6.9585031480163704E-3</v>
      </c>
      <c r="X169" s="167">
        <v>1.3764989842753601E-3</v>
      </c>
    </row>
    <row r="170" spans="1:24">
      <c r="A170" s="5">
        <v>161</v>
      </c>
      <c r="B170" s="5">
        <v>9943</v>
      </c>
      <c r="C170" s="5" t="s">
        <v>1059</v>
      </c>
      <c r="D170" s="5" t="s">
        <v>1060</v>
      </c>
      <c r="E170" s="5" t="s">
        <v>935</v>
      </c>
      <c r="F170" s="5" t="s">
        <v>1061</v>
      </c>
      <c r="G170" s="5" t="s">
        <v>1062</v>
      </c>
      <c r="H170" s="5" t="s">
        <v>152</v>
      </c>
      <c r="I170" s="5" t="s">
        <v>930</v>
      </c>
      <c r="J170" s="5" t="s">
        <v>81</v>
      </c>
      <c r="K170" s="5" t="s">
        <v>82</v>
      </c>
      <c r="L170" s="3" t="s">
        <v>154</v>
      </c>
      <c r="M170" s="3" t="s">
        <v>1029</v>
      </c>
      <c r="N170" s="5" t="s">
        <v>1063</v>
      </c>
      <c r="O170" s="5" t="s">
        <v>156</v>
      </c>
      <c r="P170" s="5" t="s">
        <v>86</v>
      </c>
      <c r="Q170" s="156">
        <v>1803</v>
      </c>
      <c r="R170" s="168">
        <v>3.306</v>
      </c>
      <c r="S170" s="170">
        <v>51795</v>
      </c>
      <c r="U170" s="156">
        <v>3087.3539999999998</v>
      </c>
      <c r="V170" s="167">
        <v>0</v>
      </c>
      <c r="W170" s="167">
        <v>8.0227300629548207E-3</v>
      </c>
      <c r="X170" s="167">
        <v>1.5870194419500599E-3</v>
      </c>
    </row>
    <row r="171" spans="1:24">
      <c r="A171" s="5">
        <v>161</v>
      </c>
      <c r="B171" s="5">
        <v>9943</v>
      </c>
      <c r="C171" s="5" t="s">
        <v>988</v>
      </c>
      <c r="D171" s="5" t="s">
        <v>989</v>
      </c>
      <c r="E171" s="5" t="s">
        <v>149</v>
      </c>
      <c r="F171" s="5" t="s">
        <v>1190</v>
      </c>
      <c r="G171" s="5" t="s">
        <v>991</v>
      </c>
      <c r="H171" s="5" t="s">
        <v>152</v>
      </c>
      <c r="I171" s="5" t="s">
        <v>930</v>
      </c>
      <c r="J171" s="5" t="s">
        <v>81</v>
      </c>
      <c r="K171" s="5" t="s">
        <v>237</v>
      </c>
      <c r="L171" s="3" t="s">
        <v>154</v>
      </c>
      <c r="M171" s="3" t="s">
        <v>1029</v>
      </c>
      <c r="N171" s="5" t="s">
        <v>1030</v>
      </c>
      <c r="O171" s="5" t="s">
        <v>156</v>
      </c>
      <c r="P171" s="5" t="s">
        <v>86</v>
      </c>
      <c r="Q171" s="156">
        <v>3102</v>
      </c>
      <c r="R171" s="168">
        <v>3.306</v>
      </c>
      <c r="S171" s="170">
        <v>31966</v>
      </c>
      <c r="U171" s="156">
        <v>3278.181</v>
      </c>
      <c r="V171" s="167">
        <v>1.07E-4</v>
      </c>
      <c r="W171" s="167">
        <v>8.5186093848141492E-3</v>
      </c>
      <c r="X171" s="167">
        <v>1.68511200127542E-3</v>
      </c>
    </row>
    <row r="172" spans="1:24">
      <c r="A172" s="5">
        <v>161</v>
      </c>
      <c r="B172" s="5">
        <v>9943</v>
      </c>
      <c r="C172" s="5" t="s">
        <v>1066</v>
      </c>
      <c r="D172" s="5" t="s">
        <v>1067</v>
      </c>
      <c r="E172" s="5" t="s">
        <v>935</v>
      </c>
      <c r="F172" s="5" t="s">
        <v>1068</v>
      </c>
      <c r="G172" s="5" t="s">
        <v>1069</v>
      </c>
      <c r="H172" s="5" t="s">
        <v>152</v>
      </c>
      <c r="I172" s="5" t="s">
        <v>930</v>
      </c>
      <c r="J172" s="5" t="s">
        <v>81</v>
      </c>
      <c r="K172" s="5" t="s">
        <v>82</v>
      </c>
      <c r="L172" s="3" t="s">
        <v>154</v>
      </c>
      <c r="M172" s="3" t="s">
        <v>1029</v>
      </c>
      <c r="N172" s="5" t="s">
        <v>1030</v>
      </c>
      <c r="O172" s="5" t="s">
        <v>156</v>
      </c>
      <c r="P172" s="5" t="s">
        <v>86</v>
      </c>
      <c r="Q172" s="156">
        <v>5020</v>
      </c>
      <c r="R172" s="168">
        <v>3.306</v>
      </c>
      <c r="S172" s="170">
        <v>18658</v>
      </c>
      <c r="T172" s="155">
        <v>0.05</v>
      </c>
      <c r="U172" s="156">
        <v>3096.67</v>
      </c>
      <c r="V172" s="167">
        <v>0</v>
      </c>
      <c r="W172" s="167">
        <v>8.0469387869362696E-3</v>
      </c>
      <c r="X172" s="167">
        <v>1.5918083000223001E-3</v>
      </c>
    </row>
    <row r="173" spans="1:24">
      <c r="A173" s="5">
        <v>161</v>
      </c>
      <c r="B173" s="5">
        <v>9943</v>
      </c>
      <c r="C173" s="5" t="s">
        <v>933</v>
      </c>
      <c r="D173" s="5" t="s">
        <v>934</v>
      </c>
      <c r="E173" s="5" t="s">
        <v>935</v>
      </c>
      <c r="F173" s="5" t="s">
        <v>1070</v>
      </c>
      <c r="G173" s="5" t="s">
        <v>937</v>
      </c>
      <c r="H173" s="5" t="s">
        <v>152</v>
      </c>
      <c r="I173" s="5" t="s">
        <v>930</v>
      </c>
      <c r="J173" s="5" t="s">
        <v>81</v>
      </c>
      <c r="K173" s="5" t="s">
        <v>82</v>
      </c>
      <c r="L173" s="3" t="s">
        <v>154</v>
      </c>
      <c r="M173" s="3" t="s">
        <v>1053</v>
      </c>
      <c r="N173" s="5" t="s">
        <v>1071</v>
      </c>
      <c r="O173" s="5" t="s">
        <v>156</v>
      </c>
      <c r="P173" s="5" t="s">
        <v>86</v>
      </c>
      <c r="Q173" s="156">
        <v>9533</v>
      </c>
      <c r="R173" s="168">
        <v>3.306</v>
      </c>
      <c r="S173" s="170">
        <v>9625</v>
      </c>
      <c r="U173" s="156">
        <v>3033.424</v>
      </c>
      <c r="V173" s="167">
        <v>1.5699999999999999E-4</v>
      </c>
      <c r="W173" s="167">
        <v>7.8825901630915195E-3</v>
      </c>
      <c r="X173" s="167">
        <v>1.5592976136034999E-3</v>
      </c>
    </row>
    <row r="174" spans="1:24">
      <c r="A174" s="5">
        <v>161</v>
      </c>
      <c r="B174" s="5">
        <v>9943</v>
      </c>
      <c r="C174" s="5" t="s">
        <v>1191</v>
      </c>
      <c r="D174" s="5" t="s">
        <v>1192</v>
      </c>
      <c r="E174" s="5" t="s">
        <v>935</v>
      </c>
      <c r="F174" s="5" t="s">
        <v>1193</v>
      </c>
      <c r="G174" s="5" t="s">
        <v>1194</v>
      </c>
      <c r="H174" s="5" t="s">
        <v>152</v>
      </c>
      <c r="I174" s="5" t="s">
        <v>930</v>
      </c>
      <c r="J174" s="5" t="s">
        <v>81</v>
      </c>
      <c r="K174" s="5" t="s">
        <v>1028</v>
      </c>
      <c r="L174" s="3" t="s">
        <v>154</v>
      </c>
      <c r="M174" s="3" t="s">
        <v>1195</v>
      </c>
      <c r="N174" s="5" t="s">
        <v>1196</v>
      </c>
      <c r="O174" s="5" t="s">
        <v>156</v>
      </c>
      <c r="P174" s="5" t="s">
        <v>86</v>
      </c>
      <c r="Q174" s="156">
        <v>0</v>
      </c>
      <c r="R174" s="168">
        <v>3.306</v>
      </c>
      <c r="S174" s="170">
        <v>0</v>
      </c>
      <c r="T174" s="155">
        <v>3.0000000000000001E-3</v>
      </c>
      <c r="U174" s="156">
        <v>8.9999999999999993E-3</v>
      </c>
      <c r="V174" s="167">
        <v>0</v>
      </c>
      <c r="W174" s="167">
        <v>2.4054517343479501E-8</v>
      </c>
      <c r="X174" s="167">
        <v>4.75835362666642E-9</v>
      </c>
    </row>
    <row r="175" spans="1:24">
      <c r="A175" s="5">
        <v>161</v>
      </c>
      <c r="B175" s="5">
        <v>9943</v>
      </c>
      <c r="C175" s="5" t="s">
        <v>1072</v>
      </c>
      <c r="D175" s="5" t="s">
        <v>1073</v>
      </c>
      <c r="E175" s="5" t="s">
        <v>935</v>
      </c>
      <c r="F175" s="5" t="s">
        <v>1074</v>
      </c>
      <c r="G175" s="5" t="s">
        <v>1075</v>
      </c>
      <c r="H175" s="5" t="s">
        <v>152</v>
      </c>
      <c r="I175" s="5" t="s">
        <v>930</v>
      </c>
      <c r="J175" s="5" t="s">
        <v>81</v>
      </c>
      <c r="K175" s="5" t="s">
        <v>1076</v>
      </c>
      <c r="L175" s="3" t="s">
        <v>154</v>
      </c>
      <c r="M175" s="3" t="s">
        <v>1053</v>
      </c>
      <c r="N175" s="5" t="s">
        <v>1030</v>
      </c>
      <c r="O175" s="5" t="s">
        <v>156</v>
      </c>
      <c r="P175" s="5" t="s">
        <v>86</v>
      </c>
      <c r="Q175" s="156">
        <v>4800</v>
      </c>
      <c r="R175" s="168">
        <v>3.306</v>
      </c>
      <c r="S175" s="170">
        <v>27929</v>
      </c>
      <c r="T175" s="155">
        <v>3.1190000000000002</v>
      </c>
      <c r="U175" s="156">
        <v>4442.3100000000004</v>
      </c>
      <c r="V175" s="167">
        <v>9.9999999999999995E-7</v>
      </c>
      <c r="W175" s="167">
        <v>1.15436894209489E-2</v>
      </c>
      <c r="X175" s="167">
        <v>2.28351937546454E-3</v>
      </c>
    </row>
    <row r="176" spans="1:24">
      <c r="A176" s="5">
        <v>161</v>
      </c>
      <c r="B176" s="5">
        <v>9943</v>
      </c>
      <c r="C176" s="5" t="s">
        <v>1197</v>
      </c>
      <c r="D176" s="5" t="s">
        <v>1198</v>
      </c>
      <c r="E176" s="5" t="s">
        <v>935</v>
      </c>
      <c r="F176" s="5" t="s">
        <v>1197</v>
      </c>
      <c r="G176" s="5" t="s">
        <v>1199</v>
      </c>
      <c r="H176" s="5" t="s">
        <v>152</v>
      </c>
      <c r="I176" s="5" t="s">
        <v>930</v>
      </c>
      <c r="J176" s="5" t="s">
        <v>81</v>
      </c>
      <c r="K176" s="5" t="s">
        <v>82</v>
      </c>
      <c r="L176" s="3" t="s">
        <v>154</v>
      </c>
      <c r="M176" s="3" t="s">
        <v>1029</v>
      </c>
      <c r="N176" s="5" t="s">
        <v>1200</v>
      </c>
      <c r="O176" s="5" t="s">
        <v>156</v>
      </c>
      <c r="P176" s="5" t="s">
        <v>86</v>
      </c>
      <c r="Q176" s="156">
        <v>700</v>
      </c>
      <c r="R176" s="168">
        <v>3.306</v>
      </c>
      <c r="S176" s="170">
        <v>44472</v>
      </c>
      <c r="U176" s="156">
        <v>1029.171</v>
      </c>
      <c r="V176" s="167">
        <v>0</v>
      </c>
      <c r="W176" s="167">
        <v>2.6743812382480502E-3</v>
      </c>
      <c r="X176" s="167">
        <v>5.29033756212773E-4</v>
      </c>
    </row>
    <row r="177" spans="1:24">
      <c r="A177" s="5">
        <v>161</v>
      </c>
      <c r="B177" s="5">
        <v>9943</v>
      </c>
      <c r="C177" s="5" t="s">
        <v>1201</v>
      </c>
      <c r="D177" s="5" t="s">
        <v>1202</v>
      </c>
      <c r="E177" s="5" t="s">
        <v>935</v>
      </c>
      <c r="F177" s="5" t="s">
        <v>1203</v>
      </c>
      <c r="G177" s="5" t="s">
        <v>1204</v>
      </c>
      <c r="H177" s="5" t="s">
        <v>152</v>
      </c>
      <c r="I177" s="5" t="s">
        <v>930</v>
      </c>
      <c r="J177" s="5" t="s">
        <v>81</v>
      </c>
      <c r="K177" s="5" t="s">
        <v>82</v>
      </c>
      <c r="L177" s="3" t="s">
        <v>154</v>
      </c>
      <c r="M177" s="3" t="s">
        <v>1053</v>
      </c>
      <c r="N177" s="5" t="s">
        <v>1205</v>
      </c>
      <c r="O177" s="5" t="s">
        <v>156</v>
      </c>
      <c r="P177" s="5" t="s">
        <v>86</v>
      </c>
      <c r="Q177" s="156">
        <v>1642</v>
      </c>
      <c r="R177" s="168">
        <v>3.306</v>
      </c>
      <c r="S177" s="170">
        <v>34138</v>
      </c>
      <c r="U177" s="156">
        <v>1853.165</v>
      </c>
      <c r="V177" s="167">
        <v>9.9999999999999995E-7</v>
      </c>
      <c r="W177" s="167">
        <v>4.8155937559419097E-3</v>
      </c>
      <c r="X177" s="167">
        <v>9.5259853631400398E-4</v>
      </c>
    </row>
    <row r="178" spans="1:24">
      <c r="A178" s="5">
        <v>161</v>
      </c>
      <c r="B178" s="5">
        <v>9943</v>
      </c>
      <c r="C178" s="5" t="s">
        <v>1031</v>
      </c>
      <c r="D178" s="5" t="s">
        <v>1032</v>
      </c>
      <c r="E178" s="5" t="s">
        <v>935</v>
      </c>
      <c r="F178" s="5" t="s">
        <v>1033</v>
      </c>
      <c r="G178" s="5" t="s">
        <v>1034</v>
      </c>
      <c r="H178" s="5" t="s">
        <v>152</v>
      </c>
      <c r="I178" s="5" t="s">
        <v>930</v>
      </c>
      <c r="J178" s="5" t="s">
        <v>81</v>
      </c>
      <c r="K178" s="5" t="s">
        <v>82</v>
      </c>
      <c r="L178" s="3" t="s">
        <v>154</v>
      </c>
      <c r="M178" s="3" t="s">
        <v>1029</v>
      </c>
      <c r="N178" s="5" t="s">
        <v>1035</v>
      </c>
      <c r="O178" s="5" t="s">
        <v>156</v>
      </c>
      <c r="P178" s="5" t="s">
        <v>86</v>
      </c>
      <c r="Q178" s="156">
        <v>486</v>
      </c>
      <c r="R178" s="168">
        <v>3.306</v>
      </c>
      <c r="S178" s="170">
        <v>24355</v>
      </c>
      <c r="U178" s="156">
        <v>391.31599999999997</v>
      </c>
      <c r="V178" s="167">
        <v>0</v>
      </c>
      <c r="W178" s="167">
        <v>1.0168643434700501E-3</v>
      </c>
      <c r="X178" s="167">
        <v>2.0115141233087799E-4</v>
      </c>
    </row>
    <row r="179" spans="1:24">
      <c r="A179" s="5">
        <v>161</v>
      </c>
      <c r="B179" s="5">
        <v>9943</v>
      </c>
      <c r="C179" s="5" t="s">
        <v>1031</v>
      </c>
      <c r="D179" s="5" t="s">
        <v>1032</v>
      </c>
      <c r="E179" s="5" t="s">
        <v>935</v>
      </c>
      <c r="F179" s="5" t="s">
        <v>1206</v>
      </c>
      <c r="G179" s="5" t="s">
        <v>1207</v>
      </c>
      <c r="H179" s="5" t="s">
        <v>152</v>
      </c>
      <c r="I179" s="5" t="s">
        <v>930</v>
      </c>
      <c r="J179" s="5" t="s">
        <v>81</v>
      </c>
      <c r="K179" s="5" t="s">
        <v>82</v>
      </c>
      <c r="L179" s="3" t="s">
        <v>154</v>
      </c>
      <c r="M179" s="3" t="s">
        <v>1029</v>
      </c>
      <c r="N179" s="5" t="s">
        <v>1063</v>
      </c>
      <c r="O179" s="5" t="s">
        <v>156</v>
      </c>
      <c r="P179" s="5" t="s">
        <v>86</v>
      </c>
      <c r="Q179" s="156">
        <v>2567</v>
      </c>
      <c r="R179" s="168">
        <v>3.306</v>
      </c>
      <c r="S179" s="170">
        <v>24310</v>
      </c>
      <c r="U179" s="156">
        <v>2063.069</v>
      </c>
      <c r="V179" s="167">
        <v>0</v>
      </c>
      <c r="W179" s="167">
        <v>5.3610448848696503E-3</v>
      </c>
      <c r="X179" s="167">
        <v>1.0604971617755601E-3</v>
      </c>
    </row>
    <row r="180" spans="1:24">
      <c r="A180" s="5">
        <v>161</v>
      </c>
      <c r="B180" s="5">
        <v>9943</v>
      </c>
      <c r="C180" s="5" t="s">
        <v>1208</v>
      </c>
      <c r="D180" s="5" t="s">
        <v>1209</v>
      </c>
      <c r="E180" s="5" t="s">
        <v>935</v>
      </c>
      <c r="F180" s="5" t="s">
        <v>1210</v>
      </c>
      <c r="G180" s="5" t="s">
        <v>1211</v>
      </c>
      <c r="H180" s="5" t="s">
        <v>152</v>
      </c>
      <c r="I180" s="5" t="s">
        <v>930</v>
      </c>
      <c r="J180" s="5" t="s">
        <v>81</v>
      </c>
      <c r="K180" s="5" t="s">
        <v>82</v>
      </c>
      <c r="L180" s="3" t="s">
        <v>154</v>
      </c>
      <c r="M180" s="3" t="s">
        <v>1029</v>
      </c>
      <c r="N180" s="5" t="s">
        <v>1196</v>
      </c>
      <c r="O180" s="5" t="s">
        <v>156</v>
      </c>
      <c r="P180" s="5" t="s">
        <v>86</v>
      </c>
      <c r="Q180" s="156">
        <v>4445</v>
      </c>
      <c r="R180" s="168">
        <v>3.306</v>
      </c>
      <c r="S180" s="170">
        <v>25463</v>
      </c>
      <c r="U180" s="156">
        <v>3741.8310000000001</v>
      </c>
      <c r="V180" s="167">
        <v>0</v>
      </c>
      <c r="W180" s="167">
        <v>9.7234402799826498E-3</v>
      </c>
      <c r="X180" s="167">
        <v>1.92344608953344E-3</v>
      </c>
    </row>
    <row r="181" spans="1:24">
      <c r="A181" s="5">
        <v>161</v>
      </c>
      <c r="B181" s="5">
        <v>9943</v>
      </c>
      <c r="C181" s="5" t="s">
        <v>1212</v>
      </c>
      <c r="D181" s="5" t="s">
        <v>1213</v>
      </c>
      <c r="E181" s="5" t="s">
        <v>935</v>
      </c>
      <c r="F181" s="5" t="s">
        <v>1214</v>
      </c>
      <c r="G181" s="5" t="s">
        <v>1215</v>
      </c>
      <c r="H181" s="5" t="s">
        <v>152</v>
      </c>
      <c r="I181" s="5" t="s">
        <v>930</v>
      </c>
      <c r="J181" s="5" t="s">
        <v>81</v>
      </c>
      <c r="K181" s="5" t="s">
        <v>82</v>
      </c>
      <c r="L181" s="3" t="s">
        <v>154</v>
      </c>
      <c r="M181" s="3" t="s">
        <v>1053</v>
      </c>
      <c r="N181" s="5" t="s">
        <v>491</v>
      </c>
      <c r="O181" s="5" t="s">
        <v>156</v>
      </c>
      <c r="P181" s="5" t="s">
        <v>86</v>
      </c>
      <c r="Q181" s="156">
        <v>21659</v>
      </c>
      <c r="R181" s="168">
        <v>3.306</v>
      </c>
      <c r="S181" s="170">
        <v>5159</v>
      </c>
      <c r="U181" s="156">
        <v>3694.0839999999998</v>
      </c>
      <c r="V181" s="167">
        <v>3.0000000000000001E-6</v>
      </c>
      <c r="W181" s="167">
        <v>9.5993658767991197E-3</v>
      </c>
      <c r="X181" s="167">
        <v>1.89890226360941E-3</v>
      </c>
    </row>
    <row r="182" spans="1:24">
      <c r="A182" s="5">
        <v>161</v>
      </c>
      <c r="B182" s="5">
        <v>9943</v>
      </c>
      <c r="C182" s="5" t="s">
        <v>1216</v>
      </c>
      <c r="D182" s="5" t="s">
        <v>1217</v>
      </c>
      <c r="E182" s="5" t="s">
        <v>935</v>
      </c>
      <c r="F182" s="5" t="s">
        <v>1218</v>
      </c>
      <c r="G182" s="5" t="s">
        <v>1219</v>
      </c>
      <c r="H182" s="5" t="s">
        <v>152</v>
      </c>
      <c r="I182" s="5" t="s">
        <v>930</v>
      </c>
      <c r="J182" s="5" t="s">
        <v>81</v>
      </c>
      <c r="K182" s="5" t="s">
        <v>82</v>
      </c>
      <c r="L182" s="3" t="s">
        <v>154</v>
      </c>
      <c r="M182" s="3" t="s">
        <v>1029</v>
      </c>
      <c r="N182" s="5" t="s">
        <v>1035</v>
      </c>
      <c r="O182" s="5" t="s">
        <v>156</v>
      </c>
      <c r="P182" s="5" t="s">
        <v>86</v>
      </c>
      <c r="Q182" s="156">
        <v>1617</v>
      </c>
      <c r="R182" s="168">
        <v>3.306</v>
      </c>
      <c r="S182" s="170">
        <v>73438</v>
      </c>
      <c r="U182" s="156">
        <v>3925.85</v>
      </c>
      <c r="V182" s="167">
        <v>9.9999999999999995E-7</v>
      </c>
      <c r="W182" s="167">
        <v>1.02016278479718E-2</v>
      </c>
      <c r="X182" s="167">
        <v>2.0180389477428701E-3</v>
      </c>
    </row>
    <row r="183" spans="1:24">
      <c r="A183" s="5">
        <v>161</v>
      </c>
      <c r="B183" s="5">
        <v>9943</v>
      </c>
      <c r="C183" s="5" t="s">
        <v>1059</v>
      </c>
      <c r="D183" s="5" t="s">
        <v>1060</v>
      </c>
      <c r="E183" s="5" t="s">
        <v>935</v>
      </c>
      <c r="F183" s="5" t="s">
        <v>1061</v>
      </c>
      <c r="G183" s="5" t="s">
        <v>1062</v>
      </c>
      <c r="H183" s="5" t="s">
        <v>152</v>
      </c>
      <c r="I183" s="5" t="s">
        <v>930</v>
      </c>
      <c r="J183" s="5" t="s">
        <v>81</v>
      </c>
      <c r="K183" s="5" t="s">
        <v>82</v>
      </c>
      <c r="L183" s="3" t="s">
        <v>154</v>
      </c>
      <c r="M183" s="3" t="s">
        <v>1029</v>
      </c>
      <c r="N183" s="5" t="s">
        <v>1063</v>
      </c>
      <c r="O183" s="5" t="s">
        <v>156</v>
      </c>
      <c r="P183" s="5" t="s">
        <v>86</v>
      </c>
      <c r="Q183" s="156">
        <v>1903</v>
      </c>
      <c r="R183" s="168">
        <v>3.306</v>
      </c>
      <c r="S183" s="170">
        <v>51795</v>
      </c>
      <c r="U183" s="156">
        <v>3258.5880000000002</v>
      </c>
      <c r="V183" s="167">
        <v>0</v>
      </c>
      <c r="W183" s="167">
        <v>8.4676956793139392E-3</v>
      </c>
      <c r="X183" s="167">
        <v>1.67504048698334E-3</v>
      </c>
    </row>
    <row r="184" spans="1:24">
      <c r="A184" s="5">
        <v>161</v>
      </c>
      <c r="B184" s="5">
        <v>9943</v>
      </c>
      <c r="C184" s="5" t="s">
        <v>988</v>
      </c>
      <c r="D184" s="5" t="s">
        <v>989</v>
      </c>
      <c r="E184" s="5" t="s">
        <v>149</v>
      </c>
      <c r="F184" s="5" t="s">
        <v>1190</v>
      </c>
      <c r="G184" s="5" t="s">
        <v>991</v>
      </c>
      <c r="H184" s="5" t="s">
        <v>152</v>
      </c>
      <c r="I184" s="5" t="s">
        <v>930</v>
      </c>
      <c r="J184" s="5" t="s">
        <v>81</v>
      </c>
      <c r="K184" s="5" t="s">
        <v>237</v>
      </c>
      <c r="L184" s="3" t="s">
        <v>154</v>
      </c>
      <c r="M184" s="3" t="s">
        <v>1029</v>
      </c>
      <c r="N184" s="5" t="s">
        <v>1030</v>
      </c>
      <c r="O184" s="5" t="s">
        <v>156</v>
      </c>
      <c r="P184" s="5" t="s">
        <v>86</v>
      </c>
      <c r="Q184" s="156">
        <v>2000</v>
      </c>
      <c r="R184" s="168">
        <v>3.306</v>
      </c>
      <c r="S184" s="170">
        <v>31966</v>
      </c>
      <c r="U184" s="156">
        <v>2113.5920000000001</v>
      </c>
      <c r="V184" s="167">
        <v>6.8999999999999997E-5</v>
      </c>
      <c r="W184" s="167">
        <v>5.4923335814404603E-3</v>
      </c>
      <c r="X184" s="167">
        <v>1.08646808592871E-3</v>
      </c>
    </row>
    <row r="185" spans="1:24">
      <c r="A185" s="5">
        <v>161</v>
      </c>
      <c r="B185" s="5">
        <v>9943</v>
      </c>
      <c r="C185" s="5" t="s">
        <v>1220</v>
      </c>
      <c r="D185" s="5" t="s">
        <v>1221</v>
      </c>
      <c r="E185" s="5" t="s">
        <v>935</v>
      </c>
      <c r="F185" s="5" t="s">
        <v>1222</v>
      </c>
      <c r="G185" s="5" t="s">
        <v>1223</v>
      </c>
      <c r="H185" s="5" t="s">
        <v>152</v>
      </c>
      <c r="I185" s="5" t="s">
        <v>930</v>
      </c>
      <c r="J185" s="5" t="s">
        <v>81</v>
      </c>
      <c r="K185" s="5" t="s">
        <v>1224</v>
      </c>
      <c r="L185" s="3" t="s">
        <v>154</v>
      </c>
      <c r="M185" s="3" t="s">
        <v>1195</v>
      </c>
      <c r="N185" s="5" t="s">
        <v>1225</v>
      </c>
      <c r="O185" s="5" t="s">
        <v>156</v>
      </c>
      <c r="P185" s="5" t="s">
        <v>1226</v>
      </c>
      <c r="Q185" s="156">
        <v>2262</v>
      </c>
      <c r="R185" s="168">
        <v>4.4409000000000001</v>
      </c>
      <c r="S185" s="170">
        <v>1366</v>
      </c>
      <c r="T185" s="155">
        <v>0.38500000000000001</v>
      </c>
      <c r="U185" s="156">
        <v>138.92699999999999</v>
      </c>
      <c r="V185" s="167">
        <v>5.1E-5</v>
      </c>
      <c r="W185" s="167">
        <v>3.6101191944442799E-4</v>
      </c>
      <c r="X185" s="167">
        <v>7.1413712095281696E-5</v>
      </c>
    </row>
    <row r="186" spans="1:24">
      <c r="A186" s="5">
        <v>161</v>
      </c>
      <c r="B186" s="5">
        <v>9943</v>
      </c>
      <c r="C186" s="5" t="s">
        <v>1227</v>
      </c>
      <c r="D186" s="5" t="s">
        <v>1228</v>
      </c>
      <c r="E186" s="5" t="s">
        <v>149</v>
      </c>
      <c r="F186" s="5" t="s">
        <v>1229</v>
      </c>
      <c r="G186" s="5" t="s">
        <v>1230</v>
      </c>
      <c r="H186" s="5" t="s">
        <v>152</v>
      </c>
      <c r="I186" s="5" t="s">
        <v>930</v>
      </c>
      <c r="J186" s="5" t="s">
        <v>81</v>
      </c>
      <c r="K186" s="5" t="s">
        <v>1231</v>
      </c>
      <c r="L186" s="3" t="s">
        <v>154</v>
      </c>
      <c r="M186" s="3" t="s">
        <v>1232</v>
      </c>
      <c r="N186" s="5" t="s">
        <v>1233</v>
      </c>
      <c r="O186" s="5" t="s">
        <v>156</v>
      </c>
      <c r="P186" s="5" t="s">
        <v>1234</v>
      </c>
      <c r="Q186" s="156">
        <v>2803</v>
      </c>
      <c r="R186" s="168">
        <v>4.1426999999999996</v>
      </c>
      <c r="S186" s="170">
        <v>102</v>
      </c>
      <c r="U186" s="156">
        <v>11.843999999999999</v>
      </c>
      <c r="V186" s="167">
        <v>1.7100000000000001E-4</v>
      </c>
      <c r="W186" s="167">
        <v>3.0778150605673802E-5</v>
      </c>
      <c r="X186" s="167">
        <v>6.0883917338833304E-6</v>
      </c>
    </row>
    <row r="187" spans="1:24">
      <c r="A187" s="5">
        <v>161</v>
      </c>
      <c r="B187" s="5">
        <v>9943</v>
      </c>
      <c r="C187" s="5" t="s">
        <v>1072</v>
      </c>
      <c r="D187" s="5" t="s">
        <v>1073</v>
      </c>
      <c r="E187" s="5" t="s">
        <v>935</v>
      </c>
      <c r="F187" s="5" t="s">
        <v>1074</v>
      </c>
      <c r="G187" s="5" t="s">
        <v>1075</v>
      </c>
      <c r="H187" s="5" t="s">
        <v>152</v>
      </c>
      <c r="I187" s="5" t="s">
        <v>930</v>
      </c>
      <c r="J187" s="5" t="s">
        <v>81</v>
      </c>
      <c r="K187" s="5" t="s">
        <v>1076</v>
      </c>
      <c r="L187" s="3" t="s">
        <v>154</v>
      </c>
      <c r="M187" s="3" t="s">
        <v>1053</v>
      </c>
      <c r="N187" s="5" t="s">
        <v>1030</v>
      </c>
      <c r="O187" s="5" t="s">
        <v>156</v>
      </c>
      <c r="P187" s="5" t="s">
        <v>86</v>
      </c>
      <c r="Q187" s="156">
        <v>542</v>
      </c>
      <c r="R187" s="168">
        <v>3.306</v>
      </c>
      <c r="S187" s="170">
        <v>27929</v>
      </c>
      <c r="T187" s="155">
        <v>0.35199999999999998</v>
      </c>
      <c r="U187" s="156">
        <v>501.61099999999999</v>
      </c>
      <c r="V187" s="167">
        <v>0</v>
      </c>
      <c r="W187" s="167">
        <v>1.3034749485254999E-3</v>
      </c>
      <c r="X187" s="167">
        <v>2.5784739972205001E-4</v>
      </c>
    </row>
    <row r="188" spans="1:24">
      <c r="A188" s="5">
        <v>161</v>
      </c>
      <c r="B188" s="5">
        <v>9943</v>
      </c>
      <c r="C188" s="5" t="s">
        <v>971</v>
      </c>
      <c r="D188" s="5" t="s">
        <v>972</v>
      </c>
      <c r="E188" s="5" t="s">
        <v>149</v>
      </c>
      <c r="F188" s="5" t="s">
        <v>1235</v>
      </c>
      <c r="G188" s="5" t="s">
        <v>1236</v>
      </c>
      <c r="H188" s="5" t="s">
        <v>152</v>
      </c>
      <c r="I188" s="5" t="s">
        <v>930</v>
      </c>
      <c r="J188" s="5" t="s">
        <v>81</v>
      </c>
      <c r="K188" s="5" t="s">
        <v>82</v>
      </c>
      <c r="L188" s="3" t="s">
        <v>154</v>
      </c>
      <c r="M188" s="3" t="s">
        <v>1053</v>
      </c>
      <c r="N188" s="5" t="s">
        <v>975</v>
      </c>
      <c r="O188" s="5" t="s">
        <v>156</v>
      </c>
      <c r="P188" s="5" t="s">
        <v>86</v>
      </c>
      <c r="Q188" s="156">
        <v>50000</v>
      </c>
      <c r="R188" s="168">
        <v>3.306</v>
      </c>
      <c r="S188" s="170">
        <v>2020</v>
      </c>
      <c r="U188" s="156">
        <v>3339.06</v>
      </c>
      <c r="V188" s="167">
        <v>4.3999999999999999E-5</v>
      </c>
      <c r="W188" s="167">
        <v>8.6768080417550901E-3</v>
      </c>
      <c r="X188" s="167">
        <v>1.7164061296189601E-3</v>
      </c>
    </row>
    <row r="189" spans="1:24">
      <c r="A189" s="5">
        <v>161</v>
      </c>
      <c r="B189" s="5">
        <v>9943</v>
      </c>
      <c r="C189" s="5" t="s">
        <v>1130</v>
      </c>
      <c r="D189" s="5" t="s">
        <v>1131</v>
      </c>
      <c r="E189" s="5" t="s">
        <v>149</v>
      </c>
      <c r="F189" s="5" t="s">
        <v>1237</v>
      </c>
      <c r="G189" s="5" t="s">
        <v>1133</v>
      </c>
      <c r="H189" s="5" t="s">
        <v>152</v>
      </c>
      <c r="I189" s="5" t="s">
        <v>930</v>
      </c>
      <c r="J189" s="5" t="s">
        <v>81</v>
      </c>
      <c r="K189" s="5" t="s">
        <v>237</v>
      </c>
      <c r="L189" s="3" t="s">
        <v>154</v>
      </c>
      <c r="M189" s="3" t="s">
        <v>1029</v>
      </c>
      <c r="N189" s="5" t="s">
        <v>1030</v>
      </c>
      <c r="O189" s="5" t="s">
        <v>156</v>
      </c>
      <c r="P189" s="5" t="s">
        <v>86</v>
      </c>
      <c r="Q189" s="156">
        <v>5000</v>
      </c>
      <c r="R189" s="168">
        <v>3.306</v>
      </c>
      <c r="S189" s="170">
        <v>7230</v>
      </c>
      <c r="U189" s="156">
        <v>1195.1189999999999</v>
      </c>
      <c r="V189" s="167">
        <v>4.5000000000000003E-5</v>
      </c>
      <c r="W189" s="167">
        <v>3.1056100070242201E-3</v>
      </c>
      <c r="X189" s="167">
        <v>6.1433744144282604E-4</v>
      </c>
    </row>
    <row r="190" spans="1:24">
      <c r="A190" s="5">
        <v>161</v>
      </c>
      <c r="B190" s="5">
        <v>9943</v>
      </c>
      <c r="C190" s="5" t="s">
        <v>1238</v>
      </c>
      <c r="D190" s="5" t="s">
        <v>1239</v>
      </c>
      <c r="E190" s="5" t="s">
        <v>935</v>
      </c>
      <c r="F190" s="5" t="s">
        <v>1240</v>
      </c>
      <c r="G190" s="5" t="s">
        <v>1241</v>
      </c>
      <c r="H190" s="5" t="s">
        <v>152</v>
      </c>
      <c r="I190" s="5" t="s">
        <v>930</v>
      </c>
      <c r="J190" s="5" t="s">
        <v>81</v>
      </c>
      <c r="K190" s="5" t="s">
        <v>1242</v>
      </c>
      <c r="L190" s="3" t="s">
        <v>154</v>
      </c>
      <c r="M190" s="3" t="s">
        <v>1243</v>
      </c>
      <c r="N190" s="5" t="s">
        <v>1244</v>
      </c>
      <c r="O190" s="5" t="s">
        <v>156</v>
      </c>
      <c r="P190" s="5" t="s">
        <v>1245</v>
      </c>
      <c r="Q190" s="156">
        <v>865</v>
      </c>
      <c r="R190" s="168">
        <v>3.8807</v>
      </c>
      <c r="S190" s="170">
        <v>730</v>
      </c>
      <c r="U190" s="156">
        <v>24.504999999999999</v>
      </c>
      <c r="V190" s="167">
        <v>2.4000000000000001E-4</v>
      </c>
      <c r="W190" s="167">
        <v>6.3677324093054999E-5</v>
      </c>
      <c r="X190" s="167">
        <v>1.2596354427237601E-5</v>
      </c>
    </row>
    <row r="191" spans="1:24">
      <c r="A191" s="5">
        <v>161</v>
      </c>
      <c r="B191" s="5">
        <v>12468</v>
      </c>
      <c r="C191" s="5" t="s">
        <v>933</v>
      </c>
      <c r="D191" s="5" t="s">
        <v>934</v>
      </c>
      <c r="E191" s="5" t="s">
        <v>935</v>
      </c>
      <c r="F191" s="5" t="s">
        <v>936</v>
      </c>
      <c r="G191" s="5" t="s">
        <v>937</v>
      </c>
      <c r="H191" s="5" t="s">
        <v>152</v>
      </c>
      <c r="I191" s="5" t="s">
        <v>930</v>
      </c>
      <c r="J191" s="5" t="s">
        <v>30</v>
      </c>
      <c r="K191" s="5" t="s">
        <v>82</v>
      </c>
      <c r="L191" s="3" t="s">
        <v>154</v>
      </c>
      <c r="M191" s="3" t="s">
        <v>31</v>
      </c>
      <c r="N191" s="5" t="s">
        <v>210</v>
      </c>
      <c r="O191" s="5" t="s">
        <v>156</v>
      </c>
      <c r="P191" s="5" t="s">
        <v>34</v>
      </c>
      <c r="Q191" s="156">
        <v>200</v>
      </c>
      <c r="R191" s="168">
        <v>1</v>
      </c>
      <c r="S191" s="170">
        <v>31800</v>
      </c>
      <c r="U191" s="156">
        <v>63.6</v>
      </c>
      <c r="V191" s="167">
        <v>3.9999999999999998E-6</v>
      </c>
      <c r="W191" s="167">
        <v>1.31020930947475E-2</v>
      </c>
      <c r="X191" s="167">
        <v>2.6742439467120301E-3</v>
      </c>
    </row>
    <row r="192" spans="1:24">
      <c r="A192" s="5">
        <v>161</v>
      </c>
      <c r="B192" s="5">
        <v>12468</v>
      </c>
      <c r="C192" s="5" t="s">
        <v>938</v>
      </c>
      <c r="D192" s="5" t="s">
        <v>939</v>
      </c>
      <c r="E192" s="5" t="s">
        <v>149</v>
      </c>
      <c r="F192" s="5" t="s">
        <v>940</v>
      </c>
      <c r="G192" s="5" t="s">
        <v>941</v>
      </c>
      <c r="H192" s="5" t="s">
        <v>152</v>
      </c>
      <c r="I192" s="5" t="s">
        <v>930</v>
      </c>
      <c r="J192" s="5" t="s">
        <v>30</v>
      </c>
      <c r="K192" s="5" t="s">
        <v>30</v>
      </c>
      <c r="L192" s="3" t="s">
        <v>154</v>
      </c>
      <c r="M192" s="3" t="s">
        <v>31</v>
      </c>
      <c r="N192" s="5" t="s">
        <v>178</v>
      </c>
      <c r="O192" s="5" t="s">
        <v>156</v>
      </c>
      <c r="P192" s="5" t="s">
        <v>34</v>
      </c>
      <c r="Q192" s="156">
        <v>4100</v>
      </c>
      <c r="R192" s="168">
        <v>1</v>
      </c>
      <c r="S192" s="170">
        <v>1509</v>
      </c>
      <c r="U192" s="156">
        <v>61.869</v>
      </c>
      <c r="V192" s="167">
        <v>6.9999999999999999E-6</v>
      </c>
      <c r="W192" s="167">
        <v>1.2745493674197099E-2</v>
      </c>
      <c r="X192" s="167">
        <v>2.6014590996717999E-3</v>
      </c>
    </row>
    <row r="193" spans="1:24">
      <c r="A193" s="5">
        <v>161</v>
      </c>
      <c r="B193" s="5">
        <v>12468</v>
      </c>
      <c r="C193" s="5" t="s">
        <v>942</v>
      </c>
      <c r="D193" s="5" t="s">
        <v>943</v>
      </c>
      <c r="E193" s="5" t="s">
        <v>149</v>
      </c>
      <c r="F193" s="5" t="s">
        <v>944</v>
      </c>
      <c r="G193" s="5" t="s">
        <v>945</v>
      </c>
      <c r="H193" s="5" t="s">
        <v>152</v>
      </c>
      <c r="I193" s="5" t="s">
        <v>930</v>
      </c>
      <c r="J193" s="5" t="s">
        <v>30</v>
      </c>
      <c r="K193" s="5" t="s">
        <v>30</v>
      </c>
      <c r="L193" s="3" t="s">
        <v>154</v>
      </c>
      <c r="M193" s="3" t="s">
        <v>31</v>
      </c>
      <c r="N193" s="5" t="s">
        <v>946</v>
      </c>
      <c r="O193" s="5" t="s">
        <v>156</v>
      </c>
      <c r="P193" s="5" t="s">
        <v>34</v>
      </c>
      <c r="Q193" s="156">
        <v>125</v>
      </c>
      <c r="R193" s="168">
        <v>1</v>
      </c>
      <c r="S193" s="170">
        <v>167700</v>
      </c>
      <c r="U193" s="156">
        <v>209.625</v>
      </c>
      <c r="V193" s="167">
        <v>3.0000000000000001E-6</v>
      </c>
      <c r="W193" s="167">
        <v>4.3184375235636098E-2</v>
      </c>
      <c r="X193" s="167">
        <v>8.8142828196463695E-3</v>
      </c>
    </row>
    <row r="194" spans="1:24">
      <c r="A194" s="5">
        <v>161</v>
      </c>
      <c r="B194" s="5">
        <v>12468</v>
      </c>
      <c r="C194" s="5" t="s">
        <v>181</v>
      </c>
      <c r="D194" s="5" t="s">
        <v>182</v>
      </c>
      <c r="E194" s="5" t="s">
        <v>149</v>
      </c>
      <c r="F194" s="5" t="s">
        <v>947</v>
      </c>
      <c r="G194" s="5" t="s">
        <v>948</v>
      </c>
      <c r="H194" s="5" t="s">
        <v>152</v>
      </c>
      <c r="I194" s="5" t="s">
        <v>930</v>
      </c>
      <c r="J194" s="5" t="s">
        <v>30</v>
      </c>
      <c r="K194" s="5" t="s">
        <v>30</v>
      </c>
      <c r="L194" s="3" t="s">
        <v>154</v>
      </c>
      <c r="M194" s="3" t="s">
        <v>31</v>
      </c>
      <c r="N194" s="5" t="s">
        <v>167</v>
      </c>
      <c r="O194" s="5" t="s">
        <v>156</v>
      </c>
      <c r="P194" s="5" t="s">
        <v>34</v>
      </c>
      <c r="Q194" s="156">
        <v>2630</v>
      </c>
      <c r="R194" s="168">
        <v>1</v>
      </c>
      <c r="S194" s="170">
        <v>3926</v>
      </c>
      <c r="U194" s="156">
        <v>103.254</v>
      </c>
      <c r="V194" s="167">
        <v>1.2E-5</v>
      </c>
      <c r="W194" s="167">
        <v>2.1271083333120201E-2</v>
      </c>
      <c r="X194" s="167">
        <v>4.3416014091983398E-3</v>
      </c>
    </row>
    <row r="195" spans="1:24">
      <c r="A195" s="5">
        <v>161</v>
      </c>
      <c r="B195" s="5">
        <v>12468</v>
      </c>
      <c r="C195" s="5" t="s">
        <v>196</v>
      </c>
      <c r="D195" s="5" t="s">
        <v>197</v>
      </c>
      <c r="E195" s="5" t="s">
        <v>149</v>
      </c>
      <c r="F195" s="5" t="s">
        <v>949</v>
      </c>
      <c r="G195" s="5" t="s">
        <v>950</v>
      </c>
      <c r="H195" s="5" t="s">
        <v>152</v>
      </c>
      <c r="I195" s="5" t="s">
        <v>930</v>
      </c>
      <c r="J195" s="5" t="s">
        <v>30</v>
      </c>
      <c r="K195" s="5" t="s">
        <v>30</v>
      </c>
      <c r="L195" s="3" t="s">
        <v>154</v>
      </c>
      <c r="M195" s="3" t="s">
        <v>31</v>
      </c>
      <c r="N195" s="5" t="s">
        <v>167</v>
      </c>
      <c r="O195" s="5" t="s">
        <v>156</v>
      </c>
      <c r="P195" s="5" t="s">
        <v>34</v>
      </c>
      <c r="Q195" s="156">
        <v>3999</v>
      </c>
      <c r="R195" s="168">
        <v>1</v>
      </c>
      <c r="S195" s="170">
        <v>2476</v>
      </c>
      <c r="U195" s="156">
        <v>99.015000000000001</v>
      </c>
      <c r="V195" s="167">
        <v>7.9999999999999996E-6</v>
      </c>
      <c r="W195" s="167">
        <v>2.0397907111301398E-2</v>
      </c>
      <c r="X195" s="167">
        <v>4.1633790283370897E-3</v>
      </c>
    </row>
    <row r="196" spans="1:24">
      <c r="A196" s="5">
        <v>161</v>
      </c>
      <c r="B196" s="5">
        <v>12468</v>
      </c>
      <c r="C196" s="5" t="s">
        <v>206</v>
      </c>
      <c r="D196" s="5" t="s">
        <v>207</v>
      </c>
      <c r="E196" s="5" t="s">
        <v>149</v>
      </c>
      <c r="F196" s="5" t="s">
        <v>951</v>
      </c>
      <c r="G196" s="5" t="s">
        <v>952</v>
      </c>
      <c r="H196" s="5" t="s">
        <v>152</v>
      </c>
      <c r="I196" s="5" t="s">
        <v>930</v>
      </c>
      <c r="J196" s="5" t="s">
        <v>30</v>
      </c>
      <c r="K196" s="5" t="s">
        <v>82</v>
      </c>
      <c r="L196" s="3" t="s">
        <v>154</v>
      </c>
      <c r="M196" s="3" t="s">
        <v>31</v>
      </c>
      <c r="N196" s="5" t="s">
        <v>210</v>
      </c>
      <c r="O196" s="5" t="s">
        <v>156</v>
      </c>
      <c r="P196" s="5" t="s">
        <v>34</v>
      </c>
      <c r="Q196" s="156">
        <v>1265.9000000000001</v>
      </c>
      <c r="R196" s="168">
        <v>1</v>
      </c>
      <c r="S196" s="170">
        <v>10190</v>
      </c>
      <c r="U196" s="156">
        <v>128.995</v>
      </c>
      <c r="V196" s="167">
        <v>1.0000000000000001E-5</v>
      </c>
      <c r="W196" s="167">
        <v>2.65740133678696E-2</v>
      </c>
      <c r="X196" s="167">
        <v>5.4239726336060903E-3</v>
      </c>
    </row>
    <row r="197" spans="1:24">
      <c r="A197" s="5">
        <v>161</v>
      </c>
      <c r="B197" s="5">
        <v>12468</v>
      </c>
      <c r="C197" s="5" t="s">
        <v>511</v>
      </c>
      <c r="D197" s="5" t="s">
        <v>512</v>
      </c>
      <c r="E197" s="5" t="s">
        <v>149</v>
      </c>
      <c r="F197" s="5" t="s">
        <v>953</v>
      </c>
      <c r="G197" s="5" t="s">
        <v>954</v>
      </c>
      <c r="H197" s="5" t="s">
        <v>152</v>
      </c>
      <c r="I197" s="5" t="s">
        <v>930</v>
      </c>
      <c r="J197" s="5" t="s">
        <v>30</v>
      </c>
      <c r="K197" s="5" t="s">
        <v>30</v>
      </c>
      <c r="L197" s="3" t="s">
        <v>154</v>
      </c>
      <c r="M197" s="3" t="s">
        <v>31</v>
      </c>
      <c r="N197" s="5" t="s">
        <v>210</v>
      </c>
      <c r="O197" s="5" t="s">
        <v>156</v>
      </c>
      <c r="P197" s="5" t="s">
        <v>34</v>
      </c>
      <c r="Q197" s="156">
        <v>4524</v>
      </c>
      <c r="R197" s="168">
        <v>1</v>
      </c>
      <c r="S197" s="170">
        <v>1428</v>
      </c>
      <c r="U197" s="156">
        <v>64.602999999999994</v>
      </c>
      <c r="V197" s="167">
        <v>7.9999999999999996E-6</v>
      </c>
      <c r="W197" s="167">
        <v>1.33086611888979E-2</v>
      </c>
      <c r="X197" s="167">
        <v>2.7164061776907599E-3</v>
      </c>
    </row>
    <row r="198" spans="1:24">
      <c r="A198" s="5">
        <v>161</v>
      </c>
      <c r="B198" s="5">
        <v>12468</v>
      </c>
      <c r="C198" s="5" t="s">
        <v>693</v>
      </c>
      <c r="D198" s="5" t="s">
        <v>694</v>
      </c>
      <c r="E198" s="5" t="s">
        <v>149</v>
      </c>
      <c r="F198" s="5" t="s">
        <v>955</v>
      </c>
      <c r="G198" s="5" t="s">
        <v>956</v>
      </c>
      <c r="H198" s="5" t="s">
        <v>152</v>
      </c>
      <c r="I198" s="5" t="s">
        <v>930</v>
      </c>
      <c r="J198" s="5" t="s">
        <v>30</v>
      </c>
      <c r="K198" s="5" t="s">
        <v>30</v>
      </c>
      <c r="L198" s="3" t="s">
        <v>154</v>
      </c>
      <c r="M198" s="3" t="s">
        <v>31</v>
      </c>
      <c r="N198" s="5" t="s">
        <v>697</v>
      </c>
      <c r="O198" s="5" t="s">
        <v>156</v>
      </c>
      <c r="P198" s="5" t="s">
        <v>34</v>
      </c>
      <c r="Q198" s="156">
        <v>16700</v>
      </c>
      <c r="R198" s="168">
        <v>1</v>
      </c>
      <c r="S198" s="170">
        <v>634.70000000000005</v>
      </c>
      <c r="T198" s="155">
        <v>3.5110000000000001</v>
      </c>
      <c r="U198" s="156">
        <v>109.506</v>
      </c>
      <c r="V198" s="167">
        <v>6.0000000000000002E-6</v>
      </c>
      <c r="W198" s="167">
        <v>2.25590808866598E-2</v>
      </c>
      <c r="X198" s="167">
        <v>4.6044922035183697E-3</v>
      </c>
    </row>
    <row r="199" spans="1:24">
      <c r="A199" s="5">
        <v>161</v>
      </c>
      <c r="B199" s="5">
        <v>12468</v>
      </c>
      <c r="C199" s="5" t="s">
        <v>1110</v>
      </c>
      <c r="D199" s="5" t="s">
        <v>1111</v>
      </c>
      <c r="E199" s="5" t="s">
        <v>149</v>
      </c>
      <c r="F199" s="5" t="s">
        <v>1112</v>
      </c>
      <c r="G199" s="5" t="s">
        <v>1113</v>
      </c>
      <c r="H199" s="5" t="s">
        <v>152</v>
      </c>
      <c r="I199" s="5" t="s">
        <v>930</v>
      </c>
      <c r="J199" s="5" t="s">
        <v>30</v>
      </c>
      <c r="K199" s="5" t="s">
        <v>30</v>
      </c>
      <c r="L199" s="3" t="s">
        <v>154</v>
      </c>
      <c r="M199" s="3" t="s">
        <v>31</v>
      </c>
      <c r="N199" s="5" t="s">
        <v>245</v>
      </c>
      <c r="O199" s="5" t="s">
        <v>156</v>
      </c>
      <c r="P199" s="5" t="s">
        <v>34</v>
      </c>
      <c r="Q199" s="156">
        <v>457</v>
      </c>
      <c r="R199" s="168">
        <v>1</v>
      </c>
      <c r="S199" s="170">
        <v>23710</v>
      </c>
      <c r="U199" s="156">
        <v>108.355</v>
      </c>
      <c r="V199" s="167">
        <v>5.0000000000000004E-6</v>
      </c>
      <c r="W199" s="167">
        <v>2.2321908280714502E-2</v>
      </c>
      <c r="X199" s="167">
        <v>4.5560833423395897E-3</v>
      </c>
    </row>
    <row r="200" spans="1:24">
      <c r="A200" s="5">
        <v>161</v>
      </c>
      <c r="B200" s="5">
        <v>12468</v>
      </c>
      <c r="C200" s="5" t="s">
        <v>957</v>
      </c>
      <c r="D200" s="5" t="s">
        <v>958</v>
      </c>
      <c r="E200" s="5" t="s">
        <v>149</v>
      </c>
      <c r="F200" s="5" t="s">
        <v>959</v>
      </c>
      <c r="G200" s="5" t="s">
        <v>960</v>
      </c>
      <c r="H200" s="5" t="s">
        <v>152</v>
      </c>
      <c r="I200" s="5" t="s">
        <v>930</v>
      </c>
      <c r="J200" s="5" t="s">
        <v>30</v>
      </c>
      <c r="K200" s="5" t="s">
        <v>30</v>
      </c>
      <c r="L200" s="3" t="s">
        <v>154</v>
      </c>
      <c r="M200" s="3" t="s">
        <v>31</v>
      </c>
      <c r="N200" s="5" t="s">
        <v>282</v>
      </c>
      <c r="O200" s="5" t="s">
        <v>156</v>
      </c>
      <c r="P200" s="5" t="s">
        <v>34</v>
      </c>
      <c r="Q200" s="156">
        <v>68</v>
      </c>
      <c r="R200" s="168">
        <v>1</v>
      </c>
      <c r="S200" s="170">
        <v>24800</v>
      </c>
      <c r="U200" s="156">
        <v>16.864000000000001</v>
      </c>
      <c r="V200" s="167">
        <v>7.9999999999999996E-6</v>
      </c>
      <c r="W200" s="167">
        <v>3.47411474763872E-3</v>
      </c>
      <c r="X200" s="167">
        <v>7.0909512448666097E-4</v>
      </c>
    </row>
    <row r="201" spans="1:24">
      <c r="A201" s="5">
        <v>161</v>
      </c>
      <c r="B201" s="5">
        <v>12468</v>
      </c>
      <c r="C201" s="5" t="s">
        <v>961</v>
      </c>
      <c r="D201" s="5" t="s">
        <v>962</v>
      </c>
      <c r="E201" s="5" t="s">
        <v>149</v>
      </c>
      <c r="F201" s="5" t="s">
        <v>963</v>
      </c>
      <c r="G201" s="5" t="s">
        <v>964</v>
      </c>
      <c r="H201" s="5" t="s">
        <v>152</v>
      </c>
      <c r="I201" s="5" t="s">
        <v>930</v>
      </c>
      <c r="J201" s="5" t="s">
        <v>30</v>
      </c>
      <c r="K201" s="5" t="s">
        <v>30</v>
      </c>
      <c r="L201" s="3" t="s">
        <v>154</v>
      </c>
      <c r="M201" s="3" t="s">
        <v>31</v>
      </c>
      <c r="N201" s="5" t="s">
        <v>245</v>
      </c>
      <c r="O201" s="5" t="s">
        <v>156</v>
      </c>
      <c r="P201" s="5" t="s">
        <v>34</v>
      </c>
      <c r="Q201" s="156">
        <v>4823</v>
      </c>
      <c r="R201" s="168">
        <v>1</v>
      </c>
      <c r="S201" s="170">
        <v>3274</v>
      </c>
      <c r="U201" s="156">
        <v>157.905</v>
      </c>
      <c r="V201" s="167">
        <v>3.9999999999999998E-6</v>
      </c>
      <c r="W201" s="167">
        <v>3.2529658367420999E-2</v>
      </c>
      <c r="X201" s="167">
        <v>6.6395683001641802E-3</v>
      </c>
    </row>
    <row r="202" spans="1:24">
      <c r="A202" s="5">
        <v>161</v>
      </c>
      <c r="B202" s="5">
        <v>12468</v>
      </c>
      <c r="C202" s="5" t="s">
        <v>965</v>
      </c>
      <c r="D202" s="5" t="s">
        <v>966</v>
      </c>
      <c r="E202" s="5" t="s">
        <v>149</v>
      </c>
      <c r="F202" s="5" t="s">
        <v>967</v>
      </c>
      <c r="G202" s="5" t="s">
        <v>968</v>
      </c>
      <c r="H202" s="5" t="s">
        <v>152</v>
      </c>
      <c r="I202" s="5" t="s">
        <v>930</v>
      </c>
      <c r="J202" s="5" t="s">
        <v>30</v>
      </c>
      <c r="K202" s="5" t="s">
        <v>30</v>
      </c>
      <c r="L202" s="3" t="s">
        <v>154</v>
      </c>
      <c r="M202" s="3" t="s">
        <v>31</v>
      </c>
      <c r="N202" s="5" t="s">
        <v>282</v>
      </c>
      <c r="O202" s="5" t="s">
        <v>156</v>
      </c>
      <c r="P202" s="5" t="s">
        <v>34</v>
      </c>
      <c r="Q202" s="156">
        <v>180</v>
      </c>
      <c r="R202" s="168">
        <v>1</v>
      </c>
      <c r="S202" s="170">
        <v>38150</v>
      </c>
      <c r="U202" s="156">
        <v>68.67</v>
      </c>
      <c r="V202" s="167">
        <v>9.0000000000000002E-6</v>
      </c>
      <c r="W202" s="167">
        <v>1.4146552402772201E-2</v>
      </c>
      <c r="X202" s="167">
        <v>2.88742660095464E-3</v>
      </c>
    </row>
    <row r="203" spans="1:24">
      <c r="A203" s="5">
        <v>161</v>
      </c>
      <c r="B203" s="5">
        <v>12468</v>
      </c>
      <c r="C203" s="5" t="s">
        <v>263</v>
      </c>
      <c r="D203" s="5" t="s">
        <v>264</v>
      </c>
      <c r="E203" s="5" t="s">
        <v>149</v>
      </c>
      <c r="F203" s="5" t="s">
        <v>969</v>
      </c>
      <c r="G203" s="5" t="s">
        <v>970</v>
      </c>
      <c r="H203" s="5" t="s">
        <v>152</v>
      </c>
      <c r="I203" s="5" t="s">
        <v>930</v>
      </c>
      <c r="J203" s="5" t="s">
        <v>30</v>
      </c>
      <c r="K203" s="5" t="s">
        <v>30</v>
      </c>
      <c r="L203" s="3" t="s">
        <v>154</v>
      </c>
      <c r="M203" s="3" t="s">
        <v>31</v>
      </c>
      <c r="N203" s="5" t="s">
        <v>155</v>
      </c>
      <c r="O203" s="5" t="s">
        <v>156</v>
      </c>
      <c r="P203" s="5" t="s">
        <v>34</v>
      </c>
      <c r="Q203" s="156">
        <v>1283</v>
      </c>
      <c r="R203" s="168">
        <v>1</v>
      </c>
      <c r="S203" s="170">
        <v>12400</v>
      </c>
      <c r="U203" s="156">
        <v>159.09200000000001</v>
      </c>
      <c r="V203" s="167">
        <v>5.0000000000000004E-6</v>
      </c>
      <c r="W203" s="167">
        <v>3.2774185450150602E-2</v>
      </c>
      <c r="X203" s="167">
        <v>6.6894782699734303E-3</v>
      </c>
    </row>
    <row r="204" spans="1:24">
      <c r="A204" s="5">
        <v>161</v>
      </c>
      <c r="B204" s="5">
        <v>12468</v>
      </c>
      <c r="C204" s="5" t="s">
        <v>278</v>
      </c>
      <c r="D204" s="5" t="s">
        <v>279</v>
      </c>
      <c r="E204" s="5" t="s">
        <v>149</v>
      </c>
      <c r="F204" s="5" t="s">
        <v>1246</v>
      </c>
      <c r="G204" s="5" t="s">
        <v>1247</v>
      </c>
      <c r="H204" s="5" t="s">
        <v>152</v>
      </c>
      <c r="I204" s="5" t="s">
        <v>930</v>
      </c>
      <c r="J204" s="5" t="s">
        <v>30</v>
      </c>
      <c r="K204" s="5" t="s">
        <v>30</v>
      </c>
      <c r="L204" s="3" t="s">
        <v>154</v>
      </c>
      <c r="M204" s="3" t="s">
        <v>31</v>
      </c>
      <c r="N204" s="5" t="s">
        <v>282</v>
      </c>
      <c r="O204" s="5" t="s">
        <v>156</v>
      </c>
      <c r="P204" s="5" t="s">
        <v>34</v>
      </c>
      <c r="Q204" s="156">
        <v>2800</v>
      </c>
      <c r="R204" s="168">
        <v>1</v>
      </c>
      <c r="S204" s="170">
        <v>2153</v>
      </c>
      <c r="U204" s="156">
        <v>60.283999999999999</v>
      </c>
      <c r="V204" s="167">
        <v>4.5000000000000003E-5</v>
      </c>
      <c r="W204" s="167">
        <v>1.24189713855937E-2</v>
      </c>
      <c r="X204" s="167">
        <v>2.53481324030799E-3</v>
      </c>
    </row>
    <row r="205" spans="1:24">
      <c r="A205" s="5">
        <v>161</v>
      </c>
      <c r="B205" s="5">
        <v>12468</v>
      </c>
      <c r="C205" s="5" t="s">
        <v>971</v>
      </c>
      <c r="D205" s="5" t="s">
        <v>972</v>
      </c>
      <c r="E205" s="5" t="s">
        <v>149</v>
      </c>
      <c r="F205" s="5" t="s">
        <v>973</v>
      </c>
      <c r="G205" s="5" t="s">
        <v>974</v>
      </c>
      <c r="H205" s="5" t="s">
        <v>152</v>
      </c>
      <c r="I205" s="5" t="s">
        <v>930</v>
      </c>
      <c r="J205" s="5" t="s">
        <v>30</v>
      </c>
      <c r="K205" s="5" t="s">
        <v>82</v>
      </c>
      <c r="L205" s="3" t="s">
        <v>154</v>
      </c>
      <c r="M205" s="3" t="s">
        <v>31</v>
      </c>
      <c r="N205" s="5" t="s">
        <v>975</v>
      </c>
      <c r="O205" s="5" t="s">
        <v>156</v>
      </c>
      <c r="P205" s="5" t="s">
        <v>34</v>
      </c>
      <c r="Q205" s="156">
        <v>2533</v>
      </c>
      <c r="R205" s="168">
        <v>1</v>
      </c>
      <c r="S205" s="170">
        <v>6440</v>
      </c>
      <c r="U205" s="156">
        <v>163.125</v>
      </c>
      <c r="V205" s="167">
        <v>1.9999999999999999E-6</v>
      </c>
      <c r="W205" s="167">
        <v>3.3605055919800501E-2</v>
      </c>
      <c r="X205" s="167">
        <v>6.85906570214134E-3</v>
      </c>
    </row>
    <row r="206" spans="1:24">
      <c r="A206" s="5">
        <v>161</v>
      </c>
      <c r="B206" s="5">
        <v>12468</v>
      </c>
      <c r="C206" s="5" t="s">
        <v>768</v>
      </c>
      <c r="D206" s="5" t="s">
        <v>769</v>
      </c>
      <c r="E206" s="5" t="s">
        <v>149</v>
      </c>
      <c r="F206" s="5" t="s">
        <v>976</v>
      </c>
      <c r="G206" s="5" t="s">
        <v>977</v>
      </c>
      <c r="H206" s="5" t="s">
        <v>152</v>
      </c>
      <c r="I206" s="5" t="s">
        <v>930</v>
      </c>
      <c r="J206" s="5" t="s">
        <v>30</v>
      </c>
      <c r="K206" s="5" t="s">
        <v>30</v>
      </c>
      <c r="L206" s="3" t="s">
        <v>154</v>
      </c>
      <c r="M206" s="3" t="s">
        <v>31</v>
      </c>
      <c r="N206" s="5" t="s">
        <v>282</v>
      </c>
      <c r="O206" s="5" t="s">
        <v>156</v>
      </c>
      <c r="P206" s="5" t="s">
        <v>34</v>
      </c>
      <c r="Q206" s="156">
        <v>3613</v>
      </c>
      <c r="R206" s="168">
        <v>1</v>
      </c>
      <c r="S206" s="170">
        <v>1463</v>
      </c>
      <c r="U206" s="156">
        <v>52.857999999999997</v>
      </c>
      <c r="V206" s="167">
        <v>1.1E-5</v>
      </c>
      <c r="W206" s="167">
        <v>1.08891969528279E-2</v>
      </c>
      <c r="X206" s="167">
        <v>2.2225738151203499E-3</v>
      </c>
    </row>
    <row r="207" spans="1:24">
      <c r="A207" s="5">
        <v>161</v>
      </c>
      <c r="B207" s="5">
        <v>12468</v>
      </c>
      <c r="C207" s="5" t="s">
        <v>536</v>
      </c>
      <c r="D207" s="5" t="s">
        <v>537</v>
      </c>
      <c r="E207" s="5" t="s">
        <v>149</v>
      </c>
      <c r="F207" s="5" t="s">
        <v>978</v>
      </c>
      <c r="G207" s="5" t="s">
        <v>979</v>
      </c>
      <c r="H207" s="5" t="s">
        <v>152</v>
      </c>
      <c r="I207" s="5" t="s">
        <v>930</v>
      </c>
      <c r="J207" s="5" t="s">
        <v>30</v>
      </c>
      <c r="K207" s="5" t="s">
        <v>30</v>
      </c>
      <c r="L207" s="3" t="s">
        <v>154</v>
      </c>
      <c r="M207" s="3" t="s">
        <v>31</v>
      </c>
      <c r="N207" s="5" t="s">
        <v>155</v>
      </c>
      <c r="O207" s="5" t="s">
        <v>156</v>
      </c>
      <c r="P207" s="5" t="s">
        <v>34</v>
      </c>
      <c r="Q207" s="156">
        <v>1020</v>
      </c>
      <c r="R207" s="168">
        <v>1</v>
      </c>
      <c r="S207" s="170">
        <v>16970</v>
      </c>
      <c r="U207" s="156">
        <v>173.09399999999999</v>
      </c>
      <c r="V207" s="167">
        <v>1.2999999999999999E-5</v>
      </c>
      <c r="W207" s="167">
        <v>3.5658706008525602E-2</v>
      </c>
      <c r="X207" s="167">
        <v>7.2782324168580497E-3</v>
      </c>
    </row>
    <row r="208" spans="1:24">
      <c r="A208" s="5">
        <v>161</v>
      </c>
      <c r="B208" s="5">
        <v>12468</v>
      </c>
      <c r="C208" s="5" t="s">
        <v>321</v>
      </c>
      <c r="D208" s="5" t="s">
        <v>322</v>
      </c>
      <c r="E208" s="5" t="s">
        <v>149</v>
      </c>
      <c r="F208" s="5" t="s">
        <v>928</v>
      </c>
      <c r="G208" s="5" t="s">
        <v>929</v>
      </c>
      <c r="H208" s="5" t="s">
        <v>152</v>
      </c>
      <c r="I208" s="5" t="s">
        <v>930</v>
      </c>
      <c r="J208" s="5" t="s">
        <v>30</v>
      </c>
      <c r="K208" s="5" t="s">
        <v>30</v>
      </c>
      <c r="L208" s="3" t="s">
        <v>154</v>
      </c>
      <c r="M208" s="3" t="s">
        <v>31</v>
      </c>
      <c r="N208" s="5" t="s">
        <v>245</v>
      </c>
      <c r="O208" s="5" t="s">
        <v>156</v>
      </c>
      <c r="P208" s="5" t="s">
        <v>34</v>
      </c>
      <c r="Q208" s="156">
        <v>5374</v>
      </c>
      <c r="R208" s="168">
        <v>1</v>
      </c>
      <c r="S208" s="170">
        <v>6529</v>
      </c>
      <c r="U208" s="156">
        <v>350.86799999999999</v>
      </c>
      <c r="V208" s="167">
        <v>3.0000000000000001E-6</v>
      </c>
      <c r="W208" s="167">
        <v>7.2281623064948203E-2</v>
      </c>
      <c r="X208" s="167">
        <v>1.47532681642637E-2</v>
      </c>
    </row>
    <row r="209" spans="1:24">
      <c r="A209" s="5">
        <v>161</v>
      </c>
      <c r="B209" s="5">
        <v>12468</v>
      </c>
      <c r="C209" s="5" t="s">
        <v>495</v>
      </c>
      <c r="D209" s="5" t="s">
        <v>496</v>
      </c>
      <c r="E209" s="5" t="s">
        <v>149</v>
      </c>
      <c r="F209" s="5" t="s">
        <v>980</v>
      </c>
      <c r="G209" s="5" t="s">
        <v>981</v>
      </c>
      <c r="H209" s="5" t="s">
        <v>152</v>
      </c>
      <c r="I209" s="5" t="s">
        <v>930</v>
      </c>
      <c r="J209" s="5" t="s">
        <v>30</v>
      </c>
      <c r="K209" s="5" t="s">
        <v>30</v>
      </c>
      <c r="L209" s="3" t="s">
        <v>154</v>
      </c>
      <c r="M209" s="3" t="s">
        <v>31</v>
      </c>
      <c r="N209" s="5" t="s">
        <v>245</v>
      </c>
      <c r="O209" s="5" t="s">
        <v>156</v>
      </c>
      <c r="P209" s="5" t="s">
        <v>34</v>
      </c>
      <c r="Q209" s="156">
        <v>760</v>
      </c>
      <c r="R209" s="168">
        <v>1</v>
      </c>
      <c r="S209" s="170">
        <v>21790</v>
      </c>
      <c r="U209" s="156">
        <v>165.60400000000001</v>
      </c>
      <c r="V209" s="167">
        <v>3.0000000000000001E-6</v>
      </c>
      <c r="W209" s="167">
        <v>3.4115707938090802E-2</v>
      </c>
      <c r="X209" s="167">
        <v>6.96329393948583E-3</v>
      </c>
    </row>
    <row r="210" spans="1:24">
      <c r="A210" s="5">
        <v>161</v>
      </c>
      <c r="B210" s="5">
        <v>12468</v>
      </c>
      <c r="C210" s="5" t="s">
        <v>396</v>
      </c>
      <c r="D210" s="5" t="s">
        <v>397</v>
      </c>
      <c r="E210" s="5" t="s">
        <v>149</v>
      </c>
      <c r="F210" s="5" t="s">
        <v>982</v>
      </c>
      <c r="G210" s="5" t="s">
        <v>983</v>
      </c>
      <c r="H210" s="5" t="s">
        <v>152</v>
      </c>
      <c r="I210" s="5" t="s">
        <v>930</v>
      </c>
      <c r="J210" s="5" t="s">
        <v>30</v>
      </c>
      <c r="K210" s="5" t="s">
        <v>30</v>
      </c>
      <c r="L210" s="3" t="s">
        <v>154</v>
      </c>
      <c r="M210" s="3" t="s">
        <v>31</v>
      </c>
      <c r="N210" s="5" t="s">
        <v>167</v>
      </c>
      <c r="O210" s="5" t="s">
        <v>156</v>
      </c>
      <c r="P210" s="5" t="s">
        <v>34</v>
      </c>
      <c r="Q210" s="156">
        <v>279</v>
      </c>
      <c r="R210" s="168">
        <v>1</v>
      </c>
      <c r="S210" s="170">
        <v>40000</v>
      </c>
      <c r="U210" s="156">
        <v>111.6</v>
      </c>
      <c r="V210" s="167">
        <v>6.0000000000000002E-6</v>
      </c>
      <c r="W210" s="167">
        <v>2.29904652417268E-2</v>
      </c>
      <c r="X210" s="167">
        <v>4.69254126498526E-3</v>
      </c>
    </row>
    <row r="211" spans="1:24">
      <c r="A211" s="5">
        <v>161</v>
      </c>
      <c r="B211" s="5">
        <v>12468</v>
      </c>
      <c r="C211" s="5" t="s">
        <v>603</v>
      </c>
      <c r="D211" s="5" t="s">
        <v>604</v>
      </c>
      <c r="E211" s="5" t="s">
        <v>149</v>
      </c>
      <c r="F211" s="5" t="s">
        <v>984</v>
      </c>
      <c r="G211" s="5" t="s">
        <v>985</v>
      </c>
      <c r="H211" s="5" t="s">
        <v>152</v>
      </c>
      <c r="I211" s="5" t="s">
        <v>930</v>
      </c>
      <c r="J211" s="5" t="s">
        <v>30</v>
      </c>
      <c r="K211" s="5" t="s">
        <v>30</v>
      </c>
      <c r="L211" s="3" t="s">
        <v>154</v>
      </c>
      <c r="M211" s="3" t="s">
        <v>31</v>
      </c>
      <c r="N211" s="5" t="s">
        <v>155</v>
      </c>
      <c r="O211" s="5" t="s">
        <v>156</v>
      </c>
      <c r="P211" s="5" t="s">
        <v>34</v>
      </c>
      <c r="Q211" s="156">
        <v>200</v>
      </c>
      <c r="R211" s="168">
        <v>1</v>
      </c>
      <c r="S211" s="170">
        <v>32500</v>
      </c>
      <c r="U211" s="156">
        <v>65</v>
      </c>
      <c r="V211" s="167">
        <v>3.0000000000000001E-6</v>
      </c>
      <c r="W211" s="167">
        <v>1.3390503949034399E-2</v>
      </c>
      <c r="X211" s="167">
        <v>2.7331109518283301E-3</v>
      </c>
    </row>
    <row r="212" spans="1:24">
      <c r="A212" s="5">
        <v>161</v>
      </c>
      <c r="B212" s="5">
        <v>12468</v>
      </c>
      <c r="C212" s="5" t="s">
        <v>815</v>
      </c>
      <c r="D212" s="5" t="s">
        <v>816</v>
      </c>
      <c r="E212" s="5" t="s">
        <v>817</v>
      </c>
      <c r="F212" s="5" t="s">
        <v>986</v>
      </c>
      <c r="G212" s="5" t="s">
        <v>987</v>
      </c>
      <c r="H212" s="5" t="s">
        <v>152</v>
      </c>
      <c r="I212" s="5" t="s">
        <v>930</v>
      </c>
      <c r="J212" s="5" t="s">
        <v>30</v>
      </c>
      <c r="K212" s="5" t="s">
        <v>82</v>
      </c>
      <c r="L212" s="3" t="s">
        <v>154</v>
      </c>
      <c r="M212" s="3" t="s">
        <v>31</v>
      </c>
      <c r="N212" s="5" t="s">
        <v>487</v>
      </c>
      <c r="O212" s="5" t="s">
        <v>156</v>
      </c>
      <c r="P212" s="5" t="s">
        <v>34</v>
      </c>
      <c r="Q212" s="156">
        <v>2105</v>
      </c>
      <c r="R212" s="168">
        <v>1</v>
      </c>
      <c r="S212" s="170">
        <v>11190</v>
      </c>
      <c r="U212" s="156">
        <v>235.54900000000001</v>
      </c>
      <c r="V212" s="167">
        <v>1.8E-5</v>
      </c>
      <c r="W212" s="167">
        <v>4.8525023229893702E-2</v>
      </c>
      <c r="X212" s="167">
        <v>9.9043525868875004E-3</v>
      </c>
    </row>
    <row r="213" spans="1:24">
      <c r="A213" s="5">
        <v>161</v>
      </c>
      <c r="B213" s="5">
        <v>12468</v>
      </c>
      <c r="C213" s="5" t="s">
        <v>988</v>
      </c>
      <c r="D213" s="5" t="s">
        <v>989</v>
      </c>
      <c r="E213" s="5" t="s">
        <v>149</v>
      </c>
      <c r="F213" s="5" t="s">
        <v>990</v>
      </c>
      <c r="G213" s="5" t="s">
        <v>991</v>
      </c>
      <c r="H213" s="5" t="s">
        <v>152</v>
      </c>
      <c r="I213" s="5" t="s">
        <v>930</v>
      </c>
      <c r="J213" s="5" t="s">
        <v>30</v>
      </c>
      <c r="K213" s="5" t="s">
        <v>237</v>
      </c>
      <c r="L213" s="3" t="s">
        <v>154</v>
      </c>
      <c r="M213" s="3" t="s">
        <v>31</v>
      </c>
      <c r="N213" s="5" t="s">
        <v>992</v>
      </c>
      <c r="O213" s="5" t="s">
        <v>156</v>
      </c>
      <c r="P213" s="5" t="s">
        <v>34</v>
      </c>
      <c r="Q213" s="156">
        <v>128</v>
      </c>
      <c r="R213" s="168">
        <v>1</v>
      </c>
      <c r="S213" s="170">
        <v>104950</v>
      </c>
      <c r="U213" s="156">
        <v>134.33600000000001</v>
      </c>
      <c r="V213" s="167">
        <v>3.9999999999999998E-6</v>
      </c>
      <c r="W213" s="167">
        <v>2.7674257515345999E-2</v>
      </c>
      <c r="X213" s="167">
        <v>5.6485414280740102E-3</v>
      </c>
    </row>
    <row r="214" spans="1:24">
      <c r="A214" s="5">
        <v>161</v>
      </c>
      <c r="B214" s="5">
        <v>12468</v>
      </c>
      <c r="C214" s="5" t="s">
        <v>993</v>
      </c>
      <c r="D214" s="5" t="s">
        <v>994</v>
      </c>
      <c r="E214" s="5" t="s">
        <v>817</v>
      </c>
      <c r="F214" s="5" t="s">
        <v>995</v>
      </c>
      <c r="G214" s="5" t="s">
        <v>996</v>
      </c>
      <c r="H214" s="5" t="s">
        <v>152</v>
      </c>
      <c r="I214" s="5" t="s">
        <v>930</v>
      </c>
      <c r="J214" s="5" t="s">
        <v>30</v>
      </c>
      <c r="K214" s="5" t="s">
        <v>30</v>
      </c>
      <c r="L214" s="3" t="s">
        <v>154</v>
      </c>
      <c r="M214" s="3" t="s">
        <v>31</v>
      </c>
      <c r="N214" s="5" t="s">
        <v>487</v>
      </c>
      <c r="O214" s="5" t="s">
        <v>156</v>
      </c>
      <c r="P214" s="5" t="s">
        <v>34</v>
      </c>
      <c r="Q214" s="156">
        <v>7029</v>
      </c>
      <c r="R214" s="168">
        <v>1</v>
      </c>
      <c r="S214" s="170">
        <v>1744</v>
      </c>
      <c r="U214" s="156">
        <v>122.586</v>
      </c>
      <c r="V214" s="167">
        <v>6.0000000000000002E-6</v>
      </c>
      <c r="W214" s="167">
        <v>2.5253616975005999E-2</v>
      </c>
      <c r="X214" s="167">
        <v>5.1544689722184496E-3</v>
      </c>
    </row>
    <row r="215" spans="1:24">
      <c r="A215" s="5">
        <v>161</v>
      </c>
      <c r="B215" s="5">
        <v>12468</v>
      </c>
      <c r="C215" s="5" t="s">
        <v>997</v>
      </c>
      <c r="D215" s="5" t="s">
        <v>998</v>
      </c>
      <c r="E215" s="5" t="s">
        <v>149</v>
      </c>
      <c r="F215" s="5" t="s">
        <v>999</v>
      </c>
      <c r="G215" s="5" t="s">
        <v>1000</v>
      </c>
      <c r="H215" s="5" t="s">
        <v>152</v>
      </c>
      <c r="I215" s="5" t="s">
        <v>930</v>
      </c>
      <c r="J215" s="5" t="s">
        <v>30</v>
      </c>
      <c r="K215" s="5" t="s">
        <v>82</v>
      </c>
      <c r="L215" s="3" t="s">
        <v>154</v>
      </c>
      <c r="M215" s="3" t="s">
        <v>31</v>
      </c>
      <c r="N215" s="5" t="s">
        <v>923</v>
      </c>
      <c r="O215" s="5" t="s">
        <v>156</v>
      </c>
      <c r="P215" s="5" t="s">
        <v>34</v>
      </c>
      <c r="Q215" s="156">
        <v>185</v>
      </c>
      <c r="R215" s="168">
        <v>1</v>
      </c>
      <c r="S215" s="170">
        <v>48800</v>
      </c>
      <c r="U215" s="156">
        <v>90.28</v>
      </c>
      <c r="V215" s="167">
        <v>1.9999999999999999E-6</v>
      </c>
      <c r="W215" s="167">
        <v>1.8598379946443502E-2</v>
      </c>
      <c r="X215" s="167">
        <v>3.7960808727855698E-3</v>
      </c>
    </row>
    <row r="216" spans="1:24">
      <c r="A216" s="5">
        <v>161</v>
      </c>
      <c r="B216" s="5">
        <v>12468</v>
      </c>
      <c r="C216" s="5" t="s">
        <v>1001</v>
      </c>
      <c r="D216" s="5" t="s">
        <v>1002</v>
      </c>
      <c r="E216" s="5" t="s">
        <v>149</v>
      </c>
      <c r="F216" s="5" t="s">
        <v>1001</v>
      </c>
      <c r="G216" s="5" t="s">
        <v>1003</v>
      </c>
      <c r="H216" s="5" t="s">
        <v>152</v>
      </c>
      <c r="I216" s="5" t="s">
        <v>930</v>
      </c>
      <c r="J216" s="5" t="s">
        <v>30</v>
      </c>
      <c r="K216" s="5" t="s">
        <v>30</v>
      </c>
      <c r="L216" s="3" t="s">
        <v>154</v>
      </c>
      <c r="M216" s="3" t="s">
        <v>31</v>
      </c>
      <c r="N216" s="5" t="s">
        <v>1004</v>
      </c>
      <c r="O216" s="5" t="s">
        <v>156</v>
      </c>
      <c r="P216" s="5" t="s">
        <v>34</v>
      </c>
      <c r="Q216" s="156">
        <v>2263</v>
      </c>
      <c r="R216" s="168">
        <v>1</v>
      </c>
      <c r="S216" s="170">
        <v>15000</v>
      </c>
      <c r="U216" s="156">
        <v>339.45</v>
      </c>
      <c r="V216" s="167">
        <v>2.8E-5</v>
      </c>
      <c r="W216" s="167">
        <v>6.9929331776919096E-2</v>
      </c>
      <c r="X216" s="167">
        <v>1.4273146347663501E-2</v>
      </c>
    </row>
    <row r="217" spans="1:24">
      <c r="A217" s="5">
        <v>161</v>
      </c>
      <c r="B217" s="5">
        <v>12468</v>
      </c>
      <c r="C217" s="5" t="s">
        <v>420</v>
      </c>
      <c r="D217" s="5" t="s">
        <v>421</v>
      </c>
      <c r="E217" s="5" t="s">
        <v>149</v>
      </c>
      <c r="F217" s="5" t="s">
        <v>1005</v>
      </c>
      <c r="G217" s="5" t="s">
        <v>1006</v>
      </c>
      <c r="H217" s="5" t="s">
        <v>152</v>
      </c>
      <c r="I217" s="5" t="s">
        <v>930</v>
      </c>
      <c r="J217" s="5" t="s">
        <v>30</v>
      </c>
      <c r="K217" s="5" t="s">
        <v>30</v>
      </c>
      <c r="L217" s="3" t="s">
        <v>154</v>
      </c>
      <c r="M217" s="3" t="s">
        <v>31</v>
      </c>
      <c r="N217" s="5" t="s">
        <v>167</v>
      </c>
      <c r="O217" s="5" t="s">
        <v>156</v>
      </c>
      <c r="P217" s="5" t="s">
        <v>34</v>
      </c>
      <c r="Q217" s="156">
        <v>558</v>
      </c>
      <c r="R217" s="168">
        <v>1</v>
      </c>
      <c r="S217" s="170">
        <v>32870</v>
      </c>
      <c r="U217" s="156">
        <v>183.41499999999999</v>
      </c>
      <c r="V217" s="167">
        <v>5.0000000000000004E-6</v>
      </c>
      <c r="W217" s="167">
        <v>3.7784829624777999E-2</v>
      </c>
      <c r="X217" s="167">
        <v>7.71219156900327E-3</v>
      </c>
    </row>
    <row r="218" spans="1:24">
      <c r="A218" s="5">
        <v>161</v>
      </c>
      <c r="B218" s="5">
        <v>12468</v>
      </c>
      <c r="C218" s="5" t="s">
        <v>429</v>
      </c>
      <c r="D218" s="5" t="s">
        <v>430</v>
      </c>
      <c r="E218" s="5" t="s">
        <v>149</v>
      </c>
      <c r="F218" s="5" t="s">
        <v>931</v>
      </c>
      <c r="G218" s="5" t="s">
        <v>932</v>
      </c>
      <c r="H218" s="5" t="s">
        <v>152</v>
      </c>
      <c r="I218" s="5" t="s">
        <v>930</v>
      </c>
      <c r="J218" s="5" t="s">
        <v>30</v>
      </c>
      <c r="K218" s="5" t="s">
        <v>30</v>
      </c>
      <c r="L218" s="3" t="s">
        <v>154</v>
      </c>
      <c r="M218" s="3" t="s">
        <v>31</v>
      </c>
      <c r="N218" s="5" t="s">
        <v>245</v>
      </c>
      <c r="O218" s="5" t="s">
        <v>156</v>
      </c>
      <c r="P218" s="5" t="s">
        <v>34</v>
      </c>
      <c r="Q218" s="156">
        <v>4821</v>
      </c>
      <c r="R218" s="168">
        <v>1</v>
      </c>
      <c r="S218" s="170">
        <v>6732</v>
      </c>
      <c r="U218" s="156">
        <v>324.55</v>
      </c>
      <c r="V218" s="167">
        <v>3.9999999999999998E-6</v>
      </c>
      <c r="W218" s="167">
        <v>6.6859758574123407E-2</v>
      </c>
      <c r="X218" s="167">
        <v>1.36466214483818E-2</v>
      </c>
    </row>
    <row r="219" spans="1:24">
      <c r="A219" s="5">
        <v>161</v>
      </c>
      <c r="B219" s="5">
        <v>12468</v>
      </c>
      <c r="C219" s="5" t="s">
        <v>1007</v>
      </c>
      <c r="D219" s="5" t="s">
        <v>1008</v>
      </c>
      <c r="E219" s="5" t="s">
        <v>149</v>
      </c>
      <c r="F219" s="5" t="s">
        <v>1009</v>
      </c>
      <c r="G219" s="5" t="s">
        <v>1010</v>
      </c>
      <c r="H219" s="5" t="s">
        <v>152</v>
      </c>
      <c r="I219" s="5" t="s">
        <v>930</v>
      </c>
      <c r="J219" s="5" t="s">
        <v>30</v>
      </c>
      <c r="K219" s="5" t="s">
        <v>30</v>
      </c>
      <c r="L219" s="3" t="s">
        <v>154</v>
      </c>
      <c r="M219" s="3" t="s">
        <v>31</v>
      </c>
      <c r="N219" s="5" t="s">
        <v>1011</v>
      </c>
      <c r="O219" s="5" t="s">
        <v>156</v>
      </c>
      <c r="P219" s="5" t="s">
        <v>34</v>
      </c>
      <c r="Q219" s="156">
        <v>233</v>
      </c>
      <c r="R219" s="168">
        <v>1</v>
      </c>
      <c r="S219" s="170">
        <v>35060</v>
      </c>
      <c r="U219" s="156">
        <v>81.69</v>
      </c>
      <c r="V219" s="167">
        <v>1.7E-5</v>
      </c>
      <c r="W219" s="167">
        <v>1.6828732146089698E-2</v>
      </c>
      <c r="X219" s="167">
        <v>3.4348813389640902E-3</v>
      </c>
    </row>
    <row r="220" spans="1:24">
      <c r="A220" s="5">
        <v>161</v>
      </c>
      <c r="B220" s="5">
        <v>12468</v>
      </c>
      <c r="C220" s="5" t="s">
        <v>1012</v>
      </c>
      <c r="D220" s="5" t="s">
        <v>1013</v>
      </c>
      <c r="E220" s="5" t="s">
        <v>149</v>
      </c>
      <c r="F220" s="5" t="s">
        <v>1014</v>
      </c>
      <c r="G220" s="5" t="s">
        <v>1015</v>
      </c>
      <c r="H220" s="5" t="s">
        <v>152</v>
      </c>
      <c r="I220" s="5" t="s">
        <v>930</v>
      </c>
      <c r="J220" s="5" t="s">
        <v>30</v>
      </c>
      <c r="K220" s="5" t="s">
        <v>30</v>
      </c>
      <c r="L220" s="3" t="s">
        <v>154</v>
      </c>
      <c r="M220" s="3" t="s">
        <v>31</v>
      </c>
      <c r="N220" s="5" t="s">
        <v>906</v>
      </c>
      <c r="O220" s="5" t="s">
        <v>156</v>
      </c>
      <c r="P220" s="5" t="s">
        <v>34</v>
      </c>
      <c r="Q220" s="156">
        <v>7346</v>
      </c>
      <c r="R220" s="168">
        <v>1</v>
      </c>
      <c r="S220" s="170">
        <v>875.3</v>
      </c>
      <c r="U220" s="156">
        <v>64.3</v>
      </c>
      <c r="V220" s="167">
        <v>2.5000000000000001E-5</v>
      </c>
      <c r="W220" s="167">
        <v>1.3246203346309099E-2</v>
      </c>
      <c r="X220" s="167">
        <v>2.7036580231584902E-3</v>
      </c>
    </row>
    <row r="221" spans="1:24">
      <c r="A221" s="5">
        <v>161</v>
      </c>
      <c r="B221" s="5">
        <v>12468</v>
      </c>
      <c r="C221" s="5" t="s">
        <v>1016</v>
      </c>
      <c r="D221" s="5" t="s">
        <v>1017</v>
      </c>
      <c r="E221" s="5" t="s">
        <v>149</v>
      </c>
      <c r="F221" s="5" t="s">
        <v>1018</v>
      </c>
      <c r="G221" s="5" t="s">
        <v>1019</v>
      </c>
      <c r="H221" s="5" t="s">
        <v>152</v>
      </c>
      <c r="I221" s="5" t="s">
        <v>930</v>
      </c>
      <c r="J221" s="5" t="s">
        <v>30</v>
      </c>
      <c r="K221" s="5" t="s">
        <v>237</v>
      </c>
      <c r="L221" s="3" t="s">
        <v>154</v>
      </c>
      <c r="M221" s="3" t="s">
        <v>31</v>
      </c>
      <c r="N221" s="5" t="s">
        <v>992</v>
      </c>
      <c r="O221" s="5" t="s">
        <v>156</v>
      </c>
      <c r="P221" s="5" t="s">
        <v>34</v>
      </c>
      <c r="Q221" s="156">
        <v>208</v>
      </c>
      <c r="R221" s="168">
        <v>1</v>
      </c>
      <c r="S221" s="170">
        <v>34590</v>
      </c>
      <c r="U221" s="156">
        <v>71.947000000000003</v>
      </c>
      <c r="V221" s="167">
        <v>3.9999999999999998E-6</v>
      </c>
      <c r="W221" s="167">
        <v>1.48216810111072E-2</v>
      </c>
      <c r="X221" s="167">
        <v>3.02522585035974E-3</v>
      </c>
    </row>
    <row r="222" spans="1:24">
      <c r="A222" s="5">
        <v>161</v>
      </c>
      <c r="B222" s="5">
        <v>12468</v>
      </c>
      <c r="C222" s="5" t="s">
        <v>1020</v>
      </c>
      <c r="D222" s="5" t="s">
        <v>1021</v>
      </c>
      <c r="E222" s="5" t="s">
        <v>817</v>
      </c>
      <c r="F222" s="5" t="s">
        <v>1022</v>
      </c>
      <c r="G222" s="5" t="s">
        <v>1023</v>
      </c>
      <c r="H222" s="5" t="s">
        <v>152</v>
      </c>
      <c r="I222" s="5" t="s">
        <v>930</v>
      </c>
      <c r="J222" s="5" t="s">
        <v>30</v>
      </c>
      <c r="K222" s="5" t="s">
        <v>30</v>
      </c>
      <c r="L222" s="3" t="s">
        <v>154</v>
      </c>
      <c r="M222" s="3" t="s">
        <v>31</v>
      </c>
      <c r="N222" s="5" t="s">
        <v>487</v>
      </c>
      <c r="O222" s="5" t="s">
        <v>156</v>
      </c>
      <c r="P222" s="5" t="s">
        <v>34</v>
      </c>
      <c r="Q222" s="156">
        <v>4548</v>
      </c>
      <c r="R222" s="168">
        <v>1</v>
      </c>
      <c r="S222" s="170">
        <v>454.7</v>
      </c>
      <c r="U222" s="156">
        <v>20.68</v>
      </c>
      <c r="V222" s="167">
        <v>3.9999999999999998E-6</v>
      </c>
      <c r="W222" s="167">
        <v>4.2601900674318297E-3</v>
      </c>
      <c r="X222" s="167">
        <v>8.6953950161134904E-4</v>
      </c>
    </row>
    <row r="223" spans="1:24">
      <c r="A223" s="5">
        <v>161</v>
      </c>
      <c r="B223" s="5">
        <v>12468</v>
      </c>
      <c r="C223" s="5" t="s">
        <v>1024</v>
      </c>
      <c r="D223" s="5" t="s">
        <v>1025</v>
      </c>
      <c r="E223" s="5" t="s">
        <v>935</v>
      </c>
      <c r="F223" s="5" t="s">
        <v>1026</v>
      </c>
      <c r="G223" s="5" t="s">
        <v>1027</v>
      </c>
      <c r="H223" s="5" t="s">
        <v>152</v>
      </c>
      <c r="I223" s="5" t="s">
        <v>930</v>
      </c>
      <c r="J223" s="5" t="s">
        <v>81</v>
      </c>
      <c r="K223" s="5" t="s">
        <v>1028</v>
      </c>
      <c r="L223" s="3" t="s">
        <v>154</v>
      </c>
      <c r="M223" s="3" t="s">
        <v>1029</v>
      </c>
      <c r="N223" s="5" t="s">
        <v>1030</v>
      </c>
      <c r="O223" s="5" t="s">
        <v>156</v>
      </c>
      <c r="P223" s="5" t="s">
        <v>86</v>
      </c>
      <c r="Q223" s="156">
        <v>55</v>
      </c>
      <c r="R223" s="168">
        <v>3.306</v>
      </c>
      <c r="S223" s="170">
        <v>16179</v>
      </c>
      <c r="U223" s="156">
        <v>29.417999999999999</v>
      </c>
      <c r="V223" s="167">
        <v>0</v>
      </c>
      <c r="W223" s="167">
        <v>6.0603928759174397E-3</v>
      </c>
      <c r="X223" s="167">
        <v>1.2369755615319301E-3</v>
      </c>
    </row>
    <row r="224" spans="1:24">
      <c r="A224" s="5">
        <v>161</v>
      </c>
      <c r="B224" s="5">
        <v>12468</v>
      </c>
      <c r="C224" s="5" t="s">
        <v>1031</v>
      </c>
      <c r="D224" s="5" t="s">
        <v>1032</v>
      </c>
      <c r="E224" s="5" t="s">
        <v>935</v>
      </c>
      <c r="F224" s="5" t="s">
        <v>1033</v>
      </c>
      <c r="G224" s="5" t="s">
        <v>1034</v>
      </c>
      <c r="H224" s="5" t="s">
        <v>152</v>
      </c>
      <c r="I224" s="5" t="s">
        <v>930</v>
      </c>
      <c r="J224" s="5" t="s">
        <v>81</v>
      </c>
      <c r="K224" s="5" t="s">
        <v>82</v>
      </c>
      <c r="L224" s="3" t="s">
        <v>154</v>
      </c>
      <c r="M224" s="3" t="s">
        <v>1029</v>
      </c>
      <c r="N224" s="5" t="s">
        <v>1035</v>
      </c>
      <c r="O224" s="5" t="s">
        <v>156</v>
      </c>
      <c r="P224" s="5" t="s">
        <v>86</v>
      </c>
      <c r="Q224" s="156">
        <v>87</v>
      </c>
      <c r="R224" s="168">
        <v>3.306</v>
      </c>
      <c r="S224" s="170">
        <v>24355</v>
      </c>
      <c r="U224" s="156">
        <v>70.05</v>
      </c>
      <c r="V224" s="167">
        <v>0</v>
      </c>
      <c r="W224" s="167">
        <v>1.4430912753219199E-2</v>
      </c>
      <c r="X224" s="167">
        <v>2.9454668652367298E-3</v>
      </c>
    </row>
    <row r="225" spans="1:24">
      <c r="A225" s="5">
        <v>161</v>
      </c>
      <c r="B225" s="5">
        <v>12468</v>
      </c>
      <c r="C225" s="5" t="s">
        <v>1036</v>
      </c>
      <c r="D225" s="5" t="s">
        <v>1037</v>
      </c>
      <c r="E225" s="5" t="s">
        <v>935</v>
      </c>
      <c r="F225" s="5" t="s">
        <v>1038</v>
      </c>
      <c r="G225" s="5" t="s">
        <v>1039</v>
      </c>
      <c r="H225" s="5" t="s">
        <v>152</v>
      </c>
      <c r="I225" s="5" t="s">
        <v>930</v>
      </c>
      <c r="J225" s="5" t="s">
        <v>81</v>
      </c>
      <c r="K225" s="5" t="s">
        <v>82</v>
      </c>
      <c r="L225" s="3" t="s">
        <v>154</v>
      </c>
      <c r="M225" s="3" t="s">
        <v>1029</v>
      </c>
      <c r="N225" s="5" t="s">
        <v>1040</v>
      </c>
      <c r="O225" s="5" t="s">
        <v>156</v>
      </c>
      <c r="P225" s="5" t="s">
        <v>86</v>
      </c>
      <c r="Q225" s="156">
        <v>55</v>
      </c>
      <c r="R225" s="168">
        <v>3.306</v>
      </c>
      <c r="S225" s="170">
        <v>21957</v>
      </c>
      <c r="U225" s="156">
        <v>39.923999999999999</v>
      </c>
      <c r="V225" s="167">
        <v>0</v>
      </c>
      <c r="W225" s="167">
        <v>8.2247386350528008E-3</v>
      </c>
      <c r="X225" s="167">
        <v>1.6787361644450499E-3</v>
      </c>
    </row>
    <row r="226" spans="1:24">
      <c r="A226" s="5">
        <v>161</v>
      </c>
      <c r="B226" s="5">
        <v>12468</v>
      </c>
      <c r="C226" s="5" t="s">
        <v>1041</v>
      </c>
      <c r="D226" s="5" t="s">
        <v>1042</v>
      </c>
      <c r="E226" s="5" t="s">
        <v>935</v>
      </c>
      <c r="F226" s="5" t="s">
        <v>1043</v>
      </c>
      <c r="G226" s="5" t="s">
        <v>1044</v>
      </c>
      <c r="H226" s="5" t="s">
        <v>152</v>
      </c>
      <c r="I226" s="5" t="s">
        <v>930</v>
      </c>
      <c r="J226" s="5" t="s">
        <v>81</v>
      </c>
      <c r="K226" s="5" t="s">
        <v>82</v>
      </c>
      <c r="L226" s="3" t="s">
        <v>154</v>
      </c>
      <c r="M226" s="3" t="s">
        <v>1029</v>
      </c>
      <c r="N226" s="5" t="s">
        <v>1030</v>
      </c>
      <c r="O226" s="5" t="s">
        <v>156</v>
      </c>
      <c r="P226" s="5" t="s">
        <v>86</v>
      </c>
      <c r="Q226" s="156">
        <v>60</v>
      </c>
      <c r="R226" s="168">
        <v>3.306</v>
      </c>
      <c r="S226" s="170">
        <v>96809</v>
      </c>
      <c r="U226" s="156">
        <v>192.03</v>
      </c>
      <c r="V226" s="167">
        <v>0</v>
      </c>
      <c r="W226" s="167">
        <v>3.9559737297486103E-2</v>
      </c>
      <c r="X226" s="167">
        <v>8.0744646856257696E-3</v>
      </c>
    </row>
    <row r="227" spans="1:24">
      <c r="A227" s="5">
        <v>161</v>
      </c>
      <c r="B227" s="5">
        <v>12468</v>
      </c>
      <c r="C227" s="5" t="s">
        <v>1045</v>
      </c>
      <c r="D227" s="5" t="s">
        <v>1046</v>
      </c>
      <c r="E227" s="5" t="s">
        <v>935</v>
      </c>
      <c r="F227" s="5" t="s">
        <v>1047</v>
      </c>
      <c r="G227" s="5" t="s">
        <v>1048</v>
      </c>
      <c r="H227" s="5" t="s">
        <v>152</v>
      </c>
      <c r="I227" s="5" t="s">
        <v>930</v>
      </c>
      <c r="J227" s="5" t="s">
        <v>81</v>
      </c>
      <c r="K227" s="5" t="s">
        <v>82</v>
      </c>
      <c r="L227" s="3" t="s">
        <v>154</v>
      </c>
      <c r="M227" s="3" t="s">
        <v>1029</v>
      </c>
      <c r="N227" s="5" t="s">
        <v>1030</v>
      </c>
      <c r="O227" s="5" t="s">
        <v>156</v>
      </c>
      <c r="P227" s="5" t="s">
        <v>86</v>
      </c>
      <c r="Q227" s="156">
        <v>50</v>
      </c>
      <c r="R227" s="168">
        <v>3.306</v>
      </c>
      <c r="S227" s="170">
        <v>32991</v>
      </c>
      <c r="T227" s="155">
        <v>0.03</v>
      </c>
      <c r="U227" s="156">
        <v>54.631999999999998</v>
      </c>
      <c r="V227" s="167">
        <v>0</v>
      </c>
      <c r="W227" s="167">
        <v>1.12545434625733E-2</v>
      </c>
      <c r="X227" s="167">
        <v>2.2971440143300399E-3</v>
      </c>
    </row>
    <row r="228" spans="1:24">
      <c r="A228" s="5">
        <v>161</v>
      </c>
      <c r="B228" s="5">
        <v>12468</v>
      </c>
      <c r="C228" s="5" t="s">
        <v>1049</v>
      </c>
      <c r="D228" s="5" t="s">
        <v>1050</v>
      </c>
      <c r="E228" s="5" t="s">
        <v>935</v>
      </c>
      <c r="F228" s="5" t="s">
        <v>1051</v>
      </c>
      <c r="G228" s="5" t="s">
        <v>1052</v>
      </c>
      <c r="H228" s="5" t="s">
        <v>152</v>
      </c>
      <c r="I228" s="5" t="s">
        <v>930</v>
      </c>
      <c r="J228" s="5" t="s">
        <v>81</v>
      </c>
      <c r="K228" s="5" t="s">
        <v>82</v>
      </c>
      <c r="L228" s="3" t="s">
        <v>154</v>
      </c>
      <c r="M228" s="3" t="s">
        <v>1053</v>
      </c>
      <c r="N228" s="5" t="s">
        <v>491</v>
      </c>
      <c r="O228" s="5" t="s">
        <v>156</v>
      </c>
      <c r="P228" s="5" t="s">
        <v>86</v>
      </c>
      <c r="Q228" s="156">
        <v>17</v>
      </c>
      <c r="R228" s="168">
        <v>3.306</v>
      </c>
      <c r="S228" s="170">
        <v>31543</v>
      </c>
      <c r="U228" s="156">
        <v>17.728000000000002</v>
      </c>
      <c r="V228" s="167">
        <v>0</v>
      </c>
      <c r="W228" s="167">
        <v>3.6520635978693899E-3</v>
      </c>
      <c r="X228" s="167">
        <v>7.4541593461313702E-4</v>
      </c>
    </row>
    <row r="229" spans="1:24">
      <c r="A229" s="5">
        <v>161</v>
      </c>
      <c r="B229" s="5">
        <v>12468</v>
      </c>
      <c r="C229" s="5" t="s">
        <v>1054</v>
      </c>
      <c r="D229" s="5" t="s">
        <v>1055</v>
      </c>
      <c r="E229" s="5" t="s">
        <v>935</v>
      </c>
      <c r="F229" s="5" t="s">
        <v>1056</v>
      </c>
      <c r="G229" s="5" t="s">
        <v>1057</v>
      </c>
      <c r="H229" s="5" t="s">
        <v>152</v>
      </c>
      <c r="I229" s="5" t="s">
        <v>930</v>
      </c>
      <c r="J229" s="5" t="s">
        <v>81</v>
      </c>
      <c r="K229" s="5" t="s">
        <v>82</v>
      </c>
      <c r="L229" s="3" t="s">
        <v>154</v>
      </c>
      <c r="M229" s="3" t="s">
        <v>1053</v>
      </c>
      <c r="N229" s="5" t="s">
        <v>1058</v>
      </c>
      <c r="O229" s="5" t="s">
        <v>156</v>
      </c>
      <c r="P229" s="5" t="s">
        <v>86</v>
      </c>
      <c r="Q229" s="156">
        <v>25</v>
      </c>
      <c r="R229" s="168">
        <v>3.306</v>
      </c>
      <c r="S229" s="170">
        <v>56881</v>
      </c>
      <c r="U229" s="156">
        <v>47.012</v>
      </c>
      <c r="V229" s="167">
        <v>0</v>
      </c>
      <c r="W229" s="167">
        <v>9.6848666670897796E-3</v>
      </c>
      <c r="X229" s="167">
        <v>1.9767601918170498E-3</v>
      </c>
    </row>
    <row r="230" spans="1:24">
      <c r="A230" s="5">
        <v>161</v>
      </c>
      <c r="B230" s="5">
        <v>12468</v>
      </c>
      <c r="C230" s="5" t="s">
        <v>1059</v>
      </c>
      <c r="D230" s="5" t="s">
        <v>1060</v>
      </c>
      <c r="E230" s="5" t="s">
        <v>935</v>
      </c>
      <c r="F230" s="5" t="s">
        <v>1061</v>
      </c>
      <c r="G230" s="5" t="s">
        <v>1062</v>
      </c>
      <c r="H230" s="5" t="s">
        <v>152</v>
      </c>
      <c r="I230" s="5" t="s">
        <v>930</v>
      </c>
      <c r="J230" s="5" t="s">
        <v>81</v>
      </c>
      <c r="K230" s="5" t="s">
        <v>82</v>
      </c>
      <c r="L230" s="3" t="s">
        <v>154</v>
      </c>
      <c r="M230" s="3" t="s">
        <v>1029</v>
      </c>
      <c r="N230" s="5" t="s">
        <v>1063</v>
      </c>
      <c r="O230" s="5" t="s">
        <v>156</v>
      </c>
      <c r="P230" s="5" t="s">
        <v>86</v>
      </c>
      <c r="Q230" s="156">
        <v>23</v>
      </c>
      <c r="R230" s="168">
        <v>3.306</v>
      </c>
      <c r="S230" s="170">
        <v>51795</v>
      </c>
      <c r="U230" s="156">
        <v>39.384</v>
      </c>
      <c r="V230" s="167">
        <v>0</v>
      </c>
      <c r="W230" s="167">
        <v>8.1133850582824091E-3</v>
      </c>
      <c r="X230" s="167">
        <v>1.6560079922004001E-3</v>
      </c>
    </row>
    <row r="231" spans="1:24">
      <c r="A231" s="5">
        <v>161</v>
      </c>
      <c r="B231" s="5">
        <v>12468</v>
      </c>
      <c r="C231" s="5" t="s">
        <v>997</v>
      </c>
      <c r="D231" s="5" t="s">
        <v>998</v>
      </c>
      <c r="E231" s="5" t="s">
        <v>149</v>
      </c>
      <c r="F231" s="5" t="s">
        <v>1064</v>
      </c>
      <c r="G231" s="5" t="s">
        <v>1065</v>
      </c>
      <c r="H231" s="5" t="s">
        <v>152</v>
      </c>
      <c r="I231" s="5" t="s">
        <v>930</v>
      </c>
      <c r="J231" s="5" t="s">
        <v>81</v>
      </c>
      <c r="K231" s="5" t="s">
        <v>82</v>
      </c>
      <c r="L231" s="3" t="s">
        <v>154</v>
      </c>
      <c r="M231" s="3" t="s">
        <v>1029</v>
      </c>
      <c r="N231" s="5" t="s">
        <v>923</v>
      </c>
      <c r="O231" s="5" t="s">
        <v>156</v>
      </c>
      <c r="P231" s="5" t="s">
        <v>86</v>
      </c>
      <c r="Q231" s="156">
        <v>22</v>
      </c>
      <c r="R231" s="168">
        <v>3.306</v>
      </c>
      <c r="S231" s="170">
        <v>14478</v>
      </c>
      <c r="U231" s="156">
        <v>10.53</v>
      </c>
      <c r="V231" s="167">
        <v>0</v>
      </c>
      <c r="W231" s="167">
        <v>2.16929026658094E-3</v>
      </c>
      <c r="X231" s="167">
        <v>4.4276981716692601E-4</v>
      </c>
    </row>
    <row r="232" spans="1:24">
      <c r="A232" s="5">
        <v>161</v>
      </c>
      <c r="B232" s="5">
        <v>12468</v>
      </c>
      <c r="C232" s="5" t="s">
        <v>1066</v>
      </c>
      <c r="D232" s="5" t="s">
        <v>1067</v>
      </c>
      <c r="E232" s="5" t="s">
        <v>935</v>
      </c>
      <c r="F232" s="5" t="s">
        <v>1068</v>
      </c>
      <c r="G232" s="5" t="s">
        <v>1069</v>
      </c>
      <c r="H232" s="5" t="s">
        <v>152</v>
      </c>
      <c r="I232" s="5" t="s">
        <v>930</v>
      </c>
      <c r="J232" s="5" t="s">
        <v>81</v>
      </c>
      <c r="K232" s="5" t="s">
        <v>82</v>
      </c>
      <c r="L232" s="3" t="s">
        <v>154</v>
      </c>
      <c r="M232" s="3" t="s">
        <v>1029</v>
      </c>
      <c r="N232" s="5" t="s">
        <v>1030</v>
      </c>
      <c r="O232" s="5" t="s">
        <v>156</v>
      </c>
      <c r="P232" s="5" t="s">
        <v>86</v>
      </c>
      <c r="Q232" s="156">
        <v>100</v>
      </c>
      <c r="R232" s="168">
        <v>3.306</v>
      </c>
      <c r="S232" s="170">
        <v>18658</v>
      </c>
      <c r="T232" s="155">
        <v>1E-3</v>
      </c>
      <c r="U232" s="156">
        <v>61.686999999999998</v>
      </c>
      <c r="V232" s="167">
        <v>0</v>
      </c>
      <c r="W232" s="167">
        <v>1.27079289844572E-2</v>
      </c>
      <c r="X232" s="167">
        <v>2.5937918404468499E-3</v>
      </c>
    </row>
    <row r="233" spans="1:24">
      <c r="A233" s="5">
        <v>161</v>
      </c>
      <c r="B233" s="5">
        <v>12468</v>
      </c>
      <c r="C233" s="5" t="s">
        <v>933</v>
      </c>
      <c r="D233" s="5" t="s">
        <v>934</v>
      </c>
      <c r="E233" s="5" t="s">
        <v>935</v>
      </c>
      <c r="F233" s="5" t="s">
        <v>1070</v>
      </c>
      <c r="G233" s="5" t="s">
        <v>937</v>
      </c>
      <c r="H233" s="5" t="s">
        <v>152</v>
      </c>
      <c r="I233" s="5" t="s">
        <v>930</v>
      </c>
      <c r="J233" s="5" t="s">
        <v>81</v>
      </c>
      <c r="K233" s="5" t="s">
        <v>82</v>
      </c>
      <c r="L233" s="3" t="s">
        <v>154</v>
      </c>
      <c r="M233" s="3" t="s">
        <v>1053</v>
      </c>
      <c r="N233" s="5" t="s">
        <v>1071</v>
      </c>
      <c r="O233" s="5" t="s">
        <v>156</v>
      </c>
      <c r="P233" s="5" t="s">
        <v>86</v>
      </c>
      <c r="Q233" s="156">
        <v>28</v>
      </c>
      <c r="R233" s="168">
        <v>3.306</v>
      </c>
      <c r="S233" s="170">
        <v>9625</v>
      </c>
      <c r="U233" s="156">
        <v>8.91</v>
      </c>
      <c r="V233" s="167">
        <v>0</v>
      </c>
      <c r="W233" s="167">
        <v>1.8354610972245199E-3</v>
      </c>
      <c r="X233" s="167">
        <v>3.7463256391040498E-4</v>
      </c>
    </row>
    <row r="234" spans="1:24">
      <c r="A234" s="5">
        <v>161</v>
      </c>
      <c r="B234" s="5">
        <v>12468</v>
      </c>
      <c r="C234" s="5" t="s">
        <v>1072</v>
      </c>
      <c r="D234" s="5" t="s">
        <v>1073</v>
      </c>
      <c r="E234" s="5" t="s">
        <v>935</v>
      </c>
      <c r="F234" s="5" t="s">
        <v>1074</v>
      </c>
      <c r="G234" s="5" t="s">
        <v>1075</v>
      </c>
      <c r="H234" s="5" t="s">
        <v>152</v>
      </c>
      <c r="I234" s="5" t="s">
        <v>930</v>
      </c>
      <c r="J234" s="5" t="s">
        <v>81</v>
      </c>
      <c r="K234" s="5" t="s">
        <v>1076</v>
      </c>
      <c r="L234" s="3" t="s">
        <v>154</v>
      </c>
      <c r="M234" s="3" t="s">
        <v>1053</v>
      </c>
      <c r="N234" s="5" t="s">
        <v>1030</v>
      </c>
      <c r="O234" s="5" t="s">
        <v>156</v>
      </c>
      <c r="P234" s="5" t="s">
        <v>86</v>
      </c>
      <c r="Q234" s="156">
        <v>130</v>
      </c>
      <c r="R234" s="168">
        <v>3.306</v>
      </c>
      <c r="S234" s="170">
        <v>27929</v>
      </c>
      <c r="T234" s="155">
        <v>8.4000000000000005E-2</v>
      </c>
      <c r="U234" s="156">
        <v>120.313</v>
      </c>
      <c r="V234" s="167">
        <v>0</v>
      </c>
      <c r="W234" s="167">
        <v>2.4785317489125099E-2</v>
      </c>
      <c r="X234" s="167">
        <v>5.0588852317955402E-3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25"/>
  <sheetViews>
    <sheetView rightToLeft="1" workbookViewId="0"/>
  </sheetViews>
  <sheetFormatPr defaultColWidth="0" defaultRowHeight="14.25"/>
  <cols>
    <col min="1" max="4" width="11.625" style="3" customWidth="1"/>
    <col min="5" max="5" width="11.625" style="5" customWidth="1"/>
    <col min="6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25" width="9" style="3" hidden="1" customWidth="1"/>
    <col min="26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136</v>
      </c>
      <c r="E1" s="22" t="s">
        <v>137</v>
      </c>
      <c r="F1" s="22" t="s">
        <v>3</v>
      </c>
      <c r="G1" s="22" t="s">
        <v>4</v>
      </c>
      <c r="H1" s="22" t="s">
        <v>138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1248</v>
      </c>
      <c r="N1" s="22" t="s">
        <v>140</v>
      </c>
      <c r="O1" s="22" t="s">
        <v>11</v>
      </c>
      <c r="P1" s="22" t="s">
        <v>17</v>
      </c>
      <c r="Q1" s="163" t="s">
        <v>18</v>
      </c>
      <c r="R1" s="169" t="s">
        <v>19</v>
      </c>
      <c r="S1" s="22" t="s">
        <v>16</v>
      </c>
      <c r="T1" s="22" t="s">
        <v>20</v>
      </c>
      <c r="U1" s="165" t="s">
        <v>23</v>
      </c>
      <c r="V1" s="165" t="s">
        <v>24</v>
      </c>
      <c r="W1" s="165" t="s">
        <v>25</v>
      </c>
    </row>
    <row r="2" spans="1:23">
      <c r="A2" s="23">
        <v>14076</v>
      </c>
      <c r="B2" s="23">
        <v>14077</v>
      </c>
      <c r="C2" s="23" t="s">
        <v>1249</v>
      </c>
      <c r="D2" s="23" t="s">
        <v>1250</v>
      </c>
      <c r="E2" s="21" t="s">
        <v>149</v>
      </c>
      <c r="F2" s="23" t="s">
        <v>1251</v>
      </c>
      <c r="G2" s="23" t="s">
        <v>1252</v>
      </c>
      <c r="H2" s="21" t="s">
        <v>152</v>
      </c>
      <c r="I2" s="23" t="s">
        <v>1253</v>
      </c>
      <c r="J2" s="21" t="s">
        <v>30</v>
      </c>
      <c r="K2" s="21" t="s">
        <v>30</v>
      </c>
      <c r="L2" s="21" t="s">
        <v>31</v>
      </c>
      <c r="M2" s="23" t="s">
        <v>1254</v>
      </c>
      <c r="N2" s="23" t="s">
        <v>156</v>
      </c>
      <c r="O2" s="21" t="s">
        <v>34</v>
      </c>
      <c r="P2" s="158">
        <v>20979</v>
      </c>
      <c r="Q2" s="172">
        <v>1</v>
      </c>
      <c r="R2" s="173">
        <v>5003</v>
      </c>
      <c r="S2" s="23"/>
      <c r="T2" s="157">
        <v>1049.579</v>
      </c>
      <c r="U2" s="171">
        <v>2.2100000000000001E-4</v>
      </c>
      <c r="V2" s="171">
        <v>6.6183191997840105E-2</v>
      </c>
      <c r="W2" s="171">
        <v>4.8967439077214597E-2</v>
      </c>
    </row>
    <row r="3" spans="1:23">
      <c r="A3" s="23">
        <v>14076</v>
      </c>
      <c r="B3" s="23">
        <v>14077</v>
      </c>
      <c r="C3" s="23" t="s">
        <v>1249</v>
      </c>
      <c r="D3" s="23" t="s">
        <v>1250</v>
      </c>
      <c r="E3" s="21" t="s">
        <v>149</v>
      </c>
      <c r="F3" s="23" t="s">
        <v>1255</v>
      </c>
      <c r="G3" s="23" t="s">
        <v>1256</v>
      </c>
      <c r="H3" s="21" t="s">
        <v>152</v>
      </c>
      <c r="I3" s="23" t="s">
        <v>1257</v>
      </c>
      <c r="J3" s="21" t="s">
        <v>30</v>
      </c>
      <c r="K3" s="21" t="s">
        <v>30</v>
      </c>
      <c r="L3" s="21" t="s">
        <v>31</v>
      </c>
      <c r="M3" s="23" t="s">
        <v>1258</v>
      </c>
      <c r="N3" s="23" t="s">
        <v>156</v>
      </c>
      <c r="O3" s="21" t="s">
        <v>34</v>
      </c>
      <c r="P3" s="158">
        <v>83446</v>
      </c>
      <c r="Q3" s="172">
        <v>1</v>
      </c>
      <c r="R3" s="173">
        <v>499.28</v>
      </c>
      <c r="S3" s="23"/>
      <c r="T3" s="157">
        <v>416.62900000000002</v>
      </c>
      <c r="U3" s="171">
        <v>3.97E-4</v>
      </c>
      <c r="V3" s="171">
        <v>2.6271333433558999E-2</v>
      </c>
      <c r="W3" s="171">
        <v>1.94375623258995E-2</v>
      </c>
    </row>
    <row r="4" spans="1:23">
      <c r="A4" s="23">
        <v>14076</v>
      </c>
      <c r="B4" s="23">
        <v>14077</v>
      </c>
      <c r="C4" s="23" t="s">
        <v>1249</v>
      </c>
      <c r="D4" s="23" t="s">
        <v>1250</v>
      </c>
      <c r="E4" s="21" t="s">
        <v>149</v>
      </c>
      <c r="F4" s="23" t="s">
        <v>1259</v>
      </c>
      <c r="G4" s="23" t="s">
        <v>1260</v>
      </c>
      <c r="H4" s="21" t="s">
        <v>152</v>
      </c>
      <c r="I4" s="23" t="s">
        <v>1261</v>
      </c>
      <c r="J4" s="21" t="s">
        <v>30</v>
      </c>
      <c r="K4" s="21" t="s">
        <v>82</v>
      </c>
      <c r="L4" s="21" t="s">
        <v>31</v>
      </c>
      <c r="M4" s="23" t="s">
        <v>1262</v>
      </c>
      <c r="N4" s="23" t="s">
        <v>156</v>
      </c>
      <c r="O4" s="21" t="s">
        <v>34</v>
      </c>
      <c r="P4" s="158">
        <v>8294</v>
      </c>
      <c r="Q4" s="172">
        <v>1</v>
      </c>
      <c r="R4" s="173">
        <v>8410</v>
      </c>
      <c r="S4" s="23"/>
      <c r="T4" s="157">
        <v>697.52499999999998</v>
      </c>
      <c r="U4" s="171">
        <v>3.4000000000000002E-4</v>
      </c>
      <c r="V4" s="171">
        <v>4.39837698711344E-2</v>
      </c>
      <c r="W4" s="171">
        <v>3.2542591351914403E-2</v>
      </c>
    </row>
    <row r="5" spans="1:23">
      <c r="A5" s="23">
        <v>14076</v>
      </c>
      <c r="B5" s="23">
        <v>14077</v>
      </c>
      <c r="C5" s="23" t="s">
        <v>1263</v>
      </c>
      <c r="D5" s="23" t="s">
        <v>1264</v>
      </c>
      <c r="E5" s="21" t="s">
        <v>149</v>
      </c>
      <c r="F5" s="23" t="s">
        <v>1265</v>
      </c>
      <c r="G5" s="23" t="s">
        <v>1266</v>
      </c>
      <c r="H5" s="21" t="s">
        <v>152</v>
      </c>
      <c r="I5" s="23" t="s">
        <v>1253</v>
      </c>
      <c r="J5" s="21" t="s">
        <v>30</v>
      </c>
      <c r="K5" s="21" t="s">
        <v>30</v>
      </c>
      <c r="L5" s="21" t="s">
        <v>31</v>
      </c>
      <c r="M5" s="23" t="s">
        <v>1267</v>
      </c>
      <c r="N5" s="23" t="s">
        <v>156</v>
      </c>
      <c r="O5" s="21" t="s">
        <v>34</v>
      </c>
      <c r="P5" s="158">
        <v>14202</v>
      </c>
      <c r="Q5" s="172">
        <v>1</v>
      </c>
      <c r="R5" s="173">
        <v>3165</v>
      </c>
      <c r="S5" s="23"/>
      <c r="T5" s="157">
        <v>449.49299999999999</v>
      </c>
      <c r="U5" s="171">
        <v>5.7000000000000003E-5</v>
      </c>
      <c r="V5" s="171">
        <v>2.83436414872014E-2</v>
      </c>
      <c r="W5" s="171">
        <v>2.0970815940643098E-2</v>
      </c>
    </row>
    <row r="6" spans="1:23">
      <c r="A6" s="23">
        <v>14076</v>
      </c>
      <c r="B6" s="23">
        <v>14077</v>
      </c>
      <c r="C6" s="23" t="s">
        <v>1263</v>
      </c>
      <c r="D6" s="23" t="s">
        <v>1264</v>
      </c>
      <c r="E6" s="21" t="s">
        <v>149</v>
      </c>
      <c r="F6" s="23" t="s">
        <v>1268</v>
      </c>
      <c r="G6" s="23" t="s">
        <v>1269</v>
      </c>
      <c r="H6" s="21" t="s">
        <v>152</v>
      </c>
      <c r="I6" s="23" t="s">
        <v>1253</v>
      </c>
      <c r="J6" s="21" t="s">
        <v>30</v>
      </c>
      <c r="K6" s="21" t="s">
        <v>30</v>
      </c>
      <c r="L6" s="21" t="s">
        <v>31</v>
      </c>
      <c r="M6" s="23" t="s">
        <v>1270</v>
      </c>
      <c r="N6" s="23" t="s">
        <v>156</v>
      </c>
      <c r="O6" s="21" t="s">
        <v>34</v>
      </c>
      <c r="P6" s="158">
        <v>36080</v>
      </c>
      <c r="Q6" s="172">
        <v>1</v>
      </c>
      <c r="R6" s="173">
        <v>1267</v>
      </c>
      <c r="S6" s="23"/>
      <c r="T6" s="157">
        <v>457.13400000000001</v>
      </c>
      <c r="U6" s="171">
        <v>6.6799999999999997E-4</v>
      </c>
      <c r="V6" s="171">
        <v>2.88254149064152E-2</v>
      </c>
      <c r="W6" s="171">
        <v>2.1327269140348801E-2</v>
      </c>
    </row>
    <row r="7" spans="1:23">
      <c r="A7" s="23">
        <v>14076</v>
      </c>
      <c r="B7" s="23">
        <v>14077</v>
      </c>
      <c r="C7" s="23" t="s">
        <v>1263</v>
      </c>
      <c r="D7" s="23" t="s">
        <v>1264</v>
      </c>
      <c r="E7" s="21" t="s">
        <v>149</v>
      </c>
      <c r="F7" s="23" t="s">
        <v>1271</v>
      </c>
      <c r="G7" s="23" t="s">
        <v>1272</v>
      </c>
      <c r="H7" s="21" t="s">
        <v>152</v>
      </c>
      <c r="I7" s="23" t="s">
        <v>1257</v>
      </c>
      <c r="J7" s="21" t="s">
        <v>30</v>
      </c>
      <c r="K7" s="21" t="s">
        <v>30</v>
      </c>
      <c r="L7" s="21" t="s">
        <v>31</v>
      </c>
      <c r="M7" s="23" t="s">
        <v>1273</v>
      </c>
      <c r="N7" s="23" t="s">
        <v>156</v>
      </c>
      <c r="O7" s="21" t="s">
        <v>34</v>
      </c>
      <c r="P7" s="158">
        <v>100016</v>
      </c>
      <c r="Q7" s="172">
        <v>1</v>
      </c>
      <c r="R7" s="173">
        <v>419.81</v>
      </c>
      <c r="S7" s="23"/>
      <c r="T7" s="157">
        <v>419.87700000000001</v>
      </c>
      <c r="U7" s="171">
        <v>3.6600000000000001E-4</v>
      </c>
      <c r="V7" s="171">
        <v>2.64761409431537E-2</v>
      </c>
      <c r="W7" s="171">
        <v>1.9589094745927901E-2</v>
      </c>
    </row>
    <row r="8" spans="1:23">
      <c r="A8" s="23">
        <v>14076</v>
      </c>
      <c r="B8" s="23">
        <v>14077</v>
      </c>
      <c r="C8" s="23" t="s">
        <v>1263</v>
      </c>
      <c r="D8" s="23" t="s">
        <v>1264</v>
      </c>
      <c r="E8" s="21" t="s">
        <v>149</v>
      </c>
      <c r="F8" s="23" t="s">
        <v>1274</v>
      </c>
      <c r="G8" s="23" t="s">
        <v>1275</v>
      </c>
      <c r="H8" s="21" t="s">
        <v>152</v>
      </c>
      <c r="I8" s="23" t="s">
        <v>1253</v>
      </c>
      <c r="J8" s="21" t="s">
        <v>30</v>
      </c>
      <c r="K8" s="21" t="s">
        <v>30</v>
      </c>
      <c r="L8" s="21" t="s">
        <v>31</v>
      </c>
      <c r="M8" s="23" t="s">
        <v>1254</v>
      </c>
      <c r="N8" s="23" t="s">
        <v>156</v>
      </c>
      <c r="O8" s="21" t="s">
        <v>34</v>
      </c>
      <c r="P8" s="158">
        <v>27971</v>
      </c>
      <c r="Q8" s="172">
        <v>1</v>
      </c>
      <c r="R8" s="173">
        <v>3192</v>
      </c>
      <c r="S8" s="23"/>
      <c r="T8" s="157">
        <v>892.83399999999995</v>
      </c>
      <c r="U8" s="171">
        <v>1.35E-4</v>
      </c>
      <c r="V8" s="171">
        <v>5.6299339441876602E-2</v>
      </c>
      <c r="W8" s="171">
        <v>4.1654601281507997E-2</v>
      </c>
    </row>
    <row r="9" spans="1:23">
      <c r="A9" s="23">
        <v>14076</v>
      </c>
      <c r="B9" s="23">
        <v>14077</v>
      </c>
      <c r="C9" s="23" t="s">
        <v>1276</v>
      </c>
      <c r="D9" s="23" t="s">
        <v>1277</v>
      </c>
      <c r="E9" s="21" t="s">
        <v>149</v>
      </c>
      <c r="F9" s="23" t="s">
        <v>1278</v>
      </c>
      <c r="G9" s="23" t="s">
        <v>1279</v>
      </c>
      <c r="H9" s="21" t="s">
        <v>152</v>
      </c>
      <c r="I9" s="23" t="s">
        <v>1253</v>
      </c>
      <c r="J9" s="21" t="s">
        <v>30</v>
      </c>
      <c r="K9" s="21" t="s">
        <v>30</v>
      </c>
      <c r="L9" s="21" t="s">
        <v>31</v>
      </c>
      <c r="M9" s="23" t="s">
        <v>1254</v>
      </c>
      <c r="N9" s="23" t="s">
        <v>156</v>
      </c>
      <c r="O9" s="21" t="s">
        <v>34</v>
      </c>
      <c r="P9" s="158">
        <v>7761</v>
      </c>
      <c r="Q9" s="172">
        <v>1</v>
      </c>
      <c r="R9" s="173">
        <v>8821</v>
      </c>
      <c r="S9" s="23"/>
      <c r="T9" s="157">
        <v>684.59799999999996</v>
      </c>
      <c r="U9" s="171">
        <v>5.3499999999999999E-4</v>
      </c>
      <c r="V9" s="171">
        <v>4.3168596483113802E-2</v>
      </c>
      <c r="W9" s="171">
        <v>3.19394630951726E-2</v>
      </c>
    </row>
    <row r="10" spans="1:23">
      <c r="A10" s="23">
        <v>14076</v>
      </c>
      <c r="B10" s="23">
        <v>14077</v>
      </c>
      <c r="C10" s="23" t="s">
        <v>1276</v>
      </c>
      <c r="D10" s="23" t="s">
        <v>1277</v>
      </c>
      <c r="E10" s="21" t="s">
        <v>149</v>
      </c>
      <c r="F10" s="23" t="s">
        <v>1280</v>
      </c>
      <c r="G10" s="23" t="s">
        <v>1281</v>
      </c>
      <c r="H10" s="21" t="s">
        <v>152</v>
      </c>
      <c r="I10" s="23" t="s">
        <v>1253</v>
      </c>
      <c r="J10" s="21" t="s">
        <v>30</v>
      </c>
      <c r="K10" s="21" t="s">
        <v>30</v>
      </c>
      <c r="L10" s="21" t="s">
        <v>31</v>
      </c>
      <c r="M10" s="23" t="s">
        <v>1282</v>
      </c>
      <c r="N10" s="23" t="s">
        <v>156</v>
      </c>
      <c r="O10" s="21" t="s">
        <v>34</v>
      </c>
      <c r="P10" s="158">
        <v>2260</v>
      </c>
      <c r="Q10" s="172">
        <v>1</v>
      </c>
      <c r="R10" s="173">
        <v>9062</v>
      </c>
      <c r="S10" s="23"/>
      <c r="T10" s="157">
        <v>204.80099999999999</v>
      </c>
      <c r="U10" s="171">
        <v>3.2299999999999999E-4</v>
      </c>
      <c r="V10" s="171">
        <v>1.291412305578E-2</v>
      </c>
      <c r="W10" s="171">
        <v>9.5548660449951903E-3</v>
      </c>
    </row>
    <row r="11" spans="1:23">
      <c r="A11" s="23">
        <v>14076</v>
      </c>
      <c r="B11" s="23">
        <v>14077</v>
      </c>
      <c r="C11" s="23" t="s">
        <v>1276</v>
      </c>
      <c r="D11" s="23" t="s">
        <v>1277</v>
      </c>
      <c r="E11" s="21" t="s">
        <v>149</v>
      </c>
      <c r="F11" s="23" t="s">
        <v>1283</v>
      </c>
      <c r="G11" s="23" t="s">
        <v>1284</v>
      </c>
      <c r="H11" s="21" t="s">
        <v>152</v>
      </c>
      <c r="I11" s="23" t="s">
        <v>1261</v>
      </c>
      <c r="J11" s="21" t="s">
        <v>30</v>
      </c>
      <c r="K11" s="21" t="s">
        <v>82</v>
      </c>
      <c r="L11" s="21" t="s">
        <v>31</v>
      </c>
      <c r="M11" s="23" t="s">
        <v>1262</v>
      </c>
      <c r="N11" s="23" t="s">
        <v>156</v>
      </c>
      <c r="O11" s="21" t="s">
        <v>34</v>
      </c>
      <c r="P11" s="158">
        <v>10285</v>
      </c>
      <c r="Q11" s="172">
        <v>1</v>
      </c>
      <c r="R11" s="173">
        <v>10340</v>
      </c>
      <c r="S11" s="23"/>
      <c r="T11" s="157">
        <v>1063.4690000000001</v>
      </c>
      <c r="U11" s="171">
        <v>7.6199999999999998E-4</v>
      </c>
      <c r="V11" s="171">
        <v>6.7059028619008601E-2</v>
      </c>
      <c r="W11" s="171">
        <v>4.9615450680977398E-2</v>
      </c>
    </row>
    <row r="12" spans="1:23">
      <c r="A12" s="23">
        <v>14076</v>
      </c>
      <c r="B12" s="23">
        <v>14077</v>
      </c>
      <c r="C12" s="23" t="s">
        <v>1276</v>
      </c>
      <c r="D12" s="23" t="s">
        <v>1277</v>
      </c>
      <c r="E12" s="21" t="s">
        <v>149</v>
      </c>
      <c r="F12" s="23" t="s">
        <v>1285</v>
      </c>
      <c r="G12" s="23" t="s">
        <v>1286</v>
      </c>
      <c r="H12" s="21" t="s">
        <v>152</v>
      </c>
      <c r="I12" s="23" t="s">
        <v>1253</v>
      </c>
      <c r="J12" s="21" t="s">
        <v>30</v>
      </c>
      <c r="K12" s="21" t="s">
        <v>30</v>
      </c>
      <c r="L12" s="21" t="s">
        <v>31</v>
      </c>
      <c r="M12" s="23" t="s">
        <v>1287</v>
      </c>
      <c r="N12" s="23" t="s">
        <v>156</v>
      </c>
      <c r="O12" s="21" t="s">
        <v>34</v>
      </c>
      <c r="P12" s="158">
        <v>4256</v>
      </c>
      <c r="Q12" s="172">
        <v>1</v>
      </c>
      <c r="R12" s="173">
        <v>10670</v>
      </c>
      <c r="S12" s="23"/>
      <c r="T12" s="157">
        <v>454.11500000000001</v>
      </c>
      <c r="U12" s="171">
        <v>1.12E-4</v>
      </c>
      <c r="V12" s="171">
        <v>2.86350840439419E-2</v>
      </c>
      <c r="W12" s="171">
        <v>2.1186447662397499E-2</v>
      </c>
    </row>
    <row r="13" spans="1:23">
      <c r="A13" s="23">
        <v>14076</v>
      </c>
      <c r="B13" s="23">
        <v>14077</v>
      </c>
      <c r="C13" s="23" t="s">
        <v>1288</v>
      </c>
      <c r="D13" s="23" t="s">
        <v>1289</v>
      </c>
      <c r="E13" s="21" t="s">
        <v>149</v>
      </c>
      <c r="F13" s="23" t="s">
        <v>1290</v>
      </c>
      <c r="G13" s="23" t="s">
        <v>1291</v>
      </c>
      <c r="H13" s="21" t="s">
        <v>152</v>
      </c>
      <c r="I13" s="23" t="s">
        <v>1257</v>
      </c>
      <c r="J13" s="21" t="s">
        <v>30</v>
      </c>
      <c r="K13" s="21" t="s">
        <v>30</v>
      </c>
      <c r="L13" s="21" t="s">
        <v>31</v>
      </c>
      <c r="M13" s="23" t="s">
        <v>1258</v>
      </c>
      <c r="N13" s="23" t="s">
        <v>156</v>
      </c>
      <c r="O13" s="21" t="s">
        <v>34</v>
      </c>
      <c r="P13" s="158">
        <v>32517</v>
      </c>
      <c r="Q13" s="172">
        <v>1</v>
      </c>
      <c r="R13" s="173">
        <v>3901.51</v>
      </c>
      <c r="S13" s="23"/>
      <c r="T13" s="157">
        <v>1268.654</v>
      </c>
      <c r="U13" s="171">
        <v>4.5199999999999998E-4</v>
      </c>
      <c r="V13" s="171">
        <v>7.9997353324746806E-2</v>
      </c>
      <c r="W13" s="171">
        <v>5.9188222976549597E-2</v>
      </c>
    </row>
    <row r="14" spans="1:23">
      <c r="A14" s="23">
        <v>14076</v>
      </c>
      <c r="B14" s="23">
        <v>14077</v>
      </c>
      <c r="C14" s="23" t="s">
        <v>1288</v>
      </c>
      <c r="D14" s="23" t="s">
        <v>1289</v>
      </c>
      <c r="E14" s="21" t="s">
        <v>149</v>
      </c>
      <c r="F14" s="23" t="s">
        <v>1292</v>
      </c>
      <c r="G14" s="23" t="s">
        <v>1293</v>
      </c>
      <c r="H14" s="21" t="s">
        <v>152</v>
      </c>
      <c r="I14" s="23" t="s">
        <v>1257</v>
      </c>
      <c r="J14" s="21" t="s">
        <v>30</v>
      </c>
      <c r="K14" s="21" t="s">
        <v>30</v>
      </c>
      <c r="L14" s="21" t="s">
        <v>31</v>
      </c>
      <c r="M14" s="23" t="s">
        <v>1294</v>
      </c>
      <c r="N14" s="23" t="s">
        <v>156</v>
      </c>
      <c r="O14" s="21" t="s">
        <v>34</v>
      </c>
      <c r="P14" s="158">
        <v>30086</v>
      </c>
      <c r="Q14" s="172">
        <v>1</v>
      </c>
      <c r="R14" s="173">
        <v>4185.1899999999996</v>
      </c>
      <c r="S14" s="23"/>
      <c r="T14" s="157">
        <v>1259.1559999999999</v>
      </c>
      <c r="U14" s="171">
        <v>5.5699999999999999E-4</v>
      </c>
      <c r="V14" s="171">
        <v>7.9398455341100196E-2</v>
      </c>
      <c r="W14" s="171">
        <v>5.8745111974459502E-2</v>
      </c>
    </row>
    <row r="15" spans="1:23">
      <c r="A15" s="23">
        <v>14076</v>
      </c>
      <c r="B15" s="23">
        <v>14077</v>
      </c>
      <c r="C15" s="23" t="s">
        <v>1295</v>
      </c>
      <c r="D15" s="23" t="s">
        <v>1296</v>
      </c>
      <c r="E15" s="21" t="s">
        <v>149</v>
      </c>
      <c r="F15" s="23" t="s">
        <v>1297</v>
      </c>
      <c r="G15" s="23" t="s">
        <v>1298</v>
      </c>
      <c r="H15" s="21" t="s">
        <v>152</v>
      </c>
      <c r="I15" s="23" t="s">
        <v>1257</v>
      </c>
      <c r="J15" s="21" t="s">
        <v>30</v>
      </c>
      <c r="K15" s="21" t="s">
        <v>30</v>
      </c>
      <c r="L15" s="21" t="s">
        <v>31</v>
      </c>
      <c r="M15" s="23" t="s">
        <v>1258</v>
      </c>
      <c r="N15" s="23" t="s">
        <v>156</v>
      </c>
      <c r="O15" s="21" t="s">
        <v>34</v>
      </c>
      <c r="P15" s="158">
        <v>269264</v>
      </c>
      <c r="Q15" s="172">
        <v>1</v>
      </c>
      <c r="R15" s="173">
        <v>392.09</v>
      </c>
      <c r="S15" s="23"/>
      <c r="T15" s="157">
        <v>1055.7570000000001</v>
      </c>
      <c r="U15" s="171">
        <v>1.9799999999999999E-4</v>
      </c>
      <c r="V15" s="171">
        <v>6.6572747743247104E-2</v>
      </c>
      <c r="W15" s="171">
        <v>4.92556625166495E-2</v>
      </c>
    </row>
    <row r="16" spans="1:23">
      <c r="A16" s="23">
        <v>14076</v>
      </c>
      <c r="B16" s="23">
        <v>14077</v>
      </c>
      <c r="C16" s="23" t="s">
        <v>1295</v>
      </c>
      <c r="D16" s="23" t="s">
        <v>1296</v>
      </c>
      <c r="E16" s="21" t="s">
        <v>149</v>
      </c>
      <c r="F16" s="23" t="s">
        <v>1299</v>
      </c>
      <c r="G16" s="23" t="s">
        <v>1300</v>
      </c>
      <c r="H16" s="21" t="s">
        <v>152</v>
      </c>
      <c r="I16" s="23" t="s">
        <v>1257</v>
      </c>
      <c r="J16" s="21" t="s">
        <v>30</v>
      </c>
      <c r="K16" s="21" t="s">
        <v>30</v>
      </c>
      <c r="L16" s="21" t="s">
        <v>31</v>
      </c>
      <c r="M16" s="23" t="s">
        <v>1294</v>
      </c>
      <c r="N16" s="23" t="s">
        <v>156</v>
      </c>
      <c r="O16" s="21" t="s">
        <v>34</v>
      </c>
      <c r="P16" s="158">
        <v>298988</v>
      </c>
      <c r="Q16" s="172">
        <v>1</v>
      </c>
      <c r="R16" s="173">
        <v>421.35</v>
      </c>
      <c r="S16" s="23"/>
      <c r="T16" s="157">
        <v>1259.7860000000001</v>
      </c>
      <c r="U16" s="171">
        <v>4.0700000000000003E-4</v>
      </c>
      <c r="V16" s="171">
        <v>7.9438160651760001E-2</v>
      </c>
      <c r="W16" s="171">
        <v>5.8774489031112202E-2</v>
      </c>
    </row>
    <row r="17" spans="1:23">
      <c r="A17" s="23">
        <v>14076</v>
      </c>
      <c r="B17" s="23">
        <v>14077</v>
      </c>
      <c r="C17" s="23" t="s">
        <v>1301</v>
      </c>
      <c r="D17" s="23" t="s">
        <v>1302</v>
      </c>
      <c r="E17" s="21" t="s">
        <v>935</v>
      </c>
      <c r="F17" s="23" t="s">
        <v>1303</v>
      </c>
      <c r="G17" s="23" t="s">
        <v>1304</v>
      </c>
      <c r="H17" s="21" t="s">
        <v>152</v>
      </c>
      <c r="I17" s="23" t="s">
        <v>1261</v>
      </c>
      <c r="J17" s="21" t="s">
        <v>81</v>
      </c>
      <c r="K17" s="21" t="s">
        <v>82</v>
      </c>
      <c r="L17" s="21" t="s">
        <v>1053</v>
      </c>
      <c r="M17" s="23" t="s">
        <v>1305</v>
      </c>
      <c r="N17" s="23" t="s">
        <v>156</v>
      </c>
      <c r="O17" s="21" t="s">
        <v>86</v>
      </c>
      <c r="P17" s="158">
        <v>937</v>
      </c>
      <c r="Q17" s="172">
        <v>3.306</v>
      </c>
      <c r="R17" s="173">
        <v>28186</v>
      </c>
      <c r="S17" s="23"/>
      <c r="T17" s="157">
        <v>873.12400000000002</v>
      </c>
      <c r="U17" s="171">
        <v>3.0000000000000001E-6</v>
      </c>
      <c r="V17" s="171">
        <v>5.50564634559478E-2</v>
      </c>
      <c r="W17" s="171">
        <v>4.07350255964384E-2</v>
      </c>
    </row>
    <row r="18" spans="1:23">
      <c r="A18" s="23">
        <v>14076</v>
      </c>
      <c r="B18" s="23">
        <v>14077</v>
      </c>
      <c r="C18" s="23" t="s">
        <v>1306</v>
      </c>
      <c r="D18" s="23" t="s">
        <v>1307</v>
      </c>
      <c r="E18" s="21" t="s">
        <v>935</v>
      </c>
      <c r="F18" s="23" t="s">
        <v>1308</v>
      </c>
      <c r="G18" s="23" t="s">
        <v>1309</v>
      </c>
      <c r="H18" s="21" t="s">
        <v>152</v>
      </c>
      <c r="I18" s="23" t="s">
        <v>1261</v>
      </c>
      <c r="J18" s="21" t="s">
        <v>81</v>
      </c>
      <c r="K18" s="21" t="s">
        <v>1310</v>
      </c>
      <c r="L18" s="21" t="s">
        <v>1311</v>
      </c>
      <c r="M18" s="23" t="s">
        <v>1312</v>
      </c>
      <c r="N18" s="23" t="s">
        <v>156</v>
      </c>
      <c r="O18" s="21" t="s">
        <v>1245</v>
      </c>
      <c r="P18" s="158">
        <v>2913</v>
      </c>
      <c r="Q18" s="172">
        <v>3.8807</v>
      </c>
      <c r="R18" s="173">
        <v>5582</v>
      </c>
      <c r="S18" s="23"/>
      <c r="T18" s="157">
        <v>631.01599999999996</v>
      </c>
      <c r="U18" s="171">
        <v>2.0999999999999999E-5</v>
      </c>
      <c r="V18" s="171">
        <v>3.9789896621044298E-2</v>
      </c>
      <c r="W18" s="171">
        <v>2.9439639882331999E-2</v>
      </c>
    </row>
    <row r="19" spans="1:23">
      <c r="A19" s="23">
        <v>14076</v>
      </c>
      <c r="B19" s="23">
        <v>14077</v>
      </c>
      <c r="C19" s="23" t="s">
        <v>1306</v>
      </c>
      <c r="D19" s="23" t="s">
        <v>1307</v>
      </c>
      <c r="E19" s="21" t="s">
        <v>935</v>
      </c>
      <c r="F19" s="23" t="s">
        <v>1313</v>
      </c>
      <c r="G19" s="23" t="s">
        <v>1314</v>
      </c>
      <c r="H19" s="21" t="s">
        <v>152</v>
      </c>
      <c r="I19" s="23" t="s">
        <v>1261</v>
      </c>
      <c r="J19" s="21" t="s">
        <v>81</v>
      </c>
      <c r="K19" s="21" t="s">
        <v>82</v>
      </c>
      <c r="L19" s="21" t="s">
        <v>1053</v>
      </c>
      <c r="M19" s="23" t="s">
        <v>1262</v>
      </c>
      <c r="N19" s="23" t="s">
        <v>156</v>
      </c>
      <c r="O19" s="21" t="s">
        <v>86</v>
      </c>
      <c r="P19" s="158">
        <v>284</v>
      </c>
      <c r="Q19" s="172">
        <v>3.306</v>
      </c>
      <c r="R19" s="173">
        <v>66930</v>
      </c>
      <c r="S19" s="23"/>
      <c r="T19" s="157">
        <v>628.40800000000002</v>
      </c>
      <c r="U19" s="171">
        <v>0</v>
      </c>
      <c r="V19" s="171">
        <v>3.9625471024742197E-2</v>
      </c>
      <c r="W19" s="171">
        <v>2.9317985121861699E-2</v>
      </c>
    </row>
    <row r="20" spans="1:23">
      <c r="A20" s="3">
        <v>14076</v>
      </c>
      <c r="B20" s="3">
        <v>14077</v>
      </c>
      <c r="C20" s="3" t="s">
        <v>1301</v>
      </c>
      <c r="D20" s="3" t="s">
        <v>1302</v>
      </c>
      <c r="E20" s="21" t="s">
        <v>935</v>
      </c>
      <c r="F20" s="3" t="s">
        <v>1315</v>
      </c>
      <c r="G20" s="3" t="s">
        <v>1316</v>
      </c>
      <c r="H20" s="21" t="s">
        <v>152</v>
      </c>
      <c r="I20" s="23" t="s">
        <v>1261</v>
      </c>
      <c r="J20" s="21" t="s">
        <v>81</v>
      </c>
      <c r="K20" s="21" t="s">
        <v>82</v>
      </c>
      <c r="L20" s="21" t="s">
        <v>1053</v>
      </c>
      <c r="M20" s="23" t="s">
        <v>1262</v>
      </c>
      <c r="N20" s="23" t="s">
        <v>156</v>
      </c>
      <c r="O20" s="3" t="s">
        <v>86</v>
      </c>
      <c r="P20" s="158">
        <v>3237</v>
      </c>
      <c r="Q20" s="164">
        <v>3.306</v>
      </c>
      <c r="R20" s="174">
        <v>7834</v>
      </c>
      <c r="T20" s="155">
        <v>838.35699999999997</v>
      </c>
      <c r="U20" s="166">
        <v>1.1E-5</v>
      </c>
      <c r="V20" s="166">
        <v>5.2864184769737699E-2</v>
      </c>
      <c r="W20" s="166">
        <v>3.9113008438203298E-2</v>
      </c>
    </row>
    <row r="21" spans="1:23" s="42" customFormat="1">
      <c r="A21" s="42">
        <v>14076</v>
      </c>
      <c r="B21" s="42">
        <v>14077</v>
      </c>
      <c r="C21" s="42" t="s">
        <v>1301</v>
      </c>
      <c r="D21" s="42" t="s">
        <v>1302</v>
      </c>
      <c r="E21" s="45" t="s">
        <v>935</v>
      </c>
      <c r="F21" s="42" t="s">
        <v>1317</v>
      </c>
      <c r="G21" s="42" t="s">
        <v>1318</v>
      </c>
      <c r="H21" s="45" t="s">
        <v>152</v>
      </c>
      <c r="I21" s="42" t="s">
        <v>1261</v>
      </c>
      <c r="J21" s="42" t="s">
        <v>81</v>
      </c>
      <c r="K21" s="42" t="s">
        <v>82</v>
      </c>
      <c r="L21" s="45" t="s">
        <v>1195</v>
      </c>
      <c r="M21" s="41" t="s">
        <v>1312</v>
      </c>
      <c r="N21" s="42" t="s">
        <v>156</v>
      </c>
      <c r="O21" s="42" t="s">
        <v>86</v>
      </c>
      <c r="P21" s="156">
        <v>1976</v>
      </c>
      <c r="Q21" s="164">
        <v>3.306</v>
      </c>
      <c r="R21" s="174">
        <v>6304</v>
      </c>
      <c r="T21" s="155">
        <v>411.81900000000002</v>
      </c>
      <c r="U21" s="166">
        <v>6.0000000000000002E-6</v>
      </c>
      <c r="V21" s="166">
        <v>2.59679949103746E-2</v>
      </c>
      <c r="W21" s="166">
        <v>1.92131290490293E-2</v>
      </c>
    </row>
    <row r="22" spans="1:23">
      <c r="A22" s="3">
        <v>14076</v>
      </c>
      <c r="B22" s="3">
        <v>14077</v>
      </c>
      <c r="C22" s="3" t="s">
        <v>1319</v>
      </c>
      <c r="D22" s="3" t="s">
        <v>1320</v>
      </c>
      <c r="E22" s="5" t="s">
        <v>935</v>
      </c>
      <c r="F22" s="3" t="s">
        <v>1321</v>
      </c>
      <c r="G22" s="3" t="s">
        <v>1322</v>
      </c>
      <c r="H22" s="3" t="s">
        <v>152</v>
      </c>
      <c r="I22" s="3" t="s">
        <v>1261</v>
      </c>
      <c r="J22" s="3" t="s">
        <v>81</v>
      </c>
      <c r="K22" s="3" t="s">
        <v>82</v>
      </c>
      <c r="L22" s="5" t="s">
        <v>1053</v>
      </c>
      <c r="M22" s="3" t="s">
        <v>1262</v>
      </c>
      <c r="N22" s="3" t="s">
        <v>156</v>
      </c>
      <c r="O22" s="3" t="s">
        <v>86</v>
      </c>
      <c r="P22" s="156">
        <v>415</v>
      </c>
      <c r="Q22" s="164">
        <v>3.306</v>
      </c>
      <c r="R22" s="174">
        <v>61238</v>
      </c>
      <c r="S22" s="155">
        <v>0.72199999999999998</v>
      </c>
      <c r="T22" s="155">
        <v>842.56600000000003</v>
      </c>
      <c r="U22" s="166">
        <v>0</v>
      </c>
      <c r="V22" s="166">
        <v>5.3129607874274697E-2</v>
      </c>
      <c r="W22" s="166">
        <v>3.93093889588274E-2</v>
      </c>
    </row>
    <row r="23" spans="1:23">
      <c r="A23" s="3">
        <v>14076</v>
      </c>
      <c r="B23" s="3">
        <v>14078</v>
      </c>
      <c r="C23" s="3" t="s">
        <v>1249</v>
      </c>
      <c r="D23" s="3" t="s">
        <v>1250</v>
      </c>
      <c r="E23" s="5" t="s">
        <v>149</v>
      </c>
      <c r="F23" s="3" t="s">
        <v>1251</v>
      </c>
      <c r="G23" s="3" t="s">
        <v>1252</v>
      </c>
      <c r="H23" s="3" t="s">
        <v>152</v>
      </c>
      <c r="I23" s="3" t="s">
        <v>1253</v>
      </c>
      <c r="J23" s="3" t="s">
        <v>30</v>
      </c>
      <c r="K23" s="3" t="s">
        <v>30</v>
      </c>
      <c r="L23" s="3" t="s">
        <v>31</v>
      </c>
      <c r="M23" s="3" t="s">
        <v>1254</v>
      </c>
      <c r="N23" s="3" t="s">
        <v>156</v>
      </c>
      <c r="O23" s="3" t="s">
        <v>34</v>
      </c>
      <c r="P23" s="156">
        <v>3602</v>
      </c>
      <c r="Q23" s="164">
        <v>1</v>
      </c>
      <c r="R23" s="174">
        <v>5003</v>
      </c>
      <c r="T23" s="155">
        <v>180.208</v>
      </c>
      <c r="U23" s="166">
        <v>3.8000000000000002E-5</v>
      </c>
      <c r="V23" s="166">
        <v>0.121891551826748</v>
      </c>
      <c r="W23" s="166">
        <v>7.7068846788037201E-2</v>
      </c>
    </row>
    <row r="24" spans="1:23">
      <c r="A24" s="3">
        <v>14076</v>
      </c>
      <c r="B24" s="3">
        <v>14078</v>
      </c>
      <c r="C24" s="3" t="s">
        <v>1249</v>
      </c>
      <c r="D24" s="3" t="s">
        <v>1250</v>
      </c>
      <c r="E24" s="5" t="s">
        <v>149</v>
      </c>
      <c r="F24" s="3" t="s">
        <v>1323</v>
      </c>
      <c r="G24" s="3" t="s">
        <v>1324</v>
      </c>
      <c r="H24" s="3" t="s">
        <v>152</v>
      </c>
      <c r="I24" s="3" t="s">
        <v>1257</v>
      </c>
      <c r="J24" s="3" t="s">
        <v>30</v>
      </c>
      <c r="K24" s="3" t="s">
        <v>30</v>
      </c>
      <c r="L24" s="3" t="s">
        <v>31</v>
      </c>
      <c r="M24" s="3" t="s">
        <v>1273</v>
      </c>
      <c r="N24" s="3" t="s">
        <v>156</v>
      </c>
      <c r="O24" s="3" t="s">
        <v>34</v>
      </c>
      <c r="P24" s="156">
        <v>28117</v>
      </c>
      <c r="Q24" s="164">
        <v>1</v>
      </c>
      <c r="R24" s="174">
        <v>487.71</v>
      </c>
      <c r="T24" s="155">
        <v>137.12899999999999</v>
      </c>
      <c r="U24" s="166">
        <v>1.1400000000000001E-4</v>
      </c>
      <c r="V24" s="166">
        <v>9.2753442272370798E-2</v>
      </c>
      <c r="W24" s="166">
        <v>5.86455806364077E-2</v>
      </c>
    </row>
    <row r="25" spans="1:23">
      <c r="A25" s="3">
        <v>14076</v>
      </c>
      <c r="B25" s="3">
        <v>14078</v>
      </c>
      <c r="C25" s="3" t="s">
        <v>1306</v>
      </c>
      <c r="D25" s="3" t="s">
        <v>1307</v>
      </c>
      <c r="E25" s="5" t="s">
        <v>935</v>
      </c>
      <c r="F25" s="3" t="s">
        <v>1325</v>
      </c>
      <c r="G25" s="3" t="s">
        <v>1326</v>
      </c>
      <c r="H25" s="3" t="s">
        <v>152</v>
      </c>
      <c r="I25" s="3" t="s">
        <v>1261</v>
      </c>
      <c r="J25" s="3" t="s">
        <v>30</v>
      </c>
      <c r="K25" s="3" t="s">
        <v>82</v>
      </c>
      <c r="L25" s="3" t="s">
        <v>31</v>
      </c>
      <c r="M25" s="3" t="s">
        <v>1262</v>
      </c>
      <c r="N25" s="3" t="s">
        <v>156</v>
      </c>
      <c r="O25" s="3" t="s">
        <v>34</v>
      </c>
      <c r="P25" s="156">
        <v>55</v>
      </c>
      <c r="Q25" s="164">
        <v>1</v>
      </c>
      <c r="R25" s="174">
        <v>235230</v>
      </c>
      <c r="T25" s="155">
        <v>129.376</v>
      </c>
      <c r="U25" s="166">
        <v>1.9000000000000001E-5</v>
      </c>
      <c r="V25" s="166">
        <v>8.7509417475074194E-2</v>
      </c>
      <c r="W25" s="166">
        <v>5.53299206288137E-2</v>
      </c>
    </row>
    <row r="26" spans="1:23">
      <c r="A26" s="3">
        <v>14076</v>
      </c>
      <c r="B26" s="3">
        <v>14078</v>
      </c>
      <c r="C26" s="3" t="s">
        <v>1263</v>
      </c>
      <c r="D26" s="3" t="s">
        <v>1264</v>
      </c>
      <c r="E26" s="5" t="s">
        <v>149</v>
      </c>
      <c r="F26" s="3" t="s">
        <v>1265</v>
      </c>
      <c r="G26" s="9" t="s">
        <v>1266</v>
      </c>
      <c r="H26" s="3" t="s">
        <v>152</v>
      </c>
      <c r="I26" s="3" t="s">
        <v>1253</v>
      </c>
      <c r="J26" s="3" t="s">
        <v>30</v>
      </c>
      <c r="K26" s="3" t="s">
        <v>30</v>
      </c>
      <c r="L26" s="3" t="s">
        <v>31</v>
      </c>
      <c r="M26" s="3" t="s">
        <v>1267</v>
      </c>
      <c r="N26" s="3" t="s">
        <v>156</v>
      </c>
      <c r="O26" s="3" t="s">
        <v>34</v>
      </c>
      <c r="P26" s="156">
        <v>1176</v>
      </c>
      <c r="Q26" s="164">
        <v>1</v>
      </c>
      <c r="R26" s="174">
        <v>3165</v>
      </c>
      <c r="T26" s="155">
        <v>37.22</v>
      </c>
      <c r="U26" s="166">
        <v>5.0000000000000004E-6</v>
      </c>
      <c r="V26" s="166">
        <v>2.5175634850140901E-2</v>
      </c>
      <c r="W26" s="166">
        <v>1.5917896818762999E-2</v>
      </c>
    </row>
    <row r="27" spans="1:23">
      <c r="A27" s="3">
        <v>14076</v>
      </c>
      <c r="B27" s="3">
        <v>14078</v>
      </c>
      <c r="C27" s="3" t="s">
        <v>1263</v>
      </c>
      <c r="D27" s="3" t="s">
        <v>1264</v>
      </c>
      <c r="E27" s="5" t="s">
        <v>149</v>
      </c>
      <c r="F27" s="3" t="s">
        <v>1327</v>
      </c>
      <c r="G27" s="3" t="s">
        <v>1328</v>
      </c>
      <c r="H27" s="3" t="s">
        <v>152</v>
      </c>
      <c r="I27" s="3" t="s">
        <v>1257</v>
      </c>
      <c r="J27" s="3" t="s">
        <v>30</v>
      </c>
      <c r="K27" s="3" t="s">
        <v>30</v>
      </c>
      <c r="L27" s="3" t="s">
        <v>31</v>
      </c>
      <c r="M27" s="3" t="s">
        <v>1258</v>
      </c>
      <c r="N27" s="3" t="s">
        <v>156</v>
      </c>
      <c r="O27" s="3" t="s">
        <v>34</v>
      </c>
      <c r="P27" s="156">
        <v>35233</v>
      </c>
      <c r="Q27" s="164">
        <v>1</v>
      </c>
      <c r="R27" s="174">
        <v>390.79</v>
      </c>
      <c r="T27" s="155">
        <v>137.68700000000001</v>
      </c>
      <c r="U27" s="166">
        <v>1.1400000000000001E-4</v>
      </c>
      <c r="V27" s="166">
        <v>9.3130612789214695E-2</v>
      </c>
      <c r="W27" s="166">
        <v>5.88840557098642E-2</v>
      </c>
    </row>
    <row r="28" spans="1:23">
      <c r="A28" s="3">
        <v>14076</v>
      </c>
      <c r="B28" s="3">
        <v>14078</v>
      </c>
      <c r="C28" s="3" t="s">
        <v>1263</v>
      </c>
      <c r="D28" s="3" t="s">
        <v>1264</v>
      </c>
      <c r="E28" s="5" t="s">
        <v>149</v>
      </c>
      <c r="F28" s="3" t="s">
        <v>1271</v>
      </c>
      <c r="G28" s="3" t="s">
        <v>1272</v>
      </c>
      <c r="H28" s="3" t="s">
        <v>152</v>
      </c>
      <c r="I28" s="3" t="s">
        <v>1257</v>
      </c>
      <c r="J28" s="3" t="s">
        <v>30</v>
      </c>
      <c r="K28" s="3" t="s">
        <v>30</v>
      </c>
      <c r="L28" s="3" t="s">
        <v>31</v>
      </c>
      <c r="M28" s="3" t="s">
        <v>1273</v>
      </c>
      <c r="N28" s="3" t="s">
        <v>156</v>
      </c>
      <c r="O28" s="3" t="s">
        <v>34</v>
      </c>
      <c r="P28" s="156">
        <v>27211</v>
      </c>
      <c r="Q28" s="164">
        <v>1</v>
      </c>
      <c r="R28" s="174">
        <v>419.81</v>
      </c>
      <c r="T28" s="155">
        <v>114.23399999999999</v>
      </c>
      <c r="U28" s="166">
        <v>1E-4</v>
      </c>
      <c r="V28" s="166">
        <v>7.7267467212344496E-2</v>
      </c>
      <c r="W28" s="166">
        <v>4.88542027978442E-2</v>
      </c>
    </row>
    <row r="29" spans="1:23">
      <c r="A29" s="3">
        <v>14076</v>
      </c>
      <c r="B29" s="3">
        <v>14078</v>
      </c>
      <c r="C29" s="3" t="s">
        <v>1276</v>
      </c>
      <c r="D29" s="3" t="s">
        <v>1277</v>
      </c>
      <c r="E29" s="5" t="s">
        <v>149</v>
      </c>
      <c r="F29" s="3" t="s">
        <v>1329</v>
      </c>
      <c r="G29" s="3" t="s">
        <v>1330</v>
      </c>
      <c r="H29" s="3" t="s">
        <v>152</v>
      </c>
      <c r="I29" s="3" t="s">
        <v>1261</v>
      </c>
      <c r="J29" s="3" t="s">
        <v>30</v>
      </c>
      <c r="K29" s="3" t="s">
        <v>82</v>
      </c>
      <c r="L29" s="3" t="s">
        <v>31</v>
      </c>
      <c r="M29" s="3" t="s">
        <v>1331</v>
      </c>
      <c r="N29" s="3" t="s">
        <v>156</v>
      </c>
      <c r="O29" s="3" t="s">
        <v>34</v>
      </c>
      <c r="P29" s="156">
        <v>469</v>
      </c>
      <c r="Q29" s="164">
        <v>1</v>
      </c>
      <c r="R29" s="174">
        <v>12290</v>
      </c>
      <c r="T29" s="155">
        <v>57.64</v>
      </c>
      <c r="U29" s="166">
        <v>4.8999999999999998E-5</v>
      </c>
      <c r="V29" s="166">
        <v>3.8987386227058399E-2</v>
      </c>
      <c r="W29" s="166">
        <v>2.46507067205936E-2</v>
      </c>
    </row>
    <row r="30" spans="1:23">
      <c r="A30" s="3">
        <v>14076</v>
      </c>
      <c r="B30" s="3">
        <v>14078</v>
      </c>
      <c r="C30" s="3" t="s">
        <v>1288</v>
      </c>
      <c r="D30" s="3" t="s">
        <v>1289</v>
      </c>
      <c r="E30" s="5" t="s">
        <v>149</v>
      </c>
      <c r="F30" s="3" t="s">
        <v>1290</v>
      </c>
      <c r="G30" s="3" t="s">
        <v>1291</v>
      </c>
      <c r="H30" s="3" t="s">
        <v>152</v>
      </c>
      <c r="I30" s="3" t="s">
        <v>1257</v>
      </c>
      <c r="J30" s="3" t="s">
        <v>30</v>
      </c>
      <c r="K30" s="3" t="s">
        <v>30</v>
      </c>
      <c r="L30" s="3" t="s">
        <v>31</v>
      </c>
      <c r="M30" s="3" t="s">
        <v>1258</v>
      </c>
      <c r="N30" s="3" t="s">
        <v>156</v>
      </c>
      <c r="O30" s="3" t="s">
        <v>34</v>
      </c>
      <c r="P30" s="156">
        <v>3528</v>
      </c>
      <c r="Q30" s="164">
        <v>1</v>
      </c>
      <c r="R30" s="174">
        <v>3901.51</v>
      </c>
      <c r="T30" s="155">
        <v>137.64500000000001</v>
      </c>
      <c r="U30" s="166">
        <v>4.8999999999999998E-5</v>
      </c>
      <c r="V30" s="166">
        <v>9.3102361255140403E-2</v>
      </c>
      <c r="W30" s="166">
        <v>5.8866193002248601E-2</v>
      </c>
    </row>
    <row r="31" spans="1:23">
      <c r="A31" s="3">
        <v>14076</v>
      </c>
      <c r="B31" s="3">
        <v>14078</v>
      </c>
      <c r="C31" s="3" t="s">
        <v>1288</v>
      </c>
      <c r="D31" s="3" t="s">
        <v>1289</v>
      </c>
      <c r="E31" s="5" t="s">
        <v>149</v>
      </c>
      <c r="F31" s="3" t="s">
        <v>1292</v>
      </c>
      <c r="G31" s="3" t="s">
        <v>1293</v>
      </c>
      <c r="H31" s="3" t="s">
        <v>152</v>
      </c>
      <c r="I31" s="3" t="s">
        <v>1257</v>
      </c>
      <c r="J31" s="3" t="s">
        <v>30</v>
      </c>
      <c r="K31" s="3" t="s">
        <v>30</v>
      </c>
      <c r="L31" s="3" t="s">
        <v>31</v>
      </c>
      <c r="M31" s="3" t="s">
        <v>1294</v>
      </c>
      <c r="N31" s="3" t="s">
        <v>156</v>
      </c>
      <c r="O31" s="3" t="s">
        <v>34</v>
      </c>
      <c r="P31" s="156">
        <v>3272</v>
      </c>
      <c r="Q31" s="164">
        <v>1</v>
      </c>
      <c r="R31" s="174">
        <v>4185.1899999999996</v>
      </c>
      <c r="T31" s="155">
        <v>136.93899999999999</v>
      </c>
      <c r="U31" s="166">
        <v>6.0999999999999999E-5</v>
      </c>
      <c r="V31" s="166">
        <v>9.2624924878508805E-2</v>
      </c>
      <c r="W31" s="166">
        <v>5.8564322442638601E-2</v>
      </c>
    </row>
    <row r="32" spans="1:23">
      <c r="A32" s="3">
        <v>14076</v>
      </c>
      <c r="B32" s="3">
        <v>14078</v>
      </c>
      <c r="C32" s="3" t="s">
        <v>1295</v>
      </c>
      <c r="D32" s="3" t="s">
        <v>1296</v>
      </c>
      <c r="E32" s="5" t="s">
        <v>149</v>
      </c>
      <c r="F32" s="3" t="s">
        <v>1297</v>
      </c>
      <c r="G32" s="3" t="s">
        <v>1298</v>
      </c>
      <c r="H32" s="3" t="s">
        <v>152</v>
      </c>
      <c r="I32" s="3" t="s">
        <v>1257</v>
      </c>
      <c r="J32" s="3" t="s">
        <v>30</v>
      </c>
      <c r="K32" s="3" t="s">
        <v>30</v>
      </c>
      <c r="L32" s="3" t="s">
        <v>31</v>
      </c>
      <c r="M32" s="3" t="s">
        <v>1258</v>
      </c>
      <c r="N32" s="3" t="s">
        <v>156</v>
      </c>
      <c r="O32" s="3" t="s">
        <v>34</v>
      </c>
      <c r="P32" s="156">
        <v>35110</v>
      </c>
      <c r="Q32" s="164">
        <v>1</v>
      </c>
      <c r="R32" s="174">
        <v>392.09</v>
      </c>
      <c r="T32" s="155">
        <v>137.66300000000001</v>
      </c>
      <c r="U32" s="166">
        <v>2.5999999999999998E-5</v>
      </c>
      <c r="V32" s="166">
        <v>9.3114215862063296E-2</v>
      </c>
      <c r="W32" s="166">
        <v>5.8873688360794499E-2</v>
      </c>
    </row>
    <row r="33" spans="1:23">
      <c r="A33" s="3">
        <v>14076</v>
      </c>
      <c r="B33" s="3">
        <v>14078</v>
      </c>
      <c r="C33" s="3" t="s">
        <v>1295</v>
      </c>
      <c r="D33" s="3" t="s">
        <v>1296</v>
      </c>
      <c r="E33" s="5" t="s">
        <v>149</v>
      </c>
      <c r="F33" s="3" t="s">
        <v>1299</v>
      </c>
      <c r="G33" s="3" t="s">
        <v>1300</v>
      </c>
      <c r="H33" s="3" t="s">
        <v>152</v>
      </c>
      <c r="I33" s="3" t="s">
        <v>1257</v>
      </c>
      <c r="J33" s="3" t="s">
        <v>30</v>
      </c>
      <c r="K33" s="3" t="s">
        <v>30</v>
      </c>
      <c r="L33" s="3" t="s">
        <v>31</v>
      </c>
      <c r="M33" s="3" t="s">
        <v>1294</v>
      </c>
      <c r="N33" s="3" t="s">
        <v>156</v>
      </c>
      <c r="O33" s="3" t="s">
        <v>34</v>
      </c>
      <c r="P33" s="156">
        <v>32529</v>
      </c>
      <c r="Q33" s="164">
        <v>1</v>
      </c>
      <c r="R33" s="174">
        <v>421.35</v>
      </c>
      <c r="T33" s="155">
        <v>137.06100000000001</v>
      </c>
      <c r="U33" s="166">
        <v>4.3999999999999999E-5</v>
      </c>
      <c r="V33" s="166">
        <v>9.2707123389875495E-2</v>
      </c>
      <c r="W33" s="166">
        <v>5.8616294415952501E-2</v>
      </c>
    </row>
    <row r="34" spans="1:23">
      <c r="A34" s="3">
        <v>14076</v>
      </c>
      <c r="B34" s="3">
        <v>14078</v>
      </c>
      <c r="C34" s="3" t="s">
        <v>1332</v>
      </c>
      <c r="D34" s="3" t="s">
        <v>1333</v>
      </c>
      <c r="E34" s="5" t="s">
        <v>935</v>
      </c>
      <c r="F34" s="3" t="s">
        <v>1334</v>
      </c>
      <c r="G34" s="3" t="s">
        <v>1335</v>
      </c>
      <c r="H34" s="3" t="s">
        <v>152</v>
      </c>
      <c r="I34" s="3" t="s">
        <v>1261</v>
      </c>
      <c r="J34" s="3" t="s">
        <v>81</v>
      </c>
      <c r="K34" s="3" t="s">
        <v>82</v>
      </c>
      <c r="L34" s="3" t="s">
        <v>1195</v>
      </c>
      <c r="M34" s="3" t="s">
        <v>1262</v>
      </c>
      <c r="N34" s="3" t="s">
        <v>156</v>
      </c>
      <c r="O34" s="3" t="s">
        <v>34</v>
      </c>
      <c r="P34" s="156">
        <v>31</v>
      </c>
      <c r="Q34" s="164">
        <v>1</v>
      </c>
      <c r="R34" s="174">
        <v>437500</v>
      </c>
      <c r="T34" s="155">
        <v>135.625</v>
      </c>
      <c r="U34" s="166">
        <v>1.9999999999999999E-6</v>
      </c>
      <c r="V34" s="166">
        <v>9.1735861961460899E-2</v>
      </c>
      <c r="W34" s="166">
        <v>5.8002191165187303E-2</v>
      </c>
    </row>
    <row r="35" spans="1:23">
      <c r="A35" s="3">
        <v>14076</v>
      </c>
      <c r="B35" s="3">
        <v>14079</v>
      </c>
      <c r="C35" s="3" t="s">
        <v>1288</v>
      </c>
      <c r="D35" s="3" t="s">
        <v>1289</v>
      </c>
      <c r="E35" s="5" t="s">
        <v>149</v>
      </c>
      <c r="F35" s="3" t="s">
        <v>1336</v>
      </c>
      <c r="G35" s="3" t="s">
        <v>1337</v>
      </c>
      <c r="H35" s="3" t="s">
        <v>152</v>
      </c>
      <c r="I35" s="3" t="s">
        <v>1261</v>
      </c>
      <c r="J35" s="3" t="s">
        <v>30</v>
      </c>
      <c r="K35" s="3" t="s">
        <v>1338</v>
      </c>
      <c r="L35" s="3" t="s">
        <v>31</v>
      </c>
      <c r="M35" s="3" t="s">
        <v>1339</v>
      </c>
      <c r="N35" s="3" t="s">
        <v>156</v>
      </c>
      <c r="O35" s="3" t="s">
        <v>34</v>
      </c>
      <c r="P35" s="156">
        <v>4226</v>
      </c>
      <c r="Q35" s="164">
        <v>1</v>
      </c>
      <c r="R35" s="174">
        <v>4406</v>
      </c>
      <c r="T35" s="155">
        <v>186.19800000000001</v>
      </c>
      <c r="U35" s="166">
        <v>1.03E-4</v>
      </c>
      <c r="V35" s="166">
        <v>2.0630453227896899E-2</v>
      </c>
      <c r="W35" s="166">
        <v>1.9571826272057401E-2</v>
      </c>
    </row>
    <row r="36" spans="1:23">
      <c r="A36" s="3">
        <v>14076</v>
      </c>
      <c r="B36" s="3">
        <v>14079</v>
      </c>
      <c r="C36" s="3" t="s">
        <v>1249</v>
      </c>
      <c r="D36" s="3" t="s">
        <v>1250</v>
      </c>
      <c r="E36" s="5" t="s">
        <v>149</v>
      </c>
      <c r="F36" s="3" t="s">
        <v>1251</v>
      </c>
      <c r="G36" s="3" t="s">
        <v>1252</v>
      </c>
      <c r="H36" s="3" t="s">
        <v>152</v>
      </c>
      <c r="I36" s="3" t="s">
        <v>1253</v>
      </c>
      <c r="J36" s="3" t="s">
        <v>30</v>
      </c>
      <c r="K36" s="3" t="s">
        <v>30</v>
      </c>
      <c r="L36" s="3" t="s">
        <v>31</v>
      </c>
      <c r="M36" s="3" t="s">
        <v>1254</v>
      </c>
      <c r="N36" s="3" t="s">
        <v>156</v>
      </c>
      <c r="O36" s="3" t="s">
        <v>34</v>
      </c>
      <c r="P36" s="156">
        <v>13924</v>
      </c>
      <c r="Q36" s="164">
        <v>1</v>
      </c>
      <c r="R36" s="174">
        <v>5003</v>
      </c>
      <c r="T36" s="155">
        <v>696.61800000000005</v>
      </c>
      <c r="U36" s="166">
        <v>1.47E-4</v>
      </c>
      <c r="V36" s="166">
        <v>7.7184358861545593E-2</v>
      </c>
      <c r="W36" s="166">
        <v>7.3223736089112798E-2</v>
      </c>
    </row>
    <row r="37" spans="1:23">
      <c r="A37" s="3">
        <v>14076</v>
      </c>
      <c r="B37" s="3">
        <v>14079</v>
      </c>
      <c r="C37" s="3" t="s">
        <v>1249</v>
      </c>
      <c r="D37" s="3" t="s">
        <v>1250</v>
      </c>
      <c r="E37" s="5" t="s">
        <v>149</v>
      </c>
      <c r="F37" s="3" t="s">
        <v>1259</v>
      </c>
      <c r="G37" s="3" t="s">
        <v>1260</v>
      </c>
      <c r="H37" s="3" t="s">
        <v>152</v>
      </c>
      <c r="I37" s="3" t="s">
        <v>1261</v>
      </c>
      <c r="J37" s="3" t="s">
        <v>30</v>
      </c>
      <c r="K37" s="3" t="s">
        <v>82</v>
      </c>
      <c r="L37" s="3" t="s">
        <v>31</v>
      </c>
      <c r="M37" s="3" t="s">
        <v>1262</v>
      </c>
      <c r="N37" s="3" t="s">
        <v>156</v>
      </c>
      <c r="O37" s="3" t="s">
        <v>34</v>
      </c>
      <c r="P37" s="156">
        <v>6674</v>
      </c>
      <c r="Q37" s="164">
        <v>1</v>
      </c>
      <c r="R37" s="174">
        <v>8410</v>
      </c>
      <c r="T37" s="155">
        <v>561.28300000000002</v>
      </c>
      <c r="U37" s="166">
        <v>2.7399999999999999E-4</v>
      </c>
      <c r="V37" s="166">
        <v>6.2189488043210402E-2</v>
      </c>
      <c r="W37" s="166">
        <v>5.8998309076605103E-2</v>
      </c>
    </row>
    <row r="38" spans="1:23">
      <c r="A38" s="3">
        <v>14076</v>
      </c>
      <c r="B38" s="3">
        <v>14079</v>
      </c>
      <c r="C38" s="3" t="s">
        <v>1263</v>
      </c>
      <c r="D38" s="3" t="s">
        <v>1264</v>
      </c>
      <c r="E38" s="5" t="s">
        <v>149</v>
      </c>
      <c r="F38" s="3" t="s">
        <v>1340</v>
      </c>
      <c r="G38" s="3" t="s">
        <v>1341</v>
      </c>
      <c r="H38" s="3" t="s">
        <v>152</v>
      </c>
      <c r="I38" s="3" t="s">
        <v>1261</v>
      </c>
      <c r="J38" s="3" t="s">
        <v>30</v>
      </c>
      <c r="K38" s="3" t="s">
        <v>82</v>
      </c>
      <c r="L38" s="3" t="s">
        <v>31</v>
      </c>
      <c r="M38" s="3" t="s">
        <v>1262</v>
      </c>
      <c r="N38" s="3" t="s">
        <v>156</v>
      </c>
      <c r="O38" s="3" t="s">
        <v>34</v>
      </c>
      <c r="P38" s="156">
        <v>2184</v>
      </c>
      <c r="Q38" s="164">
        <v>1</v>
      </c>
      <c r="R38" s="174">
        <v>6378</v>
      </c>
      <c r="T38" s="155">
        <v>139.29599999999999</v>
      </c>
      <c r="U38" s="166">
        <v>1.8E-5</v>
      </c>
      <c r="V38" s="166">
        <v>1.5433766748692001E-2</v>
      </c>
      <c r="W38" s="166">
        <v>1.4641801524767E-2</v>
      </c>
    </row>
    <row r="39" spans="1:23">
      <c r="A39" s="3">
        <v>14076</v>
      </c>
      <c r="B39" s="3">
        <v>14079</v>
      </c>
      <c r="C39" s="3" t="s">
        <v>1263</v>
      </c>
      <c r="D39" s="3" t="s">
        <v>1264</v>
      </c>
      <c r="E39" s="5" t="s">
        <v>149</v>
      </c>
      <c r="F39" s="3" t="s">
        <v>1265</v>
      </c>
      <c r="G39" s="3" t="s">
        <v>1266</v>
      </c>
      <c r="H39" s="3" t="s">
        <v>152</v>
      </c>
      <c r="I39" s="3" t="s">
        <v>1253</v>
      </c>
      <c r="J39" s="3" t="s">
        <v>30</v>
      </c>
      <c r="K39" s="3" t="s">
        <v>30</v>
      </c>
      <c r="L39" s="3" t="s">
        <v>31</v>
      </c>
      <c r="M39" s="3" t="s">
        <v>1267</v>
      </c>
      <c r="N39" s="3" t="s">
        <v>156</v>
      </c>
      <c r="O39" s="3" t="s">
        <v>34</v>
      </c>
      <c r="P39" s="156">
        <v>9483</v>
      </c>
      <c r="Q39" s="164">
        <v>1</v>
      </c>
      <c r="R39" s="174">
        <v>3165</v>
      </c>
      <c r="T39" s="155">
        <v>300.137</v>
      </c>
      <c r="U39" s="166">
        <v>3.8000000000000002E-5</v>
      </c>
      <c r="V39" s="166">
        <v>3.3254792967956297E-2</v>
      </c>
      <c r="W39" s="166">
        <v>3.1548363164507598E-2</v>
      </c>
    </row>
    <row r="40" spans="1:23">
      <c r="A40" s="3">
        <v>14076</v>
      </c>
      <c r="B40" s="3">
        <v>14079</v>
      </c>
      <c r="C40" s="3" t="s">
        <v>1263</v>
      </c>
      <c r="D40" s="3" t="s">
        <v>1264</v>
      </c>
      <c r="E40" s="5" t="s">
        <v>149</v>
      </c>
      <c r="F40" s="3" t="s">
        <v>1268</v>
      </c>
      <c r="G40" s="3" t="s">
        <v>1269</v>
      </c>
      <c r="H40" s="3" t="s">
        <v>152</v>
      </c>
      <c r="I40" s="3" t="s">
        <v>1253</v>
      </c>
      <c r="J40" s="3" t="s">
        <v>30</v>
      </c>
      <c r="K40" s="3" t="s">
        <v>30</v>
      </c>
      <c r="L40" s="3" t="s">
        <v>31</v>
      </c>
      <c r="M40" s="3" t="s">
        <v>1270</v>
      </c>
      <c r="N40" s="3" t="s">
        <v>156</v>
      </c>
      <c r="O40" s="3" t="s">
        <v>34</v>
      </c>
      <c r="P40" s="156">
        <v>12045</v>
      </c>
      <c r="Q40" s="164">
        <v>1</v>
      </c>
      <c r="R40" s="174">
        <v>1267</v>
      </c>
      <c r="T40" s="155">
        <v>152.61000000000001</v>
      </c>
      <c r="U40" s="166">
        <v>2.23E-4</v>
      </c>
      <c r="V40" s="166">
        <v>1.6909010846744298E-2</v>
      </c>
      <c r="W40" s="166">
        <v>1.6041345241863701E-2</v>
      </c>
    </row>
    <row r="41" spans="1:23">
      <c r="A41" s="3">
        <v>14076</v>
      </c>
      <c r="B41" s="3">
        <v>14079</v>
      </c>
      <c r="C41" s="3" t="s">
        <v>1263</v>
      </c>
      <c r="D41" s="3" t="s">
        <v>1264</v>
      </c>
      <c r="E41" s="5" t="s">
        <v>149</v>
      </c>
      <c r="F41" s="3" t="s">
        <v>1274</v>
      </c>
      <c r="G41" s="3" t="s">
        <v>1275</v>
      </c>
      <c r="H41" s="3" t="s">
        <v>152</v>
      </c>
      <c r="I41" s="3" t="s">
        <v>1253</v>
      </c>
      <c r="J41" s="3" t="s">
        <v>30</v>
      </c>
      <c r="K41" s="3" t="s">
        <v>30</v>
      </c>
      <c r="L41" s="3" t="s">
        <v>31</v>
      </c>
      <c r="M41" s="3" t="s">
        <v>1254</v>
      </c>
      <c r="N41" s="3" t="s">
        <v>156</v>
      </c>
      <c r="O41" s="3" t="s">
        <v>34</v>
      </c>
      <c r="P41" s="156">
        <v>23374</v>
      </c>
      <c r="Q41" s="164">
        <v>1</v>
      </c>
      <c r="R41" s="174">
        <v>3192</v>
      </c>
      <c r="T41" s="155">
        <v>746.09799999999996</v>
      </c>
      <c r="U41" s="166">
        <v>1.13E-4</v>
      </c>
      <c r="V41" s="166">
        <v>8.2666719922987603E-2</v>
      </c>
      <c r="W41" s="166">
        <v>7.84247763701931E-2</v>
      </c>
    </row>
    <row r="42" spans="1:23">
      <c r="A42" s="3">
        <v>14076</v>
      </c>
      <c r="B42" s="3">
        <v>14079</v>
      </c>
      <c r="C42" s="3" t="s">
        <v>1342</v>
      </c>
      <c r="D42" s="3" t="s">
        <v>1343</v>
      </c>
      <c r="E42" s="5" t="s">
        <v>149</v>
      </c>
      <c r="F42" s="3" t="s">
        <v>1344</v>
      </c>
      <c r="G42" s="3" t="s">
        <v>1345</v>
      </c>
      <c r="H42" s="3" t="s">
        <v>152</v>
      </c>
      <c r="I42" s="3" t="s">
        <v>1261</v>
      </c>
      <c r="J42" s="3" t="s">
        <v>30</v>
      </c>
      <c r="K42" s="3" t="s">
        <v>82</v>
      </c>
      <c r="L42" s="3" t="s">
        <v>31</v>
      </c>
      <c r="M42" s="3" t="s">
        <v>1262</v>
      </c>
      <c r="N42" s="3" t="s">
        <v>156</v>
      </c>
      <c r="O42" s="3" t="s">
        <v>34</v>
      </c>
      <c r="P42" s="156">
        <v>9835</v>
      </c>
      <c r="Q42" s="164">
        <v>1</v>
      </c>
      <c r="R42" s="174">
        <v>6614</v>
      </c>
      <c r="T42" s="155">
        <v>650.48699999999997</v>
      </c>
      <c r="U42" s="166">
        <v>0</v>
      </c>
      <c r="V42" s="166">
        <v>7.2073122579101701E-2</v>
      </c>
      <c r="W42" s="166">
        <v>6.8374776764256198E-2</v>
      </c>
    </row>
    <row r="43" spans="1:23">
      <c r="A43" s="3">
        <v>14076</v>
      </c>
      <c r="B43" s="3">
        <v>14079</v>
      </c>
      <c r="C43" s="3" t="s">
        <v>1276</v>
      </c>
      <c r="D43" s="3" t="s">
        <v>1277</v>
      </c>
      <c r="E43" s="5" t="s">
        <v>149</v>
      </c>
      <c r="F43" s="3" t="s">
        <v>1346</v>
      </c>
      <c r="G43" s="3" t="s">
        <v>1347</v>
      </c>
      <c r="H43" s="3" t="s">
        <v>152</v>
      </c>
      <c r="I43" s="3" t="s">
        <v>1261</v>
      </c>
      <c r="J43" s="3" t="s">
        <v>30</v>
      </c>
      <c r="K43" s="3" t="s">
        <v>82</v>
      </c>
      <c r="L43" s="3" t="s">
        <v>31</v>
      </c>
      <c r="M43" s="3" t="s">
        <v>1262</v>
      </c>
      <c r="N43" s="3" t="s">
        <v>156</v>
      </c>
      <c r="O43" s="3" t="s">
        <v>34</v>
      </c>
      <c r="P43" s="156">
        <v>2937</v>
      </c>
      <c r="Q43" s="164">
        <v>1</v>
      </c>
      <c r="R43" s="174">
        <v>10950</v>
      </c>
      <c r="T43" s="155">
        <v>321.601</v>
      </c>
      <c r="U43" s="166">
        <v>4.3000000000000002E-5</v>
      </c>
      <c r="V43" s="166">
        <v>3.5633037853833802E-2</v>
      </c>
      <c r="W43" s="166">
        <v>3.3804571267384398E-2</v>
      </c>
    </row>
    <row r="44" spans="1:23">
      <c r="A44" s="3">
        <v>14076</v>
      </c>
      <c r="B44" s="3">
        <v>14079</v>
      </c>
      <c r="C44" s="3" t="s">
        <v>1276</v>
      </c>
      <c r="D44" s="3" t="s">
        <v>1277</v>
      </c>
      <c r="E44" s="5" t="s">
        <v>149</v>
      </c>
      <c r="F44" s="3" t="s">
        <v>1283</v>
      </c>
      <c r="G44" s="3" t="s">
        <v>1284</v>
      </c>
      <c r="H44" s="3" t="s">
        <v>152</v>
      </c>
      <c r="I44" s="3" t="s">
        <v>1261</v>
      </c>
      <c r="J44" s="3" t="s">
        <v>30</v>
      </c>
      <c r="K44" s="3" t="s">
        <v>82</v>
      </c>
      <c r="L44" s="3" t="s">
        <v>31</v>
      </c>
      <c r="M44" s="3" t="s">
        <v>1262</v>
      </c>
      <c r="N44" s="3" t="s">
        <v>156</v>
      </c>
      <c r="O44" s="3" t="s">
        <v>34</v>
      </c>
      <c r="P44" s="156">
        <v>6307</v>
      </c>
      <c r="Q44" s="164">
        <v>1</v>
      </c>
      <c r="R44" s="174">
        <v>10340</v>
      </c>
      <c r="T44" s="155">
        <v>652.14400000000001</v>
      </c>
      <c r="U44" s="166">
        <v>4.6700000000000002E-4</v>
      </c>
      <c r="V44" s="166">
        <v>7.2256704995290799E-2</v>
      </c>
      <c r="W44" s="166">
        <v>6.8548938869012893E-2</v>
      </c>
    </row>
    <row r="45" spans="1:23">
      <c r="A45" s="3">
        <v>14076</v>
      </c>
      <c r="B45" s="3">
        <v>14079</v>
      </c>
      <c r="C45" s="3" t="s">
        <v>1288</v>
      </c>
      <c r="D45" s="3" t="s">
        <v>1289</v>
      </c>
      <c r="E45" s="5" t="s">
        <v>149</v>
      </c>
      <c r="F45" s="3" t="s">
        <v>1348</v>
      </c>
      <c r="G45" s="3" t="s">
        <v>1349</v>
      </c>
      <c r="H45" s="3" t="s">
        <v>152</v>
      </c>
      <c r="I45" s="3" t="s">
        <v>1261</v>
      </c>
      <c r="J45" s="3" t="s">
        <v>30</v>
      </c>
      <c r="K45" s="3" t="s">
        <v>1350</v>
      </c>
      <c r="L45" s="3" t="s">
        <v>31</v>
      </c>
      <c r="M45" s="3" t="s">
        <v>1351</v>
      </c>
      <c r="N45" s="3" t="s">
        <v>156</v>
      </c>
      <c r="O45" s="3" t="s">
        <v>34</v>
      </c>
      <c r="P45" s="156">
        <v>689</v>
      </c>
      <c r="Q45" s="164">
        <v>1</v>
      </c>
      <c r="R45" s="174">
        <v>20090</v>
      </c>
      <c r="T45" s="155">
        <v>138.41999999999999</v>
      </c>
      <c r="U45" s="166">
        <v>1.3200000000000001E-4</v>
      </c>
      <c r="V45" s="166">
        <v>1.53367713242365E-2</v>
      </c>
      <c r="W45" s="166">
        <v>1.45497833041465E-2</v>
      </c>
    </row>
    <row r="46" spans="1:23">
      <c r="A46" s="3">
        <v>14076</v>
      </c>
      <c r="B46" s="3">
        <v>14079</v>
      </c>
      <c r="C46" s="3" t="s">
        <v>1288</v>
      </c>
      <c r="D46" s="3" t="s">
        <v>1289</v>
      </c>
      <c r="E46" s="5" t="s">
        <v>149</v>
      </c>
      <c r="F46" s="3" t="s">
        <v>1352</v>
      </c>
      <c r="G46" s="3" t="s">
        <v>1353</v>
      </c>
      <c r="H46" s="3" t="s">
        <v>152</v>
      </c>
      <c r="I46" s="3" t="s">
        <v>1253</v>
      </c>
      <c r="J46" s="3" t="s">
        <v>30</v>
      </c>
      <c r="K46" s="3" t="s">
        <v>30</v>
      </c>
      <c r="L46" s="3" t="s">
        <v>31</v>
      </c>
      <c r="M46" s="3" t="s">
        <v>1254</v>
      </c>
      <c r="N46" s="3" t="s">
        <v>156</v>
      </c>
      <c r="O46" s="3" t="s">
        <v>34</v>
      </c>
      <c r="P46" s="156">
        <v>2661</v>
      </c>
      <c r="Q46" s="164">
        <v>1</v>
      </c>
      <c r="R46" s="174">
        <v>31750</v>
      </c>
      <c r="T46" s="155">
        <v>844.86699999999996</v>
      </c>
      <c r="U46" s="166">
        <v>7.4999999999999993E-5</v>
      </c>
      <c r="V46" s="166">
        <v>9.3610246248770304E-2</v>
      </c>
      <c r="W46" s="166">
        <v>8.8806748772150806E-2</v>
      </c>
    </row>
    <row r="47" spans="1:23">
      <c r="A47" s="3">
        <v>14076</v>
      </c>
      <c r="B47" s="3">
        <v>14079</v>
      </c>
      <c r="C47" s="3" t="s">
        <v>1295</v>
      </c>
      <c r="D47" s="3" t="s">
        <v>1296</v>
      </c>
      <c r="E47" s="5" t="s">
        <v>149</v>
      </c>
      <c r="F47" s="3" t="s">
        <v>1354</v>
      </c>
      <c r="G47" s="3" t="s">
        <v>1355</v>
      </c>
      <c r="H47" s="3" t="s">
        <v>152</v>
      </c>
      <c r="I47" s="3" t="s">
        <v>1261</v>
      </c>
      <c r="J47" s="3" t="s">
        <v>30</v>
      </c>
      <c r="K47" s="3" t="s">
        <v>82</v>
      </c>
      <c r="L47" s="3" t="s">
        <v>31</v>
      </c>
      <c r="M47" s="3" t="s">
        <v>1262</v>
      </c>
      <c r="N47" s="3" t="s">
        <v>156</v>
      </c>
      <c r="O47" s="3" t="s">
        <v>34</v>
      </c>
      <c r="P47" s="156">
        <v>8882</v>
      </c>
      <c r="Q47" s="164">
        <v>1</v>
      </c>
      <c r="R47" s="174">
        <v>5780</v>
      </c>
      <c r="T47" s="155">
        <v>513.38</v>
      </c>
      <c r="U47" s="166">
        <v>6.8999999999999997E-5</v>
      </c>
      <c r="V47" s="166">
        <v>5.6881807827967298E-2</v>
      </c>
      <c r="W47" s="166">
        <v>5.3962986103675802E-2</v>
      </c>
    </row>
    <row r="48" spans="1:23">
      <c r="A48" s="3">
        <v>14076</v>
      </c>
      <c r="B48" s="3">
        <v>14079</v>
      </c>
      <c r="C48" s="3" t="s">
        <v>1295</v>
      </c>
      <c r="D48" s="3" t="s">
        <v>1296</v>
      </c>
      <c r="E48" s="5" t="s">
        <v>149</v>
      </c>
      <c r="F48" s="3" t="s">
        <v>1356</v>
      </c>
      <c r="G48" s="3" t="s">
        <v>1357</v>
      </c>
      <c r="H48" s="3" t="s">
        <v>152</v>
      </c>
      <c r="I48" s="3" t="s">
        <v>1253</v>
      </c>
      <c r="J48" s="3" t="s">
        <v>30</v>
      </c>
      <c r="K48" s="3" t="s">
        <v>30</v>
      </c>
      <c r="L48" s="3" t="s">
        <v>31</v>
      </c>
      <c r="M48" s="3" t="s">
        <v>1267</v>
      </c>
      <c r="N48" s="3" t="s">
        <v>156</v>
      </c>
      <c r="O48" s="3" t="s">
        <v>34</v>
      </c>
      <c r="P48" s="156">
        <v>8911</v>
      </c>
      <c r="Q48" s="164">
        <v>1</v>
      </c>
      <c r="R48" s="174">
        <v>3146</v>
      </c>
      <c r="T48" s="155">
        <v>280.33999999999997</v>
      </c>
      <c r="U48" s="166">
        <v>2.1999999999999999E-5</v>
      </c>
      <c r="V48" s="166">
        <v>3.1061322692605701E-2</v>
      </c>
      <c r="W48" s="166">
        <v>2.9467448184703201E-2</v>
      </c>
    </row>
    <row r="49" spans="1:23">
      <c r="A49" s="3">
        <v>14076</v>
      </c>
      <c r="B49" s="3">
        <v>14079</v>
      </c>
      <c r="C49" s="3" t="s">
        <v>1295</v>
      </c>
      <c r="D49" s="3" t="s">
        <v>1296</v>
      </c>
      <c r="E49" s="5" t="s">
        <v>149</v>
      </c>
      <c r="F49" s="3" t="s">
        <v>1358</v>
      </c>
      <c r="G49" s="3" t="s">
        <v>1359</v>
      </c>
      <c r="H49" s="3" t="s">
        <v>152</v>
      </c>
      <c r="I49" s="3" t="s">
        <v>1253</v>
      </c>
      <c r="J49" s="3" t="s">
        <v>30</v>
      </c>
      <c r="K49" s="3" t="s">
        <v>30</v>
      </c>
      <c r="L49" s="3" t="s">
        <v>31</v>
      </c>
      <c r="M49" s="3" t="s">
        <v>1282</v>
      </c>
      <c r="N49" s="3" t="s">
        <v>156</v>
      </c>
      <c r="O49" s="3" t="s">
        <v>34</v>
      </c>
      <c r="P49" s="156">
        <v>15212</v>
      </c>
      <c r="Q49" s="164">
        <v>1</v>
      </c>
      <c r="R49" s="174">
        <v>3151</v>
      </c>
      <c r="T49" s="155">
        <v>479.33</v>
      </c>
      <c r="U49" s="166">
        <v>5.8999999999999998E-5</v>
      </c>
      <c r="V49" s="166">
        <v>5.3109168677517603E-2</v>
      </c>
      <c r="W49" s="166">
        <v>5.0383935404977598E-2</v>
      </c>
    </row>
    <row r="50" spans="1:23">
      <c r="A50" s="3">
        <v>14076</v>
      </c>
      <c r="B50" s="3">
        <v>14079</v>
      </c>
      <c r="C50" s="3" t="s">
        <v>1306</v>
      </c>
      <c r="D50" s="3" t="s">
        <v>1307</v>
      </c>
      <c r="E50" s="5" t="s">
        <v>935</v>
      </c>
      <c r="F50" s="3" t="s">
        <v>1360</v>
      </c>
      <c r="G50" s="3" t="s">
        <v>1361</v>
      </c>
      <c r="H50" s="3" t="s">
        <v>152</v>
      </c>
      <c r="I50" s="3" t="s">
        <v>1261</v>
      </c>
      <c r="J50" s="3" t="s">
        <v>81</v>
      </c>
      <c r="K50" s="3" t="s">
        <v>82</v>
      </c>
      <c r="L50" s="3" t="s">
        <v>1053</v>
      </c>
      <c r="M50" s="3" t="s">
        <v>1362</v>
      </c>
      <c r="N50" s="3" t="s">
        <v>156</v>
      </c>
      <c r="O50" s="3" t="s">
        <v>86</v>
      </c>
      <c r="P50" s="156">
        <v>231</v>
      </c>
      <c r="Q50" s="164">
        <v>3.306</v>
      </c>
      <c r="R50" s="174">
        <v>24196</v>
      </c>
      <c r="T50" s="155">
        <v>184.78100000000001</v>
      </c>
      <c r="U50" s="166">
        <v>9.9999999999999995E-7</v>
      </c>
      <c r="V50" s="166">
        <v>2.0473551651199799E-2</v>
      </c>
      <c r="W50" s="166">
        <v>1.9422975911524601E-2</v>
      </c>
    </row>
    <row r="51" spans="1:23">
      <c r="A51" s="3">
        <v>14076</v>
      </c>
      <c r="B51" s="3">
        <v>14079</v>
      </c>
      <c r="C51" s="3" t="s">
        <v>1332</v>
      </c>
      <c r="D51" s="3" t="s">
        <v>1333</v>
      </c>
      <c r="E51" s="5" t="s">
        <v>935</v>
      </c>
      <c r="F51" s="3" t="s">
        <v>1363</v>
      </c>
      <c r="G51" s="3" t="s">
        <v>1364</v>
      </c>
      <c r="H51" s="3" t="s">
        <v>152</v>
      </c>
      <c r="I51" s="3" t="s">
        <v>1261</v>
      </c>
      <c r="J51" s="3" t="s">
        <v>81</v>
      </c>
      <c r="K51" s="3" t="s">
        <v>82</v>
      </c>
      <c r="L51" s="3" t="s">
        <v>1029</v>
      </c>
      <c r="M51" s="3" t="s">
        <v>1331</v>
      </c>
      <c r="N51" s="3" t="s">
        <v>156</v>
      </c>
      <c r="O51" s="3" t="s">
        <v>86</v>
      </c>
      <c r="P51" s="156">
        <v>211</v>
      </c>
      <c r="Q51" s="164">
        <v>3.306</v>
      </c>
      <c r="R51" s="174">
        <v>60037</v>
      </c>
      <c r="S51" s="155">
        <v>0.11</v>
      </c>
      <c r="T51" s="155">
        <v>419.161</v>
      </c>
      <c r="U51" s="166">
        <v>0</v>
      </c>
      <c r="V51" s="166">
        <v>4.6442476806050001E-2</v>
      </c>
      <c r="W51" s="166">
        <v>4.4059336828477798E-2</v>
      </c>
    </row>
    <row r="52" spans="1:23">
      <c r="A52" s="3">
        <v>14076</v>
      </c>
      <c r="B52" s="3">
        <v>14079</v>
      </c>
      <c r="C52" s="3" t="s">
        <v>1332</v>
      </c>
      <c r="D52" s="3" t="s">
        <v>1333</v>
      </c>
      <c r="E52" s="5" t="s">
        <v>935</v>
      </c>
      <c r="F52" s="3" t="s">
        <v>1365</v>
      </c>
      <c r="G52" s="3" t="s">
        <v>1335</v>
      </c>
      <c r="H52" s="3" t="s">
        <v>152</v>
      </c>
      <c r="I52" s="3" t="s">
        <v>1261</v>
      </c>
      <c r="J52" s="3" t="s">
        <v>81</v>
      </c>
      <c r="K52" s="3" t="s">
        <v>82</v>
      </c>
      <c r="L52" s="3" t="s">
        <v>1195</v>
      </c>
      <c r="M52" s="3" t="s">
        <v>1262</v>
      </c>
      <c r="N52" s="3" t="s">
        <v>156</v>
      </c>
      <c r="O52" s="3" t="s">
        <v>86</v>
      </c>
      <c r="P52" s="156">
        <v>84</v>
      </c>
      <c r="Q52" s="164">
        <v>3.306</v>
      </c>
      <c r="R52" s="174">
        <v>132232</v>
      </c>
      <c r="T52" s="155">
        <v>367.214</v>
      </c>
      <c r="U52" s="166">
        <v>3.9999999999999998E-6</v>
      </c>
      <c r="V52" s="166">
        <v>4.0686795442393897E-2</v>
      </c>
      <c r="W52" s="166">
        <v>3.8599001348573303E-2</v>
      </c>
    </row>
    <row r="53" spans="1:23">
      <c r="A53" s="3">
        <v>14076</v>
      </c>
      <c r="B53" s="3">
        <v>14079</v>
      </c>
      <c r="C53" s="3" t="s">
        <v>1306</v>
      </c>
      <c r="D53" s="3" t="s">
        <v>1307</v>
      </c>
      <c r="E53" s="5" t="s">
        <v>935</v>
      </c>
      <c r="F53" s="3" t="s">
        <v>1308</v>
      </c>
      <c r="G53" s="3" t="s">
        <v>1309</v>
      </c>
      <c r="H53" s="3" t="s">
        <v>152</v>
      </c>
      <c r="I53" s="3" t="s">
        <v>1261</v>
      </c>
      <c r="J53" s="3" t="s">
        <v>81</v>
      </c>
      <c r="K53" s="3" t="s">
        <v>1310</v>
      </c>
      <c r="L53" s="3" t="s">
        <v>1311</v>
      </c>
      <c r="M53" s="3" t="s">
        <v>1312</v>
      </c>
      <c r="N53" s="3" t="s">
        <v>156</v>
      </c>
      <c r="O53" s="3" t="s">
        <v>1245</v>
      </c>
      <c r="P53" s="156">
        <v>1299</v>
      </c>
      <c r="Q53" s="164">
        <v>3.8807</v>
      </c>
      <c r="R53" s="174">
        <v>5582</v>
      </c>
      <c r="T53" s="155">
        <v>281.39</v>
      </c>
      <c r="U53" s="166">
        <v>9.0000000000000002E-6</v>
      </c>
      <c r="V53" s="166">
        <v>3.1177683023424701E-2</v>
      </c>
      <c r="W53" s="166">
        <v>2.95778376247504E-2</v>
      </c>
    </row>
    <row r="54" spans="1:23">
      <c r="A54" s="3">
        <v>14076</v>
      </c>
      <c r="B54" s="3">
        <v>14079</v>
      </c>
      <c r="C54" s="3" t="s">
        <v>1366</v>
      </c>
      <c r="D54" s="3" t="s">
        <v>1367</v>
      </c>
      <c r="E54" s="5" t="s">
        <v>935</v>
      </c>
      <c r="F54" s="3" t="s">
        <v>1368</v>
      </c>
      <c r="G54" s="3" t="s">
        <v>1369</v>
      </c>
      <c r="H54" s="3" t="s">
        <v>152</v>
      </c>
      <c r="I54" s="3" t="s">
        <v>1261</v>
      </c>
      <c r="J54" s="3" t="s">
        <v>81</v>
      </c>
      <c r="K54" s="3" t="s">
        <v>82</v>
      </c>
      <c r="L54" s="3" t="s">
        <v>1195</v>
      </c>
      <c r="M54" s="3" t="s">
        <v>1262</v>
      </c>
      <c r="N54" s="3" t="s">
        <v>156</v>
      </c>
      <c r="O54" s="3" t="s">
        <v>86</v>
      </c>
      <c r="P54" s="156">
        <v>349</v>
      </c>
      <c r="Q54" s="164">
        <v>3.306</v>
      </c>
      <c r="R54" s="174">
        <v>47917</v>
      </c>
      <c r="T54" s="155">
        <v>552.86300000000006</v>
      </c>
      <c r="U54" s="166">
        <v>3.8999999999999999E-5</v>
      </c>
      <c r="V54" s="166">
        <v>6.1256570598807097E-2</v>
      </c>
      <c r="W54" s="166">
        <v>5.8113263171586299E-2</v>
      </c>
    </row>
    <row r="55" spans="1:23">
      <c r="A55" s="3">
        <v>14076</v>
      </c>
      <c r="B55" s="3">
        <v>14079</v>
      </c>
      <c r="C55" s="3" t="s">
        <v>1301</v>
      </c>
      <c r="D55" s="3" t="s">
        <v>1302</v>
      </c>
      <c r="E55" s="5" t="s">
        <v>935</v>
      </c>
      <c r="F55" s="3" t="s">
        <v>1370</v>
      </c>
      <c r="G55" s="3" t="s">
        <v>1371</v>
      </c>
      <c r="H55" s="3" t="s">
        <v>152</v>
      </c>
      <c r="I55" s="3" t="s">
        <v>1261</v>
      </c>
      <c r="J55" s="3" t="s">
        <v>81</v>
      </c>
      <c r="K55" s="3" t="s">
        <v>82</v>
      </c>
      <c r="L55" s="3" t="s">
        <v>1195</v>
      </c>
      <c r="M55" s="3" t="s">
        <v>1262</v>
      </c>
      <c r="N55" s="3" t="s">
        <v>156</v>
      </c>
      <c r="O55" s="3" t="s">
        <v>86</v>
      </c>
      <c r="P55" s="156">
        <v>3410</v>
      </c>
      <c r="Q55" s="164">
        <v>3.306</v>
      </c>
      <c r="R55" s="174">
        <v>1631</v>
      </c>
      <c r="T55" s="155">
        <v>183.87</v>
      </c>
      <c r="U55" s="166">
        <v>0</v>
      </c>
      <c r="V55" s="166">
        <v>2.0372577227174699E-2</v>
      </c>
      <c r="W55" s="166">
        <v>1.9327182868923501E-2</v>
      </c>
    </row>
    <row r="56" spans="1:23">
      <c r="A56" s="3">
        <v>14076</v>
      </c>
      <c r="B56" s="3">
        <v>14079</v>
      </c>
      <c r="C56" s="3" t="s">
        <v>1301</v>
      </c>
      <c r="D56" s="3" t="s">
        <v>1302</v>
      </c>
      <c r="E56" s="5" t="s">
        <v>935</v>
      </c>
      <c r="F56" s="3" t="s">
        <v>1317</v>
      </c>
      <c r="G56" s="3" t="s">
        <v>1318</v>
      </c>
      <c r="H56" s="3" t="s">
        <v>152</v>
      </c>
      <c r="I56" s="3" t="s">
        <v>1261</v>
      </c>
      <c r="J56" s="3" t="s">
        <v>81</v>
      </c>
      <c r="K56" s="3" t="s">
        <v>82</v>
      </c>
      <c r="L56" s="3" t="s">
        <v>1195</v>
      </c>
      <c r="M56" s="3" t="s">
        <v>1312</v>
      </c>
      <c r="N56" s="3" t="s">
        <v>156</v>
      </c>
      <c r="O56" s="3" t="s">
        <v>86</v>
      </c>
      <c r="P56" s="156">
        <v>1320</v>
      </c>
      <c r="Q56" s="164">
        <v>3.306</v>
      </c>
      <c r="R56" s="174">
        <v>6304</v>
      </c>
      <c r="T56" s="155">
        <v>275.10199999999998</v>
      </c>
      <c r="U56" s="166">
        <v>3.9999999999999998E-6</v>
      </c>
      <c r="V56" s="166">
        <v>3.0480898757566401E-2</v>
      </c>
      <c r="W56" s="166">
        <v>2.89168080075222E-2</v>
      </c>
    </row>
    <row r="57" spans="1:23">
      <c r="A57" s="3">
        <v>14076</v>
      </c>
      <c r="B57" s="3">
        <v>14079</v>
      </c>
      <c r="C57" s="3" t="s">
        <v>1372</v>
      </c>
      <c r="D57" s="3" t="s">
        <v>1373</v>
      </c>
      <c r="E57" s="5" t="s">
        <v>935</v>
      </c>
      <c r="F57" s="3" t="s">
        <v>1374</v>
      </c>
      <c r="G57" s="3" t="s">
        <v>1375</v>
      </c>
      <c r="H57" s="3" t="s">
        <v>152</v>
      </c>
      <c r="I57" s="3" t="s">
        <v>1261</v>
      </c>
      <c r="J57" s="3" t="s">
        <v>81</v>
      </c>
      <c r="K57" s="3" t="s">
        <v>82</v>
      </c>
      <c r="L57" s="3" t="s">
        <v>1029</v>
      </c>
      <c r="M57" s="3" t="s">
        <v>1312</v>
      </c>
      <c r="N57" s="3" t="s">
        <v>156</v>
      </c>
      <c r="O57" s="3" t="s">
        <v>86</v>
      </c>
      <c r="P57" s="156">
        <v>91</v>
      </c>
      <c r="Q57" s="164">
        <v>3.306</v>
      </c>
      <c r="R57" s="174">
        <v>32636</v>
      </c>
      <c r="T57" s="155">
        <v>98.183999999999997</v>
      </c>
      <c r="U57" s="166">
        <v>9.9999999999999995E-7</v>
      </c>
      <c r="V57" s="166">
        <v>1.08786736750267E-2</v>
      </c>
      <c r="W57" s="166">
        <v>1.03204475871678E-2</v>
      </c>
    </row>
    <row r="58" spans="1:23">
      <c r="A58" s="3">
        <v>14076</v>
      </c>
      <c r="B58" s="3">
        <v>15394</v>
      </c>
      <c r="C58" s="3" t="s">
        <v>1249</v>
      </c>
      <c r="D58" s="3" t="s">
        <v>1250</v>
      </c>
      <c r="E58" s="5" t="s">
        <v>149</v>
      </c>
      <c r="F58" s="3" t="s">
        <v>1376</v>
      </c>
      <c r="G58" s="3" t="s">
        <v>1377</v>
      </c>
      <c r="H58" s="3" t="s">
        <v>152</v>
      </c>
      <c r="I58" s="3" t="s">
        <v>1261</v>
      </c>
      <c r="J58" s="3" t="s">
        <v>30</v>
      </c>
      <c r="K58" s="3" t="s">
        <v>82</v>
      </c>
      <c r="L58" s="3" t="s">
        <v>31</v>
      </c>
      <c r="M58" s="3" t="s">
        <v>1262</v>
      </c>
      <c r="N58" s="3" t="s">
        <v>156</v>
      </c>
      <c r="O58" s="3" t="s">
        <v>34</v>
      </c>
      <c r="P58" s="156">
        <v>8790</v>
      </c>
      <c r="Q58" s="164">
        <v>1</v>
      </c>
      <c r="R58" s="174">
        <v>9467</v>
      </c>
      <c r="T58" s="155">
        <v>832.149</v>
      </c>
      <c r="U58" s="166">
        <v>1.01E-4</v>
      </c>
      <c r="V58" s="166">
        <v>0.12570461088903701</v>
      </c>
      <c r="W58" s="166">
        <v>0.124758400989142</v>
      </c>
    </row>
    <row r="59" spans="1:23">
      <c r="A59" s="3">
        <v>14076</v>
      </c>
      <c r="B59" s="3">
        <v>15394</v>
      </c>
      <c r="C59" s="3" t="s">
        <v>1306</v>
      </c>
      <c r="D59" s="3" t="s">
        <v>1307</v>
      </c>
      <c r="E59" s="5" t="s">
        <v>935</v>
      </c>
      <c r="F59" s="3" t="s">
        <v>1325</v>
      </c>
      <c r="G59" s="3" t="s">
        <v>1326</v>
      </c>
      <c r="H59" s="3" t="s">
        <v>152</v>
      </c>
      <c r="I59" s="3" t="s">
        <v>1261</v>
      </c>
      <c r="J59" s="3" t="s">
        <v>30</v>
      </c>
      <c r="K59" s="3" t="s">
        <v>82</v>
      </c>
      <c r="L59" s="3" t="s">
        <v>31</v>
      </c>
      <c r="M59" s="3" t="s">
        <v>1262</v>
      </c>
      <c r="N59" s="3" t="s">
        <v>156</v>
      </c>
      <c r="O59" s="3" t="s">
        <v>34</v>
      </c>
      <c r="P59" s="156">
        <v>354</v>
      </c>
      <c r="Q59" s="164">
        <v>1</v>
      </c>
      <c r="R59" s="174">
        <v>235230</v>
      </c>
      <c r="T59" s="155">
        <v>832.71400000000006</v>
      </c>
      <c r="U59" s="166">
        <v>1.21E-4</v>
      </c>
      <c r="V59" s="166">
        <v>0.12578994477646699</v>
      </c>
      <c r="W59" s="166">
        <v>0.124843092547158</v>
      </c>
    </row>
    <row r="60" spans="1:23">
      <c r="A60" s="3">
        <v>14076</v>
      </c>
      <c r="B60" s="3">
        <v>15394</v>
      </c>
      <c r="C60" s="3" t="s">
        <v>1263</v>
      </c>
      <c r="D60" s="3" t="s">
        <v>1264</v>
      </c>
      <c r="E60" s="5" t="s">
        <v>149</v>
      </c>
      <c r="F60" s="3" t="s">
        <v>1378</v>
      </c>
      <c r="G60" s="3" t="s">
        <v>1379</v>
      </c>
      <c r="H60" s="3" t="s">
        <v>152</v>
      </c>
      <c r="I60" s="3" t="s">
        <v>1261</v>
      </c>
      <c r="J60" s="3" t="s">
        <v>30</v>
      </c>
      <c r="K60" s="3" t="s">
        <v>82</v>
      </c>
      <c r="L60" s="3" t="s">
        <v>31</v>
      </c>
      <c r="M60" s="3" t="s">
        <v>1262</v>
      </c>
      <c r="N60" s="3" t="s">
        <v>156</v>
      </c>
      <c r="O60" s="3" t="s">
        <v>34</v>
      </c>
      <c r="P60" s="156">
        <v>32226</v>
      </c>
      <c r="Q60" s="164">
        <v>1</v>
      </c>
      <c r="R60" s="174">
        <v>2569</v>
      </c>
      <c r="T60" s="155">
        <v>827.88599999999997</v>
      </c>
      <c r="U60" s="166">
        <v>8.5000000000000006E-5</v>
      </c>
      <c r="V60" s="166">
        <v>0.12506058702230999</v>
      </c>
      <c r="W60" s="166">
        <v>0.124119224850388</v>
      </c>
    </row>
    <row r="61" spans="1:23">
      <c r="A61" s="3">
        <v>14076</v>
      </c>
      <c r="B61" s="3">
        <v>15394</v>
      </c>
      <c r="C61" s="3" t="s">
        <v>1342</v>
      </c>
      <c r="D61" s="3" t="s">
        <v>1343</v>
      </c>
      <c r="E61" s="5" t="s">
        <v>149</v>
      </c>
      <c r="F61" s="3" t="s">
        <v>1380</v>
      </c>
      <c r="G61" s="3" t="s">
        <v>1381</v>
      </c>
      <c r="H61" s="3" t="s">
        <v>152</v>
      </c>
      <c r="I61" s="3" t="s">
        <v>1261</v>
      </c>
      <c r="J61" s="3" t="s">
        <v>30</v>
      </c>
      <c r="K61" s="3" t="s">
        <v>82</v>
      </c>
      <c r="L61" s="3" t="s">
        <v>31</v>
      </c>
      <c r="M61" s="3" t="s">
        <v>1312</v>
      </c>
      <c r="N61" s="3" t="s">
        <v>156</v>
      </c>
      <c r="O61" s="3" t="s">
        <v>34</v>
      </c>
      <c r="P61" s="156">
        <v>13373</v>
      </c>
      <c r="Q61" s="164">
        <v>1</v>
      </c>
      <c r="R61" s="174">
        <v>6185</v>
      </c>
      <c r="T61" s="155">
        <v>827.12</v>
      </c>
      <c r="U61" s="166">
        <v>1.2160000000000001E-3</v>
      </c>
      <c r="V61" s="166">
        <v>0.12494489155223799</v>
      </c>
      <c r="W61" s="166">
        <v>0.124004400248921</v>
      </c>
    </row>
    <row r="62" spans="1:23">
      <c r="A62" s="3">
        <v>14076</v>
      </c>
      <c r="B62" s="3">
        <v>15394</v>
      </c>
      <c r="C62" s="3" t="s">
        <v>1276</v>
      </c>
      <c r="D62" s="3" t="s">
        <v>1277</v>
      </c>
      <c r="E62" s="5" t="s">
        <v>149</v>
      </c>
      <c r="F62" s="3" t="s">
        <v>1346</v>
      </c>
      <c r="G62" s="3" t="s">
        <v>1347</v>
      </c>
      <c r="H62" s="3" t="s">
        <v>152</v>
      </c>
      <c r="I62" s="3" t="s">
        <v>1261</v>
      </c>
      <c r="J62" s="3" t="s">
        <v>30</v>
      </c>
      <c r="K62" s="3" t="s">
        <v>82</v>
      </c>
      <c r="L62" s="3" t="s">
        <v>31</v>
      </c>
      <c r="M62" s="3" t="s">
        <v>1262</v>
      </c>
      <c r="N62" s="3" t="s">
        <v>156</v>
      </c>
      <c r="O62" s="3" t="s">
        <v>34</v>
      </c>
      <c r="P62" s="156">
        <v>7568</v>
      </c>
      <c r="Q62" s="164">
        <v>1</v>
      </c>
      <c r="R62" s="174">
        <v>10950</v>
      </c>
      <c r="T62" s="155">
        <v>828.69600000000003</v>
      </c>
      <c r="U62" s="166">
        <v>1.1E-4</v>
      </c>
      <c r="V62" s="166">
        <v>0.125182954819888</v>
      </c>
      <c r="W62" s="166">
        <v>0.12424067155509</v>
      </c>
    </row>
    <row r="63" spans="1:23">
      <c r="A63" s="3">
        <v>14076</v>
      </c>
      <c r="B63" s="3">
        <v>15394</v>
      </c>
      <c r="C63" s="3" t="s">
        <v>1288</v>
      </c>
      <c r="D63" s="3" t="s">
        <v>1289</v>
      </c>
      <c r="E63" s="5" t="s">
        <v>149</v>
      </c>
      <c r="F63" s="3" t="s">
        <v>1382</v>
      </c>
      <c r="G63" s="3" t="s">
        <v>1383</v>
      </c>
      <c r="H63" s="3" t="s">
        <v>152</v>
      </c>
      <c r="I63" s="3" t="s">
        <v>1261</v>
      </c>
      <c r="J63" s="3" t="s">
        <v>30</v>
      </c>
      <c r="K63" s="3" t="s">
        <v>82</v>
      </c>
      <c r="L63" s="3" t="s">
        <v>31</v>
      </c>
      <c r="M63" s="3" t="s">
        <v>1262</v>
      </c>
      <c r="N63" s="3" t="s">
        <v>156</v>
      </c>
      <c r="O63" s="3" t="s">
        <v>34</v>
      </c>
      <c r="P63" s="156">
        <v>3435</v>
      </c>
      <c r="Q63" s="164">
        <v>1</v>
      </c>
      <c r="R63" s="174">
        <v>24260</v>
      </c>
      <c r="T63" s="155">
        <v>833.33100000000002</v>
      </c>
      <c r="U63" s="166">
        <v>1.17E-4</v>
      </c>
      <c r="V63" s="166">
        <v>0.125883118686481</v>
      </c>
      <c r="W63" s="166">
        <v>0.124935565113956</v>
      </c>
    </row>
    <row r="64" spans="1:23">
      <c r="A64" s="3">
        <v>14076</v>
      </c>
      <c r="B64" s="3">
        <v>15394</v>
      </c>
      <c r="C64" s="3" t="s">
        <v>1295</v>
      </c>
      <c r="D64" s="3" t="s">
        <v>1296</v>
      </c>
      <c r="E64" s="5" t="s">
        <v>149</v>
      </c>
      <c r="F64" s="3" t="s">
        <v>1384</v>
      </c>
      <c r="G64" s="3" t="s">
        <v>1385</v>
      </c>
      <c r="H64" s="3" t="s">
        <v>152</v>
      </c>
      <c r="I64" s="3" t="s">
        <v>1261</v>
      </c>
      <c r="J64" s="3" t="s">
        <v>30</v>
      </c>
      <c r="K64" s="3" t="s">
        <v>82</v>
      </c>
      <c r="L64" s="3" t="s">
        <v>31</v>
      </c>
      <c r="M64" s="3" t="s">
        <v>1262</v>
      </c>
      <c r="N64" s="3" t="s">
        <v>156</v>
      </c>
      <c r="O64" s="3" t="s">
        <v>34</v>
      </c>
      <c r="P64" s="156">
        <v>3116</v>
      </c>
      <c r="Q64" s="164">
        <v>1</v>
      </c>
      <c r="R64" s="174">
        <v>25890</v>
      </c>
      <c r="T64" s="155">
        <v>806.73199999999997</v>
      </c>
      <c r="U64" s="166">
        <v>7.7999999999999999E-5</v>
      </c>
      <c r="V64" s="166">
        <v>0.121865129771279</v>
      </c>
      <c r="W64" s="166">
        <v>0.120947820601583</v>
      </c>
    </row>
    <row r="65" spans="1:23">
      <c r="A65" s="3">
        <v>14076</v>
      </c>
      <c r="B65" s="3">
        <v>15394</v>
      </c>
      <c r="C65" s="3" t="s">
        <v>1332</v>
      </c>
      <c r="D65" s="3" t="s">
        <v>1333</v>
      </c>
      <c r="E65" s="5" t="s">
        <v>935</v>
      </c>
      <c r="F65" s="3" t="s">
        <v>1334</v>
      </c>
      <c r="G65" s="3" t="s">
        <v>1335</v>
      </c>
      <c r="H65" s="3" t="s">
        <v>152</v>
      </c>
      <c r="I65" s="3" t="s">
        <v>1261</v>
      </c>
      <c r="J65" s="3" t="s">
        <v>81</v>
      </c>
      <c r="K65" s="3" t="s">
        <v>82</v>
      </c>
      <c r="L65" s="3" t="s">
        <v>1195</v>
      </c>
      <c r="M65" s="3" t="s">
        <v>1262</v>
      </c>
      <c r="N65" s="3" t="s">
        <v>156</v>
      </c>
      <c r="O65" s="3" t="s">
        <v>34</v>
      </c>
      <c r="P65" s="156">
        <v>190</v>
      </c>
      <c r="Q65" s="164">
        <v>1</v>
      </c>
      <c r="R65" s="174">
        <v>437500</v>
      </c>
      <c r="T65" s="155">
        <v>831.25</v>
      </c>
      <c r="U65" s="166">
        <v>1.1E-5</v>
      </c>
      <c r="V65" s="166">
        <v>0.12556876248230001</v>
      </c>
      <c r="W65" s="166">
        <v>0.124623575147182</v>
      </c>
    </row>
    <row r="66" spans="1:23">
      <c r="A66" s="3">
        <v>161</v>
      </c>
      <c r="B66" s="3">
        <v>1434</v>
      </c>
      <c r="C66" s="3" t="s">
        <v>1249</v>
      </c>
      <c r="D66" s="3" t="s">
        <v>1250</v>
      </c>
      <c r="E66" s="5" t="s">
        <v>149</v>
      </c>
      <c r="F66" s="3" t="s">
        <v>1255</v>
      </c>
      <c r="G66" s="3" t="s">
        <v>1256</v>
      </c>
      <c r="H66" s="3" t="s">
        <v>152</v>
      </c>
      <c r="I66" s="3" t="s">
        <v>1257</v>
      </c>
      <c r="J66" s="3" t="s">
        <v>30</v>
      </c>
      <c r="K66" s="3" t="s">
        <v>30</v>
      </c>
      <c r="L66" s="3" t="s">
        <v>31</v>
      </c>
      <c r="M66" s="3" t="s">
        <v>1258</v>
      </c>
      <c r="N66" s="3" t="s">
        <v>156</v>
      </c>
      <c r="O66" s="3" t="s">
        <v>34</v>
      </c>
      <c r="P66" s="156">
        <v>25000</v>
      </c>
      <c r="Q66" s="164">
        <v>1</v>
      </c>
      <c r="R66" s="174">
        <v>499.28</v>
      </c>
      <c r="T66" s="155">
        <v>124.82</v>
      </c>
      <c r="U66" s="166">
        <v>1.1900000000000001E-4</v>
      </c>
      <c r="V66" s="166">
        <v>4.9774416657255398E-2</v>
      </c>
      <c r="W66" s="166">
        <v>5.4470891489360896E-3</v>
      </c>
    </row>
    <row r="67" spans="1:23">
      <c r="A67" s="3">
        <v>161</v>
      </c>
      <c r="B67" s="3">
        <v>1434</v>
      </c>
      <c r="C67" s="3" t="s">
        <v>1249</v>
      </c>
      <c r="D67" s="3" t="s">
        <v>1250</v>
      </c>
      <c r="E67" s="5" t="s">
        <v>149</v>
      </c>
      <c r="F67" s="3" t="s">
        <v>1323</v>
      </c>
      <c r="G67" s="3" t="s">
        <v>1324</v>
      </c>
      <c r="H67" s="3" t="s">
        <v>152</v>
      </c>
      <c r="I67" s="3" t="s">
        <v>1257</v>
      </c>
      <c r="J67" s="3" t="s">
        <v>30</v>
      </c>
      <c r="K67" s="3" t="s">
        <v>30</v>
      </c>
      <c r="L67" s="3" t="s">
        <v>31</v>
      </c>
      <c r="M67" s="3" t="s">
        <v>1273</v>
      </c>
      <c r="N67" s="3" t="s">
        <v>156</v>
      </c>
      <c r="O67" s="3" t="s">
        <v>34</v>
      </c>
      <c r="P67" s="156">
        <v>160000</v>
      </c>
      <c r="Q67" s="164">
        <v>1</v>
      </c>
      <c r="R67" s="174">
        <v>487.71</v>
      </c>
      <c r="T67" s="155">
        <v>780.33600000000001</v>
      </c>
      <c r="U67" s="166">
        <v>6.4999999999999997E-4</v>
      </c>
      <c r="V67" s="166">
        <v>0.31117424448530701</v>
      </c>
      <c r="W67" s="166">
        <v>3.4053515126776103E-2</v>
      </c>
    </row>
    <row r="68" spans="1:23">
      <c r="A68" s="3">
        <v>161</v>
      </c>
      <c r="B68" s="3">
        <v>1434</v>
      </c>
      <c r="C68" s="3" t="s">
        <v>1263</v>
      </c>
      <c r="D68" s="3" t="s">
        <v>1264</v>
      </c>
      <c r="E68" s="5" t="s">
        <v>149</v>
      </c>
      <c r="F68" s="3" t="s">
        <v>1271</v>
      </c>
      <c r="G68" s="3" t="s">
        <v>1272</v>
      </c>
      <c r="H68" s="3" t="s">
        <v>152</v>
      </c>
      <c r="I68" s="3" t="s">
        <v>1257</v>
      </c>
      <c r="J68" s="3" t="s">
        <v>30</v>
      </c>
      <c r="K68" s="3" t="s">
        <v>30</v>
      </c>
      <c r="L68" s="3" t="s">
        <v>31</v>
      </c>
      <c r="M68" s="3" t="s">
        <v>1273</v>
      </c>
      <c r="N68" s="3" t="s">
        <v>156</v>
      </c>
      <c r="O68" s="3" t="s">
        <v>34</v>
      </c>
      <c r="P68" s="156">
        <v>273000</v>
      </c>
      <c r="Q68" s="164">
        <v>1</v>
      </c>
      <c r="R68" s="174">
        <v>419.81</v>
      </c>
      <c r="T68" s="155">
        <v>1146.0809999999999</v>
      </c>
      <c r="U68" s="166">
        <v>1E-3</v>
      </c>
      <c r="V68" s="166">
        <v>0.45702233736011</v>
      </c>
      <c r="W68" s="166">
        <v>5.0014476951038098E-2</v>
      </c>
    </row>
    <row r="69" spans="1:23">
      <c r="A69" s="3">
        <v>161</v>
      </c>
      <c r="B69" s="3">
        <v>1434</v>
      </c>
      <c r="C69" s="3" t="s">
        <v>1288</v>
      </c>
      <c r="D69" s="3" t="s">
        <v>1289</v>
      </c>
      <c r="E69" s="5" t="s">
        <v>149</v>
      </c>
      <c r="F69" s="3" t="s">
        <v>1290</v>
      </c>
      <c r="G69" s="3" t="s">
        <v>1291</v>
      </c>
      <c r="H69" s="3" t="s">
        <v>152</v>
      </c>
      <c r="I69" s="3" t="s">
        <v>1257</v>
      </c>
      <c r="J69" s="3" t="s">
        <v>30</v>
      </c>
      <c r="K69" s="3" t="s">
        <v>30</v>
      </c>
      <c r="L69" s="3" t="s">
        <v>31</v>
      </c>
      <c r="M69" s="3" t="s">
        <v>1258</v>
      </c>
      <c r="N69" s="3" t="s">
        <v>156</v>
      </c>
      <c r="O69" s="3" t="s">
        <v>34</v>
      </c>
      <c r="P69" s="156">
        <v>11700</v>
      </c>
      <c r="Q69" s="164">
        <v>1</v>
      </c>
      <c r="R69" s="174">
        <v>3901.51</v>
      </c>
      <c r="T69" s="155">
        <v>456.47699999999998</v>
      </c>
      <c r="U69" s="166">
        <v>1.6200000000000001E-4</v>
      </c>
      <c r="V69" s="166">
        <v>0.18202900149732801</v>
      </c>
      <c r="W69" s="166">
        <v>1.9920438358432001E-2</v>
      </c>
    </row>
    <row r="70" spans="1:23">
      <c r="A70" s="3">
        <v>161</v>
      </c>
      <c r="B70" s="3">
        <v>9938</v>
      </c>
      <c r="C70" s="3" t="s">
        <v>1249</v>
      </c>
      <c r="D70" s="3" t="s">
        <v>1250</v>
      </c>
      <c r="E70" s="5" t="s">
        <v>149</v>
      </c>
      <c r="F70" s="3" t="s">
        <v>1323</v>
      </c>
      <c r="G70" s="3" t="s">
        <v>1324</v>
      </c>
      <c r="H70" s="3" t="s">
        <v>152</v>
      </c>
      <c r="I70" s="3" t="s">
        <v>1257</v>
      </c>
      <c r="J70" s="3" t="s">
        <v>30</v>
      </c>
      <c r="K70" s="3" t="s">
        <v>30</v>
      </c>
      <c r="L70" s="3" t="s">
        <v>31</v>
      </c>
      <c r="M70" s="3" t="s">
        <v>1273</v>
      </c>
      <c r="N70" s="3" t="s">
        <v>156</v>
      </c>
      <c r="O70" s="3" t="s">
        <v>34</v>
      </c>
      <c r="P70" s="156">
        <v>130000</v>
      </c>
      <c r="Q70" s="164">
        <v>1</v>
      </c>
      <c r="R70" s="174">
        <v>487.71</v>
      </c>
      <c r="T70" s="155">
        <v>634.02300000000002</v>
      </c>
      <c r="U70" s="166">
        <v>5.2800000000000004E-4</v>
      </c>
      <c r="V70" s="166">
        <v>3.6904052346969501E-2</v>
      </c>
      <c r="W70" s="166">
        <v>7.5748180200341996E-3</v>
      </c>
    </row>
    <row r="71" spans="1:23">
      <c r="A71" s="3">
        <v>161</v>
      </c>
      <c r="B71" s="3">
        <v>9938</v>
      </c>
      <c r="C71" s="3" t="s">
        <v>1263</v>
      </c>
      <c r="D71" s="3" t="s">
        <v>1264</v>
      </c>
      <c r="E71" s="5" t="s">
        <v>149</v>
      </c>
      <c r="F71" s="3" t="s">
        <v>1265</v>
      </c>
      <c r="G71" s="3" t="s">
        <v>1266</v>
      </c>
      <c r="H71" s="3" t="s">
        <v>152</v>
      </c>
      <c r="I71" s="3" t="s">
        <v>1253</v>
      </c>
      <c r="J71" s="3" t="s">
        <v>30</v>
      </c>
      <c r="K71" s="3" t="s">
        <v>30</v>
      </c>
      <c r="L71" s="3" t="s">
        <v>31</v>
      </c>
      <c r="M71" s="3" t="s">
        <v>1267</v>
      </c>
      <c r="N71" s="3" t="s">
        <v>156</v>
      </c>
      <c r="O71" s="3" t="s">
        <v>34</v>
      </c>
      <c r="P71" s="156">
        <v>76800</v>
      </c>
      <c r="Q71" s="164">
        <v>1</v>
      </c>
      <c r="R71" s="174">
        <v>3165</v>
      </c>
      <c r="T71" s="155">
        <v>2430.7199999999998</v>
      </c>
      <c r="U71" s="166">
        <v>3.0699999999999998E-4</v>
      </c>
      <c r="V71" s="166">
        <v>0.141482908539321</v>
      </c>
      <c r="W71" s="166">
        <v>2.9040368658010102E-2</v>
      </c>
    </row>
    <row r="72" spans="1:23">
      <c r="A72" s="3">
        <v>161</v>
      </c>
      <c r="B72" s="3">
        <v>9938</v>
      </c>
      <c r="C72" s="3" t="s">
        <v>1263</v>
      </c>
      <c r="D72" s="3" t="s">
        <v>1264</v>
      </c>
      <c r="E72" s="5" t="s">
        <v>149</v>
      </c>
      <c r="F72" s="3" t="s">
        <v>1271</v>
      </c>
      <c r="G72" s="3" t="s">
        <v>1272</v>
      </c>
      <c r="H72" s="3" t="s">
        <v>152</v>
      </c>
      <c r="I72" s="3" t="s">
        <v>1257</v>
      </c>
      <c r="J72" s="3" t="s">
        <v>30</v>
      </c>
      <c r="K72" s="3" t="s">
        <v>30</v>
      </c>
      <c r="L72" s="3" t="s">
        <v>31</v>
      </c>
      <c r="M72" s="3" t="s">
        <v>1273</v>
      </c>
      <c r="N72" s="3" t="s">
        <v>156</v>
      </c>
      <c r="O72" s="3" t="s">
        <v>34</v>
      </c>
      <c r="P72" s="156">
        <v>234000</v>
      </c>
      <c r="Q72" s="164">
        <v>1</v>
      </c>
      <c r="R72" s="174">
        <v>419.81</v>
      </c>
      <c r="T72" s="155">
        <v>982.35500000000002</v>
      </c>
      <c r="U72" s="166">
        <v>8.5700000000000001E-4</v>
      </c>
      <c r="V72" s="166">
        <v>5.7179148240565698E-2</v>
      </c>
      <c r="W72" s="166">
        <v>1.17364249971971E-2</v>
      </c>
    </row>
    <row r="73" spans="1:23">
      <c r="A73" s="3">
        <v>161</v>
      </c>
      <c r="B73" s="3">
        <v>9938</v>
      </c>
      <c r="C73" s="3" t="s">
        <v>1263</v>
      </c>
      <c r="D73" s="3" t="s">
        <v>1264</v>
      </c>
      <c r="E73" s="5" t="s">
        <v>149</v>
      </c>
      <c r="F73" s="3" t="s">
        <v>1274</v>
      </c>
      <c r="G73" s="3" t="s">
        <v>1275</v>
      </c>
      <c r="H73" s="3" t="s">
        <v>152</v>
      </c>
      <c r="I73" s="3" t="s">
        <v>1253</v>
      </c>
      <c r="J73" s="3" t="s">
        <v>30</v>
      </c>
      <c r="K73" s="3" t="s">
        <v>30</v>
      </c>
      <c r="L73" s="3" t="s">
        <v>31</v>
      </c>
      <c r="M73" s="3" t="s">
        <v>1254</v>
      </c>
      <c r="N73" s="3" t="s">
        <v>156</v>
      </c>
      <c r="O73" s="3" t="s">
        <v>34</v>
      </c>
      <c r="P73" s="156">
        <v>28520</v>
      </c>
      <c r="Q73" s="164">
        <v>1</v>
      </c>
      <c r="R73" s="174">
        <v>3192</v>
      </c>
      <c r="T73" s="155">
        <v>910.35799999999995</v>
      </c>
      <c r="U73" s="166">
        <v>1.3799999999999999E-4</v>
      </c>
      <c r="V73" s="166">
        <v>5.2988478411829597E-2</v>
      </c>
      <c r="W73" s="166">
        <v>1.0876260345459901E-2</v>
      </c>
    </row>
    <row r="74" spans="1:23">
      <c r="A74" s="3">
        <v>161</v>
      </c>
      <c r="B74" s="3">
        <v>9938</v>
      </c>
      <c r="C74" s="3" t="s">
        <v>1276</v>
      </c>
      <c r="D74" s="3" t="s">
        <v>1277</v>
      </c>
      <c r="E74" s="5" t="s">
        <v>149</v>
      </c>
      <c r="F74" s="3" t="s">
        <v>1278</v>
      </c>
      <c r="G74" s="3" t="s">
        <v>1279</v>
      </c>
      <c r="H74" s="3" t="s">
        <v>152</v>
      </c>
      <c r="I74" s="3" t="s">
        <v>1253</v>
      </c>
      <c r="J74" s="3" t="s">
        <v>30</v>
      </c>
      <c r="K74" s="3" t="s">
        <v>30</v>
      </c>
      <c r="L74" s="3" t="s">
        <v>31</v>
      </c>
      <c r="M74" s="3" t="s">
        <v>1254</v>
      </c>
      <c r="N74" s="3" t="s">
        <v>156</v>
      </c>
      <c r="O74" s="3" t="s">
        <v>34</v>
      </c>
      <c r="P74" s="156">
        <v>10350</v>
      </c>
      <c r="Q74" s="164">
        <v>1</v>
      </c>
      <c r="R74" s="174">
        <v>8821</v>
      </c>
      <c r="T74" s="155">
        <v>912.97299999999996</v>
      </c>
      <c r="U74" s="166">
        <v>7.1400000000000001E-4</v>
      </c>
      <c r="V74" s="166">
        <v>5.3140693374524199E-2</v>
      </c>
      <c r="W74" s="166">
        <v>1.0907503544214801E-2</v>
      </c>
    </row>
    <row r="75" spans="1:23">
      <c r="A75" s="3">
        <v>161</v>
      </c>
      <c r="B75" s="3">
        <v>9938</v>
      </c>
      <c r="C75" s="3" t="s">
        <v>1276</v>
      </c>
      <c r="D75" s="3" t="s">
        <v>1277</v>
      </c>
      <c r="E75" s="5" t="s">
        <v>149</v>
      </c>
      <c r="F75" s="3" t="s">
        <v>1283</v>
      </c>
      <c r="G75" s="3" t="s">
        <v>1284</v>
      </c>
      <c r="H75" s="3" t="s">
        <v>152</v>
      </c>
      <c r="I75" s="3" t="s">
        <v>1261</v>
      </c>
      <c r="J75" s="3" t="s">
        <v>30</v>
      </c>
      <c r="K75" s="3" t="s">
        <v>82</v>
      </c>
      <c r="L75" s="3" t="s">
        <v>31</v>
      </c>
      <c r="M75" s="3" t="s">
        <v>1262</v>
      </c>
      <c r="N75" s="3" t="s">
        <v>156</v>
      </c>
      <c r="O75" s="3" t="s">
        <v>34</v>
      </c>
      <c r="P75" s="156">
        <v>2400</v>
      </c>
      <c r="Q75" s="164">
        <v>1</v>
      </c>
      <c r="R75" s="174">
        <v>10340</v>
      </c>
      <c r="T75" s="155">
        <v>248.16</v>
      </c>
      <c r="U75" s="166">
        <v>1.7799999999999999E-4</v>
      </c>
      <c r="V75" s="166">
        <v>1.4444443861538101E-2</v>
      </c>
      <c r="W75" s="166">
        <v>2.9648243673363402E-3</v>
      </c>
    </row>
    <row r="76" spans="1:23">
      <c r="A76" s="3">
        <v>161</v>
      </c>
      <c r="B76" s="3">
        <v>9938</v>
      </c>
      <c r="C76" s="3" t="s">
        <v>1288</v>
      </c>
      <c r="D76" s="3" t="s">
        <v>1289</v>
      </c>
      <c r="E76" s="5" t="s">
        <v>149</v>
      </c>
      <c r="F76" s="3" t="s">
        <v>1386</v>
      </c>
      <c r="G76" s="3" t="s">
        <v>1387</v>
      </c>
      <c r="H76" s="3" t="s">
        <v>152</v>
      </c>
      <c r="I76" s="3" t="s">
        <v>1261</v>
      </c>
      <c r="J76" s="3" t="s">
        <v>30</v>
      </c>
      <c r="K76" s="3" t="s">
        <v>82</v>
      </c>
      <c r="L76" s="3" t="s">
        <v>31</v>
      </c>
      <c r="M76" s="3" t="s">
        <v>1262</v>
      </c>
      <c r="N76" s="3" t="s">
        <v>156</v>
      </c>
      <c r="O76" s="3" t="s">
        <v>34</v>
      </c>
      <c r="P76" s="156">
        <v>21100</v>
      </c>
      <c r="Q76" s="164">
        <v>1</v>
      </c>
      <c r="R76" s="174">
        <v>6309</v>
      </c>
      <c r="T76" s="155">
        <v>1331.1990000000001</v>
      </c>
      <c r="U76" s="166">
        <v>3.0299999999999999E-4</v>
      </c>
      <c r="V76" s="166">
        <v>7.7483999129737399E-2</v>
      </c>
      <c r="W76" s="166">
        <v>1.5904139397863299E-2</v>
      </c>
    </row>
    <row r="77" spans="1:23">
      <c r="A77" s="3">
        <v>161</v>
      </c>
      <c r="B77" s="3">
        <v>9938</v>
      </c>
      <c r="C77" s="3" t="s">
        <v>1288</v>
      </c>
      <c r="D77" s="3" t="s">
        <v>1289</v>
      </c>
      <c r="E77" s="5" t="s">
        <v>149</v>
      </c>
      <c r="F77" s="3" t="s">
        <v>1290</v>
      </c>
      <c r="G77" s="3" t="s">
        <v>1291</v>
      </c>
      <c r="H77" s="3" t="s">
        <v>152</v>
      </c>
      <c r="I77" s="3" t="s">
        <v>1257</v>
      </c>
      <c r="J77" s="3" t="s">
        <v>30</v>
      </c>
      <c r="K77" s="3" t="s">
        <v>30</v>
      </c>
      <c r="L77" s="3" t="s">
        <v>31</v>
      </c>
      <c r="M77" s="3" t="s">
        <v>1258</v>
      </c>
      <c r="N77" s="3" t="s">
        <v>156</v>
      </c>
      <c r="O77" s="3" t="s">
        <v>34</v>
      </c>
      <c r="P77" s="156">
        <v>8900</v>
      </c>
      <c r="Q77" s="164">
        <v>1</v>
      </c>
      <c r="R77" s="174">
        <v>3901.51</v>
      </c>
      <c r="T77" s="155">
        <v>347.23399999999998</v>
      </c>
      <c r="U77" s="166">
        <v>1.2400000000000001E-4</v>
      </c>
      <c r="V77" s="166">
        <v>2.0211184933713801E-2</v>
      </c>
      <c r="W77" s="166">
        <v>4.1484888001659002E-3</v>
      </c>
    </row>
    <row r="78" spans="1:23">
      <c r="A78" s="3">
        <v>161</v>
      </c>
      <c r="B78" s="3">
        <v>9938</v>
      </c>
      <c r="C78" s="3" t="s">
        <v>1288</v>
      </c>
      <c r="D78" s="3" t="s">
        <v>1289</v>
      </c>
      <c r="E78" s="5" t="s">
        <v>149</v>
      </c>
      <c r="F78" s="3" t="s">
        <v>1388</v>
      </c>
      <c r="G78" s="3" t="s">
        <v>1389</v>
      </c>
      <c r="H78" s="3" t="s">
        <v>152</v>
      </c>
      <c r="I78" s="3" t="s">
        <v>1253</v>
      </c>
      <c r="J78" s="3" t="s">
        <v>30</v>
      </c>
      <c r="K78" s="3" t="s">
        <v>30</v>
      </c>
      <c r="L78" s="3" t="s">
        <v>31</v>
      </c>
      <c r="M78" s="3" t="s">
        <v>1267</v>
      </c>
      <c r="N78" s="3" t="s">
        <v>156</v>
      </c>
      <c r="O78" s="3" t="s">
        <v>34</v>
      </c>
      <c r="P78" s="156">
        <v>3848</v>
      </c>
      <c r="Q78" s="164">
        <v>1</v>
      </c>
      <c r="R78" s="174">
        <v>30420</v>
      </c>
      <c r="T78" s="155">
        <v>1170.5619999999999</v>
      </c>
      <c r="U78" s="166">
        <v>1.27E-4</v>
      </c>
      <c r="V78" s="166">
        <v>6.81339108545784E-2</v>
      </c>
      <c r="W78" s="166">
        <v>1.3984967581996299E-2</v>
      </c>
    </row>
    <row r="79" spans="1:23">
      <c r="A79" s="3">
        <v>161</v>
      </c>
      <c r="B79" s="3">
        <v>9938</v>
      </c>
      <c r="C79" s="3" t="s">
        <v>1295</v>
      </c>
      <c r="D79" s="3" t="s">
        <v>1296</v>
      </c>
      <c r="E79" s="5" t="s">
        <v>149</v>
      </c>
      <c r="F79" s="3" t="s">
        <v>1356</v>
      </c>
      <c r="G79" s="3" t="s">
        <v>1357</v>
      </c>
      <c r="H79" s="3" t="s">
        <v>152</v>
      </c>
      <c r="I79" s="3" t="s">
        <v>1253</v>
      </c>
      <c r="J79" s="3" t="s">
        <v>30</v>
      </c>
      <c r="K79" s="3" t="s">
        <v>30</v>
      </c>
      <c r="L79" s="3" t="s">
        <v>31</v>
      </c>
      <c r="M79" s="3" t="s">
        <v>1267</v>
      </c>
      <c r="N79" s="3" t="s">
        <v>156</v>
      </c>
      <c r="O79" s="3" t="s">
        <v>34</v>
      </c>
      <c r="P79" s="156">
        <v>19387</v>
      </c>
      <c r="Q79" s="164">
        <v>1</v>
      </c>
      <c r="R79" s="174">
        <v>3146</v>
      </c>
      <c r="T79" s="155">
        <v>609.91499999999996</v>
      </c>
      <c r="U79" s="166">
        <v>4.8000000000000001E-5</v>
      </c>
      <c r="V79" s="166">
        <v>3.5500819095337199E-2</v>
      </c>
      <c r="W79" s="166">
        <v>7.2867944604304898E-3</v>
      </c>
    </row>
    <row r="80" spans="1:23">
      <c r="A80" s="3">
        <v>161</v>
      </c>
      <c r="B80" s="3">
        <v>9938</v>
      </c>
      <c r="C80" s="3" t="s">
        <v>1390</v>
      </c>
      <c r="D80" s="3" t="s">
        <v>1391</v>
      </c>
      <c r="E80" s="5" t="s">
        <v>935</v>
      </c>
      <c r="F80" s="3" t="s">
        <v>1392</v>
      </c>
      <c r="G80" s="3" t="s">
        <v>1393</v>
      </c>
      <c r="H80" s="3" t="s">
        <v>152</v>
      </c>
      <c r="I80" s="3" t="s">
        <v>1261</v>
      </c>
      <c r="J80" s="3" t="s">
        <v>81</v>
      </c>
      <c r="K80" s="3" t="s">
        <v>82</v>
      </c>
      <c r="L80" s="3" t="s">
        <v>1311</v>
      </c>
      <c r="M80" s="3" t="s">
        <v>1394</v>
      </c>
      <c r="N80" s="3" t="s">
        <v>156</v>
      </c>
      <c r="O80" s="3" t="s">
        <v>1245</v>
      </c>
      <c r="P80" s="156">
        <v>630</v>
      </c>
      <c r="Q80" s="164">
        <v>3.8807</v>
      </c>
      <c r="R80" s="174">
        <v>21790</v>
      </c>
      <c r="T80" s="155">
        <v>532.73099999999999</v>
      </c>
      <c r="U80" s="166">
        <v>0</v>
      </c>
      <c r="V80" s="166">
        <v>3.1008224179834801E-2</v>
      </c>
      <c r="W80" s="166">
        <v>6.36465754704471E-3</v>
      </c>
    </row>
    <row r="81" spans="1:23">
      <c r="A81" s="3">
        <v>161</v>
      </c>
      <c r="B81" s="3">
        <v>9938</v>
      </c>
      <c r="C81" s="3" t="s">
        <v>1301</v>
      </c>
      <c r="D81" s="3" t="s">
        <v>1302</v>
      </c>
      <c r="E81" s="5" t="s">
        <v>935</v>
      </c>
      <c r="F81" s="3" t="s">
        <v>1395</v>
      </c>
      <c r="G81" s="3" t="s">
        <v>1396</v>
      </c>
      <c r="H81" s="3" t="s">
        <v>152</v>
      </c>
      <c r="I81" s="3" t="s">
        <v>1261</v>
      </c>
      <c r="J81" s="3" t="s">
        <v>81</v>
      </c>
      <c r="K81" s="3" t="s">
        <v>82</v>
      </c>
      <c r="L81" s="3" t="s">
        <v>1053</v>
      </c>
      <c r="M81" s="3" t="s">
        <v>1397</v>
      </c>
      <c r="N81" s="3" t="s">
        <v>156</v>
      </c>
      <c r="O81" s="3" t="s">
        <v>86</v>
      </c>
      <c r="P81" s="156">
        <v>1590</v>
      </c>
      <c r="Q81" s="164">
        <v>3.306</v>
      </c>
      <c r="R81" s="174">
        <v>5387</v>
      </c>
      <c r="T81" s="155">
        <v>283.17</v>
      </c>
      <c r="U81" s="166">
        <v>1.9999999999999999E-6</v>
      </c>
      <c r="V81" s="166">
        <v>1.6482230903201601E-2</v>
      </c>
      <c r="W81" s="166">
        <v>3.3830945849010201E-3</v>
      </c>
    </row>
    <row r="82" spans="1:23">
      <c r="A82" s="3">
        <v>161</v>
      </c>
      <c r="B82" s="3">
        <v>9938</v>
      </c>
      <c r="C82" s="3" t="s">
        <v>1332</v>
      </c>
      <c r="D82" s="3" t="s">
        <v>1333</v>
      </c>
      <c r="E82" s="5" t="s">
        <v>935</v>
      </c>
      <c r="F82" s="3" t="s">
        <v>1365</v>
      </c>
      <c r="G82" s="3" t="s">
        <v>1335</v>
      </c>
      <c r="H82" s="3" t="s">
        <v>152</v>
      </c>
      <c r="I82" s="3" t="s">
        <v>1261</v>
      </c>
      <c r="J82" s="3" t="s">
        <v>81</v>
      </c>
      <c r="K82" s="3" t="s">
        <v>82</v>
      </c>
      <c r="L82" s="3" t="s">
        <v>1195</v>
      </c>
      <c r="M82" s="3" t="s">
        <v>1262</v>
      </c>
      <c r="N82" s="3" t="s">
        <v>156</v>
      </c>
      <c r="O82" s="3" t="s">
        <v>86</v>
      </c>
      <c r="P82" s="156">
        <v>38</v>
      </c>
      <c r="Q82" s="164">
        <v>3.306</v>
      </c>
      <c r="R82" s="174">
        <v>132232</v>
      </c>
      <c r="T82" s="155">
        <v>166.12</v>
      </c>
      <c r="U82" s="166">
        <v>1.9999999999999999E-6</v>
      </c>
      <c r="V82" s="166">
        <v>9.66923370822864E-3</v>
      </c>
      <c r="W82" s="166">
        <v>1.98467867551209E-3</v>
      </c>
    </row>
    <row r="83" spans="1:23">
      <c r="A83" s="3">
        <v>161</v>
      </c>
      <c r="B83" s="3">
        <v>9938</v>
      </c>
      <c r="C83" s="3" t="s">
        <v>1306</v>
      </c>
      <c r="D83" s="3" t="s">
        <v>1307</v>
      </c>
      <c r="E83" s="5" t="s">
        <v>935</v>
      </c>
      <c r="F83" s="3" t="s">
        <v>1398</v>
      </c>
      <c r="G83" s="3" t="s">
        <v>1399</v>
      </c>
      <c r="H83" s="3" t="s">
        <v>152</v>
      </c>
      <c r="I83" s="3" t="s">
        <v>1400</v>
      </c>
      <c r="J83" s="3" t="s">
        <v>81</v>
      </c>
      <c r="K83" s="3" t="s">
        <v>237</v>
      </c>
      <c r="L83" s="3" t="s">
        <v>1195</v>
      </c>
      <c r="M83" s="3" t="s">
        <v>1401</v>
      </c>
      <c r="N83" s="3" t="s">
        <v>156</v>
      </c>
      <c r="O83" s="3" t="s">
        <v>86</v>
      </c>
      <c r="P83" s="156">
        <v>4677</v>
      </c>
      <c r="Q83" s="164">
        <v>3.306</v>
      </c>
      <c r="R83" s="174">
        <v>627.5</v>
      </c>
      <c r="T83" s="155">
        <v>97.025000000000006</v>
      </c>
      <c r="U83" s="166">
        <v>1.4E-5</v>
      </c>
      <c r="V83" s="166">
        <v>5.6474577971609898E-3</v>
      </c>
      <c r="W83" s="166">
        <v>1.15918069612294E-3</v>
      </c>
    </row>
    <row r="84" spans="1:23">
      <c r="A84" s="3">
        <v>161</v>
      </c>
      <c r="B84" s="3">
        <v>9938</v>
      </c>
      <c r="C84" s="3" t="s">
        <v>1306</v>
      </c>
      <c r="D84" s="3" t="s">
        <v>1307</v>
      </c>
      <c r="E84" s="5" t="s">
        <v>935</v>
      </c>
      <c r="F84" s="3" t="s">
        <v>1308</v>
      </c>
      <c r="G84" s="3" t="s">
        <v>1309</v>
      </c>
      <c r="H84" s="3" t="s">
        <v>152</v>
      </c>
      <c r="I84" s="3" t="s">
        <v>1261</v>
      </c>
      <c r="J84" s="3" t="s">
        <v>81</v>
      </c>
      <c r="K84" s="3" t="s">
        <v>1310</v>
      </c>
      <c r="L84" s="3" t="s">
        <v>1311</v>
      </c>
      <c r="M84" s="3" t="s">
        <v>1312</v>
      </c>
      <c r="N84" s="3" t="s">
        <v>156</v>
      </c>
      <c r="O84" s="3" t="s">
        <v>1245</v>
      </c>
      <c r="P84" s="156">
        <v>1230</v>
      </c>
      <c r="Q84" s="164">
        <v>3.8807</v>
      </c>
      <c r="R84" s="174">
        <v>5582</v>
      </c>
      <c r="T84" s="155">
        <v>266.44299999999998</v>
      </c>
      <c r="U84" s="166">
        <v>9.0000000000000002E-6</v>
      </c>
      <c r="V84" s="166">
        <v>1.55086522918887E-2</v>
      </c>
      <c r="W84" s="166">
        <v>3.1832606821210001E-3</v>
      </c>
    </row>
    <row r="85" spans="1:23">
      <c r="A85" s="3">
        <v>161</v>
      </c>
      <c r="B85" s="3">
        <v>9938</v>
      </c>
      <c r="C85" s="3" t="s">
        <v>1306</v>
      </c>
      <c r="D85" s="3" t="s">
        <v>1307</v>
      </c>
      <c r="E85" s="5" t="s">
        <v>935</v>
      </c>
      <c r="F85" s="3" t="s">
        <v>1402</v>
      </c>
      <c r="G85" s="3" t="s">
        <v>1403</v>
      </c>
      <c r="H85" s="3" t="s">
        <v>152</v>
      </c>
      <c r="I85" s="3" t="s">
        <v>1261</v>
      </c>
      <c r="J85" s="3" t="s">
        <v>81</v>
      </c>
      <c r="K85" s="3" t="s">
        <v>82</v>
      </c>
      <c r="L85" s="3" t="s">
        <v>1053</v>
      </c>
      <c r="M85" s="3" t="s">
        <v>1404</v>
      </c>
      <c r="N85" s="3" t="s">
        <v>156</v>
      </c>
      <c r="O85" s="3" t="s">
        <v>86</v>
      </c>
      <c r="P85" s="156">
        <v>13295</v>
      </c>
      <c r="Q85" s="164">
        <v>3.306</v>
      </c>
      <c r="R85" s="174">
        <v>711.4</v>
      </c>
      <c r="T85" s="155">
        <v>312.68400000000003</v>
      </c>
      <c r="U85" s="166">
        <v>0</v>
      </c>
      <c r="V85" s="166">
        <v>1.8200113511450001E-2</v>
      </c>
      <c r="W85" s="166">
        <v>3.7357021526260698E-3</v>
      </c>
    </row>
    <row r="86" spans="1:23">
      <c r="A86" s="3">
        <v>161</v>
      </c>
      <c r="B86" s="3">
        <v>9938</v>
      </c>
      <c r="C86" s="3" t="s">
        <v>1306</v>
      </c>
      <c r="D86" s="3" t="s">
        <v>1307</v>
      </c>
      <c r="E86" s="5" t="s">
        <v>935</v>
      </c>
      <c r="F86" s="3" t="s">
        <v>1405</v>
      </c>
      <c r="G86" s="3" t="s">
        <v>1406</v>
      </c>
      <c r="H86" s="3" t="s">
        <v>152</v>
      </c>
      <c r="I86" s="3" t="s">
        <v>1400</v>
      </c>
      <c r="J86" s="3" t="s">
        <v>81</v>
      </c>
      <c r="K86" s="3" t="s">
        <v>82</v>
      </c>
      <c r="L86" s="3" t="s">
        <v>1195</v>
      </c>
      <c r="M86" s="3" t="s">
        <v>1401</v>
      </c>
      <c r="N86" s="3" t="s">
        <v>156</v>
      </c>
      <c r="O86" s="3" t="s">
        <v>86</v>
      </c>
      <c r="P86" s="156">
        <v>11800</v>
      </c>
      <c r="Q86" s="164">
        <v>3.306</v>
      </c>
      <c r="R86" s="174">
        <v>624.1</v>
      </c>
      <c r="T86" s="155">
        <v>243.46600000000001</v>
      </c>
      <c r="U86" s="166">
        <v>0</v>
      </c>
      <c r="V86" s="166">
        <v>1.41712475314927E-2</v>
      </c>
      <c r="W86" s="166">
        <v>2.9087488864005598E-3</v>
      </c>
    </row>
    <row r="87" spans="1:23">
      <c r="A87" s="3">
        <v>161</v>
      </c>
      <c r="B87" s="3">
        <v>9938</v>
      </c>
      <c r="C87" s="3" t="s">
        <v>1306</v>
      </c>
      <c r="D87" s="3" t="s">
        <v>1307</v>
      </c>
      <c r="E87" s="5" t="s">
        <v>935</v>
      </c>
      <c r="F87" s="3" t="s">
        <v>1407</v>
      </c>
      <c r="G87" s="3" t="s">
        <v>1408</v>
      </c>
      <c r="H87" s="3" t="s">
        <v>152</v>
      </c>
      <c r="I87" s="3" t="s">
        <v>1261</v>
      </c>
      <c r="J87" s="3" t="s">
        <v>81</v>
      </c>
      <c r="K87" s="3" t="s">
        <v>82</v>
      </c>
      <c r="L87" s="3" t="s">
        <v>1053</v>
      </c>
      <c r="M87" s="3" t="s">
        <v>1312</v>
      </c>
      <c r="N87" s="3" t="s">
        <v>156</v>
      </c>
      <c r="O87" s="3" t="s">
        <v>86</v>
      </c>
      <c r="P87" s="156">
        <v>440</v>
      </c>
      <c r="Q87" s="164">
        <v>3.306</v>
      </c>
      <c r="R87" s="174">
        <v>10725</v>
      </c>
      <c r="T87" s="155">
        <v>156.01</v>
      </c>
      <c r="U87" s="166">
        <v>1.7E-5</v>
      </c>
      <c r="V87" s="166">
        <v>9.0807531796449695E-3</v>
      </c>
      <c r="W87" s="166">
        <v>1.8638888806558401E-3</v>
      </c>
    </row>
    <row r="88" spans="1:23">
      <c r="A88" s="3">
        <v>161</v>
      </c>
      <c r="B88" s="3">
        <v>9938</v>
      </c>
      <c r="C88" s="3" t="s">
        <v>1306</v>
      </c>
      <c r="D88" s="3" t="s">
        <v>1307</v>
      </c>
      <c r="E88" s="5" t="s">
        <v>935</v>
      </c>
      <c r="F88" s="3" t="s">
        <v>1409</v>
      </c>
      <c r="G88" s="3" t="s">
        <v>1410</v>
      </c>
      <c r="H88" s="3" t="s">
        <v>152</v>
      </c>
      <c r="I88" s="3" t="s">
        <v>1261</v>
      </c>
      <c r="J88" s="3" t="s">
        <v>81</v>
      </c>
      <c r="K88" s="3" t="s">
        <v>82</v>
      </c>
      <c r="L88" s="3" t="s">
        <v>1195</v>
      </c>
      <c r="M88" s="3" t="s">
        <v>1331</v>
      </c>
      <c r="N88" s="3" t="s">
        <v>156</v>
      </c>
      <c r="O88" s="3" t="s">
        <v>86</v>
      </c>
      <c r="P88" s="156">
        <v>15</v>
      </c>
      <c r="Q88" s="164">
        <v>3.306</v>
      </c>
      <c r="R88" s="174">
        <v>140840</v>
      </c>
      <c r="T88" s="155">
        <v>69.843000000000004</v>
      </c>
      <c r="U88" s="166">
        <v>9.9999999999999995E-7</v>
      </c>
      <c r="V88" s="166">
        <v>4.0652678888149999E-3</v>
      </c>
      <c r="W88" s="166">
        <v>8.3442501573925199E-4</v>
      </c>
    </row>
    <row r="89" spans="1:23">
      <c r="A89" s="3">
        <v>161</v>
      </c>
      <c r="B89" s="3">
        <v>9938</v>
      </c>
      <c r="C89" s="3" t="s">
        <v>1411</v>
      </c>
      <c r="D89" s="3" t="s">
        <v>1412</v>
      </c>
      <c r="E89" s="5" t="s">
        <v>935</v>
      </c>
      <c r="F89" s="3" t="s">
        <v>1413</v>
      </c>
      <c r="G89" s="3" t="s">
        <v>1414</v>
      </c>
      <c r="H89" s="3" t="s">
        <v>152</v>
      </c>
      <c r="I89" s="3" t="s">
        <v>1261</v>
      </c>
      <c r="J89" s="3" t="s">
        <v>81</v>
      </c>
      <c r="K89" s="3" t="s">
        <v>1186</v>
      </c>
      <c r="L89" s="3" t="s">
        <v>1053</v>
      </c>
      <c r="M89" s="3" t="s">
        <v>1415</v>
      </c>
      <c r="N89" s="3" t="s">
        <v>156</v>
      </c>
      <c r="O89" s="3" t="s">
        <v>86</v>
      </c>
      <c r="P89" s="156">
        <v>1600</v>
      </c>
      <c r="Q89" s="164">
        <v>3.306</v>
      </c>
      <c r="R89" s="174">
        <v>4201</v>
      </c>
      <c r="T89" s="155">
        <v>222.21600000000001</v>
      </c>
      <c r="U89" s="166">
        <v>6.0000000000000002E-6</v>
      </c>
      <c r="V89" s="166">
        <v>1.29343485001699E-2</v>
      </c>
      <c r="W89" s="166">
        <v>2.6548666031397101E-3</v>
      </c>
    </row>
    <row r="90" spans="1:23">
      <c r="A90" s="3">
        <v>161</v>
      </c>
      <c r="B90" s="3">
        <v>9938</v>
      </c>
      <c r="C90" s="3" t="s">
        <v>1366</v>
      </c>
      <c r="D90" s="3" t="s">
        <v>1367</v>
      </c>
      <c r="E90" s="5" t="s">
        <v>935</v>
      </c>
      <c r="F90" s="3" t="s">
        <v>1416</v>
      </c>
      <c r="G90" s="3" t="s">
        <v>1417</v>
      </c>
      <c r="H90" s="3" t="s">
        <v>152</v>
      </c>
      <c r="I90" s="3" t="s">
        <v>1261</v>
      </c>
      <c r="J90" s="3" t="s">
        <v>81</v>
      </c>
      <c r="K90" s="3" t="s">
        <v>1310</v>
      </c>
      <c r="L90" s="3" t="s">
        <v>1418</v>
      </c>
      <c r="M90" s="3" t="s">
        <v>1312</v>
      </c>
      <c r="N90" s="3" t="s">
        <v>156</v>
      </c>
      <c r="O90" s="3" t="s">
        <v>1245</v>
      </c>
      <c r="P90" s="156">
        <v>1470</v>
      </c>
      <c r="Q90" s="164">
        <v>3.8807</v>
      </c>
      <c r="R90" s="174">
        <v>26801</v>
      </c>
      <c r="T90" s="155">
        <v>1528.8979999999999</v>
      </c>
      <c r="U90" s="166">
        <v>4.3000000000000002E-5</v>
      </c>
      <c r="V90" s="166">
        <v>8.89912790837733E-2</v>
      </c>
      <c r="W90" s="166">
        <v>1.8266090078452101E-2</v>
      </c>
    </row>
    <row r="91" spans="1:23">
      <c r="A91" s="3">
        <v>161</v>
      </c>
      <c r="B91" s="3">
        <v>9938</v>
      </c>
      <c r="C91" s="3" t="s">
        <v>1301</v>
      </c>
      <c r="D91" s="3" t="s">
        <v>1302</v>
      </c>
      <c r="E91" s="5" t="s">
        <v>935</v>
      </c>
      <c r="F91" s="3" t="s">
        <v>1370</v>
      </c>
      <c r="G91" s="3" t="s">
        <v>1371</v>
      </c>
      <c r="H91" s="3" t="s">
        <v>152</v>
      </c>
      <c r="I91" s="3" t="s">
        <v>1261</v>
      </c>
      <c r="J91" s="3" t="s">
        <v>81</v>
      </c>
      <c r="K91" s="3" t="s">
        <v>82</v>
      </c>
      <c r="L91" s="3" t="s">
        <v>1195</v>
      </c>
      <c r="M91" s="3" t="s">
        <v>1262</v>
      </c>
      <c r="N91" s="3" t="s">
        <v>156</v>
      </c>
      <c r="O91" s="3" t="s">
        <v>86</v>
      </c>
      <c r="P91" s="156">
        <v>10280</v>
      </c>
      <c r="Q91" s="164">
        <v>3.306</v>
      </c>
      <c r="R91" s="174">
        <v>1631</v>
      </c>
      <c r="T91" s="155">
        <v>554.30600000000004</v>
      </c>
      <c r="U91" s="166">
        <v>0</v>
      </c>
      <c r="V91" s="166">
        <v>3.22640565208921E-2</v>
      </c>
      <c r="W91" s="166">
        <v>6.6224260261739101E-3</v>
      </c>
    </row>
    <row r="92" spans="1:23">
      <c r="A92" s="3">
        <v>161</v>
      </c>
      <c r="B92" s="3">
        <v>9938</v>
      </c>
      <c r="C92" s="3" t="s">
        <v>1301</v>
      </c>
      <c r="D92" s="3" t="s">
        <v>1302</v>
      </c>
      <c r="E92" s="5" t="s">
        <v>935</v>
      </c>
      <c r="F92" s="3" t="s">
        <v>1419</v>
      </c>
      <c r="G92" s="3" t="s">
        <v>1420</v>
      </c>
      <c r="H92" s="3" t="s">
        <v>152</v>
      </c>
      <c r="I92" s="3" t="s">
        <v>1261</v>
      </c>
      <c r="J92" s="3" t="s">
        <v>81</v>
      </c>
      <c r="K92" s="3" t="s">
        <v>82</v>
      </c>
      <c r="L92" s="3" t="s">
        <v>1195</v>
      </c>
      <c r="M92" s="3" t="s">
        <v>1305</v>
      </c>
      <c r="N92" s="3" t="s">
        <v>156</v>
      </c>
      <c r="O92" s="3" t="s">
        <v>86</v>
      </c>
      <c r="P92" s="156">
        <v>174</v>
      </c>
      <c r="Q92" s="164">
        <v>3.306</v>
      </c>
      <c r="R92" s="174">
        <v>15018</v>
      </c>
      <c r="T92" s="155">
        <v>86.39</v>
      </c>
      <c r="U92" s="166">
        <v>0</v>
      </c>
      <c r="V92" s="166">
        <v>5.0284396520093302E-3</v>
      </c>
      <c r="W92" s="166">
        <v>1.03212283926382E-3</v>
      </c>
    </row>
    <row r="93" spans="1:23">
      <c r="A93" s="3">
        <v>161</v>
      </c>
      <c r="B93" s="3">
        <v>9938</v>
      </c>
      <c r="C93" s="3" t="s">
        <v>1319</v>
      </c>
      <c r="D93" s="3" t="s">
        <v>1320</v>
      </c>
      <c r="E93" s="5" t="s">
        <v>935</v>
      </c>
      <c r="F93" s="3" t="s">
        <v>1421</v>
      </c>
      <c r="G93" s="3" t="s">
        <v>1422</v>
      </c>
      <c r="H93" s="3" t="s">
        <v>152</v>
      </c>
      <c r="I93" s="3" t="s">
        <v>1400</v>
      </c>
      <c r="J93" s="3" t="s">
        <v>81</v>
      </c>
      <c r="K93" s="3" t="s">
        <v>82</v>
      </c>
      <c r="L93" s="3" t="s">
        <v>1195</v>
      </c>
      <c r="M93" s="3" t="s">
        <v>1401</v>
      </c>
      <c r="N93" s="3" t="s">
        <v>156</v>
      </c>
      <c r="O93" s="3" t="s">
        <v>86</v>
      </c>
      <c r="P93" s="156">
        <v>3600</v>
      </c>
      <c r="Q93" s="164">
        <v>3.306</v>
      </c>
      <c r="R93" s="174">
        <v>6073</v>
      </c>
      <c r="T93" s="155">
        <v>722.78399999999999</v>
      </c>
      <c r="U93" s="166">
        <v>0</v>
      </c>
      <c r="V93" s="166">
        <v>4.20705002364785E-2</v>
      </c>
      <c r="W93" s="166">
        <v>8.6352680271249201E-3</v>
      </c>
    </row>
    <row r="94" spans="1:23">
      <c r="A94" s="3">
        <v>161</v>
      </c>
      <c r="B94" s="3">
        <v>9938</v>
      </c>
      <c r="C94" s="3" t="s">
        <v>1319</v>
      </c>
      <c r="D94" s="3" t="s">
        <v>1320</v>
      </c>
      <c r="E94" s="5" t="s">
        <v>935</v>
      </c>
      <c r="F94" s="3" t="s">
        <v>1423</v>
      </c>
      <c r="G94" s="3" t="s">
        <v>1424</v>
      </c>
      <c r="H94" s="3" t="s">
        <v>152</v>
      </c>
      <c r="I94" s="3" t="s">
        <v>1261</v>
      </c>
      <c r="J94" s="3" t="s">
        <v>81</v>
      </c>
      <c r="K94" s="3" t="s">
        <v>1338</v>
      </c>
      <c r="L94" s="3" t="s">
        <v>1195</v>
      </c>
      <c r="M94" s="3" t="s">
        <v>1339</v>
      </c>
      <c r="N94" s="3" t="s">
        <v>156</v>
      </c>
      <c r="O94" s="3" t="s">
        <v>86</v>
      </c>
      <c r="P94" s="156">
        <v>2680</v>
      </c>
      <c r="Q94" s="164">
        <v>3.306</v>
      </c>
      <c r="R94" s="174">
        <v>7792</v>
      </c>
      <c r="T94" s="155">
        <v>690.37699999999995</v>
      </c>
      <c r="U94" s="166">
        <v>0</v>
      </c>
      <c r="V94" s="166">
        <v>4.0184228251563203E-2</v>
      </c>
      <c r="W94" s="166">
        <v>8.2480973476644296E-3</v>
      </c>
    </row>
    <row r="95" spans="1:23">
      <c r="A95" s="3">
        <v>161</v>
      </c>
      <c r="B95" s="3">
        <v>9938</v>
      </c>
      <c r="C95" s="3" t="s">
        <v>1319</v>
      </c>
      <c r="D95" s="3" t="s">
        <v>1320</v>
      </c>
      <c r="E95" s="5" t="s">
        <v>935</v>
      </c>
      <c r="F95" s="3" t="s">
        <v>1321</v>
      </c>
      <c r="G95" s="3" t="s">
        <v>1322</v>
      </c>
      <c r="H95" s="3" t="s">
        <v>152</v>
      </c>
      <c r="I95" s="3" t="s">
        <v>1261</v>
      </c>
      <c r="J95" s="3" t="s">
        <v>81</v>
      </c>
      <c r="K95" s="3" t="s">
        <v>82</v>
      </c>
      <c r="L95" s="3" t="s">
        <v>1053</v>
      </c>
      <c r="M95" s="3" t="s">
        <v>1262</v>
      </c>
      <c r="N95" s="3" t="s">
        <v>156</v>
      </c>
      <c r="O95" s="3" t="s">
        <v>86</v>
      </c>
      <c r="P95" s="156">
        <v>510</v>
      </c>
      <c r="Q95" s="164">
        <v>3.306</v>
      </c>
      <c r="R95" s="174">
        <v>61238</v>
      </c>
      <c r="S95" s="155">
        <v>0.88700000000000001</v>
      </c>
      <c r="T95" s="155">
        <v>1035.443</v>
      </c>
      <c r="U95" s="166">
        <v>9.9999999999999995E-7</v>
      </c>
      <c r="V95" s="166">
        <v>6.0269183995944497E-2</v>
      </c>
      <c r="W95" s="166">
        <v>1.2370676713033799E-2</v>
      </c>
    </row>
    <row r="96" spans="1:23">
      <c r="A96" s="3">
        <v>161</v>
      </c>
      <c r="B96" s="3">
        <v>9938</v>
      </c>
      <c r="C96" s="3" t="s">
        <v>1425</v>
      </c>
      <c r="D96" s="3" t="s">
        <v>1426</v>
      </c>
      <c r="E96" s="5" t="s">
        <v>935</v>
      </c>
      <c r="F96" s="3" t="s">
        <v>1427</v>
      </c>
      <c r="G96" s="3" t="s">
        <v>1428</v>
      </c>
      <c r="H96" s="3" t="s">
        <v>152</v>
      </c>
      <c r="I96" s="3" t="s">
        <v>1261</v>
      </c>
      <c r="J96" s="3" t="s">
        <v>81</v>
      </c>
      <c r="K96" s="3" t="s">
        <v>1429</v>
      </c>
      <c r="L96" s="3" t="s">
        <v>1053</v>
      </c>
      <c r="M96" s="3" t="s">
        <v>1430</v>
      </c>
      <c r="N96" s="3" t="s">
        <v>156</v>
      </c>
      <c r="O96" s="3" t="s">
        <v>86</v>
      </c>
      <c r="P96" s="156">
        <v>1500</v>
      </c>
      <c r="Q96" s="164">
        <v>3.306</v>
      </c>
      <c r="R96" s="174">
        <v>12803</v>
      </c>
      <c r="T96" s="155">
        <v>634.90099999999995</v>
      </c>
      <c r="U96" s="166">
        <v>4.8000000000000001E-5</v>
      </c>
      <c r="V96" s="166">
        <v>3.69551439793371E-2</v>
      </c>
      <c r="W96" s="166">
        <v>7.5853049392996599E-3</v>
      </c>
    </row>
    <row r="97" spans="1:23">
      <c r="A97" s="3">
        <v>161</v>
      </c>
      <c r="B97" s="3">
        <v>9942</v>
      </c>
      <c r="C97" s="3" t="s">
        <v>1249</v>
      </c>
      <c r="D97" s="3" t="s">
        <v>1250</v>
      </c>
      <c r="E97" s="5" t="s">
        <v>149</v>
      </c>
      <c r="F97" s="3" t="s">
        <v>1323</v>
      </c>
      <c r="G97" s="3" t="s">
        <v>1324</v>
      </c>
      <c r="H97" s="3" t="s">
        <v>152</v>
      </c>
      <c r="I97" s="3" t="s">
        <v>1257</v>
      </c>
      <c r="J97" s="3" t="s">
        <v>30</v>
      </c>
      <c r="K97" s="3" t="s">
        <v>30</v>
      </c>
      <c r="L97" s="3" t="s">
        <v>31</v>
      </c>
      <c r="M97" s="3" t="s">
        <v>1273</v>
      </c>
      <c r="N97" s="3" t="s">
        <v>156</v>
      </c>
      <c r="O97" s="3" t="s">
        <v>34</v>
      </c>
      <c r="P97" s="156">
        <v>290000</v>
      </c>
      <c r="Q97" s="164">
        <v>1</v>
      </c>
      <c r="R97" s="174">
        <v>487.71</v>
      </c>
      <c r="T97" s="155">
        <v>1414.3589999999999</v>
      </c>
      <c r="U97" s="166">
        <v>1.178E-3</v>
      </c>
      <c r="V97" s="166">
        <v>0.11387196022143301</v>
      </c>
      <c r="W97" s="166">
        <v>1.4314339367900501E-2</v>
      </c>
    </row>
    <row r="98" spans="1:23">
      <c r="A98" s="3">
        <v>161</v>
      </c>
      <c r="B98" s="3">
        <v>9942</v>
      </c>
      <c r="C98" s="3" t="s">
        <v>1263</v>
      </c>
      <c r="D98" s="3" t="s">
        <v>1264</v>
      </c>
      <c r="E98" s="5" t="s">
        <v>149</v>
      </c>
      <c r="F98" s="3" t="s">
        <v>1265</v>
      </c>
      <c r="G98" s="3" t="s">
        <v>1266</v>
      </c>
      <c r="H98" s="3" t="s">
        <v>152</v>
      </c>
      <c r="I98" s="3" t="s">
        <v>1253</v>
      </c>
      <c r="J98" s="3" t="s">
        <v>30</v>
      </c>
      <c r="K98" s="3" t="s">
        <v>30</v>
      </c>
      <c r="L98" s="3" t="s">
        <v>31</v>
      </c>
      <c r="M98" s="3" t="s">
        <v>1267</v>
      </c>
      <c r="N98" s="3" t="s">
        <v>156</v>
      </c>
      <c r="O98" s="3" t="s">
        <v>34</v>
      </c>
      <c r="P98" s="156">
        <v>16400</v>
      </c>
      <c r="Q98" s="164">
        <v>1</v>
      </c>
      <c r="R98" s="174">
        <v>3165</v>
      </c>
      <c r="T98" s="155">
        <v>519.05999999999995</v>
      </c>
      <c r="U98" s="166">
        <v>6.6000000000000005E-5</v>
      </c>
      <c r="V98" s="166">
        <v>4.1790224174015997E-2</v>
      </c>
      <c r="W98" s="166">
        <v>5.2532638405825101E-3</v>
      </c>
    </row>
    <row r="99" spans="1:23">
      <c r="A99" s="3">
        <v>161</v>
      </c>
      <c r="B99" s="3">
        <v>9942</v>
      </c>
      <c r="C99" s="3" t="s">
        <v>1263</v>
      </c>
      <c r="D99" s="3" t="s">
        <v>1264</v>
      </c>
      <c r="E99" s="5" t="s">
        <v>149</v>
      </c>
      <c r="F99" s="3" t="s">
        <v>1271</v>
      </c>
      <c r="G99" s="3" t="s">
        <v>1272</v>
      </c>
      <c r="H99" s="3" t="s">
        <v>152</v>
      </c>
      <c r="I99" s="3" t="s">
        <v>1257</v>
      </c>
      <c r="J99" s="3" t="s">
        <v>30</v>
      </c>
      <c r="K99" s="3" t="s">
        <v>30</v>
      </c>
      <c r="L99" s="3" t="s">
        <v>31</v>
      </c>
      <c r="M99" s="3" t="s">
        <v>1273</v>
      </c>
      <c r="N99" s="3" t="s">
        <v>156</v>
      </c>
      <c r="O99" s="3" t="s">
        <v>34</v>
      </c>
      <c r="P99" s="156">
        <v>413000</v>
      </c>
      <c r="Q99" s="164">
        <v>1</v>
      </c>
      <c r="R99" s="174">
        <v>419.81</v>
      </c>
      <c r="T99" s="155">
        <v>1733.8150000000001</v>
      </c>
      <c r="U99" s="166">
        <v>1.513E-3</v>
      </c>
      <c r="V99" s="166">
        <v>0.139591819950177</v>
      </c>
      <c r="W99" s="166">
        <v>1.7547468927944201E-2</v>
      </c>
    </row>
    <row r="100" spans="1:23">
      <c r="A100" s="3">
        <v>161</v>
      </c>
      <c r="B100" s="3">
        <v>9942</v>
      </c>
      <c r="C100" s="3" t="s">
        <v>1263</v>
      </c>
      <c r="D100" s="3" t="s">
        <v>1264</v>
      </c>
      <c r="E100" s="5" t="s">
        <v>149</v>
      </c>
      <c r="F100" s="3" t="s">
        <v>1274</v>
      </c>
      <c r="G100" s="3" t="s">
        <v>1275</v>
      </c>
      <c r="H100" s="3" t="s">
        <v>152</v>
      </c>
      <c r="I100" s="3" t="s">
        <v>1253</v>
      </c>
      <c r="J100" s="3" t="s">
        <v>30</v>
      </c>
      <c r="K100" s="3" t="s">
        <v>30</v>
      </c>
      <c r="L100" s="3" t="s">
        <v>31</v>
      </c>
      <c r="M100" s="3" t="s">
        <v>1254</v>
      </c>
      <c r="N100" s="3" t="s">
        <v>156</v>
      </c>
      <c r="O100" s="3" t="s">
        <v>34</v>
      </c>
      <c r="P100" s="156">
        <v>22350</v>
      </c>
      <c r="Q100" s="164">
        <v>1</v>
      </c>
      <c r="R100" s="174">
        <v>3192</v>
      </c>
      <c r="T100" s="155">
        <v>713.41200000000003</v>
      </c>
      <c r="U100" s="166">
        <v>1.08E-4</v>
      </c>
      <c r="V100" s="166">
        <v>5.7437767133728397E-2</v>
      </c>
      <c r="W100" s="166">
        <v>7.2202471063800896E-3</v>
      </c>
    </row>
    <row r="101" spans="1:23">
      <c r="A101" s="3">
        <v>161</v>
      </c>
      <c r="B101" s="3">
        <v>9942</v>
      </c>
      <c r="C101" s="3" t="s">
        <v>1276</v>
      </c>
      <c r="D101" s="3" t="s">
        <v>1277</v>
      </c>
      <c r="E101" s="5" t="s">
        <v>149</v>
      </c>
      <c r="F101" s="3" t="s">
        <v>1278</v>
      </c>
      <c r="G101" s="3" t="s">
        <v>1279</v>
      </c>
      <c r="H101" s="3" t="s">
        <v>152</v>
      </c>
      <c r="I101" s="3" t="s">
        <v>1253</v>
      </c>
      <c r="J101" s="3" t="s">
        <v>30</v>
      </c>
      <c r="K101" s="3" t="s">
        <v>30</v>
      </c>
      <c r="L101" s="3" t="s">
        <v>31</v>
      </c>
      <c r="M101" s="3" t="s">
        <v>1254</v>
      </c>
      <c r="N101" s="3" t="s">
        <v>156</v>
      </c>
      <c r="O101" s="3" t="s">
        <v>34</v>
      </c>
      <c r="P101" s="156">
        <v>4000</v>
      </c>
      <c r="Q101" s="164">
        <v>1</v>
      </c>
      <c r="R101" s="174">
        <v>8821</v>
      </c>
      <c r="T101" s="155">
        <v>352.84</v>
      </c>
      <c r="U101" s="166">
        <v>2.7599999999999999E-4</v>
      </c>
      <c r="V101" s="166">
        <v>2.8407626666589199E-2</v>
      </c>
      <c r="W101" s="166">
        <v>3.57099682794115E-3</v>
      </c>
    </row>
    <row r="102" spans="1:23">
      <c r="A102" s="3">
        <v>161</v>
      </c>
      <c r="B102" s="3">
        <v>9942</v>
      </c>
      <c r="C102" s="3" t="s">
        <v>1276</v>
      </c>
      <c r="D102" s="3" t="s">
        <v>1277</v>
      </c>
      <c r="E102" s="5" t="s">
        <v>149</v>
      </c>
      <c r="F102" s="3" t="s">
        <v>1283</v>
      </c>
      <c r="G102" s="3" t="s">
        <v>1284</v>
      </c>
      <c r="H102" s="3" t="s">
        <v>152</v>
      </c>
      <c r="I102" s="3" t="s">
        <v>1261</v>
      </c>
      <c r="J102" s="3" t="s">
        <v>30</v>
      </c>
      <c r="K102" s="3" t="s">
        <v>82</v>
      </c>
      <c r="L102" s="3" t="s">
        <v>31</v>
      </c>
      <c r="M102" s="3" t="s">
        <v>1262</v>
      </c>
      <c r="N102" s="3" t="s">
        <v>156</v>
      </c>
      <c r="O102" s="3" t="s">
        <v>34</v>
      </c>
      <c r="P102" s="156">
        <v>2850</v>
      </c>
      <c r="Q102" s="164">
        <v>1</v>
      </c>
      <c r="R102" s="174">
        <v>10340</v>
      </c>
      <c r="T102" s="155">
        <v>294.69</v>
      </c>
      <c r="U102" s="166">
        <v>2.1100000000000001E-4</v>
      </c>
      <c r="V102" s="166">
        <v>2.37258913455877E-2</v>
      </c>
      <c r="W102" s="166">
        <v>2.9824766331084298E-3</v>
      </c>
    </row>
    <row r="103" spans="1:23">
      <c r="A103" s="3">
        <v>161</v>
      </c>
      <c r="B103" s="3">
        <v>9942</v>
      </c>
      <c r="C103" s="3" t="s">
        <v>1288</v>
      </c>
      <c r="D103" s="3" t="s">
        <v>1289</v>
      </c>
      <c r="E103" s="5" t="s">
        <v>149</v>
      </c>
      <c r="F103" s="3" t="s">
        <v>1382</v>
      </c>
      <c r="G103" s="3" t="s">
        <v>1383</v>
      </c>
      <c r="H103" s="3" t="s">
        <v>152</v>
      </c>
      <c r="I103" s="3" t="s">
        <v>1261</v>
      </c>
      <c r="J103" s="3" t="s">
        <v>30</v>
      </c>
      <c r="K103" s="3" t="s">
        <v>82</v>
      </c>
      <c r="L103" s="3" t="s">
        <v>31</v>
      </c>
      <c r="M103" s="3" t="s">
        <v>1262</v>
      </c>
      <c r="N103" s="3" t="s">
        <v>156</v>
      </c>
      <c r="O103" s="3" t="s">
        <v>34</v>
      </c>
      <c r="P103" s="156">
        <v>2000</v>
      </c>
      <c r="Q103" s="164">
        <v>1</v>
      </c>
      <c r="R103" s="174">
        <v>24260</v>
      </c>
      <c r="T103" s="155">
        <v>485.2</v>
      </c>
      <c r="U103" s="166">
        <v>6.7999999999999999E-5</v>
      </c>
      <c r="V103" s="166">
        <v>3.9064109677556601E-2</v>
      </c>
      <c r="W103" s="166">
        <v>4.9105760710719997E-3</v>
      </c>
    </row>
    <row r="104" spans="1:23">
      <c r="A104" s="3">
        <v>161</v>
      </c>
      <c r="B104" s="3">
        <v>9942</v>
      </c>
      <c r="C104" s="3" t="s">
        <v>1288</v>
      </c>
      <c r="D104" s="3" t="s">
        <v>1289</v>
      </c>
      <c r="E104" s="5" t="s">
        <v>149</v>
      </c>
      <c r="F104" s="3" t="s">
        <v>1352</v>
      </c>
      <c r="G104" s="3" t="s">
        <v>1353</v>
      </c>
      <c r="H104" s="3" t="s">
        <v>152</v>
      </c>
      <c r="I104" s="3" t="s">
        <v>1253</v>
      </c>
      <c r="J104" s="3" t="s">
        <v>30</v>
      </c>
      <c r="K104" s="3" t="s">
        <v>30</v>
      </c>
      <c r="L104" s="3" t="s">
        <v>31</v>
      </c>
      <c r="M104" s="3" t="s">
        <v>1254</v>
      </c>
      <c r="N104" s="3" t="s">
        <v>156</v>
      </c>
      <c r="O104" s="3" t="s">
        <v>34</v>
      </c>
      <c r="P104" s="156">
        <v>740</v>
      </c>
      <c r="Q104" s="164">
        <v>1</v>
      </c>
      <c r="R104" s="174">
        <v>31750</v>
      </c>
      <c r="T104" s="155">
        <v>234.95</v>
      </c>
      <c r="U104" s="166">
        <v>2.0999999999999999E-5</v>
      </c>
      <c r="V104" s="166">
        <v>1.8916142969377402E-2</v>
      </c>
      <c r="W104" s="166">
        <v>2.3778644845390902E-3</v>
      </c>
    </row>
    <row r="105" spans="1:23">
      <c r="A105" s="3">
        <v>161</v>
      </c>
      <c r="B105" s="3">
        <v>9942</v>
      </c>
      <c r="C105" s="3" t="s">
        <v>1288</v>
      </c>
      <c r="D105" s="3" t="s">
        <v>1289</v>
      </c>
      <c r="E105" s="5" t="s">
        <v>149</v>
      </c>
      <c r="F105" s="3" t="s">
        <v>1388</v>
      </c>
      <c r="G105" s="3" t="s">
        <v>1389</v>
      </c>
      <c r="H105" s="3" t="s">
        <v>152</v>
      </c>
      <c r="I105" s="3" t="s">
        <v>1253</v>
      </c>
      <c r="J105" s="3" t="s">
        <v>30</v>
      </c>
      <c r="K105" s="3" t="s">
        <v>30</v>
      </c>
      <c r="L105" s="3" t="s">
        <v>31</v>
      </c>
      <c r="M105" s="3" t="s">
        <v>1267</v>
      </c>
      <c r="N105" s="3" t="s">
        <v>156</v>
      </c>
      <c r="O105" s="3" t="s">
        <v>34</v>
      </c>
      <c r="P105" s="156">
        <v>1445</v>
      </c>
      <c r="Q105" s="164">
        <v>1</v>
      </c>
      <c r="R105" s="174">
        <v>30420</v>
      </c>
      <c r="T105" s="155">
        <v>439.56900000000002</v>
      </c>
      <c r="U105" s="166">
        <v>4.8000000000000001E-5</v>
      </c>
      <c r="V105" s="166">
        <v>3.5390296015774703E-2</v>
      </c>
      <c r="W105" s="166">
        <v>4.44875724028246E-3</v>
      </c>
    </row>
    <row r="106" spans="1:23">
      <c r="A106" s="3">
        <v>161</v>
      </c>
      <c r="B106" s="3">
        <v>9942</v>
      </c>
      <c r="C106" s="3" t="s">
        <v>1295</v>
      </c>
      <c r="D106" s="3" t="s">
        <v>1296</v>
      </c>
      <c r="E106" s="5" t="s">
        <v>149</v>
      </c>
      <c r="F106" s="3" t="s">
        <v>1356</v>
      </c>
      <c r="G106" s="3" t="s">
        <v>1357</v>
      </c>
      <c r="H106" s="3" t="s">
        <v>152</v>
      </c>
      <c r="I106" s="3" t="s">
        <v>1253</v>
      </c>
      <c r="J106" s="3" t="s">
        <v>30</v>
      </c>
      <c r="K106" s="3" t="s">
        <v>30</v>
      </c>
      <c r="L106" s="3" t="s">
        <v>31</v>
      </c>
      <c r="M106" s="3" t="s">
        <v>1267</v>
      </c>
      <c r="N106" s="3" t="s">
        <v>156</v>
      </c>
      <c r="O106" s="3" t="s">
        <v>34</v>
      </c>
      <c r="P106" s="156">
        <v>4400</v>
      </c>
      <c r="Q106" s="164">
        <v>1</v>
      </c>
      <c r="R106" s="174">
        <v>3146</v>
      </c>
      <c r="T106" s="155">
        <v>138.42400000000001</v>
      </c>
      <c r="U106" s="166">
        <v>1.1E-5</v>
      </c>
      <c r="V106" s="166">
        <v>1.1144703870581399E-2</v>
      </c>
      <c r="W106" s="166">
        <v>1.40095132329363E-3</v>
      </c>
    </row>
    <row r="107" spans="1:23">
      <c r="A107" s="3">
        <v>161</v>
      </c>
      <c r="B107" s="3">
        <v>9942</v>
      </c>
      <c r="C107" s="3" t="s">
        <v>1390</v>
      </c>
      <c r="D107" s="3" t="s">
        <v>1391</v>
      </c>
      <c r="E107" s="5" t="s">
        <v>935</v>
      </c>
      <c r="F107" s="3" t="s">
        <v>1392</v>
      </c>
      <c r="G107" s="3" t="s">
        <v>1393</v>
      </c>
      <c r="H107" s="3" t="s">
        <v>152</v>
      </c>
      <c r="I107" s="3" t="s">
        <v>1261</v>
      </c>
      <c r="J107" s="3" t="s">
        <v>81</v>
      </c>
      <c r="K107" s="3" t="s">
        <v>82</v>
      </c>
      <c r="L107" s="3" t="s">
        <v>1311</v>
      </c>
      <c r="M107" s="3" t="s">
        <v>1394</v>
      </c>
      <c r="N107" s="3" t="s">
        <v>156</v>
      </c>
      <c r="O107" s="3" t="s">
        <v>1245</v>
      </c>
      <c r="P107" s="156">
        <v>320</v>
      </c>
      <c r="Q107" s="164">
        <v>3.8807</v>
      </c>
      <c r="R107" s="174">
        <v>21790</v>
      </c>
      <c r="T107" s="155">
        <v>270.59300000000002</v>
      </c>
      <c r="U107" s="166">
        <v>0</v>
      </c>
      <c r="V107" s="166">
        <v>2.17858454105581E-2</v>
      </c>
      <c r="W107" s="166">
        <v>2.7386020581092099E-3</v>
      </c>
    </row>
    <row r="108" spans="1:23">
      <c r="A108" s="3">
        <v>161</v>
      </c>
      <c r="B108" s="3">
        <v>9942</v>
      </c>
      <c r="C108" s="3" t="s">
        <v>1301</v>
      </c>
      <c r="D108" s="3" t="s">
        <v>1302</v>
      </c>
      <c r="E108" s="5" t="s">
        <v>935</v>
      </c>
      <c r="F108" s="3" t="s">
        <v>1395</v>
      </c>
      <c r="G108" s="3" t="s">
        <v>1396</v>
      </c>
      <c r="H108" s="3" t="s">
        <v>152</v>
      </c>
      <c r="I108" s="3" t="s">
        <v>1261</v>
      </c>
      <c r="J108" s="3" t="s">
        <v>81</v>
      </c>
      <c r="K108" s="3" t="s">
        <v>82</v>
      </c>
      <c r="L108" s="3" t="s">
        <v>1053</v>
      </c>
      <c r="M108" s="3" t="s">
        <v>1397</v>
      </c>
      <c r="N108" s="3" t="s">
        <v>156</v>
      </c>
      <c r="O108" s="3" t="s">
        <v>86</v>
      </c>
      <c r="P108" s="156">
        <v>1265</v>
      </c>
      <c r="Q108" s="164">
        <v>3.306</v>
      </c>
      <c r="R108" s="174">
        <v>5387</v>
      </c>
      <c r="T108" s="155">
        <v>225.28899999999999</v>
      </c>
      <c r="U108" s="166">
        <v>9.9999999999999995E-7</v>
      </c>
      <c r="V108" s="166">
        <v>1.8138337924400099E-2</v>
      </c>
      <c r="W108" s="166">
        <v>2.2800900600519701E-3</v>
      </c>
    </row>
    <row r="109" spans="1:23">
      <c r="A109" s="3">
        <v>161</v>
      </c>
      <c r="B109" s="3">
        <v>9942</v>
      </c>
      <c r="C109" s="3" t="s">
        <v>1332</v>
      </c>
      <c r="D109" s="3" t="s">
        <v>1333</v>
      </c>
      <c r="E109" s="5" t="s">
        <v>935</v>
      </c>
      <c r="F109" s="3" t="s">
        <v>1365</v>
      </c>
      <c r="G109" s="3" t="s">
        <v>1335</v>
      </c>
      <c r="H109" s="3" t="s">
        <v>152</v>
      </c>
      <c r="I109" s="3" t="s">
        <v>1261</v>
      </c>
      <c r="J109" s="3" t="s">
        <v>81</v>
      </c>
      <c r="K109" s="3" t="s">
        <v>82</v>
      </c>
      <c r="L109" s="3" t="s">
        <v>1195</v>
      </c>
      <c r="M109" s="3" t="s">
        <v>1262</v>
      </c>
      <c r="N109" s="3" t="s">
        <v>156</v>
      </c>
      <c r="O109" s="3" t="s">
        <v>86</v>
      </c>
      <c r="P109" s="156">
        <v>44</v>
      </c>
      <c r="Q109" s="164">
        <v>3.306</v>
      </c>
      <c r="R109" s="174">
        <v>132232</v>
      </c>
      <c r="T109" s="155">
        <v>192.35</v>
      </c>
      <c r="U109" s="166">
        <v>1.9999999999999999E-6</v>
      </c>
      <c r="V109" s="166">
        <v>1.5486355722192801E-2</v>
      </c>
      <c r="W109" s="166">
        <v>1.94672113265134E-3</v>
      </c>
    </row>
    <row r="110" spans="1:23">
      <c r="A110" s="3">
        <v>161</v>
      </c>
      <c r="B110" s="3">
        <v>9942</v>
      </c>
      <c r="C110" s="3" t="s">
        <v>1306</v>
      </c>
      <c r="D110" s="3" t="s">
        <v>1307</v>
      </c>
      <c r="E110" s="5" t="s">
        <v>935</v>
      </c>
      <c r="F110" s="3" t="s">
        <v>1398</v>
      </c>
      <c r="G110" s="3" t="s">
        <v>1399</v>
      </c>
      <c r="H110" s="3" t="s">
        <v>152</v>
      </c>
      <c r="I110" s="3" t="s">
        <v>1400</v>
      </c>
      <c r="J110" s="3" t="s">
        <v>81</v>
      </c>
      <c r="K110" s="3" t="s">
        <v>237</v>
      </c>
      <c r="L110" s="3" t="s">
        <v>1195</v>
      </c>
      <c r="M110" s="3" t="s">
        <v>1401</v>
      </c>
      <c r="N110" s="3" t="s">
        <v>156</v>
      </c>
      <c r="O110" s="3" t="s">
        <v>86</v>
      </c>
      <c r="P110" s="156">
        <v>33416</v>
      </c>
      <c r="Q110" s="164">
        <v>3.306</v>
      </c>
      <c r="R110" s="174">
        <v>627.5</v>
      </c>
      <c r="T110" s="155">
        <v>693.22</v>
      </c>
      <c r="U110" s="166">
        <v>9.8999999999999994E-5</v>
      </c>
      <c r="V110" s="166">
        <v>5.5812076401364402E-2</v>
      </c>
      <c r="W110" s="166">
        <v>7.0158887304896797E-3</v>
      </c>
    </row>
    <row r="111" spans="1:23">
      <c r="A111" s="3">
        <v>161</v>
      </c>
      <c r="B111" s="3">
        <v>9942</v>
      </c>
      <c r="C111" s="3" t="s">
        <v>1306</v>
      </c>
      <c r="D111" s="3" t="s">
        <v>1307</v>
      </c>
      <c r="E111" s="5" t="s">
        <v>935</v>
      </c>
      <c r="F111" s="3" t="s">
        <v>1308</v>
      </c>
      <c r="G111" s="3" t="s">
        <v>1309</v>
      </c>
      <c r="H111" s="3" t="s">
        <v>152</v>
      </c>
      <c r="I111" s="3" t="s">
        <v>1261</v>
      </c>
      <c r="J111" s="3" t="s">
        <v>81</v>
      </c>
      <c r="K111" s="3" t="s">
        <v>1310</v>
      </c>
      <c r="L111" s="3" t="s">
        <v>1311</v>
      </c>
      <c r="M111" s="3" t="s">
        <v>1312</v>
      </c>
      <c r="N111" s="3" t="s">
        <v>156</v>
      </c>
      <c r="O111" s="3" t="s">
        <v>1245</v>
      </c>
      <c r="P111" s="156">
        <v>770</v>
      </c>
      <c r="Q111" s="164">
        <v>3.8807</v>
      </c>
      <c r="R111" s="174">
        <v>5582</v>
      </c>
      <c r="T111" s="155">
        <v>166.798</v>
      </c>
      <c r="U111" s="166">
        <v>5.0000000000000004E-6</v>
      </c>
      <c r="V111" s="166">
        <v>1.34291265478626E-2</v>
      </c>
      <c r="W111" s="166">
        <v>1.68811597206883E-3</v>
      </c>
    </row>
    <row r="112" spans="1:23">
      <c r="A112" s="3">
        <v>161</v>
      </c>
      <c r="B112" s="3">
        <v>9942</v>
      </c>
      <c r="C112" s="3" t="s">
        <v>1306</v>
      </c>
      <c r="D112" s="3" t="s">
        <v>1307</v>
      </c>
      <c r="E112" s="5" t="s">
        <v>935</v>
      </c>
      <c r="F112" s="3" t="s">
        <v>1402</v>
      </c>
      <c r="G112" s="3" t="s">
        <v>1403</v>
      </c>
      <c r="H112" s="3" t="s">
        <v>152</v>
      </c>
      <c r="I112" s="3" t="s">
        <v>1261</v>
      </c>
      <c r="J112" s="3" t="s">
        <v>81</v>
      </c>
      <c r="K112" s="3" t="s">
        <v>82</v>
      </c>
      <c r="L112" s="3" t="s">
        <v>1053</v>
      </c>
      <c r="M112" s="3" t="s">
        <v>1404</v>
      </c>
      <c r="N112" s="3" t="s">
        <v>156</v>
      </c>
      <c r="O112" s="3" t="s">
        <v>86</v>
      </c>
      <c r="P112" s="156">
        <v>11150</v>
      </c>
      <c r="Q112" s="164">
        <v>3.306</v>
      </c>
      <c r="R112" s="174">
        <v>711.4</v>
      </c>
      <c r="T112" s="155">
        <v>262.23599999999999</v>
      </c>
      <c r="U112" s="166">
        <v>0</v>
      </c>
      <c r="V112" s="166">
        <v>2.1112940116194402E-2</v>
      </c>
      <c r="W112" s="166">
        <v>2.65401411629062E-3</v>
      </c>
    </row>
    <row r="113" spans="1:23">
      <c r="A113" s="3">
        <v>161</v>
      </c>
      <c r="B113" s="3">
        <v>9942</v>
      </c>
      <c r="C113" s="3" t="s">
        <v>1306</v>
      </c>
      <c r="D113" s="3" t="s">
        <v>1307</v>
      </c>
      <c r="E113" s="5" t="s">
        <v>935</v>
      </c>
      <c r="F113" s="3" t="s">
        <v>1405</v>
      </c>
      <c r="G113" s="3" t="s">
        <v>1406</v>
      </c>
      <c r="H113" s="3" t="s">
        <v>152</v>
      </c>
      <c r="I113" s="3" t="s">
        <v>1400</v>
      </c>
      <c r="J113" s="3" t="s">
        <v>81</v>
      </c>
      <c r="K113" s="3" t="s">
        <v>82</v>
      </c>
      <c r="L113" s="3" t="s">
        <v>1195</v>
      </c>
      <c r="M113" s="3" t="s">
        <v>1401</v>
      </c>
      <c r="N113" s="3" t="s">
        <v>156</v>
      </c>
      <c r="O113" s="3" t="s">
        <v>86</v>
      </c>
      <c r="P113" s="156">
        <v>33100</v>
      </c>
      <c r="Q113" s="164">
        <v>3.306</v>
      </c>
      <c r="R113" s="174">
        <v>624.1</v>
      </c>
      <c r="T113" s="155">
        <v>682.94399999999996</v>
      </c>
      <c r="U113" s="166">
        <v>0</v>
      </c>
      <c r="V113" s="166">
        <v>5.4984738508128302E-2</v>
      </c>
      <c r="W113" s="166">
        <v>6.9118877512084204E-3</v>
      </c>
    </row>
    <row r="114" spans="1:23">
      <c r="A114" s="3">
        <v>161</v>
      </c>
      <c r="B114" s="3">
        <v>9942</v>
      </c>
      <c r="C114" s="3" t="s">
        <v>1306</v>
      </c>
      <c r="D114" s="3" t="s">
        <v>1307</v>
      </c>
      <c r="E114" s="5" t="s">
        <v>935</v>
      </c>
      <c r="F114" s="3" t="s">
        <v>1407</v>
      </c>
      <c r="G114" s="3" t="s">
        <v>1408</v>
      </c>
      <c r="H114" s="3" t="s">
        <v>152</v>
      </c>
      <c r="I114" s="3" t="s">
        <v>1261</v>
      </c>
      <c r="J114" s="3" t="s">
        <v>81</v>
      </c>
      <c r="K114" s="3" t="s">
        <v>82</v>
      </c>
      <c r="L114" s="3" t="s">
        <v>1053</v>
      </c>
      <c r="M114" s="3" t="s">
        <v>1312</v>
      </c>
      <c r="N114" s="3" t="s">
        <v>156</v>
      </c>
      <c r="O114" s="3" t="s">
        <v>86</v>
      </c>
      <c r="P114" s="156">
        <v>510</v>
      </c>
      <c r="Q114" s="164">
        <v>3.306</v>
      </c>
      <c r="R114" s="174">
        <v>10725</v>
      </c>
      <c r="T114" s="155">
        <v>180.83</v>
      </c>
      <c r="U114" s="166">
        <v>2.0000000000000002E-5</v>
      </c>
      <c r="V114" s="166">
        <v>1.4558863177711099E-2</v>
      </c>
      <c r="W114" s="166">
        <v>1.83013015610986E-3</v>
      </c>
    </row>
    <row r="115" spans="1:23">
      <c r="A115" s="3">
        <v>161</v>
      </c>
      <c r="B115" s="3">
        <v>9942</v>
      </c>
      <c r="C115" s="3" t="s">
        <v>1306</v>
      </c>
      <c r="D115" s="3" t="s">
        <v>1307</v>
      </c>
      <c r="E115" s="5" t="s">
        <v>935</v>
      </c>
      <c r="F115" s="3" t="s">
        <v>1409</v>
      </c>
      <c r="G115" s="3" t="s">
        <v>1410</v>
      </c>
      <c r="H115" s="3" t="s">
        <v>152</v>
      </c>
      <c r="I115" s="3" t="s">
        <v>1261</v>
      </c>
      <c r="J115" s="3" t="s">
        <v>81</v>
      </c>
      <c r="K115" s="3" t="s">
        <v>82</v>
      </c>
      <c r="L115" s="3" t="s">
        <v>1195</v>
      </c>
      <c r="M115" s="3" t="s">
        <v>1331</v>
      </c>
      <c r="N115" s="3" t="s">
        <v>156</v>
      </c>
      <c r="O115" s="3" t="s">
        <v>86</v>
      </c>
      <c r="P115" s="156">
        <v>6</v>
      </c>
      <c r="Q115" s="164">
        <v>3.306</v>
      </c>
      <c r="R115" s="174">
        <v>140840</v>
      </c>
      <c r="T115" s="155">
        <v>27.937000000000001</v>
      </c>
      <c r="U115" s="166">
        <v>9.9999999999999995E-7</v>
      </c>
      <c r="V115" s="166">
        <v>2.2492475414219999E-3</v>
      </c>
      <c r="W115" s="166">
        <v>2.8274293836447401E-4</v>
      </c>
    </row>
    <row r="116" spans="1:23">
      <c r="A116" s="3">
        <v>161</v>
      </c>
      <c r="B116" s="3">
        <v>9942</v>
      </c>
      <c r="C116" s="3" t="s">
        <v>1411</v>
      </c>
      <c r="D116" s="3" t="s">
        <v>1412</v>
      </c>
      <c r="E116" s="5" t="s">
        <v>935</v>
      </c>
      <c r="F116" s="3" t="s">
        <v>1413</v>
      </c>
      <c r="G116" s="3" t="s">
        <v>1414</v>
      </c>
      <c r="H116" s="3" t="s">
        <v>152</v>
      </c>
      <c r="I116" s="3" t="s">
        <v>1261</v>
      </c>
      <c r="J116" s="3" t="s">
        <v>81</v>
      </c>
      <c r="K116" s="3" t="s">
        <v>1186</v>
      </c>
      <c r="L116" s="3" t="s">
        <v>1053</v>
      </c>
      <c r="M116" s="3" t="s">
        <v>1415</v>
      </c>
      <c r="N116" s="3" t="s">
        <v>156</v>
      </c>
      <c r="O116" s="3" t="s">
        <v>86</v>
      </c>
      <c r="P116" s="156">
        <v>840</v>
      </c>
      <c r="Q116" s="164">
        <v>3.306</v>
      </c>
      <c r="R116" s="174">
        <v>4201</v>
      </c>
      <c r="T116" s="155">
        <v>116.663</v>
      </c>
      <c r="U116" s="166">
        <v>3.0000000000000001E-6</v>
      </c>
      <c r="V116" s="166">
        <v>9.3927325263557099E-3</v>
      </c>
      <c r="W116" s="166">
        <v>1.1807187714405101E-3</v>
      </c>
    </row>
    <row r="117" spans="1:23">
      <c r="A117" s="3">
        <v>161</v>
      </c>
      <c r="B117" s="3">
        <v>9942</v>
      </c>
      <c r="C117" s="3" t="s">
        <v>1366</v>
      </c>
      <c r="D117" s="3" t="s">
        <v>1367</v>
      </c>
      <c r="E117" s="5" t="s">
        <v>935</v>
      </c>
      <c r="F117" s="3" t="s">
        <v>1416</v>
      </c>
      <c r="G117" s="3" t="s">
        <v>1417</v>
      </c>
      <c r="H117" s="3" t="s">
        <v>152</v>
      </c>
      <c r="I117" s="3" t="s">
        <v>1261</v>
      </c>
      <c r="J117" s="3" t="s">
        <v>81</v>
      </c>
      <c r="K117" s="3" t="s">
        <v>1310</v>
      </c>
      <c r="L117" s="3" t="s">
        <v>1418</v>
      </c>
      <c r="M117" s="3" t="s">
        <v>1312</v>
      </c>
      <c r="N117" s="3" t="s">
        <v>156</v>
      </c>
      <c r="O117" s="3" t="s">
        <v>1245</v>
      </c>
      <c r="P117" s="156">
        <v>820</v>
      </c>
      <c r="Q117" s="164">
        <v>3.8807</v>
      </c>
      <c r="R117" s="174">
        <v>26801</v>
      </c>
      <c r="T117" s="155">
        <v>852.85400000000004</v>
      </c>
      <c r="U117" s="166">
        <v>2.4000000000000001E-5</v>
      </c>
      <c r="V117" s="166">
        <v>6.8664468095408104E-2</v>
      </c>
      <c r="W117" s="166">
        <v>8.6315059205334492E-3</v>
      </c>
    </row>
    <row r="118" spans="1:23">
      <c r="A118" s="3">
        <v>161</v>
      </c>
      <c r="B118" s="3">
        <v>9942</v>
      </c>
      <c r="C118" s="3" t="s">
        <v>1301</v>
      </c>
      <c r="D118" s="3" t="s">
        <v>1302</v>
      </c>
      <c r="E118" s="5" t="s">
        <v>935</v>
      </c>
      <c r="F118" s="3" t="s">
        <v>1370</v>
      </c>
      <c r="G118" s="3" t="s">
        <v>1371</v>
      </c>
      <c r="H118" s="3" t="s">
        <v>152</v>
      </c>
      <c r="I118" s="3" t="s">
        <v>1261</v>
      </c>
      <c r="J118" s="3" t="s">
        <v>81</v>
      </c>
      <c r="K118" s="3" t="s">
        <v>82</v>
      </c>
      <c r="L118" s="3" t="s">
        <v>1195</v>
      </c>
      <c r="M118" s="3" t="s">
        <v>1262</v>
      </c>
      <c r="N118" s="3" t="s">
        <v>156</v>
      </c>
      <c r="O118" s="3" t="s">
        <v>86</v>
      </c>
      <c r="P118" s="156">
        <v>540</v>
      </c>
      <c r="Q118" s="164">
        <v>3.306</v>
      </c>
      <c r="R118" s="174">
        <v>1631</v>
      </c>
      <c r="T118" s="155">
        <v>29.117000000000001</v>
      </c>
      <c r="U118" s="166">
        <v>0</v>
      </c>
      <c r="V118" s="166">
        <v>2.3442704246331701E-3</v>
      </c>
      <c r="W118" s="166">
        <v>2.9468784381227702E-4</v>
      </c>
    </row>
    <row r="119" spans="1:23">
      <c r="A119" s="3">
        <v>161</v>
      </c>
      <c r="B119" s="3">
        <v>9942</v>
      </c>
      <c r="C119" s="3" t="s">
        <v>1301</v>
      </c>
      <c r="D119" s="3" t="s">
        <v>1302</v>
      </c>
      <c r="E119" s="5" t="s">
        <v>935</v>
      </c>
      <c r="F119" s="3" t="s">
        <v>1419</v>
      </c>
      <c r="G119" s="3" t="s">
        <v>1420</v>
      </c>
      <c r="H119" s="3" t="s">
        <v>152</v>
      </c>
      <c r="I119" s="3" t="s">
        <v>1261</v>
      </c>
      <c r="J119" s="3" t="s">
        <v>81</v>
      </c>
      <c r="K119" s="3" t="s">
        <v>82</v>
      </c>
      <c r="L119" s="3" t="s">
        <v>1195</v>
      </c>
      <c r="M119" s="3" t="s">
        <v>1305</v>
      </c>
      <c r="N119" s="3" t="s">
        <v>156</v>
      </c>
      <c r="O119" s="3" t="s">
        <v>86</v>
      </c>
      <c r="P119" s="156">
        <v>1052</v>
      </c>
      <c r="Q119" s="164">
        <v>3.306</v>
      </c>
      <c r="R119" s="174">
        <v>15018</v>
      </c>
      <c r="T119" s="155">
        <v>522.31299999999999</v>
      </c>
      <c r="U119" s="166">
        <v>0</v>
      </c>
      <c r="V119" s="166">
        <v>4.20521134562667E-2</v>
      </c>
      <c r="W119" s="166">
        <v>5.2861847813976404E-3</v>
      </c>
    </row>
    <row r="120" spans="1:23">
      <c r="A120" s="3">
        <v>161</v>
      </c>
      <c r="B120" s="3">
        <v>9942</v>
      </c>
      <c r="C120" s="3" t="s">
        <v>1319</v>
      </c>
      <c r="D120" s="3" t="s">
        <v>1320</v>
      </c>
      <c r="E120" s="5" t="s">
        <v>935</v>
      </c>
      <c r="F120" s="3" t="s">
        <v>1421</v>
      </c>
      <c r="G120" s="3" t="s">
        <v>1422</v>
      </c>
      <c r="H120" s="3" t="s">
        <v>152</v>
      </c>
      <c r="I120" s="3" t="s">
        <v>1400</v>
      </c>
      <c r="J120" s="3" t="s">
        <v>81</v>
      </c>
      <c r="K120" s="3" t="s">
        <v>82</v>
      </c>
      <c r="L120" s="3" t="s">
        <v>1195</v>
      </c>
      <c r="M120" s="3" t="s">
        <v>1401</v>
      </c>
      <c r="N120" s="3" t="s">
        <v>156</v>
      </c>
      <c r="O120" s="3" t="s">
        <v>86</v>
      </c>
      <c r="P120" s="156">
        <v>2300</v>
      </c>
      <c r="Q120" s="164">
        <v>3.306</v>
      </c>
      <c r="R120" s="174">
        <v>6073</v>
      </c>
      <c r="T120" s="155">
        <v>461.779</v>
      </c>
      <c r="U120" s="166">
        <v>0</v>
      </c>
      <c r="V120" s="166">
        <v>3.7178435025357899E-2</v>
      </c>
      <c r="W120" s="166">
        <v>4.6735362690300203E-3</v>
      </c>
    </row>
    <row r="121" spans="1:23">
      <c r="A121" s="3">
        <v>161</v>
      </c>
      <c r="B121" s="3">
        <v>9942</v>
      </c>
      <c r="C121" s="3" t="s">
        <v>1319</v>
      </c>
      <c r="D121" s="3" t="s">
        <v>1320</v>
      </c>
      <c r="E121" s="5" t="s">
        <v>935</v>
      </c>
      <c r="F121" s="3" t="s">
        <v>1321</v>
      </c>
      <c r="G121" s="3" t="s">
        <v>1322</v>
      </c>
      <c r="H121" s="3" t="s">
        <v>152</v>
      </c>
      <c r="I121" s="3" t="s">
        <v>1261</v>
      </c>
      <c r="J121" s="3" t="s">
        <v>81</v>
      </c>
      <c r="K121" s="3" t="s">
        <v>82</v>
      </c>
      <c r="L121" s="3" t="s">
        <v>1053</v>
      </c>
      <c r="M121" s="3" t="s">
        <v>1262</v>
      </c>
      <c r="N121" s="3" t="s">
        <v>156</v>
      </c>
      <c r="O121" s="3" t="s">
        <v>86</v>
      </c>
      <c r="P121" s="156">
        <v>444</v>
      </c>
      <c r="Q121" s="164">
        <v>3.306</v>
      </c>
      <c r="R121" s="174">
        <v>61238</v>
      </c>
      <c r="S121" s="155">
        <v>0.77300000000000002</v>
      </c>
      <c r="T121" s="155">
        <v>901.44500000000005</v>
      </c>
      <c r="U121" s="166">
        <v>9.9999999999999995E-7</v>
      </c>
      <c r="V121" s="166">
        <v>7.2576529828328601E-2</v>
      </c>
      <c r="W121" s="166">
        <v>9.1232738602818001E-3</v>
      </c>
    </row>
    <row r="122" spans="1:23">
      <c r="A122" s="3">
        <v>161</v>
      </c>
      <c r="B122" s="3">
        <v>9942</v>
      </c>
      <c r="C122" s="3" t="s">
        <v>1425</v>
      </c>
      <c r="D122" s="3" t="s">
        <v>1426</v>
      </c>
      <c r="E122" s="5" t="s">
        <v>935</v>
      </c>
      <c r="F122" s="3" t="s">
        <v>1427</v>
      </c>
      <c r="G122" s="3" t="s">
        <v>1428</v>
      </c>
      <c r="H122" s="3" t="s">
        <v>152</v>
      </c>
      <c r="I122" s="3" t="s">
        <v>1261</v>
      </c>
      <c r="J122" s="3" t="s">
        <v>81</v>
      </c>
      <c r="K122" s="3" t="s">
        <v>1429</v>
      </c>
      <c r="L122" s="3" t="s">
        <v>1053</v>
      </c>
      <c r="M122" s="3" t="s">
        <v>1430</v>
      </c>
      <c r="N122" s="3" t="s">
        <v>156</v>
      </c>
      <c r="O122" s="3" t="s">
        <v>86</v>
      </c>
      <c r="P122" s="156">
        <v>1200</v>
      </c>
      <c r="Q122" s="164">
        <v>3.306</v>
      </c>
      <c r="R122" s="174">
        <v>12803</v>
      </c>
      <c r="T122" s="155">
        <v>507.92099999999999</v>
      </c>
      <c r="U122" s="166">
        <v>3.8000000000000002E-5</v>
      </c>
      <c r="V122" s="166">
        <v>4.0893377268994502E-2</v>
      </c>
      <c r="W122" s="166">
        <v>5.1405251915369998E-3</v>
      </c>
    </row>
    <row r="123" spans="1:23">
      <c r="A123" s="3">
        <v>161</v>
      </c>
      <c r="B123" s="3">
        <v>9943</v>
      </c>
      <c r="C123" s="3" t="s">
        <v>1249</v>
      </c>
      <c r="D123" s="3" t="s">
        <v>1250</v>
      </c>
      <c r="E123" s="5" t="s">
        <v>149</v>
      </c>
      <c r="F123" s="3" t="s">
        <v>1251</v>
      </c>
      <c r="G123" s="3" t="s">
        <v>1252</v>
      </c>
      <c r="H123" s="3" t="s">
        <v>152</v>
      </c>
      <c r="I123" s="3" t="s">
        <v>1253</v>
      </c>
      <c r="J123" s="3" t="s">
        <v>30</v>
      </c>
      <c r="K123" s="3" t="s">
        <v>30</v>
      </c>
      <c r="L123" s="3" t="s">
        <v>31</v>
      </c>
      <c r="M123" s="3" t="s">
        <v>1254</v>
      </c>
      <c r="N123" s="3" t="s">
        <v>156</v>
      </c>
      <c r="O123" s="3" t="s">
        <v>34</v>
      </c>
      <c r="P123" s="156">
        <v>91200</v>
      </c>
      <c r="Q123" s="164">
        <v>1</v>
      </c>
      <c r="R123" s="174">
        <v>5003</v>
      </c>
      <c r="T123" s="155">
        <v>4562.7359999999999</v>
      </c>
      <c r="U123" s="166">
        <v>9.6000000000000002E-4</v>
      </c>
      <c r="V123" s="166">
        <v>1.04084628719847E-2</v>
      </c>
      <c r="W123" s="166">
        <v>2.3454229747992199E-3</v>
      </c>
    </row>
    <row r="124" spans="1:23">
      <c r="A124" s="3">
        <v>161</v>
      </c>
      <c r="B124" s="3">
        <v>9943</v>
      </c>
      <c r="C124" s="3" t="s">
        <v>1249</v>
      </c>
      <c r="D124" s="3" t="s">
        <v>1250</v>
      </c>
      <c r="E124" s="5" t="s">
        <v>149</v>
      </c>
      <c r="F124" s="3" t="s">
        <v>1431</v>
      </c>
      <c r="G124" s="3" t="s">
        <v>1432</v>
      </c>
      <c r="H124" s="3" t="s">
        <v>152</v>
      </c>
      <c r="I124" s="3" t="s">
        <v>1253</v>
      </c>
      <c r="J124" s="3" t="s">
        <v>30</v>
      </c>
      <c r="K124" s="3" t="s">
        <v>30</v>
      </c>
      <c r="L124" s="3" t="s">
        <v>31</v>
      </c>
      <c r="M124" s="3" t="s">
        <v>1267</v>
      </c>
      <c r="N124" s="3" t="s">
        <v>156</v>
      </c>
      <c r="O124" s="3" t="s">
        <v>34</v>
      </c>
      <c r="P124" s="156">
        <v>88650</v>
      </c>
      <c r="Q124" s="164">
        <v>1</v>
      </c>
      <c r="R124" s="174">
        <v>4757</v>
      </c>
      <c r="T124" s="155">
        <v>4217.0810000000001</v>
      </c>
      <c r="U124" s="166">
        <v>1.4779999999999999E-3</v>
      </c>
      <c r="V124" s="166">
        <v>9.6199573704068807E-3</v>
      </c>
      <c r="W124" s="166">
        <v>2.1677426638924101E-3</v>
      </c>
    </row>
    <row r="125" spans="1:23">
      <c r="A125" s="3">
        <v>161</v>
      </c>
      <c r="B125" s="3">
        <v>9943</v>
      </c>
      <c r="C125" s="3" t="s">
        <v>1249</v>
      </c>
      <c r="D125" s="3" t="s">
        <v>1250</v>
      </c>
      <c r="E125" s="5" t="s">
        <v>149</v>
      </c>
      <c r="F125" s="3" t="s">
        <v>1323</v>
      </c>
      <c r="G125" s="3" t="s">
        <v>1324</v>
      </c>
      <c r="H125" s="3" t="s">
        <v>152</v>
      </c>
      <c r="I125" s="3" t="s">
        <v>1257</v>
      </c>
      <c r="J125" s="3" t="s">
        <v>30</v>
      </c>
      <c r="K125" s="3" t="s">
        <v>30</v>
      </c>
      <c r="L125" s="3" t="s">
        <v>31</v>
      </c>
      <c r="M125" s="3" t="s">
        <v>1273</v>
      </c>
      <c r="N125" s="3" t="s">
        <v>156</v>
      </c>
      <c r="O125" s="3" t="s">
        <v>34</v>
      </c>
      <c r="P125" s="156">
        <v>400000</v>
      </c>
      <c r="Q125" s="164">
        <v>1</v>
      </c>
      <c r="R125" s="174">
        <v>487.71</v>
      </c>
      <c r="T125" s="155">
        <v>1950.84</v>
      </c>
      <c r="U125" s="166">
        <v>1.624E-3</v>
      </c>
      <c r="V125" s="166">
        <v>4.4502346200136697E-3</v>
      </c>
      <c r="W125" s="166">
        <v>1.0028072972351101E-3</v>
      </c>
    </row>
    <row r="126" spans="1:23">
      <c r="A126" s="3">
        <v>161</v>
      </c>
      <c r="B126" s="3">
        <v>9943</v>
      </c>
      <c r="C126" s="3" t="s">
        <v>1263</v>
      </c>
      <c r="D126" s="3" t="s">
        <v>1264</v>
      </c>
      <c r="E126" s="5" t="s">
        <v>149</v>
      </c>
      <c r="F126" s="3" t="s">
        <v>1265</v>
      </c>
      <c r="G126" s="3" t="s">
        <v>1266</v>
      </c>
      <c r="H126" s="3" t="s">
        <v>152</v>
      </c>
      <c r="I126" s="3" t="s">
        <v>1253</v>
      </c>
      <c r="J126" s="3" t="s">
        <v>30</v>
      </c>
      <c r="K126" s="3" t="s">
        <v>30</v>
      </c>
      <c r="L126" s="3" t="s">
        <v>31</v>
      </c>
      <c r="M126" s="3" t="s">
        <v>1267</v>
      </c>
      <c r="N126" s="3" t="s">
        <v>156</v>
      </c>
      <c r="O126" s="3" t="s">
        <v>34</v>
      </c>
      <c r="P126" s="156">
        <v>260700</v>
      </c>
      <c r="Q126" s="164">
        <v>1</v>
      </c>
      <c r="R126" s="174">
        <v>3165</v>
      </c>
      <c r="T126" s="155">
        <v>8251.1550000000007</v>
      </c>
      <c r="U126" s="166">
        <v>1.042E-3</v>
      </c>
      <c r="V126" s="166">
        <v>1.8822443478757299E-2</v>
      </c>
      <c r="W126" s="166">
        <v>4.24141315772587E-3</v>
      </c>
    </row>
    <row r="127" spans="1:23">
      <c r="A127" s="3">
        <v>161</v>
      </c>
      <c r="B127" s="3">
        <v>9943</v>
      </c>
      <c r="C127" s="3" t="s">
        <v>1263</v>
      </c>
      <c r="D127" s="3" t="s">
        <v>1264</v>
      </c>
      <c r="E127" s="5" t="s">
        <v>149</v>
      </c>
      <c r="F127" s="3" t="s">
        <v>1271</v>
      </c>
      <c r="G127" s="3" t="s">
        <v>1272</v>
      </c>
      <c r="H127" s="3" t="s">
        <v>152</v>
      </c>
      <c r="I127" s="3" t="s">
        <v>1257</v>
      </c>
      <c r="J127" s="3" t="s">
        <v>30</v>
      </c>
      <c r="K127" s="3" t="s">
        <v>30</v>
      </c>
      <c r="L127" s="3" t="s">
        <v>31</v>
      </c>
      <c r="M127" s="3" t="s">
        <v>1273</v>
      </c>
      <c r="N127" s="3" t="s">
        <v>156</v>
      </c>
      <c r="O127" s="3" t="s">
        <v>34</v>
      </c>
      <c r="P127" s="156">
        <v>230000</v>
      </c>
      <c r="Q127" s="164">
        <v>1</v>
      </c>
      <c r="R127" s="174">
        <v>419.81</v>
      </c>
      <c r="T127" s="155">
        <v>965.56299999999999</v>
      </c>
      <c r="U127" s="166">
        <v>8.43E-4</v>
      </c>
      <c r="V127" s="166">
        <v>2.2026316306843498E-3</v>
      </c>
      <c r="W127" s="166">
        <v>4.9633676895092398E-4</v>
      </c>
    </row>
    <row r="128" spans="1:23">
      <c r="A128" s="3">
        <v>161</v>
      </c>
      <c r="B128" s="3">
        <v>9943</v>
      </c>
      <c r="C128" s="3" t="s">
        <v>1263</v>
      </c>
      <c r="D128" s="3" t="s">
        <v>1264</v>
      </c>
      <c r="E128" s="5" t="s">
        <v>149</v>
      </c>
      <c r="F128" s="3" t="s">
        <v>1274</v>
      </c>
      <c r="G128" s="3" t="s">
        <v>1275</v>
      </c>
      <c r="H128" s="3" t="s">
        <v>152</v>
      </c>
      <c r="I128" s="3" t="s">
        <v>1253</v>
      </c>
      <c r="J128" s="3" t="s">
        <v>30</v>
      </c>
      <c r="K128" s="3" t="s">
        <v>30</v>
      </c>
      <c r="L128" s="3" t="s">
        <v>31</v>
      </c>
      <c r="M128" s="3" t="s">
        <v>1254</v>
      </c>
      <c r="N128" s="3" t="s">
        <v>156</v>
      </c>
      <c r="O128" s="3" t="s">
        <v>34</v>
      </c>
      <c r="P128" s="156">
        <v>296073</v>
      </c>
      <c r="Q128" s="164">
        <v>1</v>
      </c>
      <c r="R128" s="174">
        <v>3192</v>
      </c>
      <c r="T128" s="155">
        <v>9450.65</v>
      </c>
      <c r="U128" s="166">
        <v>1.4339999999999999E-3</v>
      </c>
      <c r="V128" s="166">
        <v>2.1558718564141498E-2</v>
      </c>
      <c r="W128" s="166">
        <v>4.8580001148552003E-3</v>
      </c>
    </row>
    <row r="129" spans="1:23">
      <c r="A129" s="3">
        <v>161</v>
      </c>
      <c r="B129" s="3">
        <v>9943</v>
      </c>
      <c r="C129" s="3" t="s">
        <v>1276</v>
      </c>
      <c r="D129" s="3" t="s">
        <v>1277</v>
      </c>
      <c r="E129" s="5" t="s">
        <v>149</v>
      </c>
      <c r="F129" s="3" t="s">
        <v>1278</v>
      </c>
      <c r="G129" s="3" t="s">
        <v>1279</v>
      </c>
      <c r="H129" s="3" t="s">
        <v>152</v>
      </c>
      <c r="I129" s="3" t="s">
        <v>1253</v>
      </c>
      <c r="J129" s="3" t="s">
        <v>30</v>
      </c>
      <c r="K129" s="3" t="s">
        <v>30</v>
      </c>
      <c r="L129" s="3" t="s">
        <v>31</v>
      </c>
      <c r="M129" s="3" t="s">
        <v>1254</v>
      </c>
      <c r="N129" s="3" t="s">
        <v>156</v>
      </c>
      <c r="O129" s="3" t="s">
        <v>34</v>
      </c>
      <c r="P129" s="156">
        <v>22000</v>
      </c>
      <c r="Q129" s="164">
        <v>1</v>
      </c>
      <c r="R129" s="174">
        <v>8821</v>
      </c>
      <c r="T129" s="155">
        <v>1940.62</v>
      </c>
      <c r="U129" s="166">
        <v>1.5169999999999999E-3</v>
      </c>
      <c r="V129" s="166">
        <v>4.4269208691081396E-3</v>
      </c>
      <c r="W129" s="166">
        <v>9.9755382151298501E-4</v>
      </c>
    </row>
    <row r="130" spans="1:23">
      <c r="A130" s="3">
        <v>161</v>
      </c>
      <c r="B130" s="3">
        <v>9943</v>
      </c>
      <c r="C130" s="3" t="s">
        <v>1276</v>
      </c>
      <c r="D130" s="3" t="s">
        <v>1277</v>
      </c>
      <c r="E130" s="5" t="s">
        <v>149</v>
      </c>
      <c r="F130" s="3" t="s">
        <v>1283</v>
      </c>
      <c r="G130" s="3" t="s">
        <v>1284</v>
      </c>
      <c r="H130" s="3" t="s">
        <v>152</v>
      </c>
      <c r="I130" s="3" t="s">
        <v>1261</v>
      </c>
      <c r="J130" s="3" t="s">
        <v>30</v>
      </c>
      <c r="K130" s="3" t="s">
        <v>82</v>
      </c>
      <c r="L130" s="3" t="s">
        <v>31</v>
      </c>
      <c r="M130" s="3" t="s">
        <v>1262</v>
      </c>
      <c r="N130" s="3" t="s">
        <v>156</v>
      </c>
      <c r="O130" s="3" t="s">
        <v>34</v>
      </c>
      <c r="P130" s="156">
        <v>189630</v>
      </c>
      <c r="Q130" s="164">
        <v>1</v>
      </c>
      <c r="R130" s="174">
        <v>10340</v>
      </c>
      <c r="T130" s="155">
        <v>19607.741999999998</v>
      </c>
      <c r="U130" s="166">
        <v>1.4047E-2</v>
      </c>
      <c r="V130" s="166">
        <v>4.4728964071218603E-2</v>
      </c>
      <c r="W130" s="166">
        <v>1.00791386069095E-2</v>
      </c>
    </row>
    <row r="131" spans="1:23">
      <c r="A131" s="3">
        <v>161</v>
      </c>
      <c r="B131" s="3">
        <v>9943</v>
      </c>
      <c r="C131" s="3" t="s">
        <v>1288</v>
      </c>
      <c r="D131" s="3" t="s">
        <v>1289</v>
      </c>
      <c r="E131" s="5" t="s">
        <v>149</v>
      </c>
      <c r="F131" s="3" t="s">
        <v>1382</v>
      </c>
      <c r="G131" s="3" t="s">
        <v>1383</v>
      </c>
      <c r="H131" s="3" t="s">
        <v>152</v>
      </c>
      <c r="I131" s="3" t="s">
        <v>1261</v>
      </c>
      <c r="J131" s="3" t="s">
        <v>30</v>
      </c>
      <c r="K131" s="3" t="s">
        <v>82</v>
      </c>
      <c r="L131" s="3" t="s">
        <v>31</v>
      </c>
      <c r="M131" s="3" t="s">
        <v>1262</v>
      </c>
      <c r="N131" s="3" t="s">
        <v>156</v>
      </c>
      <c r="O131" s="3" t="s">
        <v>34</v>
      </c>
      <c r="P131" s="156">
        <v>12500</v>
      </c>
      <c r="Q131" s="164">
        <v>1</v>
      </c>
      <c r="R131" s="174">
        <v>24260</v>
      </c>
      <c r="T131" s="155">
        <v>3032.5</v>
      </c>
      <c r="U131" s="166">
        <v>4.26E-4</v>
      </c>
      <c r="V131" s="166">
        <v>6.9177054423691601E-3</v>
      </c>
      <c r="W131" s="166">
        <v>1.55882241950414E-3</v>
      </c>
    </row>
    <row r="132" spans="1:23">
      <c r="A132" s="3">
        <v>161</v>
      </c>
      <c r="B132" s="3">
        <v>9943</v>
      </c>
      <c r="C132" s="3" t="s">
        <v>1288</v>
      </c>
      <c r="D132" s="3" t="s">
        <v>1289</v>
      </c>
      <c r="E132" s="5" t="s">
        <v>149</v>
      </c>
      <c r="F132" s="3" t="s">
        <v>1352</v>
      </c>
      <c r="G132" s="3" t="s">
        <v>1353</v>
      </c>
      <c r="H132" s="3" t="s">
        <v>152</v>
      </c>
      <c r="I132" s="3" t="s">
        <v>1253</v>
      </c>
      <c r="J132" s="3" t="s">
        <v>30</v>
      </c>
      <c r="K132" s="3" t="s">
        <v>30</v>
      </c>
      <c r="L132" s="3" t="s">
        <v>31</v>
      </c>
      <c r="M132" s="3" t="s">
        <v>1254</v>
      </c>
      <c r="N132" s="3" t="s">
        <v>156</v>
      </c>
      <c r="O132" s="3" t="s">
        <v>34</v>
      </c>
      <c r="P132" s="156">
        <v>35600</v>
      </c>
      <c r="Q132" s="164">
        <v>1</v>
      </c>
      <c r="R132" s="174">
        <v>31750</v>
      </c>
      <c r="T132" s="155">
        <v>11303</v>
      </c>
      <c r="U132" s="166">
        <v>1.005E-3</v>
      </c>
      <c r="V132" s="166">
        <v>2.5784278521054801E-2</v>
      </c>
      <c r="W132" s="166">
        <v>5.8101796562754502E-3</v>
      </c>
    </row>
    <row r="133" spans="1:23">
      <c r="A133" s="3">
        <v>161</v>
      </c>
      <c r="B133" s="3">
        <v>9943</v>
      </c>
      <c r="C133" s="3" t="s">
        <v>1288</v>
      </c>
      <c r="D133" s="3" t="s">
        <v>1289</v>
      </c>
      <c r="E133" s="5" t="s">
        <v>149</v>
      </c>
      <c r="F133" s="3" t="s">
        <v>1388</v>
      </c>
      <c r="G133" s="3" t="s">
        <v>1389</v>
      </c>
      <c r="H133" s="3" t="s">
        <v>152</v>
      </c>
      <c r="I133" s="3" t="s">
        <v>1253</v>
      </c>
      <c r="J133" s="3" t="s">
        <v>30</v>
      </c>
      <c r="K133" s="3" t="s">
        <v>30</v>
      </c>
      <c r="L133" s="3" t="s">
        <v>31</v>
      </c>
      <c r="M133" s="3" t="s">
        <v>1267</v>
      </c>
      <c r="N133" s="3" t="s">
        <v>156</v>
      </c>
      <c r="O133" s="3" t="s">
        <v>34</v>
      </c>
      <c r="P133" s="156">
        <v>12431</v>
      </c>
      <c r="Q133" s="164">
        <v>1</v>
      </c>
      <c r="R133" s="174">
        <v>30420</v>
      </c>
      <c r="T133" s="155">
        <v>3781.51</v>
      </c>
      <c r="U133" s="166">
        <v>4.1100000000000002E-4</v>
      </c>
      <c r="V133" s="166">
        <v>8.6263392220657896E-3</v>
      </c>
      <c r="W133" s="166">
        <v>1.9438426642517999E-3</v>
      </c>
    </row>
    <row r="134" spans="1:23">
      <c r="A134" s="3">
        <v>161</v>
      </c>
      <c r="B134" s="3">
        <v>9943</v>
      </c>
      <c r="C134" s="3" t="s">
        <v>1295</v>
      </c>
      <c r="D134" s="3" t="s">
        <v>1296</v>
      </c>
      <c r="E134" s="5" t="s">
        <v>149</v>
      </c>
      <c r="F134" s="3" t="s">
        <v>1356</v>
      </c>
      <c r="G134" s="3" t="s">
        <v>1357</v>
      </c>
      <c r="H134" s="3" t="s">
        <v>152</v>
      </c>
      <c r="I134" s="3" t="s">
        <v>1253</v>
      </c>
      <c r="J134" s="3" t="s">
        <v>30</v>
      </c>
      <c r="K134" s="3" t="s">
        <v>30</v>
      </c>
      <c r="L134" s="3" t="s">
        <v>31</v>
      </c>
      <c r="M134" s="3" t="s">
        <v>1267</v>
      </c>
      <c r="N134" s="3" t="s">
        <v>156</v>
      </c>
      <c r="O134" s="3" t="s">
        <v>34</v>
      </c>
      <c r="P134" s="156">
        <v>257674</v>
      </c>
      <c r="Q134" s="164">
        <v>1</v>
      </c>
      <c r="R134" s="174">
        <v>3146</v>
      </c>
      <c r="T134" s="155">
        <v>8106.424</v>
      </c>
      <c r="U134" s="166">
        <v>6.3199999999999997E-4</v>
      </c>
      <c r="V134" s="166">
        <v>1.8492284814397401E-2</v>
      </c>
      <c r="W134" s="166">
        <v>4.1670158402504001E-3</v>
      </c>
    </row>
    <row r="135" spans="1:23">
      <c r="A135" s="3">
        <v>161</v>
      </c>
      <c r="B135" s="3">
        <v>9943</v>
      </c>
      <c r="C135" s="3" t="s">
        <v>1249</v>
      </c>
      <c r="D135" s="3" t="s">
        <v>1250</v>
      </c>
      <c r="E135" s="5" t="s">
        <v>149</v>
      </c>
      <c r="F135" s="3" t="s">
        <v>1433</v>
      </c>
      <c r="G135" s="3" t="s">
        <v>1434</v>
      </c>
      <c r="H135" s="3" t="s">
        <v>152</v>
      </c>
      <c r="I135" s="3" t="s">
        <v>1261</v>
      </c>
      <c r="J135" s="3" t="s">
        <v>30</v>
      </c>
      <c r="K135" s="3" t="s">
        <v>82</v>
      </c>
      <c r="L135" s="3" t="s">
        <v>31</v>
      </c>
      <c r="M135" s="3" t="s">
        <v>1312</v>
      </c>
      <c r="N135" s="3" t="s">
        <v>156</v>
      </c>
      <c r="O135" s="3" t="s">
        <v>34</v>
      </c>
      <c r="P135" s="156">
        <v>150000</v>
      </c>
      <c r="Q135" s="164">
        <v>1</v>
      </c>
      <c r="R135" s="174">
        <v>2710</v>
      </c>
      <c r="T135" s="155">
        <v>4065</v>
      </c>
      <c r="U135" s="166">
        <v>1.4999999999999999E-2</v>
      </c>
      <c r="V135" s="166">
        <v>9.2730330167289793E-3</v>
      </c>
      <c r="W135" s="166">
        <v>2.08956739828008E-3</v>
      </c>
    </row>
    <row r="136" spans="1:23">
      <c r="A136" s="3">
        <v>161</v>
      </c>
      <c r="B136" s="3">
        <v>9943</v>
      </c>
      <c r="C136" s="3" t="s">
        <v>1249</v>
      </c>
      <c r="D136" s="3" t="s">
        <v>1250</v>
      </c>
      <c r="E136" s="5" t="s">
        <v>149</v>
      </c>
      <c r="F136" s="3" t="s">
        <v>1435</v>
      </c>
      <c r="G136" s="3" t="s">
        <v>1436</v>
      </c>
      <c r="H136" s="3" t="s">
        <v>152</v>
      </c>
      <c r="I136" s="3" t="s">
        <v>1261</v>
      </c>
      <c r="J136" s="3" t="s">
        <v>30</v>
      </c>
      <c r="K136" s="3" t="s">
        <v>82</v>
      </c>
      <c r="L136" s="3" t="s">
        <v>31</v>
      </c>
      <c r="M136" s="3" t="s">
        <v>1312</v>
      </c>
      <c r="N136" s="3" t="s">
        <v>156</v>
      </c>
      <c r="O136" s="3" t="s">
        <v>86</v>
      </c>
      <c r="P136" s="156">
        <v>50000</v>
      </c>
      <c r="Q136" s="164">
        <v>3.306</v>
      </c>
      <c r="R136" s="174">
        <v>801.875</v>
      </c>
      <c r="T136" s="155">
        <v>1325.5</v>
      </c>
      <c r="U136" s="166">
        <v>7.6920000000000001E-3</v>
      </c>
      <c r="V136" s="166">
        <v>3.0237159320231901E-3</v>
      </c>
      <c r="W136" s="166">
        <v>6.8135832384261805E-4</v>
      </c>
    </row>
    <row r="137" spans="1:23">
      <c r="A137" s="3">
        <v>161</v>
      </c>
      <c r="B137" s="3">
        <v>9943</v>
      </c>
      <c r="C137" s="3" t="s">
        <v>1249</v>
      </c>
      <c r="D137" s="3" t="s">
        <v>1250</v>
      </c>
      <c r="E137" s="5" t="s">
        <v>149</v>
      </c>
      <c r="F137" s="3" t="s">
        <v>1437</v>
      </c>
      <c r="G137" s="3" t="s">
        <v>1438</v>
      </c>
      <c r="H137" s="3" t="s">
        <v>152</v>
      </c>
      <c r="I137" s="3" t="s">
        <v>1261</v>
      </c>
      <c r="J137" s="3" t="s">
        <v>30</v>
      </c>
      <c r="K137" s="3" t="s">
        <v>30</v>
      </c>
      <c r="L137" s="3" t="s">
        <v>31</v>
      </c>
      <c r="M137" s="3" t="s">
        <v>1439</v>
      </c>
      <c r="N137" s="3" t="s">
        <v>156</v>
      </c>
      <c r="O137" s="3" t="s">
        <v>34</v>
      </c>
      <c r="P137" s="156">
        <v>50000</v>
      </c>
      <c r="Q137" s="164">
        <v>1</v>
      </c>
      <c r="R137" s="174">
        <v>2977</v>
      </c>
      <c r="T137" s="155">
        <v>1488.5</v>
      </c>
      <c r="U137" s="166">
        <v>1.3158E-2</v>
      </c>
      <c r="V137" s="166">
        <v>3.39554972826595E-3</v>
      </c>
      <c r="W137" s="166">
        <v>7.6514663526196702E-4</v>
      </c>
    </row>
    <row r="138" spans="1:23">
      <c r="A138" s="3">
        <v>161</v>
      </c>
      <c r="B138" s="3">
        <v>9943</v>
      </c>
      <c r="C138" s="3" t="s">
        <v>1249</v>
      </c>
      <c r="D138" s="3" t="s">
        <v>1250</v>
      </c>
      <c r="E138" s="5" t="s">
        <v>149</v>
      </c>
      <c r="F138" s="3" t="s">
        <v>1440</v>
      </c>
      <c r="G138" s="3" t="s">
        <v>1441</v>
      </c>
      <c r="H138" s="3" t="s">
        <v>152</v>
      </c>
      <c r="I138" s="3" t="s">
        <v>1261</v>
      </c>
      <c r="J138" s="3" t="s">
        <v>30</v>
      </c>
      <c r="K138" s="3" t="s">
        <v>82</v>
      </c>
      <c r="L138" s="3" t="s">
        <v>31</v>
      </c>
      <c r="M138" s="3" t="s">
        <v>1312</v>
      </c>
      <c r="N138" s="3" t="s">
        <v>156</v>
      </c>
      <c r="O138" s="3" t="s">
        <v>34</v>
      </c>
      <c r="P138" s="156">
        <v>60000</v>
      </c>
      <c r="Q138" s="164">
        <v>1</v>
      </c>
      <c r="R138" s="174">
        <v>2394</v>
      </c>
      <c r="T138" s="155">
        <v>1436.4</v>
      </c>
      <c r="U138" s="166">
        <v>2.4E-2</v>
      </c>
      <c r="V138" s="166">
        <v>3.2766997848043102E-3</v>
      </c>
      <c r="W138" s="166">
        <v>7.3836521793099697E-4</v>
      </c>
    </row>
    <row r="139" spans="1:23">
      <c r="A139" s="3">
        <v>161</v>
      </c>
      <c r="B139" s="3">
        <v>9943</v>
      </c>
      <c r="C139" s="3" t="s">
        <v>1249</v>
      </c>
      <c r="D139" s="3" t="s">
        <v>1250</v>
      </c>
      <c r="E139" s="5" t="s">
        <v>149</v>
      </c>
      <c r="F139" s="3" t="s">
        <v>1376</v>
      </c>
      <c r="G139" s="3" t="s">
        <v>1377</v>
      </c>
      <c r="H139" s="3" t="s">
        <v>152</v>
      </c>
      <c r="I139" s="3" t="s">
        <v>1261</v>
      </c>
      <c r="J139" s="3" t="s">
        <v>30</v>
      </c>
      <c r="K139" s="3" t="s">
        <v>82</v>
      </c>
      <c r="L139" s="3" t="s">
        <v>31</v>
      </c>
      <c r="M139" s="3" t="s">
        <v>1262</v>
      </c>
      <c r="N139" s="3" t="s">
        <v>156</v>
      </c>
      <c r="O139" s="3" t="s">
        <v>34</v>
      </c>
      <c r="P139" s="156">
        <v>27990</v>
      </c>
      <c r="Q139" s="164">
        <v>1</v>
      </c>
      <c r="R139" s="174">
        <v>9467</v>
      </c>
      <c r="T139" s="155">
        <v>2649.8130000000001</v>
      </c>
      <c r="U139" s="166">
        <v>3.21E-4</v>
      </c>
      <c r="V139" s="166">
        <v>6.0447247771384001E-3</v>
      </c>
      <c r="W139" s="166">
        <v>1.36210663793578E-3</v>
      </c>
    </row>
    <row r="140" spans="1:23">
      <c r="A140" s="3">
        <v>161</v>
      </c>
      <c r="B140" s="3">
        <v>9943</v>
      </c>
      <c r="C140" s="3" t="s">
        <v>1249</v>
      </c>
      <c r="D140" s="3" t="s">
        <v>1250</v>
      </c>
      <c r="E140" s="5" t="s">
        <v>149</v>
      </c>
      <c r="F140" s="3" t="s">
        <v>1442</v>
      </c>
      <c r="G140" s="3" t="s">
        <v>1443</v>
      </c>
      <c r="H140" s="3" t="s">
        <v>152</v>
      </c>
      <c r="I140" s="3" t="s">
        <v>1257</v>
      </c>
      <c r="J140" s="3" t="s">
        <v>30</v>
      </c>
      <c r="K140" s="3" t="s">
        <v>30</v>
      </c>
      <c r="L140" s="3" t="s">
        <v>31</v>
      </c>
      <c r="M140" s="3" t="s">
        <v>1444</v>
      </c>
      <c r="N140" s="3" t="s">
        <v>156</v>
      </c>
      <c r="O140" s="3" t="s">
        <v>34</v>
      </c>
      <c r="P140" s="156">
        <v>775000</v>
      </c>
      <c r="Q140" s="164">
        <v>1</v>
      </c>
      <c r="R140" s="174">
        <v>416.34</v>
      </c>
      <c r="T140" s="155">
        <v>3226.6350000000002</v>
      </c>
      <c r="U140" s="166">
        <v>7.7499999999999999E-3</v>
      </c>
      <c r="V140" s="166">
        <v>7.3605640560721599E-3</v>
      </c>
      <c r="W140" s="166">
        <v>1.65861532648203E-3</v>
      </c>
    </row>
    <row r="141" spans="1:23">
      <c r="A141" s="3">
        <v>161</v>
      </c>
      <c r="B141" s="3">
        <v>9943</v>
      </c>
      <c r="C141" s="3" t="s">
        <v>1249</v>
      </c>
      <c r="D141" s="3" t="s">
        <v>1250</v>
      </c>
      <c r="E141" s="5" t="s">
        <v>149</v>
      </c>
      <c r="F141" s="3" t="s">
        <v>1445</v>
      </c>
      <c r="G141" s="3" t="s">
        <v>1446</v>
      </c>
      <c r="H141" s="3" t="s">
        <v>152</v>
      </c>
      <c r="I141" s="3" t="s">
        <v>1261</v>
      </c>
      <c r="J141" s="3" t="s">
        <v>30</v>
      </c>
      <c r="K141" s="3" t="s">
        <v>82</v>
      </c>
      <c r="L141" s="3" t="s">
        <v>31</v>
      </c>
      <c r="M141" s="3" t="s">
        <v>1305</v>
      </c>
      <c r="N141" s="3" t="s">
        <v>156</v>
      </c>
      <c r="O141" s="3" t="s">
        <v>34</v>
      </c>
      <c r="P141" s="156">
        <v>140000</v>
      </c>
      <c r="Q141" s="164">
        <v>1</v>
      </c>
      <c r="R141" s="174">
        <v>3527</v>
      </c>
      <c r="T141" s="155">
        <v>4937.8</v>
      </c>
      <c r="U141" s="166">
        <v>2.9787000000000001E-2</v>
      </c>
      <c r="V141" s="166">
        <v>1.12640547183283E-2</v>
      </c>
      <c r="W141" s="166">
        <v>2.5382203934138699E-3</v>
      </c>
    </row>
    <row r="142" spans="1:23">
      <c r="A142" s="3">
        <v>161</v>
      </c>
      <c r="B142" s="3">
        <v>9943</v>
      </c>
      <c r="C142" s="3" t="s">
        <v>1249</v>
      </c>
      <c r="D142" s="3" t="s">
        <v>1250</v>
      </c>
      <c r="E142" s="5" t="s">
        <v>149</v>
      </c>
      <c r="F142" s="3" t="s">
        <v>1447</v>
      </c>
      <c r="G142" s="3" t="s">
        <v>1448</v>
      </c>
      <c r="H142" s="3" t="s">
        <v>152</v>
      </c>
      <c r="I142" s="3" t="s">
        <v>1261</v>
      </c>
      <c r="J142" s="3" t="s">
        <v>30</v>
      </c>
      <c r="K142" s="3" t="s">
        <v>82</v>
      </c>
      <c r="L142" s="3" t="s">
        <v>31</v>
      </c>
      <c r="M142" s="3" t="s">
        <v>1331</v>
      </c>
      <c r="N142" s="3" t="s">
        <v>156</v>
      </c>
      <c r="O142" s="3" t="s">
        <v>34</v>
      </c>
      <c r="P142" s="156">
        <v>85000</v>
      </c>
      <c r="Q142" s="164">
        <v>1</v>
      </c>
      <c r="R142" s="174">
        <v>9582</v>
      </c>
      <c r="T142" s="155">
        <v>8144.7</v>
      </c>
      <c r="U142" s="166">
        <v>2.1007999999999999E-2</v>
      </c>
      <c r="V142" s="166">
        <v>1.85795995107878E-2</v>
      </c>
      <c r="W142" s="166">
        <v>4.1866911657495098E-3</v>
      </c>
    </row>
    <row r="143" spans="1:23">
      <c r="A143" s="3">
        <v>161</v>
      </c>
      <c r="B143" s="3">
        <v>9943</v>
      </c>
      <c r="C143" s="3" t="s">
        <v>1249</v>
      </c>
      <c r="D143" s="3" t="s">
        <v>1250</v>
      </c>
      <c r="E143" s="5" t="s">
        <v>149</v>
      </c>
      <c r="F143" s="3" t="s">
        <v>1449</v>
      </c>
      <c r="G143" s="3" t="s">
        <v>1450</v>
      </c>
      <c r="H143" s="3" t="s">
        <v>152</v>
      </c>
      <c r="I143" s="3" t="s">
        <v>1253</v>
      </c>
      <c r="J143" s="3" t="s">
        <v>30</v>
      </c>
      <c r="K143" s="3" t="s">
        <v>30</v>
      </c>
      <c r="L143" s="3" t="s">
        <v>31</v>
      </c>
      <c r="M143" s="3" t="s">
        <v>1254</v>
      </c>
      <c r="N143" s="3" t="s">
        <v>156</v>
      </c>
      <c r="O143" s="3" t="s">
        <v>34</v>
      </c>
      <c r="P143" s="156">
        <v>110800</v>
      </c>
      <c r="Q143" s="164">
        <v>1</v>
      </c>
      <c r="R143" s="174">
        <v>2984</v>
      </c>
      <c r="T143" s="155">
        <v>3306.2719999999999</v>
      </c>
      <c r="U143" s="166">
        <v>2.4087000000000001E-2</v>
      </c>
      <c r="V143" s="166">
        <v>7.5422310992094904E-3</v>
      </c>
      <c r="W143" s="166">
        <v>1.6995518280556599E-3</v>
      </c>
    </row>
    <row r="144" spans="1:23">
      <c r="A144" s="3">
        <v>161</v>
      </c>
      <c r="B144" s="3">
        <v>9943</v>
      </c>
      <c r="C144" s="3" t="s">
        <v>1249</v>
      </c>
      <c r="D144" s="3" t="s">
        <v>1250</v>
      </c>
      <c r="E144" s="5" t="s">
        <v>149</v>
      </c>
      <c r="F144" s="3" t="s">
        <v>1431</v>
      </c>
      <c r="G144" s="3" t="s">
        <v>1432</v>
      </c>
      <c r="H144" s="3" t="s">
        <v>152</v>
      </c>
      <c r="I144" s="3" t="s">
        <v>1253</v>
      </c>
      <c r="J144" s="3" t="s">
        <v>30</v>
      </c>
      <c r="K144" s="3" t="s">
        <v>30</v>
      </c>
      <c r="L144" s="3" t="s">
        <v>31</v>
      </c>
      <c r="M144" s="3" t="s">
        <v>1267</v>
      </c>
      <c r="N144" s="3" t="s">
        <v>156</v>
      </c>
      <c r="O144" s="3" t="s">
        <v>34</v>
      </c>
      <c r="P144" s="156">
        <v>183000</v>
      </c>
      <c r="Q144" s="164">
        <v>1</v>
      </c>
      <c r="R144" s="174">
        <v>4757</v>
      </c>
      <c r="T144" s="155">
        <v>8705.31</v>
      </c>
      <c r="U144" s="166">
        <v>3.0500000000000002E-3</v>
      </c>
      <c r="V144" s="166">
        <v>1.9858456839080201E-2</v>
      </c>
      <c r="W144" s="166">
        <v>4.4748664127728299E-3</v>
      </c>
    </row>
    <row r="145" spans="1:23">
      <c r="A145" s="3">
        <v>161</v>
      </c>
      <c r="B145" s="3">
        <v>9943</v>
      </c>
      <c r="C145" s="3" t="s">
        <v>1249</v>
      </c>
      <c r="D145" s="3" t="s">
        <v>1250</v>
      </c>
      <c r="E145" s="5" t="s">
        <v>149</v>
      </c>
      <c r="F145" s="3" t="s">
        <v>1451</v>
      </c>
      <c r="G145" s="3" t="s">
        <v>1452</v>
      </c>
      <c r="H145" s="3" t="s">
        <v>152</v>
      </c>
      <c r="I145" s="3" t="s">
        <v>1257</v>
      </c>
      <c r="J145" s="3" t="s">
        <v>30</v>
      </c>
      <c r="K145" s="3" t="s">
        <v>30</v>
      </c>
      <c r="L145" s="3" t="s">
        <v>31</v>
      </c>
      <c r="M145" s="3" t="s">
        <v>1273</v>
      </c>
      <c r="N145" s="3" t="s">
        <v>156</v>
      </c>
      <c r="O145" s="3" t="s">
        <v>34</v>
      </c>
      <c r="P145" s="156">
        <v>120879</v>
      </c>
      <c r="Q145" s="164">
        <v>1</v>
      </c>
      <c r="R145" s="174">
        <v>339.54</v>
      </c>
      <c r="T145" s="155">
        <v>410.43299999999999</v>
      </c>
      <c r="U145" s="166">
        <v>4.84E-4</v>
      </c>
      <c r="V145" s="166">
        <v>9.3627420627116504E-4</v>
      </c>
      <c r="W145" s="166">
        <v>2.1097822619043101E-4</v>
      </c>
    </row>
    <row r="146" spans="1:23">
      <c r="A146" s="3">
        <v>161</v>
      </c>
      <c r="B146" s="3">
        <v>9943</v>
      </c>
      <c r="C146" s="3" t="s">
        <v>1249</v>
      </c>
      <c r="D146" s="3" t="s">
        <v>1250</v>
      </c>
      <c r="E146" s="5" t="s">
        <v>149</v>
      </c>
      <c r="F146" s="3" t="s">
        <v>1255</v>
      </c>
      <c r="G146" s="3" t="s">
        <v>1256</v>
      </c>
      <c r="H146" s="3" t="s">
        <v>152</v>
      </c>
      <c r="I146" s="3" t="s">
        <v>1257</v>
      </c>
      <c r="J146" s="3" t="s">
        <v>30</v>
      </c>
      <c r="K146" s="3" t="s">
        <v>30</v>
      </c>
      <c r="L146" s="3" t="s">
        <v>31</v>
      </c>
      <c r="M146" s="3" t="s">
        <v>1258</v>
      </c>
      <c r="N146" s="3" t="s">
        <v>156</v>
      </c>
      <c r="O146" s="3" t="s">
        <v>34</v>
      </c>
      <c r="P146" s="156">
        <v>400000</v>
      </c>
      <c r="Q146" s="164">
        <v>1</v>
      </c>
      <c r="R146" s="174">
        <v>499.28</v>
      </c>
      <c r="T146" s="155">
        <v>1997.12</v>
      </c>
      <c r="U146" s="166">
        <v>1.905E-3</v>
      </c>
      <c r="V146" s="166">
        <v>4.5558080438794103E-3</v>
      </c>
      <c r="W146" s="166">
        <v>1.02659700921356E-3</v>
      </c>
    </row>
    <row r="147" spans="1:23">
      <c r="A147" s="3">
        <v>161</v>
      </c>
      <c r="B147" s="3">
        <v>9943</v>
      </c>
      <c r="C147" s="3" t="s">
        <v>1249</v>
      </c>
      <c r="D147" s="3" t="s">
        <v>1250</v>
      </c>
      <c r="E147" s="5" t="s">
        <v>149</v>
      </c>
      <c r="F147" s="3" t="s">
        <v>1259</v>
      </c>
      <c r="G147" s="3" t="s">
        <v>1260</v>
      </c>
      <c r="H147" s="3" t="s">
        <v>152</v>
      </c>
      <c r="I147" s="3" t="s">
        <v>1261</v>
      </c>
      <c r="J147" s="3" t="s">
        <v>30</v>
      </c>
      <c r="K147" s="3" t="s">
        <v>82</v>
      </c>
      <c r="L147" s="3" t="s">
        <v>31</v>
      </c>
      <c r="M147" s="3" t="s">
        <v>1262</v>
      </c>
      <c r="N147" s="3" t="s">
        <v>156</v>
      </c>
      <c r="O147" s="3" t="s">
        <v>34</v>
      </c>
      <c r="P147" s="156">
        <v>83500</v>
      </c>
      <c r="Q147" s="164">
        <v>1</v>
      </c>
      <c r="R147" s="174">
        <v>8410</v>
      </c>
      <c r="T147" s="155">
        <v>7022.35</v>
      </c>
      <c r="U147" s="166">
        <v>3.4259999999999998E-3</v>
      </c>
      <c r="V147" s="166">
        <v>1.60193071107077E-2</v>
      </c>
      <c r="W147" s="166">
        <v>3.6097598079488599E-3</v>
      </c>
    </row>
    <row r="148" spans="1:23">
      <c r="A148" s="3">
        <v>161</v>
      </c>
      <c r="B148" s="3">
        <v>9943</v>
      </c>
      <c r="C148" s="3" t="s">
        <v>1263</v>
      </c>
      <c r="D148" s="3" t="s">
        <v>1264</v>
      </c>
      <c r="E148" s="5" t="s">
        <v>149</v>
      </c>
      <c r="F148" s="3" t="s">
        <v>1340</v>
      </c>
      <c r="G148" s="3" t="s">
        <v>1341</v>
      </c>
      <c r="H148" s="3" t="s">
        <v>152</v>
      </c>
      <c r="I148" s="3" t="s">
        <v>1261</v>
      </c>
      <c r="J148" s="3" t="s">
        <v>30</v>
      </c>
      <c r="K148" s="3" t="s">
        <v>82</v>
      </c>
      <c r="L148" s="3" t="s">
        <v>31</v>
      </c>
      <c r="M148" s="3" t="s">
        <v>1262</v>
      </c>
      <c r="N148" s="3" t="s">
        <v>156</v>
      </c>
      <c r="O148" s="3" t="s">
        <v>34</v>
      </c>
      <c r="P148" s="156">
        <v>280840</v>
      </c>
      <c r="Q148" s="164">
        <v>1</v>
      </c>
      <c r="R148" s="174">
        <v>6378</v>
      </c>
      <c r="T148" s="155">
        <v>17911.974999999999</v>
      </c>
      <c r="U148" s="166">
        <v>2.3119999999999998E-3</v>
      </c>
      <c r="V148" s="166">
        <v>4.0860599612406102E-2</v>
      </c>
      <c r="W148" s="166">
        <v>9.2074488110015403E-3</v>
      </c>
    </row>
    <row r="149" spans="1:23">
      <c r="A149" s="3">
        <v>161</v>
      </c>
      <c r="B149" s="3">
        <v>9943</v>
      </c>
      <c r="C149" s="3" t="s">
        <v>1276</v>
      </c>
      <c r="D149" s="3" t="s">
        <v>1277</v>
      </c>
      <c r="E149" s="5" t="s">
        <v>149</v>
      </c>
      <c r="F149" s="3" t="s">
        <v>1453</v>
      </c>
      <c r="G149" s="3" t="s">
        <v>1454</v>
      </c>
      <c r="H149" s="3" t="s">
        <v>152</v>
      </c>
      <c r="I149" s="3" t="s">
        <v>1261</v>
      </c>
      <c r="J149" s="3" t="s">
        <v>30</v>
      </c>
      <c r="K149" s="3" t="s">
        <v>82</v>
      </c>
      <c r="L149" s="3" t="s">
        <v>31</v>
      </c>
      <c r="M149" s="3" t="s">
        <v>1331</v>
      </c>
      <c r="N149" s="3" t="s">
        <v>156</v>
      </c>
      <c r="O149" s="3" t="s">
        <v>34</v>
      </c>
      <c r="P149" s="156">
        <v>140455</v>
      </c>
      <c r="Q149" s="164">
        <v>1</v>
      </c>
      <c r="R149" s="174">
        <v>11380</v>
      </c>
      <c r="T149" s="155">
        <v>15983.779</v>
      </c>
      <c r="U149" s="166">
        <v>1.0560999999999999E-2</v>
      </c>
      <c r="V149" s="166">
        <v>3.6462019778376202E-2</v>
      </c>
      <c r="W149" s="166">
        <v>8.2162813037426202E-3</v>
      </c>
    </row>
    <row r="150" spans="1:23">
      <c r="A150" s="3">
        <v>161</v>
      </c>
      <c r="B150" s="3">
        <v>9943</v>
      </c>
      <c r="C150" s="3" t="s">
        <v>1276</v>
      </c>
      <c r="D150" s="3" t="s">
        <v>1277</v>
      </c>
      <c r="E150" s="5" t="s">
        <v>149</v>
      </c>
      <c r="F150" s="3" t="s">
        <v>1346</v>
      </c>
      <c r="G150" s="3" t="s">
        <v>1347</v>
      </c>
      <c r="H150" s="3" t="s">
        <v>152</v>
      </c>
      <c r="I150" s="3" t="s">
        <v>1261</v>
      </c>
      <c r="J150" s="3" t="s">
        <v>30</v>
      </c>
      <c r="K150" s="3" t="s">
        <v>82</v>
      </c>
      <c r="L150" s="3" t="s">
        <v>31</v>
      </c>
      <c r="M150" s="3" t="s">
        <v>1262</v>
      </c>
      <c r="N150" s="3" t="s">
        <v>156</v>
      </c>
      <c r="O150" s="3" t="s">
        <v>34</v>
      </c>
      <c r="P150" s="156">
        <v>35592</v>
      </c>
      <c r="Q150" s="164">
        <v>1</v>
      </c>
      <c r="R150" s="174">
        <v>10950</v>
      </c>
      <c r="T150" s="155">
        <v>3897.3240000000001</v>
      </c>
      <c r="U150" s="166">
        <v>5.1999999999999995E-4</v>
      </c>
      <c r="V150" s="166">
        <v>8.8905323810308193E-3</v>
      </c>
      <c r="W150" s="166">
        <v>2.0033754418043101E-3</v>
      </c>
    </row>
    <row r="151" spans="1:23">
      <c r="A151" s="3">
        <v>161</v>
      </c>
      <c r="B151" s="3">
        <v>9943</v>
      </c>
      <c r="C151" s="3" t="s">
        <v>1276</v>
      </c>
      <c r="D151" s="3" t="s">
        <v>1277</v>
      </c>
      <c r="E151" s="5" t="s">
        <v>149</v>
      </c>
      <c r="F151" s="3" t="s">
        <v>1283</v>
      </c>
      <c r="G151" s="3" t="s">
        <v>1284</v>
      </c>
      <c r="H151" s="3" t="s">
        <v>152</v>
      </c>
      <c r="I151" s="3" t="s">
        <v>1261</v>
      </c>
      <c r="J151" s="3" t="s">
        <v>30</v>
      </c>
      <c r="K151" s="3" t="s">
        <v>82</v>
      </c>
      <c r="L151" s="3" t="s">
        <v>31</v>
      </c>
      <c r="M151" s="3" t="s">
        <v>1262</v>
      </c>
      <c r="N151" s="3" t="s">
        <v>156</v>
      </c>
      <c r="O151" s="3" t="s">
        <v>34</v>
      </c>
      <c r="P151" s="156">
        <v>159000</v>
      </c>
      <c r="Q151" s="164">
        <v>1</v>
      </c>
      <c r="R151" s="174">
        <v>10340</v>
      </c>
      <c r="T151" s="155">
        <v>16440.599999999999</v>
      </c>
      <c r="U151" s="166">
        <v>1.1778E-2</v>
      </c>
      <c r="V151" s="166">
        <v>3.75041147883972E-2</v>
      </c>
      <c r="W151" s="166">
        <v>8.4511049860180598E-3</v>
      </c>
    </row>
    <row r="152" spans="1:23">
      <c r="A152" s="3">
        <v>161</v>
      </c>
      <c r="B152" s="3">
        <v>9943</v>
      </c>
      <c r="C152" s="3" t="s">
        <v>1249</v>
      </c>
      <c r="D152" s="3" t="s">
        <v>1250</v>
      </c>
      <c r="E152" s="5" t="s">
        <v>149</v>
      </c>
      <c r="F152" s="3" t="s">
        <v>1455</v>
      </c>
      <c r="G152" s="3" t="s">
        <v>1456</v>
      </c>
      <c r="H152" s="3" t="s">
        <v>152</v>
      </c>
      <c r="I152" s="3" t="s">
        <v>1261</v>
      </c>
      <c r="J152" s="3" t="s">
        <v>30</v>
      </c>
      <c r="K152" s="3" t="s">
        <v>82</v>
      </c>
      <c r="L152" s="3" t="s">
        <v>31</v>
      </c>
      <c r="M152" s="3" t="s">
        <v>1312</v>
      </c>
      <c r="N152" s="3" t="s">
        <v>156</v>
      </c>
      <c r="O152" s="3" t="s">
        <v>34</v>
      </c>
      <c r="P152" s="156">
        <v>130000</v>
      </c>
      <c r="Q152" s="164">
        <v>1</v>
      </c>
      <c r="R152" s="174">
        <v>2192</v>
      </c>
      <c r="T152" s="155">
        <v>2849.6</v>
      </c>
      <c r="U152" s="166">
        <v>2.8889000000000001E-2</v>
      </c>
      <c r="V152" s="166">
        <v>6.5004759863397099E-3</v>
      </c>
      <c r="W152" s="166">
        <v>1.46480473754955E-3</v>
      </c>
    </row>
    <row r="153" spans="1:23">
      <c r="A153" s="3">
        <v>161</v>
      </c>
      <c r="B153" s="3">
        <v>9943</v>
      </c>
      <c r="C153" s="3" t="s">
        <v>1288</v>
      </c>
      <c r="D153" s="3" t="s">
        <v>1289</v>
      </c>
      <c r="E153" s="5" t="s">
        <v>149</v>
      </c>
      <c r="F153" s="3" t="s">
        <v>1386</v>
      </c>
      <c r="G153" s="3" t="s">
        <v>1387</v>
      </c>
      <c r="H153" s="3" t="s">
        <v>152</v>
      </c>
      <c r="I153" s="3" t="s">
        <v>1261</v>
      </c>
      <c r="J153" s="3" t="s">
        <v>30</v>
      </c>
      <c r="K153" s="3" t="s">
        <v>82</v>
      </c>
      <c r="L153" s="3" t="s">
        <v>31</v>
      </c>
      <c r="M153" s="3" t="s">
        <v>1262</v>
      </c>
      <c r="N153" s="3" t="s">
        <v>156</v>
      </c>
      <c r="O153" s="3" t="s">
        <v>34</v>
      </c>
      <c r="P153" s="156">
        <v>58112</v>
      </c>
      <c r="Q153" s="164">
        <v>1</v>
      </c>
      <c r="R153" s="174">
        <v>6309</v>
      </c>
      <c r="T153" s="155">
        <v>3666.2860000000001</v>
      </c>
      <c r="U153" s="166">
        <v>8.3500000000000002E-4</v>
      </c>
      <c r="V153" s="166">
        <v>8.3634912345913592E-3</v>
      </c>
      <c r="W153" s="166">
        <v>1.8846130050519201E-3</v>
      </c>
    </row>
    <row r="154" spans="1:23">
      <c r="A154" s="3">
        <v>161</v>
      </c>
      <c r="B154" s="3">
        <v>9943</v>
      </c>
      <c r="C154" s="3" t="s">
        <v>1288</v>
      </c>
      <c r="D154" s="3" t="s">
        <v>1289</v>
      </c>
      <c r="E154" s="5" t="s">
        <v>149</v>
      </c>
      <c r="F154" s="3" t="s">
        <v>1457</v>
      </c>
      <c r="G154" s="3" t="s">
        <v>1458</v>
      </c>
      <c r="H154" s="3" t="s">
        <v>152</v>
      </c>
      <c r="I154" s="3" t="s">
        <v>1253</v>
      </c>
      <c r="J154" s="3" t="s">
        <v>30</v>
      </c>
      <c r="K154" s="3" t="s">
        <v>30</v>
      </c>
      <c r="L154" s="3" t="s">
        <v>31</v>
      </c>
      <c r="M154" s="3" t="s">
        <v>1287</v>
      </c>
      <c r="N154" s="3" t="s">
        <v>156</v>
      </c>
      <c r="O154" s="3" t="s">
        <v>34</v>
      </c>
      <c r="P154" s="156">
        <v>1293</v>
      </c>
      <c r="Q154" s="164">
        <v>1</v>
      </c>
      <c r="R154" s="174">
        <v>65770</v>
      </c>
      <c r="T154" s="155">
        <v>850.40599999999995</v>
      </c>
      <c r="U154" s="166">
        <v>1.3200000000000001E-4</v>
      </c>
      <c r="V154" s="166">
        <v>1.93993698473007E-3</v>
      </c>
      <c r="W154" s="166">
        <v>4.3714166343382702E-4</v>
      </c>
    </row>
    <row r="155" spans="1:23">
      <c r="A155" s="3">
        <v>161</v>
      </c>
      <c r="B155" s="3">
        <v>9943</v>
      </c>
      <c r="C155" s="3" t="s">
        <v>1288</v>
      </c>
      <c r="D155" s="3" t="s">
        <v>1289</v>
      </c>
      <c r="E155" s="5" t="s">
        <v>149</v>
      </c>
      <c r="F155" s="3" t="s">
        <v>1459</v>
      </c>
      <c r="G155" s="3" t="s">
        <v>1460</v>
      </c>
      <c r="H155" s="3" t="s">
        <v>152</v>
      </c>
      <c r="I155" s="3" t="s">
        <v>1261</v>
      </c>
      <c r="J155" s="3" t="s">
        <v>30</v>
      </c>
      <c r="K155" s="3" t="s">
        <v>82</v>
      </c>
      <c r="L155" s="3" t="s">
        <v>31</v>
      </c>
      <c r="M155" s="3" t="s">
        <v>1331</v>
      </c>
      <c r="N155" s="3" t="s">
        <v>156</v>
      </c>
      <c r="O155" s="3" t="s">
        <v>34</v>
      </c>
      <c r="P155" s="156">
        <v>95270</v>
      </c>
      <c r="Q155" s="164">
        <v>1</v>
      </c>
      <c r="R155" s="174">
        <v>20130</v>
      </c>
      <c r="T155" s="155">
        <v>19177.850999999999</v>
      </c>
      <c r="U155" s="166">
        <v>1.1736E-2</v>
      </c>
      <c r="V155" s="166">
        <v>4.3748301479190399E-2</v>
      </c>
      <c r="W155" s="166">
        <v>9.8581579873734202E-3</v>
      </c>
    </row>
    <row r="156" spans="1:23">
      <c r="A156" s="3">
        <v>161</v>
      </c>
      <c r="B156" s="3">
        <v>9943</v>
      </c>
      <c r="C156" s="3" t="s">
        <v>1288</v>
      </c>
      <c r="D156" s="3" t="s">
        <v>1289</v>
      </c>
      <c r="E156" s="5" t="s">
        <v>149</v>
      </c>
      <c r="F156" s="3" t="s">
        <v>1461</v>
      </c>
      <c r="G156" s="3" t="s">
        <v>1462</v>
      </c>
      <c r="H156" s="3" t="s">
        <v>152</v>
      </c>
      <c r="I156" s="3" t="s">
        <v>1257</v>
      </c>
      <c r="J156" s="3" t="s">
        <v>30</v>
      </c>
      <c r="K156" s="3" t="s">
        <v>30</v>
      </c>
      <c r="L156" s="3" t="s">
        <v>31</v>
      </c>
      <c r="M156" s="3" t="s">
        <v>1273</v>
      </c>
      <c r="N156" s="3" t="s">
        <v>156</v>
      </c>
      <c r="O156" s="3" t="s">
        <v>34</v>
      </c>
      <c r="P156" s="156">
        <v>88000</v>
      </c>
      <c r="Q156" s="164">
        <v>1</v>
      </c>
      <c r="R156" s="174">
        <v>4241.12</v>
      </c>
      <c r="T156" s="155">
        <v>3732.1860000000001</v>
      </c>
      <c r="U156" s="166">
        <v>2.2550000000000001E-3</v>
      </c>
      <c r="V156" s="166">
        <v>8.5138204903715802E-3</v>
      </c>
      <c r="W156" s="166">
        <v>1.9184879099853299E-3</v>
      </c>
    </row>
    <row r="157" spans="1:23">
      <c r="A157" s="3">
        <v>161</v>
      </c>
      <c r="B157" s="3">
        <v>9943</v>
      </c>
      <c r="C157" s="3" t="s">
        <v>1295</v>
      </c>
      <c r="D157" s="3" t="s">
        <v>1296</v>
      </c>
      <c r="E157" s="5" t="s">
        <v>149</v>
      </c>
      <c r="F157" s="3" t="s">
        <v>1463</v>
      </c>
      <c r="G157" s="3" t="s">
        <v>1464</v>
      </c>
      <c r="H157" s="3" t="s">
        <v>152</v>
      </c>
      <c r="I157" s="3" t="s">
        <v>1253</v>
      </c>
      <c r="J157" s="3" t="s">
        <v>30</v>
      </c>
      <c r="K157" s="3" t="s">
        <v>30</v>
      </c>
      <c r="L157" s="3" t="s">
        <v>31</v>
      </c>
      <c r="M157" s="3" t="s">
        <v>1465</v>
      </c>
      <c r="N157" s="3" t="s">
        <v>156</v>
      </c>
      <c r="O157" s="3" t="s">
        <v>34</v>
      </c>
      <c r="P157" s="156">
        <v>250000</v>
      </c>
      <c r="Q157" s="164">
        <v>1</v>
      </c>
      <c r="R157" s="174">
        <v>963.8</v>
      </c>
      <c r="T157" s="155">
        <v>2409.5</v>
      </c>
      <c r="U157" s="166">
        <v>1.1360000000000001E-3</v>
      </c>
      <c r="V157" s="166">
        <v>5.4965247364842503E-3</v>
      </c>
      <c r="W157" s="166">
        <v>1.2385762967173099E-3</v>
      </c>
    </row>
    <row r="158" spans="1:23">
      <c r="A158" s="3">
        <v>161</v>
      </c>
      <c r="B158" s="3">
        <v>9943</v>
      </c>
      <c r="C158" s="3" t="s">
        <v>1295</v>
      </c>
      <c r="D158" s="3" t="s">
        <v>1296</v>
      </c>
      <c r="E158" s="5" t="s">
        <v>149</v>
      </c>
      <c r="F158" s="3" t="s">
        <v>1384</v>
      </c>
      <c r="G158" s="3" t="s">
        <v>1385</v>
      </c>
      <c r="H158" s="3" t="s">
        <v>152</v>
      </c>
      <c r="I158" s="3" t="s">
        <v>1261</v>
      </c>
      <c r="J158" s="3" t="s">
        <v>30</v>
      </c>
      <c r="K158" s="3" t="s">
        <v>82</v>
      </c>
      <c r="L158" s="3" t="s">
        <v>31</v>
      </c>
      <c r="M158" s="3" t="s">
        <v>1262</v>
      </c>
      <c r="N158" s="3" t="s">
        <v>156</v>
      </c>
      <c r="O158" s="3" t="s">
        <v>34</v>
      </c>
      <c r="P158" s="156">
        <v>3040</v>
      </c>
      <c r="Q158" s="164">
        <v>1</v>
      </c>
      <c r="R158" s="174">
        <v>25890</v>
      </c>
      <c r="T158" s="155">
        <v>787.05600000000004</v>
      </c>
      <c r="U158" s="166">
        <v>7.6000000000000004E-5</v>
      </c>
      <c r="V158" s="166">
        <v>1.7954234376419799E-3</v>
      </c>
      <c r="W158" s="166">
        <v>4.0457725909488898E-4</v>
      </c>
    </row>
    <row r="159" spans="1:23">
      <c r="A159" s="3">
        <v>161</v>
      </c>
      <c r="B159" s="3">
        <v>9943</v>
      </c>
      <c r="C159" s="3" t="s">
        <v>1295</v>
      </c>
      <c r="D159" s="3" t="s">
        <v>1296</v>
      </c>
      <c r="E159" s="5" t="s">
        <v>149</v>
      </c>
      <c r="F159" s="3" t="s">
        <v>1466</v>
      </c>
      <c r="G159" s="3" t="s">
        <v>1467</v>
      </c>
      <c r="H159" s="3" t="s">
        <v>152</v>
      </c>
      <c r="I159" s="3" t="s">
        <v>1257</v>
      </c>
      <c r="J159" s="3" t="s">
        <v>30</v>
      </c>
      <c r="K159" s="3" t="s">
        <v>30</v>
      </c>
      <c r="L159" s="3" t="s">
        <v>31</v>
      </c>
      <c r="M159" s="3" t="s">
        <v>1273</v>
      </c>
      <c r="N159" s="3" t="s">
        <v>156</v>
      </c>
      <c r="O159" s="3" t="s">
        <v>34</v>
      </c>
      <c r="P159" s="156">
        <v>205000</v>
      </c>
      <c r="Q159" s="164">
        <v>1</v>
      </c>
      <c r="R159" s="174">
        <v>4181.43</v>
      </c>
      <c r="T159" s="155">
        <v>8571.9320000000007</v>
      </c>
      <c r="U159" s="166">
        <v>9.8019999999999999E-3</v>
      </c>
      <c r="V159" s="166">
        <v>1.9554195280845999E-2</v>
      </c>
      <c r="W159" s="166">
        <v>4.40630469930874E-3</v>
      </c>
    </row>
    <row r="160" spans="1:23">
      <c r="A160" s="3">
        <v>161</v>
      </c>
      <c r="B160" s="3">
        <v>9943</v>
      </c>
      <c r="C160" s="3" t="s">
        <v>1295</v>
      </c>
      <c r="D160" s="3" t="s">
        <v>1296</v>
      </c>
      <c r="E160" s="5" t="s">
        <v>149</v>
      </c>
      <c r="F160" s="3" t="s">
        <v>1468</v>
      </c>
      <c r="G160" s="3" t="s">
        <v>1469</v>
      </c>
      <c r="H160" s="3" t="s">
        <v>152</v>
      </c>
      <c r="I160" s="3" t="s">
        <v>1257</v>
      </c>
      <c r="J160" s="3" t="s">
        <v>30</v>
      </c>
      <c r="K160" s="3" t="s">
        <v>30</v>
      </c>
      <c r="L160" s="3" t="s">
        <v>31</v>
      </c>
      <c r="M160" s="3" t="s">
        <v>1470</v>
      </c>
      <c r="N160" s="3" t="s">
        <v>156</v>
      </c>
      <c r="O160" s="3" t="s">
        <v>34</v>
      </c>
      <c r="P160" s="156">
        <v>52760</v>
      </c>
      <c r="Q160" s="164">
        <v>1</v>
      </c>
      <c r="R160" s="174">
        <v>4414.26</v>
      </c>
      <c r="T160" s="155">
        <v>2328.9639999999999</v>
      </c>
      <c r="U160" s="166">
        <v>2.1159999999999998E-3</v>
      </c>
      <c r="V160" s="166">
        <v>5.3128059372711403E-3</v>
      </c>
      <c r="W160" s="166">
        <v>1.19717745638164E-3</v>
      </c>
    </row>
    <row r="161" spans="1:23">
      <c r="A161" s="3">
        <v>161</v>
      </c>
      <c r="B161" s="3">
        <v>9943</v>
      </c>
      <c r="C161" s="3" t="s">
        <v>1295</v>
      </c>
      <c r="D161" s="3" t="s">
        <v>1296</v>
      </c>
      <c r="E161" s="5" t="s">
        <v>149</v>
      </c>
      <c r="F161" s="3" t="s">
        <v>1297</v>
      </c>
      <c r="G161" s="3" t="s">
        <v>1298</v>
      </c>
      <c r="H161" s="3" t="s">
        <v>152</v>
      </c>
      <c r="I161" s="3" t="s">
        <v>1257</v>
      </c>
      <c r="J161" s="3" t="s">
        <v>30</v>
      </c>
      <c r="K161" s="3" t="s">
        <v>30</v>
      </c>
      <c r="L161" s="3" t="s">
        <v>31</v>
      </c>
      <c r="M161" s="3" t="s">
        <v>1258</v>
      </c>
      <c r="N161" s="3" t="s">
        <v>156</v>
      </c>
      <c r="O161" s="3" t="s">
        <v>34</v>
      </c>
      <c r="P161" s="156">
        <v>160000</v>
      </c>
      <c r="Q161" s="164">
        <v>1</v>
      </c>
      <c r="R161" s="174">
        <v>392.09</v>
      </c>
      <c r="T161" s="155">
        <v>627.34400000000005</v>
      </c>
      <c r="U161" s="166">
        <v>1.17E-4</v>
      </c>
      <c r="V161" s="166">
        <v>1.43109019061423E-3</v>
      </c>
      <c r="W161" s="166">
        <v>3.2247910698809799E-4</v>
      </c>
    </row>
    <row r="162" spans="1:23">
      <c r="A162" s="3">
        <v>161</v>
      </c>
      <c r="B162" s="3">
        <v>9943</v>
      </c>
      <c r="C162" s="3" t="s">
        <v>1390</v>
      </c>
      <c r="D162" s="3" t="s">
        <v>1391</v>
      </c>
      <c r="E162" s="5" t="s">
        <v>935</v>
      </c>
      <c r="F162" s="3" t="s">
        <v>1392</v>
      </c>
      <c r="G162" s="3" t="s">
        <v>1393</v>
      </c>
      <c r="H162" s="3" t="s">
        <v>152</v>
      </c>
      <c r="I162" s="3" t="s">
        <v>1261</v>
      </c>
      <c r="J162" s="3" t="s">
        <v>81</v>
      </c>
      <c r="K162" s="3" t="s">
        <v>82</v>
      </c>
      <c r="L162" s="3" t="s">
        <v>1311</v>
      </c>
      <c r="M162" s="3" t="s">
        <v>1394</v>
      </c>
      <c r="N162" s="3" t="s">
        <v>156</v>
      </c>
      <c r="O162" s="3" t="s">
        <v>1245</v>
      </c>
      <c r="P162" s="156">
        <v>8090</v>
      </c>
      <c r="Q162" s="164">
        <v>3.8807</v>
      </c>
      <c r="R162" s="174">
        <v>21790</v>
      </c>
      <c r="T162" s="155">
        <v>6840.9409999999998</v>
      </c>
      <c r="U162" s="166">
        <v>0</v>
      </c>
      <c r="V162" s="166">
        <v>1.5605478103716E-2</v>
      </c>
      <c r="W162" s="166">
        <v>3.5165083766304801E-3</v>
      </c>
    </row>
    <row r="163" spans="1:23">
      <c r="A163" s="3">
        <v>161</v>
      </c>
      <c r="B163" s="3">
        <v>9943</v>
      </c>
      <c r="C163" s="3" t="s">
        <v>1301</v>
      </c>
      <c r="D163" s="3" t="s">
        <v>1302</v>
      </c>
      <c r="E163" s="5" t="s">
        <v>935</v>
      </c>
      <c r="F163" s="3" t="s">
        <v>1395</v>
      </c>
      <c r="G163" s="3" t="s">
        <v>1396</v>
      </c>
      <c r="H163" s="3" t="s">
        <v>152</v>
      </c>
      <c r="I163" s="3" t="s">
        <v>1261</v>
      </c>
      <c r="J163" s="3" t="s">
        <v>81</v>
      </c>
      <c r="K163" s="3" t="s">
        <v>82</v>
      </c>
      <c r="L163" s="3" t="s">
        <v>1053</v>
      </c>
      <c r="M163" s="3" t="s">
        <v>1397</v>
      </c>
      <c r="N163" s="3" t="s">
        <v>156</v>
      </c>
      <c r="O163" s="3" t="s">
        <v>86</v>
      </c>
      <c r="P163" s="156">
        <v>19600</v>
      </c>
      <c r="Q163" s="164">
        <v>3.306</v>
      </c>
      <c r="R163" s="174">
        <v>5387</v>
      </c>
      <c r="T163" s="155">
        <v>3490.6469999999999</v>
      </c>
      <c r="U163" s="166">
        <v>2.1999999999999999E-5</v>
      </c>
      <c r="V163" s="166">
        <v>7.9628246519341892E-3</v>
      </c>
      <c r="W163" s="166">
        <v>1.79432756907964E-3</v>
      </c>
    </row>
    <row r="164" spans="1:23">
      <c r="A164" s="3">
        <v>161</v>
      </c>
      <c r="B164" s="3">
        <v>9943</v>
      </c>
      <c r="C164" s="3" t="s">
        <v>1332</v>
      </c>
      <c r="D164" s="3" t="s">
        <v>1333</v>
      </c>
      <c r="E164" s="5" t="s">
        <v>935</v>
      </c>
      <c r="F164" s="3" t="s">
        <v>1365</v>
      </c>
      <c r="G164" s="3" t="s">
        <v>1335</v>
      </c>
      <c r="H164" s="3" t="s">
        <v>152</v>
      </c>
      <c r="I164" s="3" t="s">
        <v>1261</v>
      </c>
      <c r="J164" s="3" t="s">
        <v>81</v>
      </c>
      <c r="K164" s="3" t="s">
        <v>82</v>
      </c>
      <c r="L164" s="3" t="s">
        <v>1195</v>
      </c>
      <c r="M164" s="3" t="s">
        <v>1262</v>
      </c>
      <c r="N164" s="3" t="s">
        <v>156</v>
      </c>
      <c r="O164" s="3" t="s">
        <v>86</v>
      </c>
      <c r="P164" s="156">
        <v>2224</v>
      </c>
      <c r="Q164" s="164">
        <v>3.306</v>
      </c>
      <c r="R164" s="174">
        <v>132232</v>
      </c>
      <c r="T164" s="155">
        <v>9722.4159999999993</v>
      </c>
      <c r="U164" s="166">
        <v>1.02E-4</v>
      </c>
      <c r="V164" s="166">
        <v>2.2178667750111E-2</v>
      </c>
      <c r="W164" s="166">
        <v>4.9976982702758998E-3</v>
      </c>
    </row>
    <row r="165" spans="1:23">
      <c r="A165" s="3">
        <v>161</v>
      </c>
      <c r="B165" s="3">
        <v>9943</v>
      </c>
      <c r="C165" s="3" t="s">
        <v>1306</v>
      </c>
      <c r="D165" s="3" t="s">
        <v>1307</v>
      </c>
      <c r="E165" s="5" t="s">
        <v>935</v>
      </c>
      <c r="F165" s="3" t="s">
        <v>1308</v>
      </c>
      <c r="G165" s="3" t="s">
        <v>1309</v>
      </c>
      <c r="H165" s="3" t="s">
        <v>152</v>
      </c>
      <c r="I165" s="3" t="s">
        <v>1261</v>
      </c>
      <c r="J165" s="3" t="s">
        <v>81</v>
      </c>
      <c r="K165" s="3" t="s">
        <v>1310</v>
      </c>
      <c r="L165" s="3" t="s">
        <v>1311</v>
      </c>
      <c r="M165" s="3" t="s">
        <v>1312</v>
      </c>
      <c r="N165" s="3" t="s">
        <v>156</v>
      </c>
      <c r="O165" s="3" t="s">
        <v>1245</v>
      </c>
      <c r="P165" s="156">
        <v>79606</v>
      </c>
      <c r="Q165" s="164">
        <v>3.8807</v>
      </c>
      <c r="R165" s="174">
        <v>5582</v>
      </c>
      <c r="T165" s="155">
        <v>17244.305</v>
      </c>
      <c r="U165" s="166">
        <v>5.6099999999999998E-4</v>
      </c>
      <c r="V165" s="166">
        <v>3.9337518594778902E-2</v>
      </c>
      <c r="W165" s="166">
        <v>8.8642406682470105E-3</v>
      </c>
    </row>
    <row r="166" spans="1:23">
      <c r="A166" s="3">
        <v>161</v>
      </c>
      <c r="B166" s="3">
        <v>9943</v>
      </c>
      <c r="C166" s="3" t="s">
        <v>1306</v>
      </c>
      <c r="D166" s="3" t="s">
        <v>1307</v>
      </c>
      <c r="E166" s="5" t="s">
        <v>935</v>
      </c>
      <c r="F166" s="3" t="s">
        <v>1402</v>
      </c>
      <c r="G166" s="3" t="s">
        <v>1403</v>
      </c>
      <c r="H166" s="3" t="s">
        <v>152</v>
      </c>
      <c r="I166" s="3" t="s">
        <v>1261</v>
      </c>
      <c r="J166" s="3" t="s">
        <v>81</v>
      </c>
      <c r="K166" s="3" t="s">
        <v>82</v>
      </c>
      <c r="L166" s="3" t="s">
        <v>1053</v>
      </c>
      <c r="M166" s="3" t="s">
        <v>1404</v>
      </c>
      <c r="N166" s="3" t="s">
        <v>156</v>
      </c>
      <c r="O166" s="3" t="s">
        <v>86</v>
      </c>
      <c r="P166" s="156">
        <v>178320</v>
      </c>
      <c r="Q166" s="164">
        <v>3.306</v>
      </c>
      <c r="R166" s="174">
        <v>711.4</v>
      </c>
      <c r="T166" s="155">
        <v>4193.8869999999997</v>
      </c>
      <c r="U166" s="166">
        <v>0</v>
      </c>
      <c r="V166" s="166">
        <v>9.5670495156619292E-3</v>
      </c>
      <c r="W166" s="166">
        <v>2.15582050981526E-3</v>
      </c>
    </row>
    <row r="167" spans="1:23">
      <c r="A167" s="3">
        <v>161</v>
      </c>
      <c r="B167" s="3">
        <v>9943</v>
      </c>
      <c r="C167" s="3" t="s">
        <v>1306</v>
      </c>
      <c r="D167" s="3" t="s">
        <v>1307</v>
      </c>
      <c r="E167" s="5" t="s">
        <v>935</v>
      </c>
      <c r="F167" s="3" t="s">
        <v>1405</v>
      </c>
      <c r="G167" s="3" t="s">
        <v>1406</v>
      </c>
      <c r="H167" s="3" t="s">
        <v>152</v>
      </c>
      <c r="I167" s="3" t="s">
        <v>1400</v>
      </c>
      <c r="J167" s="3" t="s">
        <v>81</v>
      </c>
      <c r="K167" s="3" t="s">
        <v>82</v>
      </c>
      <c r="L167" s="3" t="s">
        <v>1195</v>
      </c>
      <c r="M167" s="3" t="s">
        <v>1401</v>
      </c>
      <c r="N167" s="3" t="s">
        <v>156</v>
      </c>
      <c r="O167" s="3" t="s">
        <v>86</v>
      </c>
      <c r="P167" s="156">
        <v>116300</v>
      </c>
      <c r="Q167" s="164">
        <v>3.306</v>
      </c>
      <c r="R167" s="174">
        <v>624.1</v>
      </c>
      <c r="T167" s="155">
        <v>2399.5880000000002</v>
      </c>
      <c r="U167" s="166">
        <v>0</v>
      </c>
      <c r="V167" s="166">
        <v>5.47391441254218E-3</v>
      </c>
      <c r="W167" s="166">
        <v>1.2334813298721899E-3</v>
      </c>
    </row>
    <row r="168" spans="1:23">
      <c r="A168" s="3">
        <v>161</v>
      </c>
      <c r="B168" s="3">
        <v>9943</v>
      </c>
      <c r="C168" s="3" t="s">
        <v>1306</v>
      </c>
      <c r="D168" s="3" t="s">
        <v>1307</v>
      </c>
      <c r="E168" s="5" t="s">
        <v>935</v>
      </c>
      <c r="F168" s="3" t="s">
        <v>1407</v>
      </c>
      <c r="G168" s="3" t="s">
        <v>1408</v>
      </c>
      <c r="H168" s="3" t="s">
        <v>152</v>
      </c>
      <c r="I168" s="3" t="s">
        <v>1261</v>
      </c>
      <c r="J168" s="3" t="s">
        <v>81</v>
      </c>
      <c r="K168" s="3" t="s">
        <v>82</v>
      </c>
      <c r="L168" s="3" t="s">
        <v>1053</v>
      </c>
      <c r="M168" s="3" t="s">
        <v>1312</v>
      </c>
      <c r="N168" s="3" t="s">
        <v>156</v>
      </c>
      <c r="O168" s="3" t="s">
        <v>86</v>
      </c>
      <c r="P168" s="156">
        <v>8500</v>
      </c>
      <c r="Q168" s="164">
        <v>3.306</v>
      </c>
      <c r="R168" s="174">
        <v>10725</v>
      </c>
      <c r="T168" s="155">
        <v>3013.8319999999999</v>
      </c>
      <c r="U168" s="166">
        <v>3.3199999999999999E-4</v>
      </c>
      <c r="V168" s="166">
        <v>6.8751207776463997E-3</v>
      </c>
      <c r="W168" s="166">
        <v>1.5492264731820601E-3</v>
      </c>
    </row>
    <row r="169" spans="1:23">
      <c r="A169" s="3">
        <v>161</v>
      </c>
      <c r="B169" s="3">
        <v>9943</v>
      </c>
      <c r="C169" s="3" t="s">
        <v>1411</v>
      </c>
      <c r="D169" s="3" t="s">
        <v>1412</v>
      </c>
      <c r="E169" s="5" t="s">
        <v>935</v>
      </c>
      <c r="F169" s="3" t="s">
        <v>1413</v>
      </c>
      <c r="G169" s="3" t="s">
        <v>1414</v>
      </c>
      <c r="H169" s="3" t="s">
        <v>152</v>
      </c>
      <c r="I169" s="3" t="s">
        <v>1261</v>
      </c>
      <c r="J169" s="3" t="s">
        <v>81</v>
      </c>
      <c r="K169" s="3" t="s">
        <v>1186</v>
      </c>
      <c r="L169" s="3" t="s">
        <v>1053</v>
      </c>
      <c r="M169" s="3" t="s">
        <v>1415</v>
      </c>
      <c r="N169" s="3" t="s">
        <v>156</v>
      </c>
      <c r="O169" s="3" t="s">
        <v>86</v>
      </c>
      <c r="P169" s="156">
        <v>20560</v>
      </c>
      <c r="Q169" s="164">
        <v>3.306</v>
      </c>
      <c r="R169" s="174">
        <v>4201</v>
      </c>
      <c r="T169" s="155">
        <v>2855.4769999999999</v>
      </c>
      <c r="U169" s="166">
        <v>8.2999999999999998E-5</v>
      </c>
      <c r="V169" s="166">
        <v>6.5138821541150197E-3</v>
      </c>
      <c r="W169" s="166">
        <v>1.46782565757308E-3</v>
      </c>
    </row>
    <row r="170" spans="1:23">
      <c r="A170" s="3">
        <v>161</v>
      </c>
      <c r="B170" s="3">
        <v>9943</v>
      </c>
      <c r="C170" s="3" t="s">
        <v>1366</v>
      </c>
      <c r="D170" s="3" t="s">
        <v>1367</v>
      </c>
      <c r="E170" s="5" t="s">
        <v>935</v>
      </c>
      <c r="F170" s="3" t="s">
        <v>1368</v>
      </c>
      <c r="G170" s="3" t="s">
        <v>1369</v>
      </c>
      <c r="H170" s="3" t="s">
        <v>152</v>
      </c>
      <c r="I170" s="3" t="s">
        <v>1261</v>
      </c>
      <c r="J170" s="3" t="s">
        <v>81</v>
      </c>
      <c r="K170" s="3" t="s">
        <v>82</v>
      </c>
      <c r="L170" s="3" t="s">
        <v>1195</v>
      </c>
      <c r="M170" s="3" t="s">
        <v>1262</v>
      </c>
      <c r="N170" s="3" t="s">
        <v>156</v>
      </c>
      <c r="O170" s="3" t="s">
        <v>86</v>
      </c>
      <c r="P170" s="156">
        <v>1836</v>
      </c>
      <c r="Q170" s="164">
        <v>3.306</v>
      </c>
      <c r="R170" s="174">
        <v>47917</v>
      </c>
      <c r="T170" s="155">
        <v>2908.4740000000002</v>
      </c>
      <c r="U170" s="166">
        <v>2.0699999999999999E-4</v>
      </c>
      <c r="V170" s="166">
        <v>6.6347780939241202E-3</v>
      </c>
      <c r="W170" s="166">
        <v>1.49506811577999E-3</v>
      </c>
    </row>
    <row r="171" spans="1:23">
      <c r="A171" s="3">
        <v>161</v>
      </c>
      <c r="B171" s="3">
        <v>9943</v>
      </c>
      <c r="C171" s="3" t="s">
        <v>1301</v>
      </c>
      <c r="D171" s="3" t="s">
        <v>1302</v>
      </c>
      <c r="E171" s="5" t="s">
        <v>935</v>
      </c>
      <c r="F171" s="3" t="s">
        <v>1471</v>
      </c>
      <c r="G171" s="3" t="s">
        <v>1472</v>
      </c>
      <c r="H171" s="3" t="s">
        <v>152</v>
      </c>
      <c r="I171" s="3" t="s">
        <v>1400</v>
      </c>
      <c r="J171" s="3" t="s">
        <v>81</v>
      </c>
      <c r="K171" s="3" t="s">
        <v>82</v>
      </c>
      <c r="L171" s="3" t="s">
        <v>1473</v>
      </c>
      <c r="M171" s="3" t="s">
        <v>1401</v>
      </c>
      <c r="N171" s="3" t="s">
        <v>156</v>
      </c>
      <c r="O171" s="3" t="s">
        <v>86</v>
      </c>
      <c r="P171" s="156">
        <v>33490</v>
      </c>
      <c r="Q171" s="164">
        <v>3.306</v>
      </c>
      <c r="R171" s="174">
        <v>1153.5999999999999</v>
      </c>
      <c r="T171" s="155">
        <v>1277.242</v>
      </c>
      <c r="U171" s="166">
        <v>2.055E-3</v>
      </c>
      <c r="V171" s="166">
        <v>2.9136306719464802E-3</v>
      </c>
      <c r="W171" s="166">
        <v>6.5655192338308105E-4</v>
      </c>
    </row>
    <row r="172" spans="1:23">
      <c r="A172" s="3">
        <v>161</v>
      </c>
      <c r="B172" s="3">
        <v>9943</v>
      </c>
      <c r="C172" s="3" t="s">
        <v>1301</v>
      </c>
      <c r="D172" s="3" t="s">
        <v>1302</v>
      </c>
      <c r="E172" s="5" t="s">
        <v>935</v>
      </c>
      <c r="F172" s="3" t="s">
        <v>1315</v>
      </c>
      <c r="G172" s="3" t="s">
        <v>1316</v>
      </c>
      <c r="H172" s="3" t="s">
        <v>152</v>
      </c>
      <c r="I172" s="3" t="s">
        <v>1261</v>
      </c>
      <c r="J172" s="3" t="s">
        <v>81</v>
      </c>
      <c r="K172" s="3" t="s">
        <v>82</v>
      </c>
      <c r="L172" s="3" t="s">
        <v>1053</v>
      </c>
      <c r="M172" s="3" t="s">
        <v>1262</v>
      </c>
      <c r="N172" s="3" t="s">
        <v>156</v>
      </c>
      <c r="O172" s="3" t="s">
        <v>86</v>
      </c>
      <c r="P172" s="156">
        <v>40082</v>
      </c>
      <c r="Q172" s="164">
        <v>3.306</v>
      </c>
      <c r="R172" s="174">
        <v>7834</v>
      </c>
      <c r="T172" s="155">
        <v>10380.919</v>
      </c>
      <c r="U172" s="166">
        <v>1.3300000000000001E-4</v>
      </c>
      <c r="V172" s="166">
        <v>2.3680837427334501E-2</v>
      </c>
      <c r="W172" s="166">
        <v>5.3361942918632799E-3</v>
      </c>
    </row>
    <row r="173" spans="1:23">
      <c r="A173" s="3">
        <v>161</v>
      </c>
      <c r="B173" s="3">
        <v>9943</v>
      </c>
      <c r="C173" s="3" t="s">
        <v>1301</v>
      </c>
      <c r="D173" s="3" t="s">
        <v>1302</v>
      </c>
      <c r="E173" s="5" t="s">
        <v>935</v>
      </c>
      <c r="F173" s="3" t="s">
        <v>1370</v>
      </c>
      <c r="G173" s="3" t="s">
        <v>1371</v>
      </c>
      <c r="H173" s="3" t="s">
        <v>152</v>
      </c>
      <c r="I173" s="3" t="s">
        <v>1261</v>
      </c>
      <c r="J173" s="3" t="s">
        <v>81</v>
      </c>
      <c r="K173" s="3" t="s">
        <v>82</v>
      </c>
      <c r="L173" s="3" t="s">
        <v>1195</v>
      </c>
      <c r="M173" s="3" t="s">
        <v>1262</v>
      </c>
      <c r="N173" s="3" t="s">
        <v>156</v>
      </c>
      <c r="O173" s="3" t="s">
        <v>86</v>
      </c>
      <c r="P173" s="156">
        <v>359740</v>
      </c>
      <c r="Q173" s="164">
        <v>3.306</v>
      </c>
      <c r="R173" s="174">
        <v>1631</v>
      </c>
      <c r="T173" s="155">
        <v>19397.490000000002</v>
      </c>
      <c r="U173" s="166">
        <v>0</v>
      </c>
      <c r="V173" s="166">
        <v>4.4249339937867997E-2</v>
      </c>
      <c r="W173" s="166">
        <v>9.9710610285519002E-3</v>
      </c>
    </row>
    <row r="174" spans="1:23">
      <c r="A174" s="3">
        <v>161</v>
      </c>
      <c r="B174" s="3">
        <v>9943</v>
      </c>
      <c r="C174" s="3" t="s">
        <v>1301</v>
      </c>
      <c r="D174" s="3" t="s">
        <v>1302</v>
      </c>
      <c r="E174" s="5" t="s">
        <v>935</v>
      </c>
      <c r="F174" s="3" t="s">
        <v>1474</v>
      </c>
      <c r="G174" s="3" t="s">
        <v>1475</v>
      </c>
      <c r="H174" s="3" t="s">
        <v>152</v>
      </c>
      <c r="I174" s="3" t="s">
        <v>1400</v>
      </c>
      <c r="J174" s="3" t="s">
        <v>81</v>
      </c>
      <c r="K174" s="3" t="s">
        <v>82</v>
      </c>
      <c r="L174" s="3" t="s">
        <v>1195</v>
      </c>
      <c r="M174" s="3" t="s">
        <v>1401</v>
      </c>
      <c r="N174" s="3" t="s">
        <v>156</v>
      </c>
      <c r="O174" s="3" t="s">
        <v>86</v>
      </c>
      <c r="P174" s="156">
        <v>31520</v>
      </c>
      <c r="Q174" s="164">
        <v>3.306</v>
      </c>
      <c r="R174" s="174">
        <v>3013.5</v>
      </c>
      <c r="T174" s="155">
        <v>3140.221</v>
      </c>
      <c r="U174" s="166">
        <v>1.27E-4</v>
      </c>
      <c r="V174" s="166">
        <v>7.1634380598113003E-3</v>
      </c>
      <c r="W174" s="166">
        <v>1.61419533418856E-3</v>
      </c>
    </row>
    <row r="175" spans="1:23">
      <c r="A175" s="3">
        <v>161</v>
      </c>
      <c r="B175" s="3">
        <v>9943</v>
      </c>
      <c r="C175" s="3" t="s">
        <v>1301</v>
      </c>
      <c r="D175" s="3" t="s">
        <v>1302</v>
      </c>
      <c r="E175" s="5" t="s">
        <v>935</v>
      </c>
      <c r="F175" s="3" t="s">
        <v>1476</v>
      </c>
      <c r="G175" s="3" t="s">
        <v>1477</v>
      </c>
      <c r="H175" s="3" t="s">
        <v>152</v>
      </c>
      <c r="I175" s="3" t="s">
        <v>1261</v>
      </c>
      <c r="J175" s="3" t="s">
        <v>81</v>
      </c>
      <c r="K175" s="3" t="s">
        <v>82</v>
      </c>
      <c r="L175" s="3" t="s">
        <v>1195</v>
      </c>
      <c r="M175" s="3" t="s">
        <v>1312</v>
      </c>
      <c r="N175" s="3" t="s">
        <v>156</v>
      </c>
      <c r="O175" s="3" t="s">
        <v>86</v>
      </c>
      <c r="P175" s="156">
        <v>27930</v>
      </c>
      <c r="Q175" s="164">
        <v>3.306</v>
      </c>
      <c r="R175" s="174">
        <v>3513</v>
      </c>
      <c r="T175" s="155">
        <v>3243.7840000000001</v>
      </c>
      <c r="U175" s="166">
        <v>0</v>
      </c>
      <c r="V175" s="166">
        <v>7.3996842914792697E-3</v>
      </c>
      <c r="W175" s="166">
        <v>1.6674306049753E-3</v>
      </c>
    </row>
    <row r="176" spans="1:23">
      <c r="A176" s="3">
        <v>161</v>
      </c>
      <c r="B176" s="3">
        <v>9943</v>
      </c>
      <c r="C176" s="3" t="s">
        <v>1301</v>
      </c>
      <c r="D176" s="3" t="s">
        <v>1302</v>
      </c>
      <c r="E176" s="5" t="s">
        <v>935</v>
      </c>
      <c r="F176" s="3" t="s">
        <v>1317</v>
      </c>
      <c r="G176" s="3" t="s">
        <v>1318</v>
      </c>
      <c r="H176" s="3" t="s">
        <v>152</v>
      </c>
      <c r="I176" s="3" t="s">
        <v>1261</v>
      </c>
      <c r="J176" s="3" t="s">
        <v>81</v>
      </c>
      <c r="K176" s="3" t="s">
        <v>82</v>
      </c>
      <c r="L176" s="3" t="s">
        <v>1195</v>
      </c>
      <c r="M176" s="3" t="s">
        <v>1312</v>
      </c>
      <c r="N176" s="3" t="s">
        <v>156</v>
      </c>
      <c r="O176" s="3" t="s">
        <v>86</v>
      </c>
      <c r="P176" s="156">
        <v>11580</v>
      </c>
      <c r="Q176" s="164">
        <v>3.306</v>
      </c>
      <c r="R176" s="174">
        <v>6304</v>
      </c>
      <c r="T176" s="155">
        <v>2413.3910000000001</v>
      </c>
      <c r="U176" s="166">
        <v>3.4999999999999997E-5</v>
      </c>
      <c r="V176" s="166">
        <v>5.5053998827021599E-3</v>
      </c>
      <c r="W176" s="166">
        <v>1.2405762050707501E-3</v>
      </c>
    </row>
    <row r="177" spans="1:23">
      <c r="A177" s="3">
        <v>161</v>
      </c>
      <c r="B177" s="3">
        <v>9943</v>
      </c>
      <c r="C177" s="3" t="s">
        <v>1301</v>
      </c>
      <c r="D177" s="3" t="s">
        <v>1302</v>
      </c>
      <c r="E177" s="5" t="s">
        <v>935</v>
      </c>
      <c r="F177" s="3" t="s">
        <v>1419</v>
      </c>
      <c r="G177" s="3" t="s">
        <v>1420</v>
      </c>
      <c r="H177" s="3" t="s">
        <v>152</v>
      </c>
      <c r="I177" s="3" t="s">
        <v>1261</v>
      </c>
      <c r="J177" s="3" t="s">
        <v>81</v>
      </c>
      <c r="K177" s="3" t="s">
        <v>82</v>
      </c>
      <c r="L177" s="3" t="s">
        <v>1195</v>
      </c>
      <c r="M177" s="3" t="s">
        <v>1305</v>
      </c>
      <c r="N177" s="3" t="s">
        <v>156</v>
      </c>
      <c r="O177" s="3" t="s">
        <v>86</v>
      </c>
      <c r="P177" s="156">
        <v>22566</v>
      </c>
      <c r="Q177" s="164">
        <v>3.306</v>
      </c>
      <c r="R177" s="174">
        <v>15018</v>
      </c>
      <c r="T177" s="155">
        <v>11203.907999999999</v>
      </c>
      <c r="U177" s="166">
        <v>0</v>
      </c>
      <c r="V177" s="166">
        <v>2.5558230890815398E-2</v>
      </c>
      <c r="W177" s="166">
        <v>5.7592425186900999E-3</v>
      </c>
    </row>
    <row r="178" spans="1:23">
      <c r="A178" s="3">
        <v>161</v>
      </c>
      <c r="B178" s="3">
        <v>9943</v>
      </c>
      <c r="C178" s="3" t="s">
        <v>1319</v>
      </c>
      <c r="D178" s="3" t="s">
        <v>1320</v>
      </c>
      <c r="E178" s="5" t="s">
        <v>935</v>
      </c>
      <c r="F178" s="3" t="s">
        <v>1421</v>
      </c>
      <c r="G178" s="3" t="s">
        <v>1422</v>
      </c>
      <c r="H178" s="3" t="s">
        <v>152</v>
      </c>
      <c r="I178" s="3" t="s">
        <v>1400</v>
      </c>
      <c r="J178" s="3" t="s">
        <v>81</v>
      </c>
      <c r="K178" s="3" t="s">
        <v>82</v>
      </c>
      <c r="L178" s="3" t="s">
        <v>1195</v>
      </c>
      <c r="M178" s="3" t="s">
        <v>1401</v>
      </c>
      <c r="N178" s="3" t="s">
        <v>156</v>
      </c>
      <c r="O178" s="3" t="s">
        <v>86</v>
      </c>
      <c r="P178" s="156">
        <v>38600</v>
      </c>
      <c r="Q178" s="164">
        <v>3.306</v>
      </c>
      <c r="R178" s="174">
        <v>6073</v>
      </c>
      <c r="T178" s="155">
        <v>7749.8519999999999</v>
      </c>
      <c r="U178" s="166">
        <v>0</v>
      </c>
      <c r="V178" s="166">
        <v>1.7678877690170399E-2</v>
      </c>
      <c r="W178" s="166">
        <v>3.9837242456612996E-3</v>
      </c>
    </row>
    <row r="179" spans="1:23">
      <c r="A179" s="3">
        <v>161</v>
      </c>
      <c r="B179" s="3">
        <v>9943</v>
      </c>
      <c r="C179" s="3" t="s">
        <v>1319</v>
      </c>
      <c r="D179" s="3" t="s">
        <v>1320</v>
      </c>
      <c r="E179" s="5" t="s">
        <v>935</v>
      </c>
      <c r="F179" s="3" t="s">
        <v>1423</v>
      </c>
      <c r="G179" s="3" t="s">
        <v>1424</v>
      </c>
      <c r="H179" s="3" t="s">
        <v>152</v>
      </c>
      <c r="I179" s="3" t="s">
        <v>1261</v>
      </c>
      <c r="J179" s="3" t="s">
        <v>81</v>
      </c>
      <c r="K179" s="3" t="s">
        <v>1338</v>
      </c>
      <c r="L179" s="3" t="s">
        <v>1195</v>
      </c>
      <c r="M179" s="3" t="s">
        <v>1339</v>
      </c>
      <c r="N179" s="3" t="s">
        <v>156</v>
      </c>
      <c r="O179" s="3" t="s">
        <v>86</v>
      </c>
      <c r="P179" s="156">
        <v>8550</v>
      </c>
      <c r="Q179" s="164">
        <v>3.306</v>
      </c>
      <c r="R179" s="174">
        <v>7792</v>
      </c>
      <c r="T179" s="155">
        <v>2202.5100000000002</v>
      </c>
      <c r="U179" s="166">
        <v>0</v>
      </c>
      <c r="V179" s="166">
        <v>5.0243416580287598E-3</v>
      </c>
      <c r="W179" s="166">
        <v>1.13217547133686E-3</v>
      </c>
    </row>
    <row r="180" spans="1:23">
      <c r="A180" s="3">
        <v>161</v>
      </c>
      <c r="B180" s="3">
        <v>9943</v>
      </c>
      <c r="C180" s="3" t="s">
        <v>1319</v>
      </c>
      <c r="D180" s="3" t="s">
        <v>1320</v>
      </c>
      <c r="E180" s="5" t="s">
        <v>935</v>
      </c>
      <c r="F180" s="3" t="s">
        <v>1478</v>
      </c>
      <c r="G180" s="3" t="s">
        <v>1424</v>
      </c>
      <c r="H180" s="3" t="s">
        <v>152</v>
      </c>
      <c r="I180" s="3" t="s">
        <v>1261</v>
      </c>
      <c r="J180" s="3" t="s">
        <v>81</v>
      </c>
      <c r="K180" s="3" t="s">
        <v>1310</v>
      </c>
      <c r="L180" s="3" t="s">
        <v>1053</v>
      </c>
      <c r="M180" s="3" t="s">
        <v>1339</v>
      </c>
      <c r="N180" s="3" t="s">
        <v>156</v>
      </c>
      <c r="O180" s="3" t="s">
        <v>1245</v>
      </c>
      <c r="P180" s="156">
        <v>23850</v>
      </c>
      <c r="Q180" s="164">
        <v>3.8807</v>
      </c>
      <c r="R180" s="174">
        <v>6640</v>
      </c>
      <c r="T180" s="155">
        <v>6145.6319999999996</v>
      </c>
      <c r="U180" s="166">
        <v>0</v>
      </c>
      <c r="V180" s="166">
        <v>1.4019347136005399E-2</v>
      </c>
      <c r="W180" s="166">
        <v>3.15909267957092E-3</v>
      </c>
    </row>
    <row r="181" spans="1:23">
      <c r="A181" s="3">
        <v>161</v>
      </c>
      <c r="B181" s="3">
        <v>9943</v>
      </c>
      <c r="C181" s="3" t="s">
        <v>1319</v>
      </c>
      <c r="D181" s="3" t="s">
        <v>1320</v>
      </c>
      <c r="E181" s="5" t="s">
        <v>935</v>
      </c>
      <c r="F181" s="3" t="s">
        <v>1321</v>
      </c>
      <c r="G181" s="3" t="s">
        <v>1322</v>
      </c>
      <c r="H181" s="3" t="s">
        <v>152</v>
      </c>
      <c r="I181" s="3" t="s">
        <v>1261</v>
      </c>
      <c r="J181" s="3" t="s">
        <v>81</v>
      </c>
      <c r="K181" s="3" t="s">
        <v>82</v>
      </c>
      <c r="L181" s="3" t="s">
        <v>1053</v>
      </c>
      <c r="M181" s="3" t="s">
        <v>1262</v>
      </c>
      <c r="N181" s="3" t="s">
        <v>156</v>
      </c>
      <c r="O181" s="3" t="s">
        <v>86</v>
      </c>
      <c r="P181" s="156">
        <v>2267</v>
      </c>
      <c r="Q181" s="164">
        <v>3.306</v>
      </c>
      <c r="R181" s="174">
        <v>61238</v>
      </c>
      <c r="S181" s="155">
        <v>3.9449999999999998</v>
      </c>
      <c r="T181" s="155">
        <v>4602.6459999999997</v>
      </c>
      <c r="U181" s="166">
        <v>3.0000000000000001E-6</v>
      </c>
      <c r="V181" s="166">
        <v>1.0499506017114401E-2</v>
      </c>
      <c r="W181" s="166">
        <v>2.3659384617554999E-3</v>
      </c>
    </row>
    <row r="182" spans="1:23">
      <c r="A182" s="3">
        <v>161</v>
      </c>
      <c r="B182" s="3">
        <v>9943</v>
      </c>
      <c r="C182" s="3" t="s">
        <v>1425</v>
      </c>
      <c r="D182" s="3" t="s">
        <v>1426</v>
      </c>
      <c r="E182" s="5" t="s">
        <v>935</v>
      </c>
      <c r="F182" s="3" t="s">
        <v>1427</v>
      </c>
      <c r="G182" s="3" t="s">
        <v>1428</v>
      </c>
      <c r="H182" s="3" t="s">
        <v>152</v>
      </c>
      <c r="I182" s="3" t="s">
        <v>1261</v>
      </c>
      <c r="J182" s="3" t="s">
        <v>81</v>
      </c>
      <c r="K182" s="3" t="s">
        <v>1429</v>
      </c>
      <c r="L182" s="3" t="s">
        <v>1053</v>
      </c>
      <c r="M182" s="3" t="s">
        <v>1430</v>
      </c>
      <c r="N182" s="3" t="s">
        <v>156</v>
      </c>
      <c r="O182" s="3" t="s">
        <v>86</v>
      </c>
      <c r="P182" s="156">
        <v>17800</v>
      </c>
      <c r="Q182" s="164">
        <v>3.306</v>
      </c>
      <c r="R182" s="174">
        <v>12803</v>
      </c>
      <c r="T182" s="155">
        <v>7534.1559999999999</v>
      </c>
      <c r="U182" s="166">
        <v>5.6400000000000005E-4</v>
      </c>
      <c r="V182" s="166">
        <v>1.71868328471519E-2</v>
      </c>
      <c r="W182" s="166">
        <v>3.8728478085119401E-3</v>
      </c>
    </row>
    <row r="183" spans="1:23">
      <c r="A183" s="3">
        <v>161</v>
      </c>
      <c r="B183" s="3">
        <v>9943</v>
      </c>
      <c r="C183" s="3" t="s">
        <v>1301</v>
      </c>
      <c r="D183" s="3" t="s">
        <v>1302</v>
      </c>
      <c r="E183" s="5" t="s">
        <v>935</v>
      </c>
      <c r="F183" s="3" t="s">
        <v>1395</v>
      </c>
      <c r="G183" s="3" t="s">
        <v>1396</v>
      </c>
      <c r="H183" s="3" t="s">
        <v>152</v>
      </c>
      <c r="I183" s="3" t="s">
        <v>1261</v>
      </c>
      <c r="J183" s="3" t="s">
        <v>81</v>
      </c>
      <c r="K183" s="3" t="s">
        <v>82</v>
      </c>
      <c r="L183" s="3" t="s">
        <v>1053</v>
      </c>
      <c r="M183" s="3" t="s">
        <v>1397</v>
      </c>
      <c r="N183" s="3" t="s">
        <v>156</v>
      </c>
      <c r="O183" s="3" t="s">
        <v>86</v>
      </c>
      <c r="P183" s="156">
        <v>31980</v>
      </c>
      <c r="Q183" s="164">
        <v>3.306</v>
      </c>
      <c r="R183" s="174">
        <v>5387</v>
      </c>
      <c r="T183" s="155">
        <v>5695.4530000000004</v>
      </c>
      <c r="U183" s="166">
        <v>3.6000000000000001E-5</v>
      </c>
      <c r="V183" s="166">
        <v>1.2992404712696699E-2</v>
      </c>
      <c r="W183" s="166">
        <v>2.9276834519983098E-3</v>
      </c>
    </row>
    <row r="184" spans="1:23">
      <c r="A184" s="3">
        <v>161</v>
      </c>
      <c r="B184" s="3">
        <v>9943</v>
      </c>
      <c r="C184" s="3" t="s">
        <v>1332</v>
      </c>
      <c r="D184" s="3" t="s">
        <v>1333</v>
      </c>
      <c r="E184" s="5" t="s">
        <v>935</v>
      </c>
      <c r="F184" s="3" t="s">
        <v>1363</v>
      </c>
      <c r="G184" s="3" t="s">
        <v>1364</v>
      </c>
      <c r="H184" s="3" t="s">
        <v>152</v>
      </c>
      <c r="I184" s="3" t="s">
        <v>1261</v>
      </c>
      <c r="J184" s="3" t="s">
        <v>81</v>
      </c>
      <c r="K184" s="3" t="s">
        <v>82</v>
      </c>
      <c r="L184" s="3" t="s">
        <v>1029</v>
      </c>
      <c r="M184" s="3" t="s">
        <v>1331</v>
      </c>
      <c r="N184" s="3" t="s">
        <v>156</v>
      </c>
      <c r="O184" s="3" t="s">
        <v>86</v>
      </c>
      <c r="P184" s="156">
        <v>5573</v>
      </c>
      <c r="Q184" s="164">
        <v>3.306</v>
      </c>
      <c r="R184" s="174">
        <v>60037</v>
      </c>
      <c r="S184" s="155">
        <v>2.9009999999999998</v>
      </c>
      <c r="T184" s="155">
        <v>11071.009</v>
      </c>
      <c r="U184" s="166">
        <v>1.0000000000000001E-5</v>
      </c>
      <c r="V184" s="166">
        <v>2.5255063121522502E-2</v>
      </c>
      <c r="W184" s="166">
        <v>5.6909272775191701E-3</v>
      </c>
    </row>
    <row r="185" spans="1:23">
      <c r="A185" s="3">
        <v>161</v>
      </c>
      <c r="B185" s="3">
        <v>9943</v>
      </c>
      <c r="C185" s="3" t="s">
        <v>1306</v>
      </c>
      <c r="D185" s="3" t="s">
        <v>1307</v>
      </c>
      <c r="E185" s="5" t="s">
        <v>935</v>
      </c>
      <c r="F185" s="3" t="s">
        <v>1479</v>
      </c>
      <c r="G185" s="3" t="s">
        <v>1480</v>
      </c>
      <c r="H185" s="3" t="s">
        <v>152</v>
      </c>
      <c r="I185" s="3" t="s">
        <v>1261</v>
      </c>
      <c r="J185" s="3" t="s">
        <v>81</v>
      </c>
      <c r="K185" s="3" t="s">
        <v>82</v>
      </c>
      <c r="L185" s="3" t="s">
        <v>1029</v>
      </c>
      <c r="M185" s="3" t="s">
        <v>1312</v>
      </c>
      <c r="N185" s="3" t="s">
        <v>156</v>
      </c>
      <c r="O185" s="3" t="s">
        <v>86</v>
      </c>
      <c r="P185" s="156">
        <v>7120</v>
      </c>
      <c r="Q185" s="164">
        <v>3.306</v>
      </c>
      <c r="R185" s="174">
        <v>27112</v>
      </c>
      <c r="T185" s="155">
        <v>6381.8180000000002</v>
      </c>
      <c r="U185" s="166">
        <v>4.0999999999999999E-4</v>
      </c>
      <c r="V185" s="166">
        <v>1.45581320675461E-2</v>
      </c>
      <c r="W185" s="166">
        <v>3.28050143823715E-3</v>
      </c>
    </row>
    <row r="186" spans="1:23">
      <c r="A186" s="3">
        <v>161</v>
      </c>
      <c r="B186" s="3">
        <v>9943</v>
      </c>
      <c r="C186" s="3" t="s">
        <v>1481</v>
      </c>
      <c r="D186" s="3" t="s">
        <v>1482</v>
      </c>
      <c r="E186" s="5" t="s">
        <v>935</v>
      </c>
      <c r="F186" s="3" t="s">
        <v>1483</v>
      </c>
      <c r="G186" s="3" t="s">
        <v>1484</v>
      </c>
      <c r="H186" s="3" t="s">
        <v>152</v>
      </c>
      <c r="I186" s="3" t="s">
        <v>1261</v>
      </c>
      <c r="J186" s="3" t="s">
        <v>81</v>
      </c>
      <c r="K186" s="3" t="s">
        <v>1310</v>
      </c>
      <c r="L186" s="3" t="s">
        <v>1473</v>
      </c>
      <c r="M186" s="3" t="s">
        <v>1394</v>
      </c>
      <c r="N186" s="3" t="s">
        <v>156</v>
      </c>
      <c r="O186" s="3" t="s">
        <v>86</v>
      </c>
      <c r="P186" s="156">
        <v>15000</v>
      </c>
      <c r="Q186" s="164">
        <v>3.306</v>
      </c>
      <c r="R186" s="174">
        <v>4695</v>
      </c>
      <c r="T186" s="155">
        <v>2328.2510000000002</v>
      </c>
      <c r="U186" s="166">
        <v>0</v>
      </c>
      <c r="V186" s="166">
        <v>5.3111792761908402E-3</v>
      </c>
      <c r="W186" s="166">
        <v>1.19681090770708E-3</v>
      </c>
    </row>
    <row r="187" spans="1:23">
      <c r="A187" s="3">
        <v>161</v>
      </c>
      <c r="B187" s="3">
        <v>9943</v>
      </c>
      <c r="C187" s="3" t="s">
        <v>1301</v>
      </c>
      <c r="D187" s="3" t="s">
        <v>1302</v>
      </c>
      <c r="E187" s="5" t="s">
        <v>935</v>
      </c>
      <c r="F187" s="3" t="s">
        <v>1485</v>
      </c>
      <c r="G187" s="3" t="s">
        <v>1486</v>
      </c>
      <c r="H187" s="3" t="s">
        <v>152</v>
      </c>
      <c r="I187" s="3" t="s">
        <v>1400</v>
      </c>
      <c r="J187" s="3" t="s">
        <v>81</v>
      </c>
      <c r="K187" s="3" t="s">
        <v>82</v>
      </c>
      <c r="L187" s="3" t="s">
        <v>1195</v>
      </c>
      <c r="M187" s="3" t="s">
        <v>1401</v>
      </c>
      <c r="N187" s="3" t="s">
        <v>156</v>
      </c>
      <c r="O187" s="3" t="s">
        <v>86</v>
      </c>
      <c r="P187" s="156">
        <v>21700</v>
      </c>
      <c r="Q187" s="164">
        <v>3.306</v>
      </c>
      <c r="R187" s="174">
        <v>4980.5</v>
      </c>
      <c r="T187" s="155">
        <v>3573.0210000000002</v>
      </c>
      <c r="U187" s="166">
        <v>0</v>
      </c>
      <c r="V187" s="166">
        <v>8.1507351928432493E-3</v>
      </c>
      <c r="W187" s="166">
        <v>1.8366709684149399E-3</v>
      </c>
    </row>
    <row r="188" spans="1:23">
      <c r="A188" s="3">
        <v>161</v>
      </c>
      <c r="B188" s="3">
        <v>9943</v>
      </c>
      <c r="C188" s="3" t="s">
        <v>1301</v>
      </c>
      <c r="D188" s="3" t="s">
        <v>1302</v>
      </c>
      <c r="E188" s="5" t="s">
        <v>935</v>
      </c>
      <c r="F188" s="3" t="s">
        <v>1487</v>
      </c>
      <c r="G188" s="3" t="s">
        <v>1488</v>
      </c>
      <c r="H188" s="3" t="s">
        <v>152</v>
      </c>
      <c r="I188" s="3" t="s">
        <v>1261</v>
      </c>
      <c r="J188" s="3" t="s">
        <v>81</v>
      </c>
      <c r="K188" s="3" t="s">
        <v>82</v>
      </c>
      <c r="L188" s="3" t="s">
        <v>1053</v>
      </c>
      <c r="M188" s="3" t="s">
        <v>1262</v>
      </c>
      <c r="N188" s="3" t="s">
        <v>156</v>
      </c>
      <c r="O188" s="3" t="s">
        <v>86</v>
      </c>
      <c r="P188" s="156">
        <v>21225</v>
      </c>
      <c r="Q188" s="164">
        <v>3.306</v>
      </c>
      <c r="R188" s="174">
        <v>66618</v>
      </c>
      <c r="S188" s="155">
        <v>29.149000000000001</v>
      </c>
      <c r="T188" s="155">
        <v>46842.116999999998</v>
      </c>
      <c r="U188" s="166">
        <v>2.0000000000000002E-5</v>
      </c>
      <c r="V188" s="166">
        <v>0.106855719403997</v>
      </c>
      <c r="W188" s="166">
        <v>2.4078661985085702E-2</v>
      </c>
    </row>
    <row r="189" spans="1:23">
      <c r="A189" s="3">
        <v>161</v>
      </c>
      <c r="B189" s="3">
        <v>9943</v>
      </c>
      <c r="C189" s="3" t="s">
        <v>1319</v>
      </c>
      <c r="D189" s="3" t="s">
        <v>1320</v>
      </c>
      <c r="E189" s="5" t="s">
        <v>935</v>
      </c>
      <c r="F189" s="3" t="s">
        <v>1321</v>
      </c>
      <c r="G189" s="3" t="s">
        <v>1322</v>
      </c>
      <c r="H189" s="3" t="s">
        <v>152</v>
      </c>
      <c r="I189" s="3" t="s">
        <v>1261</v>
      </c>
      <c r="J189" s="3" t="s">
        <v>81</v>
      </c>
      <c r="K189" s="3" t="s">
        <v>82</v>
      </c>
      <c r="L189" s="3" t="s">
        <v>1053</v>
      </c>
      <c r="M189" s="3" t="s">
        <v>1262</v>
      </c>
      <c r="N189" s="3" t="s">
        <v>156</v>
      </c>
      <c r="O189" s="3" t="s">
        <v>86</v>
      </c>
      <c r="P189" s="156">
        <v>2657</v>
      </c>
      <c r="Q189" s="164">
        <v>3.306</v>
      </c>
      <c r="R189" s="174">
        <v>61238</v>
      </c>
      <c r="S189" s="155">
        <v>4.6230000000000002</v>
      </c>
      <c r="T189" s="155">
        <v>5394.4560000000001</v>
      </c>
      <c r="U189" s="166">
        <v>3.0000000000000001E-6</v>
      </c>
      <c r="V189" s="166">
        <v>1.23057730425553E-2</v>
      </c>
      <c r="W189" s="166">
        <v>2.7729591940381E-3</v>
      </c>
    </row>
    <row r="190" spans="1:23">
      <c r="A190" s="3">
        <v>161</v>
      </c>
      <c r="B190" s="3">
        <v>12468</v>
      </c>
      <c r="C190" s="3" t="s">
        <v>1249</v>
      </c>
      <c r="D190" s="3" t="s">
        <v>1250</v>
      </c>
      <c r="E190" s="5" t="s">
        <v>149</v>
      </c>
      <c r="F190" s="3" t="s">
        <v>1251</v>
      </c>
      <c r="G190" s="3" t="s">
        <v>1252</v>
      </c>
      <c r="H190" s="3" t="s">
        <v>152</v>
      </c>
      <c r="I190" s="3" t="s">
        <v>1253</v>
      </c>
      <c r="J190" s="3" t="s">
        <v>30</v>
      </c>
      <c r="K190" s="3" t="s">
        <v>30</v>
      </c>
      <c r="L190" s="3" t="s">
        <v>31</v>
      </c>
      <c r="M190" s="3" t="s">
        <v>1254</v>
      </c>
      <c r="N190" s="3" t="s">
        <v>156</v>
      </c>
      <c r="O190" s="3" t="s">
        <v>34</v>
      </c>
      <c r="P190" s="156">
        <v>9267</v>
      </c>
      <c r="Q190" s="164">
        <v>1</v>
      </c>
      <c r="R190" s="174">
        <v>5003</v>
      </c>
      <c r="T190" s="155">
        <v>463.62799999999999</v>
      </c>
      <c r="U190" s="166">
        <v>9.7999999999999997E-5</v>
      </c>
      <c r="V190" s="166">
        <v>4.2324859049985203E-2</v>
      </c>
      <c r="W190" s="166">
        <v>1.94945660262365E-2</v>
      </c>
    </row>
    <row r="191" spans="1:23">
      <c r="A191" s="3">
        <v>161</v>
      </c>
      <c r="B191" s="3">
        <v>12468</v>
      </c>
      <c r="C191" s="3" t="s">
        <v>1249</v>
      </c>
      <c r="D191" s="3" t="s">
        <v>1250</v>
      </c>
      <c r="E191" s="5" t="s">
        <v>149</v>
      </c>
      <c r="F191" s="3" t="s">
        <v>1259</v>
      </c>
      <c r="G191" s="3" t="s">
        <v>1260</v>
      </c>
      <c r="H191" s="3" t="s">
        <v>152</v>
      </c>
      <c r="I191" s="3" t="s">
        <v>1261</v>
      </c>
      <c r="J191" s="3" t="s">
        <v>30</v>
      </c>
      <c r="K191" s="3" t="s">
        <v>82</v>
      </c>
      <c r="L191" s="3" t="s">
        <v>31</v>
      </c>
      <c r="M191" s="3" t="s">
        <v>1262</v>
      </c>
      <c r="N191" s="3" t="s">
        <v>156</v>
      </c>
      <c r="O191" s="3" t="s">
        <v>34</v>
      </c>
      <c r="P191" s="156">
        <v>207</v>
      </c>
      <c r="Q191" s="164">
        <v>1</v>
      </c>
      <c r="R191" s="174">
        <v>8410</v>
      </c>
      <c r="T191" s="155">
        <v>17.408999999999999</v>
      </c>
      <c r="U191" s="166">
        <v>7.9999999999999996E-6</v>
      </c>
      <c r="V191" s="166">
        <v>1.58924991124561E-3</v>
      </c>
      <c r="W191" s="166">
        <v>7.3199859426298299E-4</v>
      </c>
    </row>
    <row r="192" spans="1:23">
      <c r="A192" s="3">
        <v>161</v>
      </c>
      <c r="B192" s="3">
        <v>12468</v>
      </c>
      <c r="C192" s="3" t="s">
        <v>1263</v>
      </c>
      <c r="D192" s="3" t="s">
        <v>1264</v>
      </c>
      <c r="E192" s="5" t="s">
        <v>149</v>
      </c>
      <c r="F192" s="3" t="s">
        <v>1340</v>
      </c>
      <c r="G192" s="3" t="s">
        <v>1341</v>
      </c>
      <c r="H192" s="3" t="s">
        <v>152</v>
      </c>
      <c r="I192" s="3" t="s">
        <v>1261</v>
      </c>
      <c r="J192" s="3" t="s">
        <v>30</v>
      </c>
      <c r="K192" s="3" t="s">
        <v>82</v>
      </c>
      <c r="L192" s="3" t="s">
        <v>31</v>
      </c>
      <c r="M192" s="3" t="s">
        <v>1262</v>
      </c>
      <c r="N192" s="3" t="s">
        <v>156</v>
      </c>
      <c r="O192" s="3" t="s">
        <v>34</v>
      </c>
      <c r="P192" s="156">
        <v>110</v>
      </c>
      <c r="Q192" s="164">
        <v>1</v>
      </c>
      <c r="R192" s="174">
        <v>6378</v>
      </c>
      <c r="T192" s="155">
        <v>7.016</v>
      </c>
      <c r="U192" s="166">
        <v>9.9999999999999995E-7</v>
      </c>
      <c r="V192" s="166">
        <v>6.40476286415236E-4</v>
      </c>
      <c r="W192" s="166">
        <v>2.9499938178211102E-4</v>
      </c>
    </row>
    <row r="193" spans="1:23">
      <c r="A193" s="3">
        <v>161</v>
      </c>
      <c r="B193" s="3">
        <v>12468</v>
      </c>
      <c r="C193" s="3" t="s">
        <v>1263</v>
      </c>
      <c r="D193" s="3" t="s">
        <v>1264</v>
      </c>
      <c r="E193" s="5" t="s">
        <v>149</v>
      </c>
      <c r="F193" s="3" t="s">
        <v>1378</v>
      </c>
      <c r="G193" s="3" t="s">
        <v>1379</v>
      </c>
      <c r="H193" s="3" t="s">
        <v>152</v>
      </c>
      <c r="I193" s="3" t="s">
        <v>1261</v>
      </c>
      <c r="J193" s="3" t="s">
        <v>30</v>
      </c>
      <c r="K193" s="3" t="s">
        <v>82</v>
      </c>
      <c r="L193" s="3" t="s">
        <v>31</v>
      </c>
      <c r="M193" s="3" t="s">
        <v>1262</v>
      </c>
      <c r="N193" s="3" t="s">
        <v>156</v>
      </c>
      <c r="O193" s="3" t="s">
        <v>34</v>
      </c>
      <c r="P193" s="156">
        <v>28000</v>
      </c>
      <c r="Q193" s="164">
        <v>1</v>
      </c>
      <c r="R193" s="174">
        <v>2569</v>
      </c>
      <c r="T193" s="155">
        <v>719.32</v>
      </c>
      <c r="U193" s="166">
        <v>7.3999999999999996E-5</v>
      </c>
      <c r="V193" s="166">
        <v>6.5667123114143494E-2</v>
      </c>
      <c r="W193" s="166">
        <v>3.0245867228756201E-2</v>
      </c>
    </row>
    <row r="194" spans="1:23">
      <c r="A194" s="3">
        <v>161</v>
      </c>
      <c r="B194" s="3">
        <v>12468</v>
      </c>
      <c r="C194" s="3" t="s">
        <v>1263</v>
      </c>
      <c r="D194" s="3" t="s">
        <v>1264</v>
      </c>
      <c r="E194" s="5" t="s">
        <v>149</v>
      </c>
      <c r="F194" s="3" t="s">
        <v>1265</v>
      </c>
      <c r="G194" s="3" t="s">
        <v>1266</v>
      </c>
      <c r="H194" s="3" t="s">
        <v>152</v>
      </c>
      <c r="I194" s="3" t="s">
        <v>1253</v>
      </c>
      <c r="J194" s="3" t="s">
        <v>30</v>
      </c>
      <c r="K194" s="3" t="s">
        <v>30</v>
      </c>
      <c r="L194" s="3" t="s">
        <v>31</v>
      </c>
      <c r="M194" s="3" t="s">
        <v>1267</v>
      </c>
      <c r="N194" s="3" t="s">
        <v>156</v>
      </c>
      <c r="O194" s="3" t="s">
        <v>34</v>
      </c>
      <c r="P194" s="156">
        <v>22200</v>
      </c>
      <c r="Q194" s="164">
        <v>1</v>
      </c>
      <c r="R194" s="174">
        <v>3165</v>
      </c>
      <c r="T194" s="155">
        <v>702.63</v>
      </c>
      <c r="U194" s="166">
        <v>8.8999999999999995E-5</v>
      </c>
      <c r="V194" s="166">
        <v>6.4143483725867007E-2</v>
      </c>
      <c r="W194" s="166">
        <v>2.95440884320483E-2</v>
      </c>
    </row>
    <row r="195" spans="1:23">
      <c r="A195" s="3">
        <v>161</v>
      </c>
      <c r="B195" s="3">
        <v>12468</v>
      </c>
      <c r="C195" s="3" t="s">
        <v>1263</v>
      </c>
      <c r="D195" s="3" t="s">
        <v>1264</v>
      </c>
      <c r="E195" s="5" t="s">
        <v>149</v>
      </c>
      <c r="F195" s="3" t="s">
        <v>1489</v>
      </c>
      <c r="G195" s="3" t="s">
        <v>1490</v>
      </c>
      <c r="H195" s="3" t="s">
        <v>152</v>
      </c>
      <c r="I195" s="3" t="s">
        <v>1253</v>
      </c>
      <c r="J195" s="3" t="s">
        <v>30</v>
      </c>
      <c r="K195" s="3" t="s">
        <v>30</v>
      </c>
      <c r="L195" s="3" t="s">
        <v>31</v>
      </c>
      <c r="M195" s="3" t="s">
        <v>1287</v>
      </c>
      <c r="N195" s="3" t="s">
        <v>156</v>
      </c>
      <c r="O195" s="3" t="s">
        <v>34</v>
      </c>
      <c r="P195" s="156">
        <v>3900</v>
      </c>
      <c r="Q195" s="164">
        <v>1</v>
      </c>
      <c r="R195" s="174">
        <v>6809</v>
      </c>
      <c r="T195" s="155">
        <v>265.55099999999999</v>
      </c>
      <c r="U195" s="166">
        <v>5.1999999999999997E-5</v>
      </c>
      <c r="V195" s="166">
        <v>2.42422985737695E-2</v>
      </c>
      <c r="W195" s="166">
        <v>1.11658514825995E-2</v>
      </c>
    </row>
    <row r="196" spans="1:23">
      <c r="A196" s="3">
        <v>161</v>
      </c>
      <c r="B196" s="3">
        <v>12468</v>
      </c>
      <c r="C196" s="3" t="s">
        <v>1263</v>
      </c>
      <c r="D196" s="3" t="s">
        <v>1264</v>
      </c>
      <c r="E196" s="5" t="s">
        <v>149</v>
      </c>
      <c r="F196" s="3" t="s">
        <v>1274</v>
      </c>
      <c r="G196" s="3" t="s">
        <v>1275</v>
      </c>
      <c r="H196" s="3" t="s">
        <v>152</v>
      </c>
      <c r="I196" s="3" t="s">
        <v>1253</v>
      </c>
      <c r="J196" s="3" t="s">
        <v>30</v>
      </c>
      <c r="K196" s="3" t="s">
        <v>30</v>
      </c>
      <c r="L196" s="3" t="s">
        <v>31</v>
      </c>
      <c r="M196" s="3" t="s">
        <v>1254</v>
      </c>
      <c r="N196" s="3" t="s">
        <v>156</v>
      </c>
      <c r="O196" s="3" t="s">
        <v>34</v>
      </c>
      <c r="P196" s="156">
        <v>12600</v>
      </c>
      <c r="Q196" s="164">
        <v>1</v>
      </c>
      <c r="R196" s="174">
        <v>3192</v>
      </c>
      <c r="T196" s="155">
        <v>402.19200000000001</v>
      </c>
      <c r="U196" s="166">
        <v>6.0999999999999999E-5</v>
      </c>
      <c r="V196" s="166">
        <v>3.6716331506872597E-2</v>
      </c>
      <c r="W196" s="166">
        <v>1.69113132298114E-2</v>
      </c>
    </row>
    <row r="197" spans="1:23">
      <c r="A197" s="3">
        <v>161</v>
      </c>
      <c r="B197" s="3">
        <v>12468</v>
      </c>
      <c r="C197" s="3" t="s">
        <v>1342</v>
      </c>
      <c r="D197" s="3" t="s">
        <v>1343</v>
      </c>
      <c r="E197" s="5" t="s">
        <v>149</v>
      </c>
      <c r="F197" s="3" t="s">
        <v>1344</v>
      </c>
      <c r="G197" s="3" t="s">
        <v>1345</v>
      </c>
      <c r="H197" s="3" t="s">
        <v>152</v>
      </c>
      <c r="I197" s="3" t="s">
        <v>1261</v>
      </c>
      <c r="J197" s="3" t="s">
        <v>30</v>
      </c>
      <c r="K197" s="3" t="s">
        <v>82</v>
      </c>
      <c r="L197" s="3" t="s">
        <v>31</v>
      </c>
      <c r="M197" s="3" t="s">
        <v>1262</v>
      </c>
      <c r="N197" s="3" t="s">
        <v>156</v>
      </c>
      <c r="O197" s="3" t="s">
        <v>34</v>
      </c>
      <c r="P197" s="156">
        <v>2205</v>
      </c>
      <c r="Q197" s="164">
        <v>1</v>
      </c>
      <c r="R197" s="174">
        <v>6614</v>
      </c>
      <c r="T197" s="155">
        <v>145.839</v>
      </c>
      <c r="U197" s="166">
        <v>0</v>
      </c>
      <c r="V197" s="166">
        <v>1.3313696084783701E-2</v>
      </c>
      <c r="W197" s="166">
        <v>6.1322053564677901E-3</v>
      </c>
    </row>
    <row r="198" spans="1:23">
      <c r="A198" s="3">
        <v>161</v>
      </c>
      <c r="B198" s="3">
        <v>12468</v>
      </c>
      <c r="C198" s="3" t="s">
        <v>1276</v>
      </c>
      <c r="D198" s="3" t="s">
        <v>1277</v>
      </c>
      <c r="E198" s="5" t="s">
        <v>149</v>
      </c>
      <c r="F198" s="3" t="s">
        <v>1278</v>
      </c>
      <c r="G198" s="3" t="s">
        <v>1279</v>
      </c>
      <c r="H198" s="3" t="s">
        <v>152</v>
      </c>
      <c r="I198" s="3" t="s">
        <v>1253</v>
      </c>
      <c r="J198" s="3" t="s">
        <v>30</v>
      </c>
      <c r="K198" s="3" t="s">
        <v>30</v>
      </c>
      <c r="L198" s="3" t="s">
        <v>31</v>
      </c>
      <c r="M198" s="3" t="s">
        <v>1254</v>
      </c>
      <c r="N198" s="3" t="s">
        <v>156</v>
      </c>
      <c r="O198" s="3" t="s">
        <v>34</v>
      </c>
      <c r="P198" s="156">
        <v>13550</v>
      </c>
      <c r="Q198" s="164">
        <v>1</v>
      </c>
      <c r="R198" s="174">
        <v>8821</v>
      </c>
      <c r="T198" s="155">
        <v>1195.2449999999999</v>
      </c>
      <c r="U198" s="166">
        <v>9.3400000000000004E-4</v>
      </c>
      <c r="V198" s="166">
        <v>0.109114626869997</v>
      </c>
      <c r="W198" s="166">
        <v>5.0257516402669698E-2</v>
      </c>
    </row>
    <row r="199" spans="1:23">
      <c r="A199" s="3">
        <v>161</v>
      </c>
      <c r="B199" s="3">
        <v>12468</v>
      </c>
      <c r="C199" s="3" t="s">
        <v>1276</v>
      </c>
      <c r="D199" s="3" t="s">
        <v>1277</v>
      </c>
      <c r="E199" s="5" t="s">
        <v>149</v>
      </c>
      <c r="F199" s="3" t="s">
        <v>1283</v>
      </c>
      <c r="G199" s="3" t="s">
        <v>1284</v>
      </c>
      <c r="H199" s="3" t="s">
        <v>152</v>
      </c>
      <c r="I199" s="3" t="s">
        <v>1261</v>
      </c>
      <c r="J199" s="3" t="s">
        <v>30</v>
      </c>
      <c r="K199" s="3" t="s">
        <v>82</v>
      </c>
      <c r="L199" s="3" t="s">
        <v>31</v>
      </c>
      <c r="M199" s="3" t="s">
        <v>1262</v>
      </c>
      <c r="N199" s="3" t="s">
        <v>156</v>
      </c>
      <c r="O199" s="3" t="s">
        <v>34</v>
      </c>
      <c r="P199" s="156">
        <v>3627</v>
      </c>
      <c r="Q199" s="164">
        <v>1</v>
      </c>
      <c r="R199" s="174">
        <v>10340</v>
      </c>
      <c r="T199" s="155">
        <v>375.03199999999998</v>
      </c>
      <c r="U199" s="166">
        <v>2.6899999999999998E-4</v>
      </c>
      <c r="V199" s="166">
        <v>3.4236861733746897E-2</v>
      </c>
      <c r="W199" s="166">
        <v>1.5769284920983E-2</v>
      </c>
    </row>
    <row r="200" spans="1:23">
      <c r="A200" s="3">
        <v>161</v>
      </c>
      <c r="B200" s="3">
        <v>12468</v>
      </c>
      <c r="C200" s="3" t="s">
        <v>1288</v>
      </c>
      <c r="D200" s="3" t="s">
        <v>1289</v>
      </c>
      <c r="E200" s="5" t="s">
        <v>149</v>
      </c>
      <c r="F200" s="3" t="s">
        <v>1382</v>
      </c>
      <c r="G200" s="3" t="s">
        <v>1383</v>
      </c>
      <c r="H200" s="3" t="s">
        <v>152</v>
      </c>
      <c r="I200" s="3" t="s">
        <v>1261</v>
      </c>
      <c r="J200" s="3" t="s">
        <v>30</v>
      </c>
      <c r="K200" s="3" t="s">
        <v>82</v>
      </c>
      <c r="L200" s="3" t="s">
        <v>31</v>
      </c>
      <c r="M200" s="3" t="s">
        <v>1262</v>
      </c>
      <c r="N200" s="3" t="s">
        <v>156</v>
      </c>
      <c r="O200" s="3" t="s">
        <v>34</v>
      </c>
      <c r="P200" s="156">
        <v>300</v>
      </c>
      <c r="Q200" s="164">
        <v>1</v>
      </c>
      <c r="R200" s="174">
        <v>24260</v>
      </c>
      <c r="T200" s="155">
        <v>72.78</v>
      </c>
      <c r="U200" s="166">
        <v>1.0000000000000001E-5</v>
      </c>
      <c r="V200" s="166">
        <v>6.6441267033411598E-3</v>
      </c>
      <c r="W200" s="166">
        <v>3.0602433088317798E-3</v>
      </c>
    </row>
    <row r="201" spans="1:23">
      <c r="A201" s="3">
        <v>161</v>
      </c>
      <c r="B201" s="3">
        <v>12468</v>
      </c>
      <c r="C201" s="3" t="s">
        <v>1288</v>
      </c>
      <c r="D201" s="3" t="s">
        <v>1289</v>
      </c>
      <c r="E201" s="5" t="s">
        <v>149</v>
      </c>
      <c r="F201" s="3" t="s">
        <v>1388</v>
      </c>
      <c r="G201" s="3" t="s">
        <v>1389</v>
      </c>
      <c r="H201" s="3" t="s">
        <v>152</v>
      </c>
      <c r="I201" s="3" t="s">
        <v>1253</v>
      </c>
      <c r="J201" s="3" t="s">
        <v>30</v>
      </c>
      <c r="K201" s="3" t="s">
        <v>30</v>
      </c>
      <c r="L201" s="3" t="s">
        <v>31</v>
      </c>
      <c r="M201" s="3" t="s">
        <v>1267</v>
      </c>
      <c r="N201" s="3" t="s">
        <v>156</v>
      </c>
      <c r="O201" s="3" t="s">
        <v>34</v>
      </c>
      <c r="P201" s="156">
        <v>1107</v>
      </c>
      <c r="Q201" s="164">
        <v>1</v>
      </c>
      <c r="R201" s="174">
        <v>30420</v>
      </c>
      <c r="T201" s="155">
        <v>336.74900000000002</v>
      </c>
      <c r="U201" s="166">
        <v>3.6999999999999998E-5</v>
      </c>
      <c r="V201" s="166">
        <v>3.0742040132922699E-2</v>
      </c>
      <c r="W201" s="166">
        <v>1.41595918947942E-2</v>
      </c>
    </row>
    <row r="202" spans="1:23">
      <c r="A202" s="3">
        <v>161</v>
      </c>
      <c r="B202" s="3">
        <v>12468</v>
      </c>
      <c r="C202" s="3" t="s">
        <v>1295</v>
      </c>
      <c r="D202" s="3" t="s">
        <v>1296</v>
      </c>
      <c r="E202" s="5" t="s">
        <v>149</v>
      </c>
      <c r="F202" s="3" t="s">
        <v>1354</v>
      </c>
      <c r="G202" s="3" t="s">
        <v>1355</v>
      </c>
      <c r="H202" s="3" t="s">
        <v>152</v>
      </c>
      <c r="I202" s="3" t="s">
        <v>1261</v>
      </c>
      <c r="J202" s="3" t="s">
        <v>30</v>
      </c>
      <c r="K202" s="3" t="s">
        <v>82</v>
      </c>
      <c r="L202" s="3" t="s">
        <v>31</v>
      </c>
      <c r="M202" s="3" t="s">
        <v>1262</v>
      </c>
      <c r="N202" s="3" t="s">
        <v>156</v>
      </c>
      <c r="O202" s="3" t="s">
        <v>34</v>
      </c>
      <c r="P202" s="156">
        <v>5400</v>
      </c>
      <c r="Q202" s="164">
        <v>1</v>
      </c>
      <c r="R202" s="174">
        <v>5780</v>
      </c>
      <c r="T202" s="155">
        <v>312.12</v>
      </c>
      <c r="U202" s="166">
        <v>4.1999999999999998E-5</v>
      </c>
      <c r="V202" s="166">
        <v>2.8493608500231402E-2</v>
      </c>
      <c r="W202" s="166">
        <v>1.31239783120717E-2</v>
      </c>
    </row>
    <row r="203" spans="1:23">
      <c r="A203" s="3">
        <v>161</v>
      </c>
      <c r="B203" s="3">
        <v>12468</v>
      </c>
      <c r="C203" s="3" t="s">
        <v>1295</v>
      </c>
      <c r="D203" s="3" t="s">
        <v>1296</v>
      </c>
      <c r="E203" s="5" t="s">
        <v>149</v>
      </c>
      <c r="F203" s="3" t="s">
        <v>1356</v>
      </c>
      <c r="G203" s="3" t="s">
        <v>1357</v>
      </c>
      <c r="H203" s="3" t="s">
        <v>152</v>
      </c>
      <c r="I203" s="3" t="s">
        <v>1253</v>
      </c>
      <c r="J203" s="3" t="s">
        <v>30</v>
      </c>
      <c r="K203" s="3" t="s">
        <v>30</v>
      </c>
      <c r="L203" s="3" t="s">
        <v>31</v>
      </c>
      <c r="M203" s="3" t="s">
        <v>1267</v>
      </c>
      <c r="N203" s="3" t="s">
        <v>156</v>
      </c>
      <c r="O203" s="3" t="s">
        <v>34</v>
      </c>
      <c r="P203" s="156">
        <v>19170</v>
      </c>
      <c r="Q203" s="164">
        <v>1</v>
      </c>
      <c r="R203" s="174">
        <v>3146</v>
      </c>
      <c r="T203" s="155">
        <v>603.08799999999997</v>
      </c>
      <c r="U203" s="166">
        <v>4.6999999999999997E-5</v>
      </c>
      <c r="V203" s="166">
        <v>5.5056257407116699E-2</v>
      </c>
      <c r="W203" s="166">
        <v>2.5358568682129799E-2</v>
      </c>
    </row>
    <row r="204" spans="1:23">
      <c r="A204" s="3">
        <v>161</v>
      </c>
      <c r="B204" s="3">
        <v>12468</v>
      </c>
      <c r="C204" s="3" t="s">
        <v>1390</v>
      </c>
      <c r="D204" s="3" t="s">
        <v>1391</v>
      </c>
      <c r="E204" s="5" t="s">
        <v>935</v>
      </c>
      <c r="F204" s="3" t="s">
        <v>1392</v>
      </c>
      <c r="G204" s="3" t="s">
        <v>1393</v>
      </c>
      <c r="H204" s="3" t="s">
        <v>152</v>
      </c>
      <c r="I204" s="3" t="s">
        <v>1261</v>
      </c>
      <c r="J204" s="3" t="s">
        <v>81</v>
      </c>
      <c r="K204" s="3" t="s">
        <v>82</v>
      </c>
      <c r="L204" s="3" t="s">
        <v>1311</v>
      </c>
      <c r="M204" s="3" t="s">
        <v>1394</v>
      </c>
      <c r="N204" s="3" t="s">
        <v>156</v>
      </c>
      <c r="O204" s="3" t="s">
        <v>1245</v>
      </c>
      <c r="P204" s="156">
        <v>430</v>
      </c>
      <c r="Q204" s="164">
        <v>3.8807</v>
      </c>
      <c r="R204" s="174">
        <v>21790</v>
      </c>
      <c r="T204" s="155">
        <v>363.61</v>
      </c>
      <c r="U204" s="166">
        <v>0</v>
      </c>
      <c r="V204" s="166">
        <v>3.3194154499077699E-2</v>
      </c>
      <c r="W204" s="166">
        <v>1.5289020473834101E-2</v>
      </c>
    </row>
    <row r="205" spans="1:23">
      <c r="A205" s="3">
        <v>161</v>
      </c>
      <c r="B205" s="3">
        <v>12468</v>
      </c>
      <c r="C205" s="3" t="s">
        <v>1301</v>
      </c>
      <c r="D205" s="3" t="s">
        <v>1302</v>
      </c>
      <c r="E205" s="5" t="s">
        <v>935</v>
      </c>
      <c r="F205" s="3" t="s">
        <v>1395</v>
      </c>
      <c r="G205" s="3" t="s">
        <v>1396</v>
      </c>
      <c r="H205" s="3" t="s">
        <v>152</v>
      </c>
      <c r="I205" s="3" t="s">
        <v>1261</v>
      </c>
      <c r="J205" s="3" t="s">
        <v>81</v>
      </c>
      <c r="K205" s="3" t="s">
        <v>82</v>
      </c>
      <c r="L205" s="3" t="s">
        <v>1053</v>
      </c>
      <c r="M205" s="3" t="s">
        <v>1397</v>
      </c>
      <c r="N205" s="3" t="s">
        <v>156</v>
      </c>
      <c r="O205" s="3" t="s">
        <v>86</v>
      </c>
      <c r="P205" s="156">
        <v>470</v>
      </c>
      <c r="Q205" s="164">
        <v>3.306</v>
      </c>
      <c r="R205" s="174">
        <v>5387</v>
      </c>
      <c r="T205" s="155">
        <v>83.703999999999994</v>
      </c>
      <c r="U205" s="166">
        <v>9.9999999999999995E-7</v>
      </c>
      <c r="V205" s="166">
        <v>7.6414106144816699E-3</v>
      </c>
      <c r="W205" s="166">
        <v>3.5195860565458799E-3</v>
      </c>
    </row>
    <row r="206" spans="1:23">
      <c r="A206" s="3">
        <v>161</v>
      </c>
      <c r="B206" s="3">
        <v>12468</v>
      </c>
      <c r="C206" s="3" t="s">
        <v>1332</v>
      </c>
      <c r="D206" s="3" t="s">
        <v>1333</v>
      </c>
      <c r="E206" s="5" t="s">
        <v>935</v>
      </c>
      <c r="F206" s="3" t="s">
        <v>1365</v>
      </c>
      <c r="G206" s="3" t="s">
        <v>1335</v>
      </c>
      <c r="H206" s="3" t="s">
        <v>152</v>
      </c>
      <c r="I206" s="3" t="s">
        <v>1261</v>
      </c>
      <c r="J206" s="3" t="s">
        <v>81</v>
      </c>
      <c r="K206" s="3" t="s">
        <v>82</v>
      </c>
      <c r="L206" s="3" t="s">
        <v>1195</v>
      </c>
      <c r="M206" s="3" t="s">
        <v>1262</v>
      </c>
      <c r="N206" s="3" t="s">
        <v>156</v>
      </c>
      <c r="O206" s="3" t="s">
        <v>86</v>
      </c>
      <c r="P206" s="156">
        <v>202</v>
      </c>
      <c r="Q206" s="164">
        <v>3.306</v>
      </c>
      <c r="R206" s="174">
        <v>132232</v>
      </c>
      <c r="T206" s="155">
        <v>883.06100000000004</v>
      </c>
      <c r="U206" s="166">
        <v>9.0000000000000002E-6</v>
      </c>
      <c r="V206" s="166">
        <v>8.0615145085914594E-2</v>
      </c>
      <c r="W206" s="166">
        <v>3.7130832892698099E-2</v>
      </c>
    </row>
    <row r="207" spans="1:23">
      <c r="A207" s="3">
        <v>161</v>
      </c>
      <c r="B207" s="3">
        <v>12468</v>
      </c>
      <c r="C207" s="3" t="s">
        <v>1306</v>
      </c>
      <c r="D207" s="3" t="s">
        <v>1307</v>
      </c>
      <c r="E207" s="5" t="s">
        <v>935</v>
      </c>
      <c r="F207" s="3" t="s">
        <v>1308</v>
      </c>
      <c r="G207" s="3" t="s">
        <v>1309</v>
      </c>
      <c r="H207" s="3" t="s">
        <v>152</v>
      </c>
      <c r="I207" s="3" t="s">
        <v>1261</v>
      </c>
      <c r="J207" s="3" t="s">
        <v>81</v>
      </c>
      <c r="K207" s="3" t="s">
        <v>1310</v>
      </c>
      <c r="L207" s="3" t="s">
        <v>1311</v>
      </c>
      <c r="M207" s="3" t="s">
        <v>1312</v>
      </c>
      <c r="N207" s="3" t="s">
        <v>156</v>
      </c>
      <c r="O207" s="3" t="s">
        <v>1245</v>
      </c>
      <c r="P207" s="156">
        <v>1410</v>
      </c>
      <c r="Q207" s="164">
        <v>3.8807</v>
      </c>
      <c r="R207" s="174">
        <v>5582</v>
      </c>
      <c r="T207" s="155">
        <v>305.435</v>
      </c>
      <c r="U207" s="166">
        <v>1.0000000000000001E-5</v>
      </c>
      <c r="V207" s="166">
        <v>2.7883344854534399E-2</v>
      </c>
      <c r="W207" s="166">
        <v>1.28428946841167E-2</v>
      </c>
    </row>
    <row r="208" spans="1:23">
      <c r="A208" s="3">
        <v>161</v>
      </c>
      <c r="B208" s="3">
        <v>12468</v>
      </c>
      <c r="C208" s="3" t="s">
        <v>1306</v>
      </c>
      <c r="D208" s="3" t="s">
        <v>1307</v>
      </c>
      <c r="E208" s="5" t="s">
        <v>935</v>
      </c>
      <c r="F208" s="3" t="s">
        <v>1407</v>
      </c>
      <c r="G208" s="3" t="s">
        <v>1408</v>
      </c>
      <c r="H208" s="3" t="s">
        <v>152</v>
      </c>
      <c r="I208" s="3" t="s">
        <v>1261</v>
      </c>
      <c r="J208" s="3" t="s">
        <v>81</v>
      </c>
      <c r="K208" s="3" t="s">
        <v>82</v>
      </c>
      <c r="L208" s="3" t="s">
        <v>1053</v>
      </c>
      <c r="M208" s="3" t="s">
        <v>1312</v>
      </c>
      <c r="N208" s="3" t="s">
        <v>156</v>
      </c>
      <c r="O208" s="3" t="s">
        <v>86</v>
      </c>
      <c r="P208" s="156">
        <v>170</v>
      </c>
      <c r="Q208" s="164">
        <v>3.306</v>
      </c>
      <c r="R208" s="174">
        <v>10725</v>
      </c>
      <c r="T208" s="155">
        <v>60.277000000000001</v>
      </c>
      <c r="U208" s="166">
        <v>6.9999999999999999E-6</v>
      </c>
      <c r="V208" s="166">
        <v>5.50268846705572E-3</v>
      </c>
      <c r="W208" s="166">
        <v>2.53450397829182E-3</v>
      </c>
    </row>
    <row r="209" spans="1:23">
      <c r="A209" s="3">
        <v>161</v>
      </c>
      <c r="B209" s="3">
        <v>12468</v>
      </c>
      <c r="C209" s="3" t="s">
        <v>1306</v>
      </c>
      <c r="D209" s="3" t="s">
        <v>1307</v>
      </c>
      <c r="E209" s="5" t="s">
        <v>935</v>
      </c>
      <c r="F209" s="3" t="s">
        <v>1409</v>
      </c>
      <c r="G209" s="3" t="s">
        <v>1410</v>
      </c>
      <c r="H209" s="3" t="s">
        <v>152</v>
      </c>
      <c r="I209" s="3" t="s">
        <v>1261</v>
      </c>
      <c r="J209" s="3" t="s">
        <v>81</v>
      </c>
      <c r="K209" s="3" t="s">
        <v>82</v>
      </c>
      <c r="L209" s="3" t="s">
        <v>1195</v>
      </c>
      <c r="M209" s="3" t="s">
        <v>1331</v>
      </c>
      <c r="N209" s="3" t="s">
        <v>156</v>
      </c>
      <c r="O209" s="3" t="s">
        <v>86</v>
      </c>
      <c r="P209" s="156">
        <v>7</v>
      </c>
      <c r="Q209" s="164">
        <v>3.306</v>
      </c>
      <c r="R209" s="174">
        <v>140840</v>
      </c>
      <c r="T209" s="155">
        <v>32.593000000000004</v>
      </c>
      <c r="U209" s="166">
        <v>9.9999999999999995E-7</v>
      </c>
      <c r="V209" s="166">
        <v>2.9754507093930601E-3</v>
      </c>
      <c r="W209" s="166">
        <v>1.3704740337958799E-3</v>
      </c>
    </row>
    <row r="210" spans="1:23">
      <c r="A210" s="3">
        <v>161</v>
      </c>
      <c r="B210" s="3">
        <v>12468</v>
      </c>
      <c r="C210" s="3" t="s">
        <v>1411</v>
      </c>
      <c r="D210" s="3" t="s">
        <v>1412</v>
      </c>
      <c r="E210" s="5" t="s">
        <v>935</v>
      </c>
      <c r="F210" s="3" t="s">
        <v>1413</v>
      </c>
      <c r="G210" s="3" t="s">
        <v>1414</v>
      </c>
      <c r="H210" s="3" t="s">
        <v>152</v>
      </c>
      <c r="I210" s="3" t="s">
        <v>1261</v>
      </c>
      <c r="J210" s="3" t="s">
        <v>81</v>
      </c>
      <c r="K210" s="3" t="s">
        <v>1186</v>
      </c>
      <c r="L210" s="3" t="s">
        <v>1053</v>
      </c>
      <c r="M210" s="3" t="s">
        <v>1415</v>
      </c>
      <c r="N210" s="3" t="s">
        <v>156</v>
      </c>
      <c r="O210" s="3" t="s">
        <v>86</v>
      </c>
      <c r="P210" s="156">
        <v>2260</v>
      </c>
      <c r="Q210" s="164">
        <v>3.306</v>
      </c>
      <c r="R210" s="174">
        <v>4201</v>
      </c>
      <c r="T210" s="155">
        <v>313.88</v>
      </c>
      <c r="U210" s="166">
        <v>9.0000000000000002E-6</v>
      </c>
      <c r="V210" s="166">
        <v>2.8654301387757299E-2</v>
      </c>
      <c r="W210" s="166">
        <v>1.3197992453550999E-2</v>
      </c>
    </row>
    <row r="211" spans="1:23">
      <c r="A211" s="3">
        <v>161</v>
      </c>
      <c r="B211" s="3">
        <v>12468</v>
      </c>
      <c r="C211" s="3" t="s">
        <v>1366</v>
      </c>
      <c r="D211" s="3" t="s">
        <v>1367</v>
      </c>
      <c r="E211" s="5" t="s">
        <v>935</v>
      </c>
      <c r="F211" s="3" t="s">
        <v>1416</v>
      </c>
      <c r="G211" s="3" t="s">
        <v>1417</v>
      </c>
      <c r="H211" s="3" t="s">
        <v>152</v>
      </c>
      <c r="I211" s="3" t="s">
        <v>1261</v>
      </c>
      <c r="J211" s="3" t="s">
        <v>81</v>
      </c>
      <c r="K211" s="3" t="s">
        <v>1310</v>
      </c>
      <c r="L211" s="3" t="s">
        <v>1418</v>
      </c>
      <c r="M211" s="3" t="s">
        <v>1312</v>
      </c>
      <c r="N211" s="3" t="s">
        <v>156</v>
      </c>
      <c r="O211" s="3" t="s">
        <v>1245</v>
      </c>
      <c r="P211" s="156">
        <v>640</v>
      </c>
      <c r="Q211" s="164">
        <v>3.8807</v>
      </c>
      <c r="R211" s="174">
        <v>26801</v>
      </c>
      <c r="T211" s="155">
        <v>665.64300000000003</v>
      </c>
      <c r="U211" s="166">
        <v>1.9000000000000001E-5</v>
      </c>
      <c r="V211" s="166">
        <v>6.0766874310496599E-2</v>
      </c>
      <c r="W211" s="166">
        <v>2.7988843200988999E-2</v>
      </c>
    </row>
    <row r="212" spans="1:23">
      <c r="A212" s="3">
        <v>161</v>
      </c>
      <c r="B212" s="3">
        <v>12468</v>
      </c>
      <c r="C212" s="3" t="s">
        <v>1301</v>
      </c>
      <c r="D212" s="3" t="s">
        <v>1302</v>
      </c>
      <c r="E212" s="5" t="s">
        <v>935</v>
      </c>
      <c r="F212" s="3" t="s">
        <v>1315</v>
      </c>
      <c r="G212" s="3" t="s">
        <v>1316</v>
      </c>
      <c r="H212" s="3" t="s">
        <v>152</v>
      </c>
      <c r="I212" s="3" t="s">
        <v>1261</v>
      </c>
      <c r="J212" s="3" t="s">
        <v>81</v>
      </c>
      <c r="K212" s="3" t="s">
        <v>82</v>
      </c>
      <c r="L212" s="3" t="s">
        <v>1053</v>
      </c>
      <c r="M212" s="3" t="s">
        <v>1262</v>
      </c>
      <c r="N212" s="3" t="s">
        <v>156</v>
      </c>
      <c r="O212" s="3" t="s">
        <v>86</v>
      </c>
      <c r="P212" s="156">
        <v>3990</v>
      </c>
      <c r="Q212" s="164">
        <v>3.306</v>
      </c>
      <c r="R212" s="174">
        <v>7834</v>
      </c>
      <c r="T212" s="155">
        <v>1033.3779999999999</v>
      </c>
      <c r="U212" s="166">
        <v>1.2999999999999999E-5</v>
      </c>
      <c r="V212" s="166">
        <v>9.4337674586123105E-2</v>
      </c>
      <c r="W212" s="166">
        <v>4.3451344369720597E-2</v>
      </c>
    </row>
    <row r="213" spans="1:23">
      <c r="A213" s="3">
        <v>161</v>
      </c>
      <c r="B213" s="3">
        <v>12468</v>
      </c>
      <c r="C213" s="3" t="s">
        <v>1301</v>
      </c>
      <c r="D213" s="3" t="s">
        <v>1302</v>
      </c>
      <c r="E213" s="5" t="s">
        <v>935</v>
      </c>
      <c r="F213" s="3" t="s">
        <v>1370</v>
      </c>
      <c r="G213" s="3" t="s">
        <v>1371</v>
      </c>
      <c r="H213" s="3" t="s">
        <v>152</v>
      </c>
      <c r="I213" s="3" t="s">
        <v>1261</v>
      </c>
      <c r="J213" s="3" t="s">
        <v>81</v>
      </c>
      <c r="K213" s="3" t="s">
        <v>82</v>
      </c>
      <c r="L213" s="3" t="s">
        <v>1195</v>
      </c>
      <c r="M213" s="3" t="s">
        <v>1262</v>
      </c>
      <c r="N213" s="3" t="s">
        <v>156</v>
      </c>
      <c r="O213" s="3" t="s">
        <v>86</v>
      </c>
      <c r="P213" s="156">
        <v>6902</v>
      </c>
      <c r="Q213" s="164">
        <v>3.306</v>
      </c>
      <c r="R213" s="174">
        <v>1631</v>
      </c>
      <c r="T213" s="155">
        <v>372.16199999999998</v>
      </c>
      <c r="U213" s="166">
        <v>0</v>
      </c>
      <c r="V213" s="166">
        <v>3.3974855620007099E-2</v>
      </c>
      <c r="W213" s="166">
        <v>1.56486065395725E-2</v>
      </c>
    </row>
    <row r="214" spans="1:23">
      <c r="A214" s="3">
        <v>161</v>
      </c>
      <c r="B214" s="3">
        <v>12468</v>
      </c>
      <c r="C214" s="3" t="s">
        <v>1301</v>
      </c>
      <c r="D214" s="3" t="s">
        <v>1302</v>
      </c>
      <c r="E214" s="5" t="s">
        <v>935</v>
      </c>
      <c r="F214" s="3" t="s">
        <v>1419</v>
      </c>
      <c r="G214" s="3" t="s">
        <v>1420</v>
      </c>
      <c r="H214" s="3" t="s">
        <v>152</v>
      </c>
      <c r="I214" s="3" t="s">
        <v>1261</v>
      </c>
      <c r="J214" s="3" t="s">
        <v>81</v>
      </c>
      <c r="K214" s="3" t="s">
        <v>82</v>
      </c>
      <c r="L214" s="3" t="s">
        <v>1195</v>
      </c>
      <c r="M214" s="3" t="s">
        <v>1305</v>
      </c>
      <c r="N214" s="3" t="s">
        <v>156</v>
      </c>
      <c r="O214" s="3" t="s">
        <v>86</v>
      </c>
      <c r="P214" s="156">
        <v>150</v>
      </c>
      <c r="Q214" s="164">
        <v>3.306</v>
      </c>
      <c r="R214" s="174">
        <v>15018</v>
      </c>
      <c r="T214" s="155">
        <v>74.474000000000004</v>
      </c>
      <c r="U214" s="166">
        <v>0</v>
      </c>
      <c r="V214" s="166">
        <v>6.7987968242075496E-3</v>
      </c>
      <c r="W214" s="166">
        <v>3.1314834015620401E-3</v>
      </c>
    </row>
    <row r="215" spans="1:23">
      <c r="A215" s="3">
        <v>161</v>
      </c>
      <c r="B215" s="3">
        <v>12468</v>
      </c>
      <c r="C215" s="3" t="s">
        <v>1319</v>
      </c>
      <c r="D215" s="3" t="s">
        <v>1320</v>
      </c>
      <c r="E215" s="5" t="s">
        <v>935</v>
      </c>
      <c r="F215" s="3" t="s">
        <v>1423</v>
      </c>
      <c r="G215" s="3" t="s">
        <v>1424</v>
      </c>
      <c r="H215" s="3" t="s">
        <v>152</v>
      </c>
      <c r="I215" s="3" t="s">
        <v>1261</v>
      </c>
      <c r="J215" s="3" t="s">
        <v>81</v>
      </c>
      <c r="K215" s="3" t="s">
        <v>1338</v>
      </c>
      <c r="L215" s="3" t="s">
        <v>1195</v>
      </c>
      <c r="M215" s="3" t="s">
        <v>1339</v>
      </c>
      <c r="N215" s="3" t="s">
        <v>156</v>
      </c>
      <c r="O215" s="3" t="s">
        <v>86</v>
      </c>
      <c r="P215" s="156">
        <v>420</v>
      </c>
      <c r="Q215" s="164">
        <v>3.306</v>
      </c>
      <c r="R215" s="174">
        <v>7792</v>
      </c>
      <c r="T215" s="155">
        <v>108.193</v>
      </c>
      <c r="U215" s="166">
        <v>0</v>
      </c>
      <c r="V215" s="166">
        <v>9.8770428546964099E-3</v>
      </c>
      <c r="W215" s="166">
        <v>4.5493043189452596E-3</v>
      </c>
    </row>
    <row r="216" spans="1:23">
      <c r="A216" s="3">
        <v>161</v>
      </c>
      <c r="B216" s="3">
        <v>12468</v>
      </c>
      <c r="C216" s="3" t="s">
        <v>1319</v>
      </c>
      <c r="D216" s="3" t="s">
        <v>1320</v>
      </c>
      <c r="E216" s="5" t="s">
        <v>935</v>
      </c>
      <c r="F216" s="3" t="s">
        <v>1321</v>
      </c>
      <c r="G216" s="3" t="s">
        <v>1322</v>
      </c>
      <c r="H216" s="3" t="s">
        <v>152</v>
      </c>
      <c r="I216" s="3" t="s">
        <v>1261</v>
      </c>
      <c r="J216" s="3" t="s">
        <v>81</v>
      </c>
      <c r="K216" s="3" t="s">
        <v>82</v>
      </c>
      <c r="L216" s="3" t="s">
        <v>1053</v>
      </c>
      <c r="M216" s="3" t="s">
        <v>1262</v>
      </c>
      <c r="N216" s="3" t="s">
        <v>156</v>
      </c>
      <c r="O216" s="3" t="s">
        <v>86</v>
      </c>
      <c r="P216" s="156">
        <v>370</v>
      </c>
      <c r="Q216" s="164">
        <v>3.306</v>
      </c>
      <c r="R216" s="174">
        <v>61238</v>
      </c>
      <c r="S216" s="155">
        <v>0.64400000000000002</v>
      </c>
      <c r="T216" s="155">
        <v>751.20399999999995</v>
      </c>
      <c r="U216" s="166">
        <v>0</v>
      </c>
      <c r="V216" s="166">
        <v>6.8577819021728006E-2</v>
      </c>
      <c r="W216" s="166">
        <v>3.1586515604824998E-2</v>
      </c>
    </row>
    <row r="217" spans="1:23">
      <c r="A217" s="3">
        <v>161</v>
      </c>
      <c r="B217" s="3">
        <v>12468</v>
      </c>
      <c r="C217" s="3" t="s">
        <v>1425</v>
      </c>
      <c r="D217" s="3" t="s">
        <v>1426</v>
      </c>
      <c r="E217" s="5" t="s">
        <v>935</v>
      </c>
      <c r="F217" s="3" t="s">
        <v>1427</v>
      </c>
      <c r="G217" s="3" t="s">
        <v>1428</v>
      </c>
      <c r="H217" s="3" t="s">
        <v>152</v>
      </c>
      <c r="I217" s="3" t="s">
        <v>1261</v>
      </c>
      <c r="J217" s="3" t="s">
        <v>81</v>
      </c>
      <c r="K217" s="3" t="s">
        <v>1429</v>
      </c>
      <c r="L217" s="3" t="s">
        <v>1053</v>
      </c>
      <c r="M217" s="3" t="s">
        <v>1430</v>
      </c>
      <c r="N217" s="3" t="s">
        <v>156</v>
      </c>
      <c r="O217" s="3" t="s">
        <v>86</v>
      </c>
      <c r="P217" s="156">
        <v>680</v>
      </c>
      <c r="Q217" s="164">
        <v>3.306</v>
      </c>
      <c r="R217" s="174">
        <v>12803</v>
      </c>
      <c r="T217" s="155">
        <v>287.822</v>
      </c>
      <c r="U217" s="166">
        <v>2.1999999999999999E-5</v>
      </c>
      <c r="V217" s="166">
        <v>2.62754015640893E-2</v>
      </c>
      <c r="W217" s="166">
        <v>1.21022860360169E-2</v>
      </c>
    </row>
    <row r="218" spans="1:23">
      <c r="A218" s="3">
        <v>161</v>
      </c>
      <c r="B218" s="3">
        <v>15391</v>
      </c>
      <c r="C218" s="3" t="s">
        <v>1249</v>
      </c>
      <c r="D218" s="3" t="s">
        <v>1250</v>
      </c>
      <c r="E218" s="5" t="s">
        <v>149</v>
      </c>
      <c r="F218" s="3" t="s">
        <v>1376</v>
      </c>
      <c r="G218" s="3" t="s">
        <v>1377</v>
      </c>
      <c r="H218" s="3" t="s">
        <v>152</v>
      </c>
      <c r="I218" s="3" t="s">
        <v>1261</v>
      </c>
      <c r="J218" s="3" t="s">
        <v>30</v>
      </c>
      <c r="K218" s="3" t="s">
        <v>82</v>
      </c>
      <c r="L218" s="3" t="s">
        <v>31</v>
      </c>
      <c r="M218" s="3" t="s">
        <v>1262</v>
      </c>
      <c r="N218" s="3" t="s">
        <v>156</v>
      </c>
      <c r="O218" s="3" t="s">
        <v>34</v>
      </c>
      <c r="P218" s="156">
        <v>15146</v>
      </c>
      <c r="Q218" s="164">
        <v>1</v>
      </c>
      <c r="R218" s="174">
        <v>9467</v>
      </c>
      <c r="T218" s="155">
        <v>1433.8720000000001</v>
      </c>
      <c r="U218" s="166">
        <v>1.73E-4</v>
      </c>
      <c r="V218" s="166">
        <v>0.12546756695599301</v>
      </c>
      <c r="W218" s="166">
        <v>0.12524506936462701</v>
      </c>
    </row>
    <row r="219" spans="1:23">
      <c r="A219" s="3">
        <v>161</v>
      </c>
      <c r="B219" s="3">
        <v>15391</v>
      </c>
      <c r="C219" s="3" t="s">
        <v>1306</v>
      </c>
      <c r="D219" s="3" t="s">
        <v>1307</v>
      </c>
      <c r="E219" s="5" t="s">
        <v>935</v>
      </c>
      <c r="F219" s="3" t="s">
        <v>1325</v>
      </c>
      <c r="G219" s="3" t="s">
        <v>1326</v>
      </c>
      <c r="H219" s="3" t="s">
        <v>152</v>
      </c>
      <c r="I219" s="3" t="s">
        <v>1261</v>
      </c>
      <c r="J219" s="3" t="s">
        <v>30</v>
      </c>
      <c r="K219" s="3" t="s">
        <v>82</v>
      </c>
      <c r="L219" s="3" t="s">
        <v>31</v>
      </c>
      <c r="M219" s="3" t="s">
        <v>1262</v>
      </c>
      <c r="N219" s="3" t="s">
        <v>156</v>
      </c>
      <c r="O219" s="3" t="s">
        <v>34</v>
      </c>
      <c r="P219" s="156">
        <v>612</v>
      </c>
      <c r="Q219" s="164">
        <v>1</v>
      </c>
      <c r="R219" s="174">
        <v>235230</v>
      </c>
      <c r="T219" s="155">
        <v>1439.6079999999999</v>
      </c>
      <c r="U219" s="166">
        <v>2.1000000000000001E-4</v>
      </c>
      <c r="V219" s="166">
        <v>0.125969462837589</v>
      </c>
      <c r="W219" s="166">
        <v>0.12574607521043599</v>
      </c>
    </row>
    <row r="220" spans="1:23">
      <c r="A220" s="3">
        <v>161</v>
      </c>
      <c r="B220" s="3">
        <v>15391</v>
      </c>
      <c r="C220" s="3" t="s">
        <v>1263</v>
      </c>
      <c r="D220" s="3" t="s">
        <v>1264</v>
      </c>
      <c r="E220" s="5" t="s">
        <v>149</v>
      </c>
      <c r="F220" s="3" t="s">
        <v>1378</v>
      </c>
      <c r="G220" s="3" t="s">
        <v>1379</v>
      </c>
      <c r="H220" s="3" t="s">
        <v>152</v>
      </c>
      <c r="I220" s="3" t="s">
        <v>1261</v>
      </c>
      <c r="J220" s="3" t="s">
        <v>30</v>
      </c>
      <c r="K220" s="3" t="s">
        <v>82</v>
      </c>
      <c r="L220" s="3" t="s">
        <v>31</v>
      </c>
      <c r="M220" s="3" t="s">
        <v>1262</v>
      </c>
      <c r="N220" s="3" t="s">
        <v>156</v>
      </c>
      <c r="O220" s="3" t="s">
        <v>34</v>
      </c>
      <c r="P220" s="156">
        <v>55735</v>
      </c>
      <c r="Q220" s="164">
        <v>1</v>
      </c>
      <c r="R220" s="174">
        <v>2569</v>
      </c>
      <c r="T220" s="155">
        <v>1431.8320000000001</v>
      </c>
      <c r="U220" s="166">
        <v>1.47E-4</v>
      </c>
      <c r="V220" s="166">
        <v>0.12528909045012701</v>
      </c>
      <c r="W220" s="166">
        <v>0.12506690935962</v>
      </c>
    </row>
    <row r="221" spans="1:23">
      <c r="A221" s="3">
        <v>161</v>
      </c>
      <c r="B221" s="3">
        <v>15391</v>
      </c>
      <c r="C221" s="3" t="s">
        <v>1342</v>
      </c>
      <c r="D221" s="3" t="s">
        <v>1343</v>
      </c>
      <c r="E221" s="5" t="s">
        <v>149</v>
      </c>
      <c r="F221" s="3" t="s">
        <v>1380</v>
      </c>
      <c r="G221" s="3" t="s">
        <v>1381</v>
      </c>
      <c r="H221" s="3" t="s">
        <v>152</v>
      </c>
      <c r="I221" s="3" t="s">
        <v>1261</v>
      </c>
      <c r="J221" s="3" t="s">
        <v>30</v>
      </c>
      <c r="K221" s="3" t="s">
        <v>82</v>
      </c>
      <c r="L221" s="3" t="s">
        <v>31</v>
      </c>
      <c r="M221" s="3" t="s">
        <v>1312</v>
      </c>
      <c r="N221" s="3" t="s">
        <v>156</v>
      </c>
      <c r="O221" s="3" t="s">
        <v>34</v>
      </c>
      <c r="P221" s="156">
        <v>23124</v>
      </c>
      <c r="Q221" s="164">
        <v>1</v>
      </c>
      <c r="R221" s="174">
        <v>6185</v>
      </c>
      <c r="T221" s="155">
        <v>1430.2190000000001</v>
      </c>
      <c r="U221" s="166">
        <v>2.1020000000000001E-3</v>
      </c>
      <c r="V221" s="166">
        <v>0.12514797057052099</v>
      </c>
      <c r="W221" s="166">
        <v>0.124926039734594</v>
      </c>
    </row>
    <row r="222" spans="1:23">
      <c r="A222" s="3">
        <v>161</v>
      </c>
      <c r="B222" s="3">
        <v>15391</v>
      </c>
      <c r="C222" s="3" t="s">
        <v>1276</v>
      </c>
      <c r="D222" s="3" t="s">
        <v>1277</v>
      </c>
      <c r="E222" s="5" t="s">
        <v>149</v>
      </c>
      <c r="F222" s="3" t="s">
        <v>1346</v>
      </c>
      <c r="G222" s="3" t="s">
        <v>1347</v>
      </c>
      <c r="H222" s="3" t="s">
        <v>152</v>
      </c>
      <c r="I222" s="3" t="s">
        <v>1261</v>
      </c>
      <c r="J222" s="3" t="s">
        <v>30</v>
      </c>
      <c r="K222" s="3" t="s">
        <v>82</v>
      </c>
      <c r="L222" s="3" t="s">
        <v>31</v>
      </c>
      <c r="M222" s="3" t="s">
        <v>1262</v>
      </c>
      <c r="N222" s="3" t="s">
        <v>156</v>
      </c>
      <c r="O222" s="3" t="s">
        <v>34</v>
      </c>
      <c r="P222" s="156">
        <v>13051</v>
      </c>
      <c r="Q222" s="164">
        <v>1</v>
      </c>
      <c r="R222" s="174">
        <v>10950</v>
      </c>
      <c r="T222" s="155">
        <v>1429.0840000000001</v>
      </c>
      <c r="U222" s="166">
        <v>1.9100000000000001E-4</v>
      </c>
      <c r="V222" s="166">
        <v>0.12504866382653501</v>
      </c>
      <c r="W222" s="166">
        <v>0.12482690909597</v>
      </c>
    </row>
    <row r="223" spans="1:23">
      <c r="A223" s="3">
        <v>161</v>
      </c>
      <c r="B223" s="3">
        <v>15391</v>
      </c>
      <c r="C223" s="3" t="s">
        <v>1288</v>
      </c>
      <c r="D223" s="3" t="s">
        <v>1289</v>
      </c>
      <c r="E223" s="5" t="s">
        <v>149</v>
      </c>
      <c r="F223" s="3" t="s">
        <v>1382</v>
      </c>
      <c r="G223" s="3" t="s">
        <v>1383</v>
      </c>
      <c r="H223" s="3" t="s">
        <v>152</v>
      </c>
      <c r="I223" s="3" t="s">
        <v>1261</v>
      </c>
      <c r="J223" s="3" t="s">
        <v>30</v>
      </c>
      <c r="K223" s="3" t="s">
        <v>82</v>
      </c>
      <c r="L223" s="3" t="s">
        <v>31</v>
      </c>
      <c r="M223" s="3" t="s">
        <v>1262</v>
      </c>
      <c r="N223" s="3" t="s">
        <v>156</v>
      </c>
      <c r="O223" s="3" t="s">
        <v>34</v>
      </c>
      <c r="P223" s="156">
        <v>5915</v>
      </c>
      <c r="Q223" s="164">
        <v>1</v>
      </c>
      <c r="R223" s="174">
        <v>24260</v>
      </c>
      <c r="T223" s="155">
        <v>1434.979</v>
      </c>
      <c r="U223" s="166">
        <v>2.0100000000000001E-4</v>
      </c>
      <c r="V223" s="166">
        <v>0.125564448126851</v>
      </c>
      <c r="W223" s="166">
        <v>0.12534177873150701</v>
      </c>
    </row>
    <row r="224" spans="1:23">
      <c r="A224" s="3">
        <v>161</v>
      </c>
      <c r="B224" s="3">
        <v>15391</v>
      </c>
      <c r="C224" s="3" t="s">
        <v>1295</v>
      </c>
      <c r="D224" s="3" t="s">
        <v>1296</v>
      </c>
      <c r="E224" s="5" t="s">
        <v>149</v>
      </c>
      <c r="F224" s="3" t="s">
        <v>1384</v>
      </c>
      <c r="G224" s="3" t="s">
        <v>1385</v>
      </c>
      <c r="H224" s="3" t="s">
        <v>152</v>
      </c>
      <c r="I224" s="3" t="s">
        <v>1261</v>
      </c>
      <c r="J224" s="3" t="s">
        <v>30</v>
      </c>
      <c r="K224" s="3" t="s">
        <v>82</v>
      </c>
      <c r="L224" s="3" t="s">
        <v>31</v>
      </c>
      <c r="M224" s="3" t="s">
        <v>1262</v>
      </c>
      <c r="N224" s="3" t="s">
        <v>156</v>
      </c>
      <c r="O224" s="3" t="s">
        <v>34</v>
      </c>
      <c r="P224" s="156">
        <v>5366</v>
      </c>
      <c r="Q224" s="164">
        <v>1</v>
      </c>
      <c r="R224" s="174">
        <v>25890</v>
      </c>
      <c r="T224" s="155">
        <v>1389.2570000000001</v>
      </c>
      <c r="U224" s="166">
        <v>1.34E-4</v>
      </c>
      <c r="V224" s="166">
        <v>0.121563687508419</v>
      </c>
      <c r="W224" s="166">
        <v>0.121348112851762</v>
      </c>
    </row>
    <row r="225" spans="1:23">
      <c r="A225" s="3">
        <v>161</v>
      </c>
      <c r="B225" s="3">
        <v>15391</v>
      </c>
      <c r="C225" s="3" t="s">
        <v>1332</v>
      </c>
      <c r="D225" s="3" t="s">
        <v>1333</v>
      </c>
      <c r="E225" s="5" t="s">
        <v>935</v>
      </c>
      <c r="F225" s="3" t="s">
        <v>1334</v>
      </c>
      <c r="G225" s="3" t="s">
        <v>1335</v>
      </c>
      <c r="H225" s="3" t="s">
        <v>152</v>
      </c>
      <c r="I225" s="3" t="s">
        <v>1261</v>
      </c>
      <c r="J225" s="3" t="s">
        <v>81</v>
      </c>
      <c r="K225" s="3" t="s">
        <v>82</v>
      </c>
      <c r="L225" s="3" t="s">
        <v>1195</v>
      </c>
      <c r="M225" s="3" t="s">
        <v>1262</v>
      </c>
      <c r="N225" s="3" t="s">
        <v>156</v>
      </c>
      <c r="O225" s="3" t="s">
        <v>34</v>
      </c>
      <c r="P225" s="156">
        <v>329</v>
      </c>
      <c r="Q225" s="164">
        <v>1</v>
      </c>
      <c r="R225" s="174">
        <v>437500</v>
      </c>
      <c r="T225" s="155">
        <v>1439.375</v>
      </c>
      <c r="U225" s="166">
        <v>1.9000000000000001E-5</v>
      </c>
      <c r="V225" s="166">
        <v>0.125949109723965</v>
      </c>
      <c r="W225" s="166">
        <v>0.12572575818995399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E8" sqref="E8"/>
    </sheetView>
  </sheetViews>
  <sheetFormatPr defaultColWidth="0" defaultRowHeight="14.25"/>
  <cols>
    <col min="1" max="12" width="11.625" style="5" customWidth="1"/>
    <col min="13" max="13" width="11.625" style="3" customWidth="1"/>
    <col min="14" max="23" width="11.625" style="5" customWidth="1"/>
    <col min="24" max="24" width="11.625" style="5" hidden="1" customWidth="1"/>
    <col min="25" max="25" width="9" style="5" hidden="1" customWidth="1"/>
    <col min="26" max="16384" width="9" style="5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136</v>
      </c>
      <c r="E1" s="22" t="s">
        <v>137</v>
      </c>
      <c r="F1" s="22" t="s">
        <v>1491</v>
      </c>
      <c r="G1" s="22" t="s">
        <v>4</v>
      </c>
      <c r="H1" s="22" t="s">
        <v>138</v>
      </c>
      <c r="I1" s="22" t="s">
        <v>5</v>
      </c>
      <c r="J1" s="22" t="s">
        <v>6</v>
      </c>
      <c r="K1" s="22" t="s">
        <v>7</v>
      </c>
      <c r="L1" s="22" t="s">
        <v>146</v>
      </c>
      <c r="M1" s="22" t="s">
        <v>8</v>
      </c>
      <c r="N1" s="22" t="s">
        <v>1248</v>
      </c>
      <c r="O1" s="22" t="s">
        <v>140</v>
      </c>
      <c r="P1" s="22" t="s">
        <v>11</v>
      </c>
      <c r="Q1" s="22" t="s">
        <v>17</v>
      </c>
      <c r="R1" s="163" t="s">
        <v>18</v>
      </c>
      <c r="S1" s="169" t="s">
        <v>19</v>
      </c>
      <c r="T1" s="22" t="s">
        <v>20</v>
      </c>
      <c r="U1" s="165" t="s">
        <v>23</v>
      </c>
      <c r="V1" s="165" t="s">
        <v>24</v>
      </c>
      <c r="W1" s="165" t="s">
        <v>25</v>
      </c>
    </row>
    <row r="2" spans="1:23">
      <c r="A2" s="21">
        <v>161</v>
      </c>
      <c r="B2" s="21">
        <v>9938</v>
      </c>
      <c r="C2" s="21" t="s">
        <v>1249</v>
      </c>
      <c r="D2" s="21" t="s">
        <v>1250</v>
      </c>
      <c r="E2" s="21" t="s">
        <v>149</v>
      </c>
      <c r="F2" s="21" t="s">
        <v>1492</v>
      </c>
      <c r="G2" s="21" t="s">
        <v>1493</v>
      </c>
      <c r="H2" s="21" t="s">
        <v>152</v>
      </c>
      <c r="I2" s="21" t="s">
        <v>930</v>
      </c>
      <c r="J2" s="21" t="s">
        <v>30</v>
      </c>
      <c r="K2" s="21" t="s">
        <v>30</v>
      </c>
      <c r="L2" s="5" t="s">
        <v>154</v>
      </c>
      <c r="M2" s="21" t="s">
        <v>31</v>
      </c>
      <c r="N2" s="23" t="s">
        <v>1254</v>
      </c>
      <c r="O2" s="23" t="s">
        <v>156</v>
      </c>
      <c r="P2" s="21" t="s">
        <v>34</v>
      </c>
      <c r="Q2" s="158">
        <v>300000</v>
      </c>
      <c r="R2" s="175">
        <v>1</v>
      </c>
      <c r="S2" s="176">
        <v>359.32</v>
      </c>
      <c r="T2" s="158">
        <v>1077.96</v>
      </c>
      <c r="U2" s="177">
        <v>6.3900000000000003E-4</v>
      </c>
      <c r="V2" s="177">
        <v>0.83996738100856405</v>
      </c>
      <c r="W2" s="177">
        <v>1.28786350540534E-2</v>
      </c>
    </row>
    <row r="3" spans="1:23">
      <c r="A3" s="21">
        <v>161</v>
      </c>
      <c r="B3" s="21">
        <v>9938</v>
      </c>
      <c r="C3" s="21" t="s">
        <v>1494</v>
      </c>
      <c r="D3" s="21" t="s">
        <v>1495</v>
      </c>
      <c r="E3" s="21" t="s">
        <v>935</v>
      </c>
      <c r="F3" s="21" t="s">
        <v>1496</v>
      </c>
      <c r="G3" s="21" t="s">
        <v>1497</v>
      </c>
      <c r="H3" s="21" t="s">
        <v>152</v>
      </c>
      <c r="I3" s="21" t="s">
        <v>930</v>
      </c>
      <c r="J3" s="21" t="s">
        <v>81</v>
      </c>
      <c r="K3" s="21" t="s">
        <v>1224</v>
      </c>
      <c r="L3" s="5" t="s">
        <v>154</v>
      </c>
      <c r="M3" s="21" t="s">
        <v>131</v>
      </c>
      <c r="N3" s="23" t="s">
        <v>1394</v>
      </c>
      <c r="O3" s="23" t="s">
        <v>156</v>
      </c>
      <c r="P3" s="21" t="s">
        <v>1226</v>
      </c>
      <c r="Q3" s="158">
        <v>5700</v>
      </c>
      <c r="R3" s="175">
        <v>4.4409000000000001</v>
      </c>
      <c r="S3" s="176">
        <v>811.34</v>
      </c>
      <c r="T3" s="158">
        <v>205.376</v>
      </c>
      <c r="U3" s="177">
        <v>0</v>
      </c>
      <c r="V3" s="177">
        <v>0.160032618991436</v>
      </c>
      <c r="W3" s="177">
        <v>2.45366872968375E-3</v>
      </c>
    </row>
    <row r="4" spans="1:23">
      <c r="A4" s="21">
        <v>161</v>
      </c>
      <c r="B4" s="21">
        <v>9942</v>
      </c>
      <c r="C4" s="21" t="s">
        <v>1494</v>
      </c>
      <c r="D4" s="21" t="s">
        <v>1495</v>
      </c>
      <c r="E4" s="21" t="s">
        <v>935</v>
      </c>
      <c r="F4" s="21" t="s">
        <v>1496</v>
      </c>
      <c r="G4" s="21" t="s">
        <v>1497</v>
      </c>
      <c r="H4" s="21" t="s">
        <v>152</v>
      </c>
      <c r="I4" s="21" t="s">
        <v>930</v>
      </c>
      <c r="J4" s="21" t="s">
        <v>81</v>
      </c>
      <c r="K4" s="21" t="s">
        <v>1224</v>
      </c>
      <c r="L4" s="5" t="s">
        <v>154</v>
      </c>
      <c r="M4" s="21" t="s">
        <v>131</v>
      </c>
      <c r="N4" s="23" t="s">
        <v>1394</v>
      </c>
      <c r="O4" s="23" t="s">
        <v>156</v>
      </c>
      <c r="P4" s="21" t="s">
        <v>1226</v>
      </c>
      <c r="Q4" s="158">
        <v>6700</v>
      </c>
      <c r="R4" s="175">
        <v>4.4409000000000001</v>
      </c>
      <c r="S4" s="176">
        <v>811.34</v>
      </c>
      <c r="T4" s="158">
        <v>241.40600000000001</v>
      </c>
      <c r="U4" s="177">
        <v>0</v>
      </c>
      <c r="V4" s="177">
        <v>1</v>
      </c>
      <c r="W4" s="177">
        <v>2.4432074010571399E-3</v>
      </c>
    </row>
    <row r="5" spans="1:23">
      <c r="A5" s="21">
        <v>161</v>
      </c>
      <c r="B5" s="21">
        <v>9943</v>
      </c>
      <c r="C5" s="21" t="s">
        <v>1498</v>
      </c>
      <c r="D5" s="21" t="s">
        <v>1499</v>
      </c>
      <c r="E5" s="21" t="s">
        <v>935</v>
      </c>
      <c r="F5" s="21" t="s">
        <v>1500</v>
      </c>
      <c r="G5" s="21" t="s">
        <v>1501</v>
      </c>
      <c r="H5" s="21" t="s">
        <v>152</v>
      </c>
      <c r="I5" s="21" t="s">
        <v>930</v>
      </c>
      <c r="J5" s="21" t="s">
        <v>81</v>
      </c>
      <c r="K5" s="21" t="s">
        <v>1186</v>
      </c>
      <c r="L5" s="5" t="s">
        <v>154</v>
      </c>
      <c r="M5" s="21" t="s">
        <v>131</v>
      </c>
      <c r="N5" s="23" t="s">
        <v>1415</v>
      </c>
      <c r="O5" s="23" t="s">
        <v>156</v>
      </c>
      <c r="P5" s="21" t="s">
        <v>86</v>
      </c>
      <c r="Q5" s="158">
        <v>10253.09</v>
      </c>
      <c r="R5" s="175">
        <v>3.306</v>
      </c>
      <c r="S5" s="176">
        <v>16501</v>
      </c>
      <c r="T5" s="158">
        <v>5593.2969999999996</v>
      </c>
      <c r="U5" s="177">
        <v>6.1081000000000003E-2</v>
      </c>
      <c r="V5" s="177">
        <v>0.18522555325401899</v>
      </c>
      <c r="W5" s="177">
        <v>2.8751712485628601E-3</v>
      </c>
    </row>
    <row r="6" spans="1:23">
      <c r="A6" s="21">
        <v>161</v>
      </c>
      <c r="B6" s="21">
        <v>9943</v>
      </c>
      <c r="C6" s="21" t="s">
        <v>1494</v>
      </c>
      <c r="D6" s="21" t="s">
        <v>1495</v>
      </c>
      <c r="E6" s="21" t="s">
        <v>935</v>
      </c>
      <c r="F6" s="21" t="s">
        <v>1496</v>
      </c>
      <c r="G6" s="21" t="s">
        <v>1497</v>
      </c>
      <c r="H6" s="21" t="s">
        <v>152</v>
      </c>
      <c r="I6" s="21" t="s">
        <v>930</v>
      </c>
      <c r="J6" s="21" t="s">
        <v>81</v>
      </c>
      <c r="K6" s="21" t="s">
        <v>1224</v>
      </c>
      <c r="L6" s="5" t="s">
        <v>154</v>
      </c>
      <c r="M6" s="21" t="s">
        <v>131</v>
      </c>
      <c r="N6" s="23" t="s">
        <v>1394</v>
      </c>
      <c r="O6" s="23" t="s">
        <v>156</v>
      </c>
      <c r="P6" s="21" t="s">
        <v>1226</v>
      </c>
      <c r="Q6" s="158">
        <v>63000</v>
      </c>
      <c r="R6" s="175">
        <v>4.4409000000000001</v>
      </c>
      <c r="S6" s="176">
        <v>811.34</v>
      </c>
      <c r="T6" s="158">
        <v>2269.94</v>
      </c>
      <c r="U6" s="177">
        <v>0</v>
      </c>
      <c r="V6" s="177">
        <v>7.5170501665815098E-2</v>
      </c>
      <c r="W6" s="177">
        <v>1.1668371956929701E-3</v>
      </c>
    </row>
    <row r="7" spans="1:23">
      <c r="A7" s="21">
        <v>161</v>
      </c>
      <c r="B7" s="21">
        <v>9943</v>
      </c>
      <c r="C7" s="21" t="s">
        <v>1502</v>
      </c>
      <c r="D7" s="21" t="s">
        <v>1503</v>
      </c>
      <c r="E7" s="21" t="s">
        <v>935</v>
      </c>
      <c r="F7" s="21" t="s">
        <v>1504</v>
      </c>
      <c r="G7" s="21" t="s">
        <v>1505</v>
      </c>
      <c r="H7" s="21" t="s">
        <v>152</v>
      </c>
      <c r="I7" s="21" t="s">
        <v>1506</v>
      </c>
      <c r="J7" s="21" t="s">
        <v>81</v>
      </c>
      <c r="K7" s="21" t="s">
        <v>82</v>
      </c>
      <c r="L7" s="5" t="s">
        <v>154</v>
      </c>
      <c r="M7" s="21" t="s">
        <v>131</v>
      </c>
      <c r="N7" s="23" t="s">
        <v>1401</v>
      </c>
      <c r="O7" s="23" t="s">
        <v>156</v>
      </c>
      <c r="P7" s="21" t="s">
        <v>86</v>
      </c>
      <c r="Q7" s="158">
        <v>1620.11</v>
      </c>
      <c r="R7" s="175">
        <v>3.306</v>
      </c>
      <c r="S7" s="176">
        <v>175888.2</v>
      </c>
      <c r="T7" s="158">
        <v>9420.7189999999991</v>
      </c>
      <c r="U7" s="177">
        <v>0</v>
      </c>
      <c r="V7" s="177">
        <v>0.31197304649100599</v>
      </c>
      <c r="W7" s="177">
        <v>4.8426144116702199E-3</v>
      </c>
    </row>
    <row r="8" spans="1:23">
      <c r="A8" s="21">
        <v>161</v>
      </c>
      <c r="B8" s="21">
        <v>9943</v>
      </c>
      <c r="C8" s="21" t="s">
        <v>1332</v>
      </c>
      <c r="D8" s="21" t="s">
        <v>1333</v>
      </c>
      <c r="E8" s="21" t="s">
        <v>935</v>
      </c>
      <c r="F8" s="21" t="s">
        <v>1507</v>
      </c>
      <c r="G8" s="21" t="s">
        <v>1508</v>
      </c>
      <c r="H8" s="21" t="s">
        <v>152</v>
      </c>
      <c r="I8" s="21" t="s">
        <v>1506</v>
      </c>
      <c r="J8" s="21" t="s">
        <v>81</v>
      </c>
      <c r="K8" s="21" t="s">
        <v>237</v>
      </c>
      <c r="L8" s="5" t="s">
        <v>154</v>
      </c>
      <c r="M8" s="21" t="s">
        <v>131</v>
      </c>
      <c r="N8" s="23" t="s">
        <v>1401</v>
      </c>
      <c r="O8" s="23" t="s">
        <v>156</v>
      </c>
      <c r="P8" s="21" t="s">
        <v>86</v>
      </c>
      <c r="Q8" s="158">
        <v>9242</v>
      </c>
      <c r="R8" s="175">
        <v>3.306</v>
      </c>
      <c r="S8" s="176">
        <v>19478</v>
      </c>
      <c r="T8" s="158">
        <v>5951.3180000000002</v>
      </c>
      <c r="U8" s="177">
        <v>1.0139999999999999E-3</v>
      </c>
      <c r="V8" s="177">
        <v>0.197081651308772</v>
      </c>
      <c r="W8" s="177">
        <v>3.0592080169693199E-3</v>
      </c>
    </row>
    <row r="9" spans="1:23">
      <c r="A9" s="21">
        <v>161</v>
      </c>
      <c r="B9" s="21">
        <v>9943</v>
      </c>
      <c r="C9" s="21" t="s">
        <v>1509</v>
      </c>
      <c r="D9" s="21" t="s">
        <v>1510</v>
      </c>
      <c r="E9" s="21" t="s">
        <v>935</v>
      </c>
      <c r="F9" s="21" t="s">
        <v>1511</v>
      </c>
      <c r="G9" s="21" t="s">
        <v>1512</v>
      </c>
      <c r="H9" s="21" t="s">
        <v>152</v>
      </c>
      <c r="I9" s="21" t="s">
        <v>1506</v>
      </c>
      <c r="J9" s="21" t="s">
        <v>81</v>
      </c>
      <c r="K9" s="21" t="s">
        <v>237</v>
      </c>
      <c r="L9" s="5" t="s">
        <v>154</v>
      </c>
      <c r="M9" s="21" t="s">
        <v>131</v>
      </c>
      <c r="N9" s="23" t="s">
        <v>1401</v>
      </c>
      <c r="O9" s="23" t="s">
        <v>156</v>
      </c>
      <c r="P9" s="21" t="s">
        <v>86</v>
      </c>
      <c r="Q9" s="158">
        <v>410.51</v>
      </c>
      <c r="R9" s="175">
        <v>3.306</v>
      </c>
      <c r="S9" s="176">
        <v>188977</v>
      </c>
      <c r="T9" s="158">
        <v>2564.694</v>
      </c>
      <c r="U9" s="177">
        <v>3.4299999999999999E-4</v>
      </c>
      <c r="V9" s="177">
        <v>8.4931453794872699E-2</v>
      </c>
      <c r="W9" s="177">
        <v>1.31835197552239E-3</v>
      </c>
    </row>
    <row r="10" spans="1:23">
      <c r="A10" s="21">
        <v>161</v>
      </c>
      <c r="B10" s="21">
        <v>9943</v>
      </c>
      <c r="C10" s="21" t="s">
        <v>1332</v>
      </c>
      <c r="D10" s="21" t="s">
        <v>1333</v>
      </c>
      <c r="E10" s="21" t="s">
        <v>935</v>
      </c>
      <c r="F10" s="21" t="s">
        <v>1507</v>
      </c>
      <c r="G10" s="21" t="s">
        <v>1508</v>
      </c>
      <c r="H10" s="21" t="s">
        <v>152</v>
      </c>
      <c r="I10" s="21" t="s">
        <v>1506</v>
      </c>
      <c r="J10" s="21" t="s">
        <v>81</v>
      </c>
      <c r="K10" s="21" t="s">
        <v>237</v>
      </c>
      <c r="L10" s="5" t="s">
        <v>154</v>
      </c>
      <c r="M10" s="21" t="s">
        <v>131</v>
      </c>
      <c r="N10" s="23" t="s">
        <v>1401</v>
      </c>
      <c r="O10" s="23" t="s">
        <v>156</v>
      </c>
      <c r="P10" s="21" t="s">
        <v>86</v>
      </c>
      <c r="Q10" s="158">
        <v>6828.64</v>
      </c>
      <c r="R10" s="175">
        <v>3.306</v>
      </c>
      <c r="S10" s="176">
        <v>19478</v>
      </c>
      <c r="T10" s="158">
        <v>4397.2529999999997</v>
      </c>
      <c r="U10" s="177">
        <v>7.4899999999999999E-4</v>
      </c>
      <c r="V10" s="177">
        <v>0.14561779348551501</v>
      </c>
      <c r="W10" s="177">
        <v>2.26035817279781E-3</v>
      </c>
    </row>
    <row r="11" spans="1:23">
      <c r="A11" s="21">
        <v>161</v>
      </c>
      <c r="B11" s="21">
        <v>12468</v>
      </c>
      <c r="C11" s="21" t="s">
        <v>1249</v>
      </c>
      <c r="D11" s="21" t="s">
        <v>1250</v>
      </c>
      <c r="E11" s="21" t="s">
        <v>149</v>
      </c>
      <c r="F11" s="21" t="s">
        <v>1492</v>
      </c>
      <c r="G11" s="21" t="s">
        <v>1493</v>
      </c>
      <c r="H11" s="21" t="s">
        <v>152</v>
      </c>
      <c r="I11" s="21" t="s">
        <v>930</v>
      </c>
      <c r="J11" s="21" t="s">
        <v>30</v>
      </c>
      <c r="K11" s="21" t="s">
        <v>30</v>
      </c>
      <c r="L11" s="5" t="s">
        <v>154</v>
      </c>
      <c r="M11" s="21" t="s">
        <v>31</v>
      </c>
      <c r="N11" s="23" t="s">
        <v>1254</v>
      </c>
      <c r="O11" s="23" t="s">
        <v>156</v>
      </c>
      <c r="P11" s="21" t="s">
        <v>34</v>
      </c>
      <c r="Q11" s="158">
        <v>190000</v>
      </c>
      <c r="R11" s="175">
        <v>1</v>
      </c>
      <c r="S11" s="176">
        <v>359.32</v>
      </c>
      <c r="T11" s="158">
        <v>682.70799999999997</v>
      </c>
      <c r="U11" s="177">
        <v>4.0499999999999998E-4</v>
      </c>
      <c r="V11" s="177">
        <v>0.92664283786442003</v>
      </c>
      <c r="W11" s="177">
        <v>2.87064109492433E-2</v>
      </c>
    </row>
    <row r="12" spans="1:23">
      <c r="A12" s="21">
        <v>161</v>
      </c>
      <c r="B12" s="21">
        <v>12468</v>
      </c>
      <c r="C12" s="21" t="s">
        <v>1494</v>
      </c>
      <c r="D12" s="21" t="s">
        <v>1495</v>
      </c>
      <c r="E12" s="21" t="s">
        <v>935</v>
      </c>
      <c r="F12" s="21" t="s">
        <v>1496</v>
      </c>
      <c r="G12" s="21" t="s">
        <v>1497</v>
      </c>
      <c r="H12" s="21" t="s">
        <v>152</v>
      </c>
      <c r="I12" s="21" t="s">
        <v>930</v>
      </c>
      <c r="J12" s="21" t="s">
        <v>81</v>
      </c>
      <c r="K12" s="21" t="s">
        <v>1224</v>
      </c>
      <c r="L12" s="5" t="s">
        <v>154</v>
      </c>
      <c r="M12" s="21" t="s">
        <v>131</v>
      </c>
      <c r="N12" s="23" t="s">
        <v>1394</v>
      </c>
      <c r="O12" s="23" t="s">
        <v>156</v>
      </c>
      <c r="P12" s="21" t="s">
        <v>1226</v>
      </c>
      <c r="Q12" s="158">
        <v>1500</v>
      </c>
      <c r="R12" s="175">
        <v>4.4409000000000001</v>
      </c>
      <c r="S12" s="176">
        <v>811.34</v>
      </c>
      <c r="T12" s="158">
        <v>54.045999999999999</v>
      </c>
      <c r="U12" s="177">
        <v>0</v>
      </c>
      <c r="V12" s="177">
        <v>7.3357162135579704E-2</v>
      </c>
      <c r="W12" s="177">
        <v>2.2725269718669502E-3</v>
      </c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workbookViewId="0">
      <selection activeCell="C6" sqref="C6"/>
    </sheetView>
  </sheetViews>
  <sheetFormatPr defaultColWidth="0" defaultRowHeight="14.25"/>
  <cols>
    <col min="1" max="4" width="11.625" style="3" customWidth="1"/>
    <col min="5" max="5" width="11.625" style="5" customWidth="1"/>
    <col min="6" max="25" width="11.625" style="3" customWidth="1"/>
    <col min="26" max="27" width="11.625" style="3" hidden="1" customWidth="1"/>
    <col min="28" max="28" width="9" style="3" hidden="1" customWidth="1"/>
    <col min="29" max="16384" width="9" style="3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136</v>
      </c>
      <c r="E1" s="22" t="s">
        <v>137</v>
      </c>
      <c r="F1" s="22" t="s">
        <v>3</v>
      </c>
      <c r="G1" s="22" t="s">
        <v>4</v>
      </c>
      <c r="H1" s="22" t="s">
        <v>138</v>
      </c>
      <c r="I1" s="22" t="s">
        <v>6</v>
      </c>
      <c r="J1" s="22" t="s">
        <v>7</v>
      </c>
      <c r="K1" s="22" t="s">
        <v>146</v>
      </c>
      <c r="L1" s="22" t="s">
        <v>8</v>
      </c>
      <c r="M1" s="22" t="s">
        <v>1513</v>
      </c>
      <c r="N1" s="22" t="s">
        <v>139</v>
      </c>
      <c r="O1" s="178" t="s">
        <v>1514</v>
      </c>
      <c r="P1" s="22" t="s">
        <v>140</v>
      </c>
      <c r="Q1" s="22" t="s">
        <v>11</v>
      </c>
      <c r="R1" s="169" t="s">
        <v>1515</v>
      </c>
      <c r="S1" s="22" t="s">
        <v>1516</v>
      </c>
      <c r="T1" s="22" t="s">
        <v>17</v>
      </c>
      <c r="U1" s="163" t="s">
        <v>18</v>
      </c>
      <c r="V1" s="169" t="s">
        <v>19</v>
      </c>
      <c r="W1" s="22" t="s">
        <v>20</v>
      </c>
      <c r="X1" s="165" t="s">
        <v>24</v>
      </c>
      <c r="Y1" s="165" t="s">
        <v>25</v>
      </c>
    </row>
    <row r="2" spans="1:25">
      <c r="A2" s="30">
        <v>161</v>
      </c>
      <c r="B2" s="23">
        <v>9938</v>
      </c>
      <c r="C2" s="23" t="s">
        <v>655</v>
      </c>
      <c r="D2" s="23" t="s">
        <v>656</v>
      </c>
      <c r="E2" s="21" t="s">
        <v>149</v>
      </c>
      <c r="F2" s="23" t="s">
        <v>1517</v>
      </c>
      <c r="G2" s="23" t="s">
        <v>1518</v>
      </c>
      <c r="H2" s="21" t="s">
        <v>152</v>
      </c>
      <c r="I2" s="21" t="s">
        <v>30</v>
      </c>
      <c r="J2" s="21" t="s">
        <v>30</v>
      </c>
      <c r="K2" s="23" t="s">
        <v>154</v>
      </c>
      <c r="L2" s="21" t="s">
        <v>31</v>
      </c>
      <c r="M2" s="24" t="s">
        <v>1519</v>
      </c>
      <c r="N2" s="23" t="s">
        <v>210</v>
      </c>
      <c r="O2" s="179" t="s">
        <v>839</v>
      </c>
      <c r="P2" s="23" t="s">
        <v>156</v>
      </c>
      <c r="Q2" s="21" t="s">
        <v>34</v>
      </c>
      <c r="R2" s="176">
        <v>8000</v>
      </c>
      <c r="S2" s="158">
        <v>0</v>
      </c>
      <c r="T2" s="157">
        <v>318</v>
      </c>
      <c r="U2" s="172">
        <v>1</v>
      </c>
      <c r="V2" s="173">
        <v>646.6</v>
      </c>
      <c r="W2" s="157">
        <v>2.056</v>
      </c>
      <c r="X2" s="171">
        <v>8.7586110658169902E-2</v>
      </c>
      <c r="Y2" s="171">
        <v>2.4565749057964899E-5</v>
      </c>
    </row>
    <row r="3" spans="1:25">
      <c r="A3" s="23">
        <v>161</v>
      </c>
      <c r="B3" s="23">
        <v>9938</v>
      </c>
      <c r="C3" s="23" t="s">
        <v>218</v>
      </c>
      <c r="D3" s="23" t="s">
        <v>219</v>
      </c>
      <c r="E3" s="21" t="s">
        <v>149</v>
      </c>
      <c r="F3" s="23" t="s">
        <v>1520</v>
      </c>
      <c r="G3" s="23" t="s">
        <v>1521</v>
      </c>
      <c r="H3" s="21" t="s">
        <v>152</v>
      </c>
      <c r="I3" s="21" t="s">
        <v>30</v>
      </c>
      <c r="J3" s="21" t="s">
        <v>30</v>
      </c>
      <c r="K3" s="23" t="s">
        <v>154</v>
      </c>
      <c r="L3" s="21" t="s">
        <v>31</v>
      </c>
      <c r="M3" s="23" t="s">
        <v>1522</v>
      </c>
      <c r="N3" s="23" t="s">
        <v>167</v>
      </c>
      <c r="O3" s="179" t="s">
        <v>1523</v>
      </c>
      <c r="P3" s="23" t="s">
        <v>156</v>
      </c>
      <c r="Q3" s="21" t="s">
        <v>34</v>
      </c>
      <c r="R3" s="176">
        <v>58000</v>
      </c>
      <c r="S3" s="158">
        <v>1</v>
      </c>
      <c r="T3" s="157">
        <v>170</v>
      </c>
      <c r="U3" s="172">
        <v>1</v>
      </c>
      <c r="V3" s="173">
        <v>12600</v>
      </c>
      <c r="W3" s="157">
        <v>21.42</v>
      </c>
      <c r="X3" s="171">
        <v>0.91241388934182999</v>
      </c>
      <c r="Y3" s="171">
        <v>2.5590964679378001E-4</v>
      </c>
    </row>
    <row r="4" spans="1:25">
      <c r="A4" s="23">
        <v>161</v>
      </c>
      <c r="B4" s="23">
        <v>9942</v>
      </c>
      <c r="C4" s="23" t="s">
        <v>655</v>
      </c>
      <c r="D4" s="23" t="s">
        <v>656</v>
      </c>
      <c r="E4" s="21" t="s">
        <v>149</v>
      </c>
      <c r="F4" s="23" t="s">
        <v>1517</v>
      </c>
      <c r="G4" s="23" t="s">
        <v>1518</v>
      </c>
      <c r="H4" s="21" t="s">
        <v>152</v>
      </c>
      <c r="I4" s="21" t="s">
        <v>30</v>
      </c>
      <c r="J4" s="21" t="s">
        <v>30</v>
      </c>
      <c r="K4" s="23" t="s">
        <v>154</v>
      </c>
      <c r="L4" s="21" t="s">
        <v>31</v>
      </c>
      <c r="M4" s="23" t="s">
        <v>1519</v>
      </c>
      <c r="N4" s="23" t="s">
        <v>210</v>
      </c>
      <c r="O4" s="179" t="s">
        <v>839</v>
      </c>
      <c r="P4" s="23" t="s">
        <v>156</v>
      </c>
      <c r="Q4" s="21" t="s">
        <v>34</v>
      </c>
      <c r="R4" s="176">
        <v>8000</v>
      </c>
      <c r="S4" s="158">
        <v>0</v>
      </c>
      <c r="T4" s="157">
        <v>492</v>
      </c>
      <c r="U4" s="172">
        <v>1</v>
      </c>
      <c r="V4" s="173">
        <v>646.6</v>
      </c>
      <c r="W4" s="157">
        <v>3.181</v>
      </c>
      <c r="X4" s="171">
        <v>9.0414875860558894E-2</v>
      </c>
      <c r="Y4" s="171">
        <v>3.2196781036214702E-5</v>
      </c>
    </row>
    <row r="5" spans="1:25">
      <c r="A5" s="23">
        <v>161</v>
      </c>
      <c r="B5" s="23">
        <v>9942</v>
      </c>
      <c r="C5" s="23" t="s">
        <v>218</v>
      </c>
      <c r="D5" s="23" t="s">
        <v>219</v>
      </c>
      <c r="E5" s="21" t="s">
        <v>149</v>
      </c>
      <c r="F5" s="23" t="s">
        <v>1520</v>
      </c>
      <c r="G5" s="23" t="s">
        <v>1521</v>
      </c>
      <c r="H5" s="21" t="s">
        <v>152</v>
      </c>
      <c r="I5" s="21" t="s">
        <v>30</v>
      </c>
      <c r="J5" s="21" t="s">
        <v>30</v>
      </c>
      <c r="K5" s="23" t="s">
        <v>154</v>
      </c>
      <c r="L5" s="21" t="s">
        <v>31</v>
      </c>
      <c r="M5" s="23" t="s">
        <v>1522</v>
      </c>
      <c r="N5" s="23" t="s">
        <v>167</v>
      </c>
      <c r="O5" s="179" t="s">
        <v>1523</v>
      </c>
      <c r="P5" s="23" t="s">
        <v>156</v>
      </c>
      <c r="Q5" s="21" t="s">
        <v>34</v>
      </c>
      <c r="R5" s="176">
        <v>58000</v>
      </c>
      <c r="S5" s="158">
        <v>1</v>
      </c>
      <c r="T5" s="157">
        <v>254</v>
      </c>
      <c r="U5" s="172">
        <v>1</v>
      </c>
      <c r="V5" s="173">
        <v>12600</v>
      </c>
      <c r="W5" s="157">
        <v>32.003999999999998</v>
      </c>
      <c r="X5" s="171">
        <v>0.90958512413944104</v>
      </c>
      <c r="Y5" s="171">
        <v>3.23903702758838E-4</v>
      </c>
    </row>
    <row r="6" spans="1:25">
      <c r="A6" s="23">
        <v>161</v>
      </c>
      <c r="B6" s="23">
        <v>9943</v>
      </c>
      <c r="C6" s="23" t="s">
        <v>655</v>
      </c>
      <c r="D6" s="23" t="s">
        <v>656</v>
      </c>
      <c r="E6" s="21" t="s">
        <v>149</v>
      </c>
      <c r="F6" s="23" t="s">
        <v>1517</v>
      </c>
      <c r="G6" s="23" t="s">
        <v>1518</v>
      </c>
      <c r="H6" s="21" t="s">
        <v>152</v>
      </c>
      <c r="I6" s="21" t="s">
        <v>30</v>
      </c>
      <c r="J6" s="21" t="s">
        <v>30</v>
      </c>
      <c r="K6" s="23" t="s">
        <v>154</v>
      </c>
      <c r="L6" s="21" t="s">
        <v>31</v>
      </c>
      <c r="M6" s="23" t="s">
        <v>1519</v>
      </c>
      <c r="N6" s="23" t="s">
        <v>210</v>
      </c>
      <c r="O6" s="179" t="s">
        <v>839</v>
      </c>
      <c r="P6" s="23" t="s">
        <v>156</v>
      </c>
      <c r="Q6" s="21" t="s">
        <v>34</v>
      </c>
      <c r="R6" s="176">
        <v>8000</v>
      </c>
      <c r="S6" s="158">
        <v>0</v>
      </c>
      <c r="T6" s="157">
        <v>1667</v>
      </c>
      <c r="U6" s="172">
        <v>1</v>
      </c>
      <c r="V6" s="173">
        <v>646.6</v>
      </c>
      <c r="W6" s="157">
        <v>10.779</v>
      </c>
      <c r="X6" s="171">
        <v>3.70317943010402E-2</v>
      </c>
      <c r="Y6" s="171">
        <v>5.5407318679124398E-6</v>
      </c>
    </row>
    <row r="7" spans="1:25">
      <c r="A7" s="23">
        <v>161</v>
      </c>
      <c r="B7" s="23">
        <v>9943</v>
      </c>
      <c r="C7" s="23" t="s">
        <v>218</v>
      </c>
      <c r="D7" s="23" t="s">
        <v>219</v>
      </c>
      <c r="E7" s="21" t="s">
        <v>149</v>
      </c>
      <c r="F7" s="23" t="s">
        <v>1520</v>
      </c>
      <c r="G7" s="23" t="s">
        <v>1521</v>
      </c>
      <c r="H7" s="21" t="s">
        <v>152</v>
      </c>
      <c r="I7" s="21" t="s">
        <v>30</v>
      </c>
      <c r="J7" s="21" t="s">
        <v>30</v>
      </c>
      <c r="K7" s="23" t="s">
        <v>154</v>
      </c>
      <c r="L7" s="21" t="s">
        <v>31</v>
      </c>
      <c r="M7" s="23" t="s">
        <v>1522</v>
      </c>
      <c r="N7" s="23" t="s">
        <v>167</v>
      </c>
      <c r="O7" s="179" t="s">
        <v>1523</v>
      </c>
      <c r="P7" s="23" t="s">
        <v>156</v>
      </c>
      <c r="Q7" s="21" t="s">
        <v>34</v>
      </c>
      <c r="R7" s="176">
        <v>58000</v>
      </c>
      <c r="S7" s="158">
        <v>1</v>
      </c>
      <c r="T7" s="157">
        <v>2202</v>
      </c>
      <c r="U7" s="172">
        <v>1</v>
      </c>
      <c r="V7" s="173">
        <v>12600</v>
      </c>
      <c r="W7" s="157">
        <v>277.452</v>
      </c>
      <c r="X7" s="171">
        <v>0.95321598152490095</v>
      </c>
      <c r="Y7" s="171">
        <v>1.4262107104246101E-4</v>
      </c>
    </row>
    <row r="8" spans="1:25">
      <c r="A8" s="23">
        <v>161</v>
      </c>
      <c r="B8" s="23">
        <v>9943</v>
      </c>
      <c r="C8" s="23" t="s">
        <v>655</v>
      </c>
      <c r="D8" s="23" t="s">
        <v>656</v>
      </c>
      <c r="E8" s="21" t="s">
        <v>149</v>
      </c>
      <c r="F8" s="23" t="s">
        <v>1517</v>
      </c>
      <c r="G8" s="23" t="s">
        <v>1518</v>
      </c>
      <c r="H8" s="21" t="s">
        <v>152</v>
      </c>
      <c r="I8" s="21" t="s">
        <v>30</v>
      </c>
      <c r="J8" s="21" t="s">
        <v>30</v>
      </c>
      <c r="K8" s="23" t="s">
        <v>154</v>
      </c>
      <c r="L8" s="21" t="s">
        <v>31</v>
      </c>
      <c r="M8" s="23" t="s">
        <v>1519</v>
      </c>
      <c r="N8" s="23" t="s">
        <v>210</v>
      </c>
      <c r="O8" s="179" t="s">
        <v>839</v>
      </c>
      <c r="P8" s="23" t="s">
        <v>156</v>
      </c>
      <c r="Q8" s="21" t="s">
        <v>34</v>
      </c>
      <c r="R8" s="176">
        <v>8000</v>
      </c>
      <c r="S8" s="158">
        <v>0</v>
      </c>
      <c r="T8" s="157">
        <v>439</v>
      </c>
      <c r="U8" s="172">
        <v>1</v>
      </c>
      <c r="V8" s="173">
        <v>646.6</v>
      </c>
      <c r="W8" s="157">
        <v>2.839</v>
      </c>
      <c r="X8" s="171">
        <v>9.7522241740591598E-3</v>
      </c>
      <c r="Y8" s="171">
        <v>1.45913694661881E-6</v>
      </c>
    </row>
    <row r="9" spans="1:25">
      <c r="A9" s="23">
        <v>161</v>
      </c>
      <c r="B9" s="23">
        <v>12468</v>
      </c>
      <c r="C9" s="23" t="s">
        <v>655</v>
      </c>
      <c r="D9" s="23" t="s">
        <v>656</v>
      </c>
      <c r="E9" s="21" t="s">
        <v>149</v>
      </c>
      <c r="F9" s="23" t="s">
        <v>1517</v>
      </c>
      <c r="G9" s="23" t="s">
        <v>1518</v>
      </c>
      <c r="H9" s="21" t="s">
        <v>152</v>
      </c>
      <c r="I9" s="21" t="s">
        <v>30</v>
      </c>
      <c r="J9" s="21" t="s">
        <v>30</v>
      </c>
      <c r="K9" s="23" t="s">
        <v>154</v>
      </c>
      <c r="L9" s="21" t="s">
        <v>31</v>
      </c>
      <c r="M9" s="23" t="s">
        <v>1519</v>
      </c>
      <c r="N9" s="23" t="s">
        <v>210</v>
      </c>
      <c r="O9" s="179" t="s">
        <v>839</v>
      </c>
      <c r="P9" s="23" t="s">
        <v>156</v>
      </c>
      <c r="Q9" s="21" t="s">
        <v>34</v>
      </c>
      <c r="R9" s="176">
        <v>8000</v>
      </c>
      <c r="S9" s="158">
        <v>0</v>
      </c>
      <c r="T9" s="157">
        <v>120</v>
      </c>
      <c r="U9" s="172">
        <v>1</v>
      </c>
      <c r="V9" s="173">
        <v>646.6</v>
      </c>
      <c r="W9" s="157">
        <v>0.77600000000000002</v>
      </c>
      <c r="X9" s="171">
        <v>1</v>
      </c>
      <c r="Y9" s="171">
        <v>3.2625776149886799E-5</v>
      </c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5"/>
      <c r="L21" s="45"/>
    </row>
    <row r="22" spans="1:25">
      <c r="L22" s="5"/>
    </row>
    <row r="23" spans="1:25">
      <c r="H23" s="42"/>
    </row>
    <row r="24" spans="1:25">
      <c r="H24" s="42"/>
    </row>
    <row r="25" spans="1:25">
      <c r="H25" s="42"/>
    </row>
    <row r="26" spans="1:25">
      <c r="H26" s="42"/>
    </row>
    <row r="27" spans="1:25">
      <c r="H27" s="42"/>
    </row>
    <row r="28" spans="1:25">
      <c r="H28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26" width="9" style="3" hidden="1" customWidth="1"/>
    <col min="27" max="16384" width="9" style="3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136</v>
      </c>
      <c r="E1" s="22" t="s">
        <v>137</v>
      </c>
      <c r="F1" s="22" t="s">
        <v>3</v>
      </c>
      <c r="G1" s="22" t="s">
        <v>4</v>
      </c>
      <c r="H1" s="22" t="s">
        <v>138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139</v>
      </c>
      <c r="N1" s="22" t="s">
        <v>1524</v>
      </c>
      <c r="O1" s="22" t="s">
        <v>1514</v>
      </c>
      <c r="P1" s="22" t="s">
        <v>140</v>
      </c>
      <c r="Q1" s="22" t="s">
        <v>11</v>
      </c>
      <c r="R1" s="22" t="s">
        <v>1515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 s="42" customFormat="1">
      <c r="E21" s="41"/>
      <c r="H21" s="45"/>
      <c r="L21" s="45"/>
    </row>
    <row r="22" spans="1:24">
      <c r="L22" s="5"/>
    </row>
    <row r="23" spans="1:24">
      <c r="H23" s="42"/>
    </row>
    <row r="24" spans="1:24">
      <c r="H24" s="42"/>
    </row>
    <row r="25" spans="1:24">
      <c r="H25" s="42"/>
    </row>
    <row r="26" spans="1:24">
      <c r="H26" s="42"/>
    </row>
    <row r="27" spans="1:24">
      <c r="H27" s="42"/>
    </row>
    <row r="30" spans="1:24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0" width="11.625" style="3" customWidth="1"/>
    <col min="21" max="21" width="9" style="3" hidden="1" customWidth="1"/>
    <col min="22" max="16384" width="9" style="3" hidden="1"/>
  </cols>
  <sheetData>
    <row r="1" spans="1:20" ht="51">
      <c r="A1" s="22" t="s">
        <v>0</v>
      </c>
      <c r="B1" s="22" t="s">
        <v>1</v>
      </c>
      <c r="C1" s="22" t="s">
        <v>2</v>
      </c>
      <c r="D1" s="22" t="s">
        <v>136</v>
      </c>
      <c r="E1" s="22" t="s">
        <v>137</v>
      </c>
      <c r="F1" s="22" t="s">
        <v>3</v>
      </c>
      <c r="G1" s="22" t="s">
        <v>4</v>
      </c>
      <c r="H1" s="22" t="s">
        <v>138</v>
      </c>
      <c r="I1" s="22" t="s">
        <v>6</v>
      </c>
      <c r="J1" s="22" t="s">
        <v>7</v>
      </c>
      <c r="K1" s="22" t="s">
        <v>8</v>
      </c>
      <c r="L1" s="22" t="s">
        <v>1524</v>
      </c>
      <c r="M1" s="22" t="s">
        <v>140</v>
      </c>
      <c r="N1" s="22" t="s">
        <v>11</v>
      </c>
      <c r="O1" s="22" t="s">
        <v>17</v>
      </c>
      <c r="P1" s="163" t="s">
        <v>18</v>
      </c>
      <c r="Q1" s="169" t="s">
        <v>19</v>
      </c>
      <c r="R1" s="22" t="s">
        <v>20</v>
      </c>
      <c r="S1" s="165" t="s">
        <v>24</v>
      </c>
      <c r="T1" s="165" t="s">
        <v>25</v>
      </c>
    </row>
    <row r="2" spans="1:20">
      <c r="A2" s="23">
        <v>161</v>
      </c>
      <c r="B2" s="23">
        <v>9938</v>
      </c>
      <c r="C2" s="3" t="s">
        <v>1525</v>
      </c>
      <c r="D2" s="3" t="s">
        <v>1526</v>
      </c>
      <c r="E2" s="21" t="s">
        <v>33</v>
      </c>
      <c r="F2" s="23" t="s">
        <v>1527</v>
      </c>
      <c r="G2" s="23" t="s">
        <v>1528</v>
      </c>
      <c r="H2" s="21" t="s">
        <v>131</v>
      </c>
      <c r="I2" s="21" t="s">
        <v>81</v>
      </c>
      <c r="J2" s="21" t="s">
        <v>82</v>
      </c>
      <c r="K2" s="21" t="s">
        <v>1529</v>
      </c>
      <c r="L2" s="24" t="s">
        <v>1530</v>
      </c>
      <c r="M2" s="23" t="s">
        <v>156</v>
      </c>
      <c r="N2" s="21" t="s">
        <v>86</v>
      </c>
      <c r="O2" s="157">
        <v>14</v>
      </c>
      <c r="P2" s="172">
        <v>3.306</v>
      </c>
      <c r="Q2" s="173">
        <v>6738.75</v>
      </c>
      <c r="R2" s="157">
        <v>334.51799999999997</v>
      </c>
      <c r="S2" s="171">
        <v>0.87672707044835796</v>
      </c>
      <c r="T2" s="171">
        <v>3.9965585164051902E-3</v>
      </c>
    </row>
    <row r="3" spans="1:20">
      <c r="A3" s="23">
        <v>161</v>
      </c>
      <c r="B3" s="23">
        <v>9938</v>
      </c>
      <c r="C3" s="3" t="s">
        <v>1525</v>
      </c>
      <c r="D3" s="3" t="s">
        <v>1526</v>
      </c>
      <c r="E3" s="21" t="s">
        <v>33</v>
      </c>
      <c r="F3" s="23" t="s">
        <v>1531</v>
      </c>
      <c r="G3" s="23" t="s">
        <v>1532</v>
      </c>
      <c r="H3" s="21" t="s">
        <v>131</v>
      </c>
      <c r="I3" s="21" t="s">
        <v>81</v>
      </c>
      <c r="J3" s="21" t="s">
        <v>82</v>
      </c>
      <c r="K3" s="21" t="s">
        <v>1529</v>
      </c>
      <c r="L3" s="24" t="s">
        <v>1530</v>
      </c>
      <c r="M3" s="23" t="s">
        <v>156</v>
      </c>
      <c r="N3" s="21" t="s">
        <v>86</v>
      </c>
      <c r="O3" s="157">
        <v>9</v>
      </c>
      <c r="P3" s="172">
        <v>3.306</v>
      </c>
      <c r="Q3" s="173">
        <v>24901.75</v>
      </c>
      <c r="R3" s="157">
        <v>47.034999999999997</v>
      </c>
      <c r="S3" s="171">
        <v>0.123272929551642</v>
      </c>
      <c r="T3" s="171">
        <v>5.6193939145723199E-4</v>
      </c>
    </row>
    <row r="4" spans="1:20">
      <c r="A4" s="23">
        <v>161</v>
      </c>
      <c r="B4" s="23">
        <v>9942</v>
      </c>
      <c r="C4" s="3" t="s">
        <v>1525</v>
      </c>
      <c r="D4" s="3" t="s">
        <v>1526</v>
      </c>
      <c r="E4" s="21" t="s">
        <v>33</v>
      </c>
      <c r="F4" s="23" t="s">
        <v>1527</v>
      </c>
      <c r="G4" s="23" t="s">
        <v>1528</v>
      </c>
      <c r="H4" s="21" t="s">
        <v>131</v>
      </c>
      <c r="I4" s="21" t="s">
        <v>81</v>
      </c>
      <c r="J4" s="21" t="s">
        <v>82</v>
      </c>
      <c r="K4" s="21" t="s">
        <v>1529</v>
      </c>
      <c r="L4" s="24" t="s">
        <v>1530</v>
      </c>
      <c r="M4" s="23" t="s">
        <v>156</v>
      </c>
      <c r="N4" s="21" t="s">
        <v>86</v>
      </c>
      <c r="O4" s="157">
        <v>4</v>
      </c>
      <c r="P4" s="172">
        <v>3.306</v>
      </c>
      <c r="Q4" s="173">
        <v>6738.75</v>
      </c>
      <c r="R4" s="157">
        <v>95.575999999999993</v>
      </c>
      <c r="S4" s="171">
        <v>0.50639919904637598</v>
      </c>
      <c r="T4" s="171">
        <v>9.6730312743975697E-4</v>
      </c>
    </row>
    <row r="5" spans="1:20">
      <c r="A5" s="23">
        <v>161</v>
      </c>
      <c r="B5" s="23">
        <v>9942</v>
      </c>
      <c r="C5" s="3" t="s">
        <v>1525</v>
      </c>
      <c r="D5" s="3" t="s">
        <v>1526</v>
      </c>
      <c r="E5" s="21" t="s">
        <v>33</v>
      </c>
      <c r="F5" s="23" t="s">
        <v>1533</v>
      </c>
      <c r="G5" s="23" t="s">
        <v>1534</v>
      </c>
      <c r="H5" s="21" t="s">
        <v>131</v>
      </c>
      <c r="I5" s="21" t="s">
        <v>81</v>
      </c>
      <c r="J5" s="21" t="s">
        <v>82</v>
      </c>
      <c r="K5" s="21" t="s">
        <v>1529</v>
      </c>
      <c r="L5" s="24" t="s">
        <v>1530</v>
      </c>
      <c r="M5" s="23" t="s">
        <v>156</v>
      </c>
      <c r="N5" s="21" t="s">
        <v>86</v>
      </c>
      <c r="O5" s="157">
        <v>30</v>
      </c>
      <c r="P5" s="172">
        <v>3.306</v>
      </c>
      <c r="Q5" s="173">
        <v>6738.75</v>
      </c>
      <c r="R5" s="157">
        <v>71.605999999999995</v>
      </c>
      <c r="S5" s="171">
        <v>0.37939385602860198</v>
      </c>
      <c r="T5" s="171">
        <v>7.2470269336718997E-4</v>
      </c>
    </row>
    <row r="6" spans="1:20">
      <c r="A6" s="23">
        <v>161</v>
      </c>
      <c r="B6" s="23">
        <v>9942</v>
      </c>
      <c r="C6" s="3" t="s">
        <v>1525</v>
      </c>
      <c r="D6" s="3" t="s">
        <v>1526</v>
      </c>
      <c r="E6" s="21" t="s">
        <v>33</v>
      </c>
      <c r="F6" s="23" t="s">
        <v>1535</v>
      </c>
      <c r="G6" s="23" t="s">
        <v>1536</v>
      </c>
      <c r="H6" s="21" t="s">
        <v>131</v>
      </c>
      <c r="I6" s="21" t="s">
        <v>81</v>
      </c>
      <c r="J6" s="21" t="s">
        <v>82</v>
      </c>
      <c r="K6" s="21" t="s">
        <v>1529</v>
      </c>
      <c r="L6" s="24" t="s">
        <v>1530</v>
      </c>
      <c r="M6" s="23" t="s">
        <v>156</v>
      </c>
      <c r="N6" s="21" t="s">
        <v>86</v>
      </c>
      <c r="O6" s="157">
        <v>4</v>
      </c>
      <c r="P6" s="172">
        <v>3.306</v>
      </c>
      <c r="Q6" s="173">
        <v>1359.7</v>
      </c>
      <c r="R6" s="157">
        <v>21.555</v>
      </c>
      <c r="S6" s="171">
        <v>0.11420694492502199</v>
      </c>
      <c r="T6" s="171">
        <v>2.18153455237193E-4</v>
      </c>
    </row>
    <row r="7" spans="1:20">
      <c r="A7" s="23">
        <v>161</v>
      </c>
      <c r="B7" s="23">
        <v>9943</v>
      </c>
      <c r="C7" s="3" t="s">
        <v>1525</v>
      </c>
      <c r="D7" s="3" t="s">
        <v>1526</v>
      </c>
      <c r="E7" s="21" t="s">
        <v>33</v>
      </c>
      <c r="F7" s="23" t="s">
        <v>1527</v>
      </c>
      <c r="G7" s="23" t="s">
        <v>1528</v>
      </c>
      <c r="H7" s="21" t="s">
        <v>131</v>
      </c>
      <c r="I7" s="21" t="s">
        <v>81</v>
      </c>
      <c r="J7" s="21" t="s">
        <v>82</v>
      </c>
      <c r="K7" s="21" t="s">
        <v>1529</v>
      </c>
      <c r="L7" s="24" t="s">
        <v>1530</v>
      </c>
      <c r="M7" s="23" t="s">
        <v>156</v>
      </c>
      <c r="N7" s="21" t="s">
        <v>86</v>
      </c>
      <c r="O7" s="157">
        <v>80</v>
      </c>
      <c r="P7" s="172">
        <v>3.306</v>
      </c>
      <c r="Q7" s="173">
        <v>6738.75</v>
      </c>
      <c r="R7" s="157">
        <v>1911.0989999999999</v>
      </c>
      <c r="S7" s="171">
        <v>1</v>
      </c>
      <c r="T7" s="171">
        <v>9.8237910034538003E-4</v>
      </c>
    </row>
    <row r="8" spans="1:20">
      <c r="A8" s="23">
        <v>161</v>
      </c>
      <c r="B8" s="23">
        <v>12468</v>
      </c>
      <c r="C8" s="3" t="s">
        <v>1525</v>
      </c>
      <c r="D8" s="3" t="s">
        <v>1526</v>
      </c>
      <c r="E8" s="21" t="s">
        <v>33</v>
      </c>
      <c r="F8" s="23" t="s">
        <v>1533</v>
      </c>
      <c r="G8" s="23" t="s">
        <v>1534</v>
      </c>
      <c r="H8" s="21" t="s">
        <v>131</v>
      </c>
      <c r="I8" s="21" t="s">
        <v>81</v>
      </c>
      <c r="J8" s="21" t="s">
        <v>82</v>
      </c>
      <c r="K8" s="21" t="s">
        <v>1529</v>
      </c>
      <c r="L8" s="24" t="s">
        <v>1530</v>
      </c>
      <c r="M8" s="23" t="s">
        <v>156</v>
      </c>
      <c r="N8" s="21" t="s">
        <v>86</v>
      </c>
      <c r="O8" s="157">
        <v>39</v>
      </c>
      <c r="P8" s="172">
        <v>3.306</v>
      </c>
      <c r="Q8" s="173">
        <v>6738.75</v>
      </c>
      <c r="R8" s="157">
        <v>93.087999999999994</v>
      </c>
      <c r="S8" s="171">
        <v>0.61688140634873301</v>
      </c>
      <c r="T8" s="171">
        <v>3.9141321330699698E-3</v>
      </c>
    </row>
    <row r="9" spans="1:20">
      <c r="A9" s="23">
        <v>161</v>
      </c>
      <c r="B9" s="23">
        <v>12468</v>
      </c>
      <c r="C9" s="3" t="s">
        <v>1525</v>
      </c>
      <c r="D9" s="3" t="s">
        <v>1526</v>
      </c>
      <c r="E9" s="21" t="s">
        <v>33</v>
      </c>
      <c r="F9" s="23" t="s">
        <v>1531</v>
      </c>
      <c r="G9" s="23" t="s">
        <v>1532</v>
      </c>
      <c r="H9" s="21" t="s">
        <v>131</v>
      </c>
      <c r="I9" s="21" t="s">
        <v>81</v>
      </c>
      <c r="J9" s="21" t="s">
        <v>82</v>
      </c>
      <c r="K9" s="21" t="s">
        <v>1529</v>
      </c>
      <c r="L9" s="24" t="s">
        <v>1530</v>
      </c>
      <c r="M9" s="23" t="s">
        <v>156</v>
      </c>
      <c r="N9" s="21" t="s">
        <v>86</v>
      </c>
      <c r="O9" s="157">
        <v>9</v>
      </c>
      <c r="P9" s="172">
        <v>3.306</v>
      </c>
      <c r="Q9" s="173">
        <v>24901.75</v>
      </c>
      <c r="R9" s="157">
        <v>47.034999999999997</v>
      </c>
      <c r="S9" s="171">
        <v>0.311696832860338</v>
      </c>
      <c r="T9" s="171">
        <v>1.97772631290023E-3</v>
      </c>
    </row>
    <row r="10" spans="1:20">
      <c r="A10" s="23">
        <v>161</v>
      </c>
      <c r="B10" s="23">
        <v>12468</v>
      </c>
      <c r="C10" s="3" t="s">
        <v>1525</v>
      </c>
      <c r="D10" s="3" t="s">
        <v>1526</v>
      </c>
      <c r="E10" s="21" t="s">
        <v>33</v>
      </c>
      <c r="F10" s="23" t="s">
        <v>1535</v>
      </c>
      <c r="G10" s="23" t="s">
        <v>1536</v>
      </c>
      <c r="H10" s="21" t="s">
        <v>131</v>
      </c>
      <c r="I10" s="21" t="s">
        <v>81</v>
      </c>
      <c r="J10" s="21" t="s">
        <v>82</v>
      </c>
      <c r="K10" s="21" t="s">
        <v>1529</v>
      </c>
      <c r="L10" s="24" t="s">
        <v>1530</v>
      </c>
      <c r="M10" s="23" t="s">
        <v>156</v>
      </c>
      <c r="N10" s="21" t="s">
        <v>86</v>
      </c>
      <c r="O10" s="157">
        <v>2</v>
      </c>
      <c r="P10" s="172">
        <v>3.306</v>
      </c>
      <c r="Q10" s="173">
        <v>1359.7</v>
      </c>
      <c r="R10" s="157">
        <v>10.778</v>
      </c>
      <c r="S10" s="171">
        <v>7.1421760790929004E-2</v>
      </c>
      <c r="T10" s="171">
        <v>4.5317334261518602E-4</v>
      </c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4"/>
      <c r="M20" s="23"/>
    </row>
    <row r="21" spans="1:20" s="42" customFormat="1">
      <c r="E21" s="41"/>
      <c r="H21" s="45"/>
      <c r="K21" s="45"/>
    </row>
    <row r="22" spans="1:20">
      <c r="K22" s="5"/>
    </row>
    <row r="23" spans="1:20">
      <c r="H23" s="42"/>
    </row>
    <row r="24" spans="1:20">
      <c r="H24" s="42"/>
    </row>
    <row r="25" spans="1:20">
      <c r="H25" s="42"/>
    </row>
    <row r="26" spans="1:20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B1" sqref="B1"/>
    </sheetView>
  </sheetViews>
  <sheetFormatPr defaultColWidth="0" defaultRowHeight="14.25"/>
  <cols>
    <col min="1" max="4" width="11.625" style="3" customWidth="1"/>
    <col min="5" max="5" width="11.625" style="5" customWidth="1"/>
    <col min="6" max="28" width="11.625" style="3" customWidth="1"/>
    <col min="29" max="29" width="9" style="3" hidden="1" customWidth="1"/>
    <col min="30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136</v>
      </c>
      <c r="E1" s="22" t="s">
        <v>137</v>
      </c>
      <c r="F1" s="22" t="s">
        <v>3</v>
      </c>
      <c r="G1" s="22" t="s">
        <v>4</v>
      </c>
      <c r="H1" s="22" t="s">
        <v>138</v>
      </c>
      <c r="I1" s="22" t="s">
        <v>5</v>
      </c>
      <c r="J1" s="22" t="s">
        <v>6</v>
      </c>
      <c r="K1" s="22" t="s">
        <v>7</v>
      </c>
      <c r="L1" s="22" t="s">
        <v>146</v>
      </c>
      <c r="M1" s="22" t="s">
        <v>8</v>
      </c>
      <c r="N1" s="22" t="s">
        <v>1524</v>
      </c>
      <c r="O1" s="22" t="s">
        <v>140</v>
      </c>
      <c r="P1" s="22" t="s">
        <v>12</v>
      </c>
      <c r="Q1" s="165" t="s">
        <v>14</v>
      </c>
      <c r="R1" s="165" t="s">
        <v>15</v>
      </c>
      <c r="S1" s="22" t="s">
        <v>9</v>
      </c>
      <c r="T1" s="22" t="s">
        <v>10</v>
      </c>
      <c r="U1" s="22" t="s">
        <v>141</v>
      </c>
      <c r="V1" s="22" t="s">
        <v>11</v>
      </c>
      <c r="W1" s="22" t="s">
        <v>17</v>
      </c>
      <c r="X1" s="163" t="s">
        <v>18</v>
      </c>
      <c r="Y1" s="169" t="s">
        <v>19</v>
      </c>
      <c r="Z1" s="22" t="s">
        <v>20</v>
      </c>
      <c r="AA1" s="165" t="s">
        <v>24</v>
      </c>
      <c r="AB1" s="165" t="s">
        <v>25</v>
      </c>
    </row>
    <row r="2" spans="1:28">
      <c r="A2" s="23">
        <v>161</v>
      </c>
      <c r="B2" s="23">
        <v>1434</v>
      </c>
      <c r="C2" s="23" t="s">
        <v>1537</v>
      </c>
      <c r="D2" s="23" t="s">
        <v>1538</v>
      </c>
      <c r="E2" s="21" t="s">
        <v>149</v>
      </c>
      <c r="F2" s="23" t="s">
        <v>1539</v>
      </c>
      <c r="G2" s="23" t="s">
        <v>1540</v>
      </c>
      <c r="H2" s="21" t="s">
        <v>152</v>
      </c>
      <c r="I2" s="23" t="s">
        <v>1541</v>
      </c>
      <c r="J2" s="21" t="s">
        <v>30</v>
      </c>
      <c r="K2" s="21" t="s">
        <v>30</v>
      </c>
      <c r="L2" s="23" t="s">
        <v>154</v>
      </c>
      <c r="M2" s="21" t="s">
        <v>31</v>
      </c>
      <c r="N2" s="24" t="s">
        <v>1542</v>
      </c>
      <c r="O2" s="23" t="s">
        <v>156</v>
      </c>
      <c r="P2" s="157">
        <v>2.7719999999999998</v>
      </c>
      <c r="Q2" s="171">
        <v>5.0000000000000001E-4</v>
      </c>
      <c r="R2" s="171">
        <v>2.647E-2</v>
      </c>
      <c r="S2" s="23" t="s">
        <v>246</v>
      </c>
      <c r="T2" s="23" t="s">
        <v>169</v>
      </c>
      <c r="U2" s="23" t="s">
        <v>159</v>
      </c>
      <c r="V2" s="21" t="s">
        <v>34</v>
      </c>
      <c r="W2" s="157">
        <v>84642.01</v>
      </c>
      <c r="X2" s="172">
        <v>1</v>
      </c>
      <c r="Y2" s="173">
        <v>109.77</v>
      </c>
      <c r="Z2" s="157">
        <v>92.912000000000006</v>
      </c>
      <c r="AA2" s="171">
        <v>1</v>
      </c>
      <c r="AB2" s="171">
        <v>4.05461793555488E-3</v>
      </c>
    </row>
    <row r="3" spans="1:28">
      <c r="A3" s="23">
        <v>161</v>
      </c>
      <c r="B3" s="23">
        <v>9938</v>
      </c>
      <c r="C3" s="23" t="s">
        <v>1537</v>
      </c>
      <c r="D3" s="23" t="s">
        <v>1538</v>
      </c>
      <c r="E3" s="21" t="s">
        <v>149</v>
      </c>
      <c r="F3" s="23" t="s">
        <v>1539</v>
      </c>
      <c r="G3" s="23" t="s">
        <v>1540</v>
      </c>
      <c r="H3" s="21" t="s">
        <v>152</v>
      </c>
      <c r="I3" s="23" t="s">
        <v>1541</v>
      </c>
      <c r="J3" s="21" t="s">
        <v>30</v>
      </c>
      <c r="K3" s="21" t="s">
        <v>30</v>
      </c>
      <c r="L3" s="23" t="s">
        <v>154</v>
      </c>
      <c r="M3" s="21" t="s">
        <v>31</v>
      </c>
      <c r="N3" s="24" t="s">
        <v>1542</v>
      </c>
      <c r="O3" s="23" t="s">
        <v>156</v>
      </c>
      <c r="P3" s="157">
        <v>2.7719999999999998</v>
      </c>
      <c r="Q3" s="171">
        <v>5.0000000000000001E-4</v>
      </c>
      <c r="R3" s="171">
        <v>2.647E-2</v>
      </c>
      <c r="S3" s="23" t="s">
        <v>246</v>
      </c>
      <c r="T3" s="23" t="s">
        <v>169</v>
      </c>
      <c r="U3" s="23" t="s">
        <v>159</v>
      </c>
      <c r="V3" s="21" t="s">
        <v>34</v>
      </c>
      <c r="W3" s="157">
        <v>36000.01</v>
      </c>
      <c r="X3" s="172">
        <v>1</v>
      </c>
      <c r="Y3" s="173">
        <v>109.77</v>
      </c>
      <c r="Z3" s="157">
        <v>39.517000000000003</v>
      </c>
      <c r="AA3" s="171">
        <v>1</v>
      </c>
      <c r="AB3" s="171">
        <v>4.72121171960754E-4</v>
      </c>
    </row>
    <row r="4" spans="1:28">
      <c r="A4" s="23">
        <v>161</v>
      </c>
      <c r="B4" s="23">
        <v>9942</v>
      </c>
      <c r="C4" s="23" t="s">
        <v>1537</v>
      </c>
      <c r="D4" s="23" t="s">
        <v>1538</v>
      </c>
      <c r="E4" s="21" t="s">
        <v>149</v>
      </c>
      <c r="F4" s="23" t="s">
        <v>1539</v>
      </c>
      <c r="G4" s="23" t="s">
        <v>1540</v>
      </c>
      <c r="H4" s="21" t="s">
        <v>152</v>
      </c>
      <c r="I4" s="23" t="s">
        <v>1541</v>
      </c>
      <c r="J4" s="21" t="s">
        <v>30</v>
      </c>
      <c r="K4" s="21" t="s">
        <v>30</v>
      </c>
      <c r="L4" s="23" t="s">
        <v>154</v>
      </c>
      <c r="M4" s="21" t="s">
        <v>31</v>
      </c>
      <c r="N4" s="24" t="s">
        <v>1542</v>
      </c>
      <c r="O4" s="23" t="s">
        <v>156</v>
      </c>
      <c r="P4" s="157">
        <v>2.7719999999999998</v>
      </c>
      <c r="Q4" s="171">
        <v>5.0000000000000001E-4</v>
      </c>
      <c r="R4" s="171">
        <v>2.647E-2</v>
      </c>
      <c r="S4" s="23" t="s">
        <v>246</v>
      </c>
      <c r="T4" s="23" t="s">
        <v>169</v>
      </c>
      <c r="U4" s="23" t="s">
        <v>159</v>
      </c>
      <c r="V4" s="21" t="s">
        <v>34</v>
      </c>
      <c r="W4" s="157">
        <v>70363.649999999994</v>
      </c>
      <c r="X4" s="172">
        <v>1</v>
      </c>
      <c r="Y4" s="173">
        <v>109.77</v>
      </c>
      <c r="Z4" s="157">
        <v>77.238</v>
      </c>
      <c r="AA4" s="171">
        <v>1</v>
      </c>
      <c r="AB4" s="171">
        <v>7.8170641308923801E-4</v>
      </c>
    </row>
    <row r="5" spans="1:28">
      <c r="A5" s="23">
        <v>161</v>
      </c>
      <c r="B5" s="23">
        <v>9943</v>
      </c>
      <c r="C5" s="23" t="s">
        <v>1537</v>
      </c>
      <c r="D5" s="23" t="s">
        <v>1538</v>
      </c>
      <c r="E5" s="21" t="s">
        <v>149</v>
      </c>
      <c r="F5" s="23" t="s">
        <v>1543</v>
      </c>
      <c r="G5" s="23" t="s">
        <v>1544</v>
      </c>
      <c r="H5" s="21" t="s">
        <v>152</v>
      </c>
      <c r="I5" s="23" t="s">
        <v>1541</v>
      </c>
      <c r="J5" s="21" t="s">
        <v>30</v>
      </c>
      <c r="K5" s="21" t="s">
        <v>30</v>
      </c>
      <c r="L5" s="23" t="s">
        <v>154</v>
      </c>
      <c r="M5" s="21" t="s">
        <v>31</v>
      </c>
      <c r="N5" s="24" t="s">
        <v>1545</v>
      </c>
      <c r="O5" s="23" t="s">
        <v>156</v>
      </c>
      <c r="P5" s="157">
        <v>0.51400000000000001</v>
      </c>
      <c r="Q5" s="171">
        <v>9.1391E-2</v>
      </c>
      <c r="R5" s="171">
        <v>3.8780000000000002E-2</v>
      </c>
      <c r="S5" s="23" t="s">
        <v>246</v>
      </c>
      <c r="T5" s="23" t="s">
        <v>169</v>
      </c>
      <c r="U5" s="23" t="s">
        <v>159</v>
      </c>
      <c r="V5" s="21" t="s">
        <v>34</v>
      </c>
      <c r="W5" s="157">
        <v>2986876</v>
      </c>
      <c r="X5" s="172">
        <v>1</v>
      </c>
      <c r="Y5" s="173">
        <v>96.95</v>
      </c>
      <c r="Z5" s="157">
        <v>2895.7759999999998</v>
      </c>
      <c r="AA5" s="171">
        <v>0.652884144951006</v>
      </c>
      <c r="AB5" s="171">
        <v>1.4885411344599999E-3</v>
      </c>
    </row>
    <row r="6" spans="1:28">
      <c r="A6" s="23">
        <v>161</v>
      </c>
      <c r="B6" s="23">
        <v>9943</v>
      </c>
      <c r="C6" s="23" t="s">
        <v>1537</v>
      </c>
      <c r="D6" s="23" t="s">
        <v>1538</v>
      </c>
      <c r="E6" s="21" t="s">
        <v>149</v>
      </c>
      <c r="F6" s="23" t="s">
        <v>1539</v>
      </c>
      <c r="G6" s="23" t="s">
        <v>1540</v>
      </c>
      <c r="H6" s="21" t="s">
        <v>152</v>
      </c>
      <c r="I6" s="23" t="s">
        <v>1541</v>
      </c>
      <c r="J6" s="21" t="s">
        <v>30</v>
      </c>
      <c r="K6" s="21" t="s">
        <v>30</v>
      </c>
      <c r="L6" s="23" t="s">
        <v>154</v>
      </c>
      <c r="M6" s="21" t="s">
        <v>31</v>
      </c>
      <c r="N6" s="24" t="s">
        <v>1542</v>
      </c>
      <c r="O6" s="23" t="s">
        <v>156</v>
      </c>
      <c r="P6" s="157">
        <v>2.7719999999999998</v>
      </c>
      <c r="Q6" s="171">
        <v>5.0000000000000001E-4</v>
      </c>
      <c r="R6" s="171">
        <v>2.647E-2</v>
      </c>
      <c r="S6" s="23" t="s">
        <v>246</v>
      </c>
      <c r="T6" s="23" t="s">
        <v>169</v>
      </c>
      <c r="U6" s="23" t="s">
        <v>159</v>
      </c>
      <c r="V6" s="21" t="s">
        <v>34</v>
      </c>
      <c r="W6" s="157">
        <v>1402554.26</v>
      </c>
      <c r="X6" s="172">
        <v>1</v>
      </c>
      <c r="Y6" s="173">
        <v>109.77</v>
      </c>
      <c r="Z6" s="157">
        <v>1539.5840000000001</v>
      </c>
      <c r="AA6" s="171">
        <v>0.347115855048994</v>
      </c>
      <c r="AB6" s="171">
        <v>7.9140569220356402E-4</v>
      </c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4"/>
      <c r="O7" s="23"/>
      <c r="P7" s="23"/>
      <c r="Q7" s="23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4"/>
      <c r="O8" s="23"/>
      <c r="P8" s="23"/>
      <c r="Q8" s="23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4"/>
      <c r="O9" s="23"/>
      <c r="P9" s="23"/>
      <c r="Q9" s="23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4"/>
      <c r="O10" s="23"/>
      <c r="P10" s="23"/>
      <c r="Q10" s="23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4"/>
      <c r="O11" s="23"/>
      <c r="P11" s="23"/>
      <c r="Q11" s="23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4"/>
      <c r="O12" s="23"/>
      <c r="P12" s="23"/>
      <c r="Q12" s="23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4"/>
      <c r="O13" s="23"/>
      <c r="P13" s="23"/>
      <c r="Q13" s="23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4"/>
      <c r="O14" s="23"/>
      <c r="P14" s="23"/>
      <c r="Q14" s="23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4"/>
      <c r="O15" s="23"/>
      <c r="P15" s="23"/>
      <c r="Q15" s="23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4"/>
      <c r="O16" s="23"/>
      <c r="P16" s="23"/>
      <c r="Q16" s="23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4"/>
      <c r="O17" s="23"/>
      <c r="P17" s="23"/>
      <c r="Q17" s="23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4"/>
      <c r="O18" s="23"/>
      <c r="P18" s="23"/>
      <c r="Q18" s="23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4"/>
      <c r="O19" s="23"/>
      <c r="P19" s="23"/>
      <c r="Q19" s="23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4"/>
      <c r="O20" s="23"/>
      <c r="T20" s="23"/>
      <c r="U20" s="23"/>
    </row>
    <row r="21" spans="1:28" s="42" customFormat="1">
      <c r="E21" s="41"/>
      <c r="H21" s="45"/>
      <c r="M21" s="45"/>
      <c r="N21" s="24"/>
    </row>
    <row r="22" spans="1:28">
      <c r="M22" s="5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26" width="9" hidden="1" customWidth="1"/>
    <col min="27" max="16384" width="9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138</v>
      </c>
      <c r="G1" s="22" t="s">
        <v>5</v>
      </c>
      <c r="H1" s="22" t="s">
        <v>6</v>
      </c>
      <c r="I1" s="22" t="s">
        <v>7</v>
      </c>
      <c r="J1" s="22" t="s">
        <v>1546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5">
      <c r="A2" s="23"/>
      <c r="B2" s="23"/>
      <c r="C2" s="23"/>
      <c r="D2" s="23"/>
      <c r="E2" s="23"/>
      <c r="F2" s="23"/>
      <c r="G2" s="23"/>
      <c r="H2" s="31"/>
      <c r="I2" s="21"/>
      <c r="J2" s="23"/>
      <c r="K2" s="40"/>
      <c r="L2" s="24"/>
      <c r="M2" s="31"/>
      <c r="N2" s="23"/>
      <c r="O2" s="23"/>
      <c r="P2" s="23"/>
      <c r="Q2" s="23"/>
      <c r="R2" s="23"/>
      <c r="S2" s="24"/>
      <c r="T2" s="23"/>
      <c r="U2" s="23"/>
      <c r="V2" s="23"/>
      <c r="W2" s="21"/>
      <c r="X2" s="23"/>
      <c r="Y2" s="23"/>
    </row>
    <row r="3" spans="1:25">
      <c r="A3" s="23"/>
      <c r="B3" s="23"/>
      <c r="C3" s="23"/>
      <c r="D3" s="23"/>
      <c r="E3" s="23"/>
      <c r="F3" s="23"/>
      <c r="G3" s="23"/>
      <c r="H3" s="31"/>
      <c r="I3" s="21"/>
      <c r="J3" s="23"/>
      <c r="K3" s="23"/>
      <c r="L3" s="24"/>
      <c r="M3" s="21"/>
      <c r="N3" s="23"/>
      <c r="O3" s="23"/>
      <c r="P3" s="23"/>
      <c r="Q3" s="23"/>
      <c r="R3" s="23"/>
      <c r="S3" s="23"/>
      <c r="T3" s="23"/>
      <c r="U3" s="23"/>
      <c r="V3" s="23"/>
      <c r="W3" s="21"/>
      <c r="X3" s="23"/>
      <c r="Y3" s="23"/>
    </row>
    <row r="4" spans="1:25">
      <c r="A4" s="23"/>
      <c r="B4" s="23"/>
      <c r="C4" s="23"/>
      <c r="D4" s="23"/>
      <c r="E4" s="23"/>
      <c r="F4" s="23"/>
      <c r="G4" s="23"/>
      <c r="H4" s="31"/>
      <c r="I4" s="21"/>
      <c r="J4" s="23"/>
      <c r="K4" s="23"/>
      <c r="L4" s="24"/>
      <c r="M4" s="21"/>
      <c r="N4" s="23"/>
      <c r="O4" s="23"/>
      <c r="P4" s="23"/>
      <c r="Q4" s="23"/>
      <c r="R4" s="23"/>
      <c r="S4" s="23"/>
      <c r="T4" s="23"/>
      <c r="U4" s="23"/>
      <c r="V4" s="23"/>
      <c r="W4" s="21"/>
      <c r="X4" s="23"/>
      <c r="Y4" s="23"/>
    </row>
    <row r="5" spans="1:25">
      <c r="A5" s="23"/>
      <c r="B5" s="23"/>
      <c r="C5" s="23"/>
      <c r="D5" s="23"/>
      <c r="E5" s="23"/>
      <c r="F5" s="23"/>
      <c r="G5" s="23"/>
      <c r="H5" s="31"/>
      <c r="I5" s="21"/>
      <c r="J5" s="23"/>
      <c r="K5" s="21"/>
      <c r="L5" s="24"/>
      <c r="N5" s="23"/>
      <c r="O5" s="23"/>
      <c r="P5" s="21"/>
      <c r="Q5" s="21"/>
      <c r="R5" s="23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3"/>
      <c r="F6" s="23"/>
      <c r="G6" s="23"/>
      <c r="H6" s="31"/>
      <c r="I6" s="21"/>
      <c r="J6" s="23"/>
      <c r="K6" s="23"/>
      <c r="L6" s="24"/>
      <c r="M6" s="21"/>
      <c r="N6" s="23"/>
      <c r="O6" s="23"/>
      <c r="P6" s="23"/>
      <c r="Q6" s="23"/>
      <c r="R6" s="23"/>
      <c r="S6" s="23"/>
      <c r="T6" s="23"/>
      <c r="U6" s="23"/>
      <c r="V6" s="23"/>
      <c r="W6" s="21"/>
      <c r="X6" s="23"/>
      <c r="Y6" s="23"/>
    </row>
    <row r="7" spans="1:25">
      <c r="A7" s="23"/>
      <c r="B7" s="23"/>
      <c r="C7" s="23"/>
      <c r="D7" s="23"/>
      <c r="E7" s="23"/>
      <c r="F7" s="23"/>
      <c r="G7" s="23"/>
      <c r="H7" s="31"/>
      <c r="I7" s="21"/>
      <c r="J7" s="23"/>
      <c r="K7" s="23"/>
      <c r="L7" s="24"/>
      <c r="M7" s="21"/>
      <c r="N7" s="23"/>
      <c r="O7" s="23"/>
      <c r="P7" s="23"/>
      <c r="Q7" s="23"/>
      <c r="R7" s="23"/>
      <c r="S7" s="23"/>
      <c r="T7" s="23"/>
      <c r="U7" s="23"/>
      <c r="V7" s="23"/>
      <c r="W7" s="21"/>
      <c r="X7" s="23"/>
      <c r="Y7" s="23"/>
    </row>
    <row r="8" spans="1:25">
      <c r="A8" s="23"/>
      <c r="B8" s="23"/>
      <c r="C8" s="23"/>
      <c r="D8" s="23"/>
      <c r="E8" s="23"/>
      <c r="F8" s="23"/>
      <c r="G8" s="23"/>
      <c r="H8" s="31"/>
      <c r="I8" s="21"/>
      <c r="J8" s="23"/>
      <c r="K8" s="23"/>
      <c r="L8" s="24"/>
      <c r="M8" s="21"/>
      <c r="N8" s="23"/>
      <c r="O8" s="23"/>
      <c r="P8" s="23"/>
      <c r="Q8" s="23"/>
      <c r="R8" s="23"/>
      <c r="S8" s="23"/>
      <c r="T8" s="23"/>
      <c r="U8" s="23"/>
      <c r="V8" s="23"/>
      <c r="W8" s="21"/>
      <c r="X8" s="23"/>
      <c r="Y8" s="23"/>
    </row>
    <row r="9" spans="1:25">
      <c r="A9" s="23"/>
      <c r="B9" s="23"/>
      <c r="C9" s="23"/>
      <c r="D9" s="23"/>
      <c r="E9" s="23"/>
      <c r="F9" s="23"/>
      <c r="G9" s="23"/>
      <c r="H9" s="31"/>
      <c r="I9" s="21"/>
      <c r="J9" s="23"/>
      <c r="K9" s="23"/>
      <c r="L9" s="24"/>
      <c r="M9" s="21"/>
      <c r="N9" s="23"/>
      <c r="O9" s="23"/>
      <c r="P9" s="23"/>
      <c r="Q9" s="23"/>
      <c r="R9" s="23"/>
      <c r="S9" s="23"/>
      <c r="T9" s="23"/>
      <c r="U9" s="23"/>
      <c r="V9" s="23"/>
      <c r="W9" s="21"/>
      <c r="X9" s="23"/>
      <c r="Y9" s="23"/>
    </row>
    <row r="10" spans="1:25">
      <c r="A10" s="23"/>
      <c r="B10" s="23"/>
      <c r="C10" s="23"/>
      <c r="D10" s="23"/>
      <c r="E10" s="23"/>
      <c r="F10" s="23"/>
      <c r="G10" s="23"/>
      <c r="H10" s="31"/>
      <c r="I10" s="21"/>
      <c r="J10" s="23"/>
      <c r="K10" s="23"/>
      <c r="L10" s="24"/>
      <c r="M10" s="21"/>
      <c r="N10" s="23"/>
      <c r="O10" s="23"/>
      <c r="P10" s="23"/>
      <c r="Q10" s="23"/>
      <c r="R10" s="23"/>
      <c r="S10" s="23"/>
      <c r="T10" s="23"/>
      <c r="U10" s="23"/>
      <c r="V10" s="23"/>
      <c r="W10" s="21"/>
      <c r="X10" s="23"/>
      <c r="Y10" s="23"/>
    </row>
    <row r="11" spans="1:25">
      <c r="A11" s="23"/>
      <c r="B11" s="23"/>
      <c r="C11" s="23"/>
      <c r="D11" s="23"/>
      <c r="E11" s="23"/>
      <c r="F11" s="23"/>
      <c r="G11" s="23"/>
      <c r="H11" s="31"/>
      <c r="I11" s="21"/>
      <c r="J11" s="23"/>
      <c r="K11" s="23"/>
      <c r="L11" s="24"/>
      <c r="M11" s="21"/>
      <c r="N11" s="23"/>
      <c r="O11" s="23"/>
      <c r="P11" s="23"/>
      <c r="Q11" s="23"/>
      <c r="R11" s="23"/>
      <c r="S11" s="23"/>
      <c r="T11" s="23"/>
      <c r="U11" s="23"/>
      <c r="V11" s="23"/>
      <c r="W11" s="21"/>
      <c r="X11" s="23"/>
      <c r="Y11" s="23"/>
    </row>
    <row r="12" spans="1:25">
      <c r="A12" s="23"/>
      <c r="B12" s="23"/>
      <c r="C12" s="23"/>
      <c r="D12" s="23"/>
      <c r="E12" s="23"/>
      <c r="F12" s="23"/>
      <c r="G12" s="23"/>
      <c r="H12" s="31"/>
      <c r="I12" s="21"/>
      <c r="J12" s="23"/>
      <c r="K12" s="23"/>
      <c r="L12" s="24"/>
      <c r="M12" s="21"/>
      <c r="N12" s="23"/>
      <c r="O12" s="23"/>
      <c r="P12" s="23"/>
      <c r="Q12" s="23"/>
      <c r="R12" s="23"/>
      <c r="S12" s="23"/>
      <c r="T12" s="23"/>
      <c r="U12" s="23"/>
      <c r="V12" s="23"/>
      <c r="W12" s="21"/>
      <c r="X12" s="23"/>
      <c r="Y12" s="23"/>
    </row>
    <row r="13" spans="1:25">
      <c r="A13" s="23"/>
      <c r="B13" s="23"/>
      <c r="C13" s="23"/>
      <c r="D13" s="23"/>
      <c r="E13" s="23"/>
      <c r="F13" s="23"/>
      <c r="G13" s="23"/>
      <c r="H13" s="31"/>
      <c r="I13" s="21"/>
      <c r="J13" s="23"/>
      <c r="K13" s="23"/>
      <c r="L13" s="24"/>
      <c r="M13" s="21"/>
      <c r="N13" s="23"/>
      <c r="O13" s="23"/>
      <c r="P13" s="23"/>
      <c r="Q13" s="23"/>
      <c r="R13" s="23"/>
      <c r="S13" s="23"/>
      <c r="T13" s="23"/>
      <c r="U13" s="23"/>
      <c r="V13" s="23"/>
      <c r="W13" s="21"/>
      <c r="X13" s="23"/>
      <c r="Y13" s="23"/>
    </row>
    <row r="14" spans="1:25">
      <c r="A14" s="23"/>
      <c r="B14" s="23"/>
      <c r="C14" s="23"/>
      <c r="D14" s="23"/>
      <c r="E14" s="23"/>
      <c r="F14" s="23"/>
      <c r="G14" s="23"/>
      <c r="H14" s="31"/>
      <c r="I14" s="21"/>
      <c r="J14" s="23"/>
      <c r="K14" s="23"/>
      <c r="L14" s="24"/>
      <c r="M14" s="21"/>
      <c r="N14" s="23"/>
      <c r="O14" s="23"/>
      <c r="P14" s="23"/>
      <c r="Q14" s="23"/>
      <c r="R14" s="23"/>
      <c r="S14" s="23"/>
      <c r="T14" s="23"/>
      <c r="U14" s="23"/>
      <c r="V14" s="23"/>
      <c r="W14" s="21"/>
      <c r="X14" s="23"/>
      <c r="Y14" s="23"/>
    </row>
    <row r="15" spans="1:25">
      <c r="A15" s="23"/>
      <c r="B15" s="23"/>
      <c r="C15" s="23"/>
      <c r="D15" s="23"/>
      <c r="E15" s="23"/>
      <c r="F15" s="23"/>
      <c r="G15" s="23"/>
      <c r="H15" s="31"/>
      <c r="I15" s="21"/>
      <c r="J15" s="23"/>
      <c r="K15" s="23"/>
      <c r="L15" s="24"/>
      <c r="M15" s="21"/>
      <c r="N15" s="23"/>
      <c r="O15" s="23"/>
      <c r="P15" s="23"/>
      <c r="Q15" s="23"/>
      <c r="R15" s="23"/>
      <c r="S15" s="23"/>
      <c r="T15" s="23"/>
      <c r="U15" s="23"/>
      <c r="V15" s="23"/>
      <c r="W15" s="21"/>
      <c r="X15" s="23"/>
      <c r="Y15" s="23"/>
    </row>
    <row r="16" spans="1:25">
      <c r="A16" s="23"/>
      <c r="B16" s="23"/>
      <c r="C16" s="23"/>
      <c r="D16" s="23"/>
      <c r="E16" s="23"/>
      <c r="F16" s="23"/>
      <c r="G16" s="23"/>
      <c r="H16" s="31"/>
      <c r="I16" s="21"/>
      <c r="J16" s="23"/>
      <c r="K16" s="23"/>
      <c r="L16" s="24"/>
      <c r="M16" s="21"/>
      <c r="N16" s="23"/>
      <c r="O16" s="23"/>
      <c r="P16" s="23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31"/>
      <c r="I17" s="21"/>
      <c r="J17" s="23"/>
      <c r="K17" s="23"/>
      <c r="L17" s="24"/>
      <c r="M17" s="21"/>
      <c r="N17" s="23"/>
      <c r="O17" s="23"/>
      <c r="P17" s="23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31"/>
      <c r="I18" s="21"/>
      <c r="J18" s="23"/>
      <c r="K18" s="23"/>
      <c r="L18" s="24"/>
      <c r="M18" s="21"/>
      <c r="N18" s="23"/>
      <c r="O18" s="23"/>
      <c r="P18" s="23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31"/>
      <c r="I19" s="21"/>
      <c r="J19" s="23"/>
      <c r="K19" s="23"/>
      <c r="L19" s="24"/>
      <c r="M19" s="21"/>
      <c r="N19" s="23"/>
      <c r="O19" s="23"/>
      <c r="P19" s="23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31"/>
      <c r="I20" s="21"/>
      <c r="L20" s="24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1546</v>
      </c>
      <c r="G1" s="22" t="s">
        <v>12</v>
      </c>
      <c r="H1" s="22" t="s">
        <v>1547</v>
      </c>
      <c r="I1" s="22" t="s">
        <v>13</v>
      </c>
      <c r="J1" s="22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</row>
    <row r="2" spans="1:18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1"/>
      <c r="Q2" s="23"/>
      <c r="R2" s="23"/>
    </row>
    <row r="3" spans="1:18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1"/>
      <c r="Q3" s="23"/>
      <c r="R3" s="23"/>
    </row>
    <row r="4" spans="1:18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1"/>
      <c r="Q4" s="23"/>
      <c r="R4" s="23"/>
    </row>
    <row r="5" spans="1:18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1"/>
      <c r="Q6" s="23"/>
      <c r="R6" s="23"/>
    </row>
    <row r="7" spans="1:18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1"/>
      <c r="Q7" s="23"/>
      <c r="R7" s="23"/>
    </row>
    <row r="8" spans="1:1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1"/>
      <c r="Q8" s="23"/>
      <c r="R8" s="23"/>
    </row>
    <row r="9" spans="1:18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1"/>
      <c r="Q9" s="23"/>
      <c r="R9" s="23"/>
    </row>
    <row r="10" spans="1:18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 s="42" customFormat="1">
      <c r="C21" s="41"/>
    </row>
    <row r="22" spans="1:18">
      <c r="H22" s="3"/>
    </row>
    <row r="23" spans="1:18">
      <c r="H23" s="3"/>
    </row>
    <row r="24" spans="1:18">
      <c r="H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8" width="9" style="3" hidden="1" customWidth="1"/>
    <col min="9" max="16384" width="9" style="3" hidden="1"/>
  </cols>
  <sheetData>
    <row r="1" spans="1:7" ht="38.25">
      <c r="A1" s="22" t="s">
        <v>1548</v>
      </c>
      <c r="B1" s="22" t="s">
        <v>1</v>
      </c>
      <c r="C1" s="22" t="s">
        <v>5</v>
      </c>
      <c r="D1" s="22" t="s">
        <v>1549</v>
      </c>
      <c r="E1" s="22" t="s">
        <v>1550</v>
      </c>
      <c r="F1" s="22" t="s">
        <v>1551</v>
      </c>
      <c r="G1" s="22" t="s">
        <v>25</v>
      </c>
    </row>
    <row r="2" spans="1:7">
      <c r="A2" s="23"/>
      <c r="B2" s="23"/>
      <c r="C2" s="24"/>
      <c r="D2" s="139"/>
      <c r="E2" s="41"/>
      <c r="F2" s="41"/>
      <c r="G2" s="30"/>
    </row>
    <row r="3" spans="1:7">
      <c r="A3" s="23"/>
      <c r="B3" s="23"/>
      <c r="C3" s="24"/>
      <c r="G3" s="23"/>
    </row>
    <row r="4" spans="1:7">
      <c r="A4" s="23"/>
      <c r="B4" s="23"/>
      <c r="C4" s="24"/>
      <c r="G4" s="23"/>
    </row>
    <row r="5" spans="1:7">
      <c r="A5" s="23"/>
      <c r="B5" s="23"/>
      <c r="C5" s="24"/>
      <c r="G5" s="23"/>
    </row>
    <row r="6" spans="1:7">
      <c r="A6" s="23"/>
      <c r="B6" s="23"/>
      <c r="C6" s="24"/>
      <c r="G6" s="23"/>
    </row>
    <row r="7" spans="1:7">
      <c r="A7" s="23"/>
      <c r="B7" s="23"/>
      <c r="C7" s="24"/>
      <c r="G7" s="23"/>
    </row>
    <row r="8" spans="1:7">
      <c r="A8" s="23"/>
      <c r="B8" s="23"/>
      <c r="C8" s="24"/>
      <c r="G8" s="23"/>
    </row>
    <row r="9" spans="1:7">
      <c r="A9" s="23"/>
      <c r="B9" s="23"/>
      <c r="C9" s="24"/>
      <c r="G9" s="23"/>
    </row>
    <row r="10" spans="1:7">
      <c r="A10" s="23"/>
      <c r="B10" s="23"/>
      <c r="C10" s="24"/>
      <c r="G10" s="23"/>
    </row>
    <row r="11" spans="1:7">
      <c r="A11" s="23"/>
      <c r="B11" s="23"/>
      <c r="C11" s="24"/>
      <c r="G11" s="23"/>
    </row>
    <row r="12" spans="1:7">
      <c r="A12" s="23"/>
      <c r="B12" s="23"/>
      <c r="C12" s="24"/>
      <c r="G12" s="23"/>
    </row>
    <row r="13" spans="1:7">
      <c r="A13" s="23"/>
      <c r="B13" s="23"/>
      <c r="C13" s="24"/>
      <c r="G13" s="23"/>
    </row>
    <row r="14" spans="1:7">
      <c r="A14" s="23"/>
      <c r="B14" s="23"/>
      <c r="C14" s="24"/>
      <c r="G14" s="23"/>
    </row>
    <row r="15" spans="1:7">
      <c r="A15" s="23"/>
      <c r="B15" s="23"/>
      <c r="C15" s="24"/>
      <c r="G15" s="23"/>
    </row>
    <row r="16" spans="1:7">
      <c r="A16" s="23"/>
      <c r="B16" s="23"/>
      <c r="C16" s="24"/>
      <c r="G16" s="23"/>
    </row>
    <row r="17" spans="1:7">
      <c r="A17" s="23"/>
      <c r="B17" s="23"/>
      <c r="C17" s="24"/>
      <c r="G17" s="23"/>
    </row>
    <row r="18" spans="1:7">
      <c r="A18" s="23"/>
      <c r="B18" s="23"/>
      <c r="C18" s="24"/>
      <c r="G18" s="23"/>
    </row>
    <row r="19" spans="1:7">
      <c r="A19" s="23"/>
      <c r="B19" s="23"/>
      <c r="C19" s="24"/>
      <c r="G19" s="23"/>
    </row>
    <row r="20" spans="1:7">
      <c r="C20" s="24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41" width="9" hidden="1" customWidth="1"/>
    <col min="42" max="16384" width="9" hidden="1"/>
  </cols>
  <sheetData>
    <row r="1" spans="1:40" ht="51">
      <c r="A1" s="22" t="s">
        <v>0</v>
      </c>
      <c r="B1" s="22" t="s">
        <v>1</v>
      </c>
      <c r="C1" s="22" t="s">
        <v>2</v>
      </c>
      <c r="D1" s="22" t="s">
        <v>136</v>
      </c>
      <c r="E1" s="22" t="s">
        <v>137</v>
      </c>
      <c r="F1" s="22" t="s">
        <v>3</v>
      </c>
      <c r="G1" s="22" t="s">
        <v>4</v>
      </c>
      <c r="H1" s="22" t="s">
        <v>138</v>
      </c>
      <c r="I1" s="22" t="s">
        <v>5</v>
      </c>
      <c r="J1" s="22" t="s">
        <v>6</v>
      </c>
      <c r="K1" s="22" t="s">
        <v>7</v>
      </c>
      <c r="L1" s="22" t="s">
        <v>139</v>
      </c>
      <c r="M1" s="22" t="s">
        <v>140</v>
      </c>
      <c r="N1" s="178" t="s">
        <v>1546</v>
      </c>
      <c r="O1" s="22" t="s">
        <v>9</v>
      </c>
      <c r="P1" s="22" t="s">
        <v>10</v>
      </c>
      <c r="Q1" s="22" t="s">
        <v>141</v>
      </c>
      <c r="R1" s="22" t="s">
        <v>11</v>
      </c>
      <c r="S1" s="22" t="s">
        <v>12</v>
      </c>
      <c r="T1" s="22" t="s">
        <v>1547</v>
      </c>
      <c r="U1" s="22" t="s">
        <v>142</v>
      </c>
      <c r="V1" s="22" t="s">
        <v>13</v>
      </c>
      <c r="W1" s="165" t="s">
        <v>14</v>
      </c>
      <c r="X1" s="165" t="s">
        <v>15</v>
      </c>
      <c r="Y1" s="22" t="s">
        <v>143</v>
      </c>
      <c r="Z1" s="22" t="s">
        <v>144</v>
      </c>
      <c r="AA1" s="22" t="s">
        <v>1552</v>
      </c>
      <c r="AB1" s="22" t="s">
        <v>1553</v>
      </c>
      <c r="AC1" s="22" t="s">
        <v>1554</v>
      </c>
      <c r="AD1" s="178" t="s">
        <v>1555</v>
      </c>
      <c r="AE1" s="178" t="s">
        <v>1556</v>
      </c>
      <c r="AF1" s="22" t="s">
        <v>17</v>
      </c>
      <c r="AG1" s="163" t="s">
        <v>18</v>
      </c>
      <c r="AH1" s="169" t="s">
        <v>19</v>
      </c>
      <c r="AI1" s="22" t="s">
        <v>20</v>
      </c>
      <c r="AJ1" s="22" t="s">
        <v>21</v>
      </c>
      <c r="AK1" s="22" t="s">
        <v>145</v>
      </c>
      <c r="AL1" s="22" t="s">
        <v>22</v>
      </c>
      <c r="AM1" s="165" t="s">
        <v>24</v>
      </c>
      <c r="AN1" s="165" t="s">
        <v>25</v>
      </c>
    </row>
    <row r="2" spans="1:40">
      <c r="A2" s="30">
        <v>161</v>
      </c>
      <c r="B2" s="23">
        <v>1434</v>
      </c>
      <c r="C2" s="23" t="s">
        <v>942</v>
      </c>
      <c r="D2" s="23" t="s">
        <v>943</v>
      </c>
      <c r="E2" s="21" t="s">
        <v>149</v>
      </c>
      <c r="F2" s="23" t="s">
        <v>1557</v>
      </c>
      <c r="G2" s="23" t="s">
        <v>1558</v>
      </c>
      <c r="H2" s="21" t="s">
        <v>152</v>
      </c>
      <c r="I2" s="23" t="s">
        <v>486</v>
      </c>
      <c r="J2" s="21" t="s">
        <v>30</v>
      </c>
      <c r="K2" s="21" t="s">
        <v>30</v>
      </c>
      <c r="L2" s="23" t="s">
        <v>946</v>
      </c>
      <c r="M2" s="23" t="s">
        <v>156</v>
      </c>
      <c r="N2" s="179" t="s">
        <v>1559</v>
      </c>
      <c r="O2" s="23" t="s">
        <v>185</v>
      </c>
      <c r="P2" s="23" t="s">
        <v>169</v>
      </c>
      <c r="Q2" s="23" t="s">
        <v>159</v>
      </c>
      <c r="R2" s="21" t="s">
        <v>86</v>
      </c>
      <c r="S2" s="157">
        <v>0.06</v>
      </c>
      <c r="T2" s="23" t="s">
        <v>1560</v>
      </c>
      <c r="U2" s="23" t="s">
        <v>1561</v>
      </c>
      <c r="V2" s="23" t="s">
        <v>1562</v>
      </c>
      <c r="W2" s="171">
        <v>5.2034999999999998E-2</v>
      </c>
      <c r="X2" s="171">
        <v>4.8000000000000001E-2</v>
      </c>
      <c r="Y2" s="21" t="s">
        <v>161</v>
      </c>
      <c r="Z2" s="24" t="s">
        <v>156</v>
      </c>
      <c r="AA2" s="23" t="s">
        <v>1563</v>
      </c>
      <c r="AB2" s="23" t="s">
        <v>1564</v>
      </c>
      <c r="AC2" s="24" t="s">
        <v>1565</v>
      </c>
      <c r="AD2" s="179" t="s">
        <v>1566</v>
      </c>
      <c r="AE2" s="23"/>
      <c r="AF2" s="157">
        <v>7272</v>
      </c>
      <c r="AG2" s="172">
        <v>3.306</v>
      </c>
      <c r="AH2" s="173">
        <v>100.6</v>
      </c>
      <c r="AI2" s="157">
        <v>24.184999999999999</v>
      </c>
      <c r="AK2" s="40"/>
      <c r="AL2" s="23" t="s">
        <v>36</v>
      </c>
      <c r="AM2" s="181">
        <v>1</v>
      </c>
      <c r="AN2" s="181">
        <v>1.0554435375579299E-3</v>
      </c>
    </row>
    <row r="3" spans="1:40">
      <c r="A3" s="23">
        <v>161</v>
      </c>
      <c r="B3" s="23">
        <v>9938</v>
      </c>
      <c r="C3" s="23" t="s">
        <v>942</v>
      </c>
      <c r="D3" s="23" t="s">
        <v>943</v>
      </c>
      <c r="E3" s="21" t="s">
        <v>149</v>
      </c>
      <c r="F3" s="23" t="s">
        <v>1557</v>
      </c>
      <c r="G3" s="23" t="s">
        <v>1558</v>
      </c>
      <c r="H3" s="21" t="s">
        <v>152</v>
      </c>
      <c r="I3" s="23" t="s">
        <v>486</v>
      </c>
      <c r="J3" s="21" t="s">
        <v>30</v>
      </c>
      <c r="K3" s="21" t="s">
        <v>30</v>
      </c>
      <c r="L3" s="23" t="s">
        <v>946</v>
      </c>
      <c r="M3" s="23" t="s">
        <v>156</v>
      </c>
      <c r="N3" s="179" t="s">
        <v>1559</v>
      </c>
      <c r="O3" s="23" t="s">
        <v>185</v>
      </c>
      <c r="P3" s="23" t="s">
        <v>169</v>
      </c>
      <c r="Q3" s="23" t="s">
        <v>159</v>
      </c>
      <c r="R3" s="21" t="s">
        <v>86</v>
      </c>
      <c r="S3" s="157">
        <v>0.06</v>
      </c>
      <c r="T3" s="23" t="s">
        <v>1560</v>
      </c>
      <c r="U3" s="23" t="s">
        <v>1561</v>
      </c>
      <c r="V3" s="23" t="s">
        <v>1562</v>
      </c>
      <c r="W3" s="171">
        <v>5.2034999999999998E-2</v>
      </c>
      <c r="X3" s="171">
        <v>4.8000000000000001E-2</v>
      </c>
      <c r="Y3" s="21" t="s">
        <v>161</v>
      </c>
      <c r="Z3" s="21" t="s">
        <v>156</v>
      </c>
      <c r="AA3" s="23" t="s">
        <v>1563</v>
      </c>
      <c r="AB3" s="23" t="s">
        <v>1564</v>
      </c>
      <c r="AC3" s="41" t="s">
        <v>1565</v>
      </c>
      <c r="AD3" s="180" t="s">
        <v>1566</v>
      </c>
      <c r="AF3" s="157">
        <v>18180</v>
      </c>
      <c r="AG3" s="172">
        <v>3.306</v>
      </c>
      <c r="AH3" s="173">
        <v>100.6</v>
      </c>
      <c r="AI3" s="157">
        <v>60.463999999999999</v>
      </c>
      <c r="AK3" s="23"/>
      <c r="AL3" s="23" t="s">
        <v>36</v>
      </c>
      <c r="AM3" s="181">
        <v>1</v>
      </c>
      <c r="AN3" s="181">
        <v>7.2237365648283804E-4</v>
      </c>
    </row>
    <row r="4" spans="1:40">
      <c r="A4" s="23">
        <v>161</v>
      </c>
      <c r="B4" s="23">
        <v>9942</v>
      </c>
      <c r="C4" s="23" t="s">
        <v>942</v>
      </c>
      <c r="D4" s="23" t="s">
        <v>943</v>
      </c>
      <c r="E4" s="21" t="s">
        <v>149</v>
      </c>
      <c r="F4" s="23" t="s">
        <v>1557</v>
      </c>
      <c r="G4" s="23" t="s">
        <v>1558</v>
      </c>
      <c r="H4" s="21" t="s">
        <v>152</v>
      </c>
      <c r="I4" s="23" t="s">
        <v>486</v>
      </c>
      <c r="J4" s="21" t="s">
        <v>30</v>
      </c>
      <c r="K4" s="21" t="s">
        <v>30</v>
      </c>
      <c r="L4" s="23" t="s">
        <v>946</v>
      </c>
      <c r="M4" s="23" t="s">
        <v>156</v>
      </c>
      <c r="N4" s="179" t="s">
        <v>1559</v>
      </c>
      <c r="O4" s="23" t="s">
        <v>185</v>
      </c>
      <c r="P4" s="23" t="s">
        <v>169</v>
      </c>
      <c r="Q4" s="23" t="s">
        <v>159</v>
      </c>
      <c r="R4" s="21" t="s">
        <v>86</v>
      </c>
      <c r="S4" s="157">
        <v>0.06</v>
      </c>
      <c r="T4" s="23" t="s">
        <v>1560</v>
      </c>
      <c r="U4" s="23" t="s">
        <v>1561</v>
      </c>
      <c r="V4" s="23" t="s">
        <v>1562</v>
      </c>
      <c r="W4" s="171">
        <v>5.2034999999999998E-2</v>
      </c>
      <c r="X4" s="171">
        <v>4.8000000000000001E-2</v>
      </c>
      <c r="Y4" s="21" t="s">
        <v>161</v>
      </c>
      <c r="Z4" s="21" t="s">
        <v>156</v>
      </c>
      <c r="AA4" s="23" t="s">
        <v>1563</v>
      </c>
      <c r="AB4" s="23" t="s">
        <v>1564</v>
      </c>
      <c r="AC4" t="s">
        <v>1565</v>
      </c>
      <c r="AD4" s="179" t="s">
        <v>1566</v>
      </c>
      <c r="AE4" s="23"/>
      <c r="AF4" s="157">
        <v>26664</v>
      </c>
      <c r="AG4" s="172">
        <v>3.306</v>
      </c>
      <c r="AH4" s="173">
        <v>100.6</v>
      </c>
      <c r="AI4" s="157">
        <v>88.68</v>
      </c>
      <c r="AK4" s="23"/>
      <c r="AL4" s="23" t="s">
        <v>36</v>
      </c>
      <c r="AM4" s="181">
        <v>1</v>
      </c>
      <c r="AN4" s="181">
        <v>8.9750687006551395E-4</v>
      </c>
    </row>
    <row r="5" spans="1:40">
      <c r="A5" s="23">
        <v>161</v>
      </c>
      <c r="B5" s="23">
        <v>9943</v>
      </c>
      <c r="C5" s="23" t="s">
        <v>942</v>
      </c>
      <c r="D5" s="23" t="s">
        <v>943</v>
      </c>
      <c r="E5" s="21" t="s">
        <v>149</v>
      </c>
      <c r="F5" s="23" t="s">
        <v>1557</v>
      </c>
      <c r="G5" s="23" t="s">
        <v>1558</v>
      </c>
      <c r="H5" s="21" t="s">
        <v>152</v>
      </c>
      <c r="I5" s="23" t="s">
        <v>486</v>
      </c>
      <c r="J5" s="21" t="s">
        <v>30</v>
      </c>
      <c r="K5" s="21" t="s">
        <v>30</v>
      </c>
      <c r="L5" s="23" t="s">
        <v>946</v>
      </c>
      <c r="M5" s="23" t="s">
        <v>156</v>
      </c>
      <c r="N5" s="179" t="s">
        <v>1559</v>
      </c>
      <c r="O5" s="23" t="s">
        <v>185</v>
      </c>
      <c r="P5" s="23" t="s">
        <v>169</v>
      </c>
      <c r="Q5" s="23" t="s">
        <v>159</v>
      </c>
      <c r="R5" s="21" t="s">
        <v>86</v>
      </c>
      <c r="S5" s="157">
        <v>0.06</v>
      </c>
      <c r="T5" s="23" t="s">
        <v>1560</v>
      </c>
      <c r="U5" s="23" t="s">
        <v>1561</v>
      </c>
      <c r="V5" s="23" t="s">
        <v>1562</v>
      </c>
      <c r="W5" s="171">
        <v>5.2034999999999998E-2</v>
      </c>
      <c r="X5" s="171">
        <v>4.8000000000000001E-2</v>
      </c>
      <c r="Y5" s="21" t="s">
        <v>161</v>
      </c>
      <c r="Z5" s="21" t="s">
        <v>156</v>
      </c>
      <c r="AA5" s="23" t="s">
        <v>1563</v>
      </c>
      <c r="AB5" s="23" t="s">
        <v>1564</v>
      </c>
      <c r="AC5" t="s">
        <v>1565</v>
      </c>
      <c r="AD5" s="179" t="s">
        <v>1566</v>
      </c>
      <c r="AE5" s="23"/>
      <c r="AF5" s="157">
        <v>115746</v>
      </c>
      <c r="AG5" s="172">
        <v>3.306</v>
      </c>
      <c r="AH5" s="173">
        <v>100.6</v>
      </c>
      <c r="AI5" s="157">
        <v>384.952</v>
      </c>
      <c r="AK5" s="23"/>
      <c r="AL5" s="23" t="s">
        <v>36</v>
      </c>
      <c r="AM5" s="181">
        <v>1</v>
      </c>
      <c r="AN5" s="181">
        <v>1.9788034330905899E-4</v>
      </c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4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4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4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4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4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4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4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4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4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4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4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4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4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4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Y21" s="45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6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3" width="11.625" style="3" customWidth="1"/>
    <col min="24" max="25" width="11.625" style="5" customWidth="1"/>
    <col min="26" max="38" width="11.625" style="3" customWidth="1"/>
    <col min="39" max="39" width="9" style="3" hidden="1" customWidth="1"/>
    <col min="40" max="16384" width="9" style="3" hidden="1"/>
  </cols>
  <sheetData>
    <row r="1" spans="1:38" ht="51">
      <c r="A1" s="22" t="s">
        <v>0</v>
      </c>
      <c r="B1" s="22" t="s">
        <v>1</v>
      </c>
      <c r="C1" s="22" t="s">
        <v>2</v>
      </c>
      <c r="D1" s="22" t="s">
        <v>136</v>
      </c>
      <c r="E1" s="22" t="s">
        <v>137</v>
      </c>
      <c r="F1" s="22" t="s">
        <v>3</v>
      </c>
      <c r="G1" s="22" t="s">
        <v>4</v>
      </c>
      <c r="H1" s="22" t="s">
        <v>138</v>
      </c>
      <c r="I1" s="22" t="s">
        <v>5</v>
      </c>
      <c r="J1" s="22" t="s">
        <v>6</v>
      </c>
      <c r="K1" s="22" t="s">
        <v>7</v>
      </c>
      <c r="L1" s="22" t="s">
        <v>146</v>
      </c>
      <c r="M1" s="22" t="s">
        <v>139</v>
      </c>
      <c r="N1" s="22" t="s">
        <v>140</v>
      </c>
      <c r="O1" s="178" t="s">
        <v>1546</v>
      </c>
      <c r="P1" s="22" t="s">
        <v>9</v>
      </c>
      <c r="Q1" s="22" t="s">
        <v>10</v>
      </c>
      <c r="R1" s="22" t="s">
        <v>141</v>
      </c>
      <c r="S1" s="22" t="s">
        <v>11</v>
      </c>
      <c r="T1" s="22" t="s">
        <v>12</v>
      </c>
      <c r="U1" s="22" t="s">
        <v>13</v>
      </c>
      <c r="V1" s="165" t="s">
        <v>15</v>
      </c>
      <c r="W1" s="165" t="s">
        <v>14</v>
      </c>
      <c r="X1" s="22" t="s">
        <v>143</v>
      </c>
      <c r="Y1" s="22" t="s">
        <v>144</v>
      </c>
      <c r="Z1" s="22" t="s">
        <v>1552</v>
      </c>
      <c r="AA1" s="22" t="s">
        <v>1553</v>
      </c>
      <c r="AB1" s="178" t="s">
        <v>1555</v>
      </c>
      <c r="AC1" s="178" t="s">
        <v>1556</v>
      </c>
      <c r="AD1" s="22" t="s">
        <v>17</v>
      </c>
      <c r="AE1" s="163" t="s">
        <v>18</v>
      </c>
      <c r="AF1" s="169" t="s">
        <v>19</v>
      </c>
      <c r="AG1" s="22" t="s">
        <v>20</v>
      </c>
      <c r="AH1" s="22" t="s">
        <v>21</v>
      </c>
      <c r="AI1" s="22" t="s">
        <v>145</v>
      </c>
      <c r="AJ1" s="22" t="s">
        <v>22</v>
      </c>
      <c r="AK1" s="165" t="s">
        <v>24</v>
      </c>
      <c r="AL1" s="165" t="s">
        <v>25</v>
      </c>
    </row>
    <row r="2" spans="1:38">
      <c r="A2" s="3">
        <v>161</v>
      </c>
      <c r="B2" s="23">
        <v>1434</v>
      </c>
      <c r="C2" s="23" t="s">
        <v>1567</v>
      </c>
      <c r="D2" s="23" t="s">
        <v>1568</v>
      </c>
      <c r="E2" s="21" t="s">
        <v>149</v>
      </c>
      <c r="F2" s="23" t="s">
        <v>1569</v>
      </c>
      <c r="G2" s="23" t="s">
        <v>1570</v>
      </c>
      <c r="H2" s="23" t="s">
        <v>152</v>
      </c>
      <c r="I2" s="23" t="s">
        <v>166</v>
      </c>
      <c r="J2" s="21" t="s">
        <v>30</v>
      </c>
      <c r="K2" s="21" t="s">
        <v>30</v>
      </c>
      <c r="L2" s="23" t="s">
        <v>1571</v>
      </c>
      <c r="M2" s="23" t="s">
        <v>167</v>
      </c>
      <c r="N2" s="23" t="s">
        <v>156</v>
      </c>
      <c r="O2" s="179" t="s">
        <v>1572</v>
      </c>
      <c r="P2" s="23" t="s">
        <v>179</v>
      </c>
      <c r="Q2" s="23" t="s">
        <v>169</v>
      </c>
      <c r="R2" s="23" t="s">
        <v>159</v>
      </c>
      <c r="S2" s="21" t="s">
        <v>34</v>
      </c>
      <c r="T2" s="157">
        <v>2.9</v>
      </c>
      <c r="U2" s="23" t="s">
        <v>634</v>
      </c>
      <c r="V2" s="171">
        <v>3.4799999999999998E-2</v>
      </c>
      <c r="W2" s="166">
        <v>3.8399999999999997E-2</v>
      </c>
      <c r="X2" s="21" t="s">
        <v>161</v>
      </c>
      <c r="Y2" s="31" t="s">
        <v>156</v>
      </c>
      <c r="Z2" s="23" t="s">
        <v>1563</v>
      </c>
      <c r="AA2" s="23" t="s">
        <v>1564</v>
      </c>
      <c r="AB2" s="182" t="s">
        <v>1566</v>
      </c>
      <c r="AC2" s="179" t="s">
        <v>1566</v>
      </c>
      <c r="AD2" s="157">
        <v>83000</v>
      </c>
      <c r="AE2" s="172">
        <v>1</v>
      </c>
      <c r="AF2" s="173">
        <v>106.65</v>
      </c>
      <c r="AG2" s="157">
        <v>88.519000000000005</v>
      </c>
      <c r="AH2" s="23"/>
      <c r="AI2" s="40"/>
      <c r="AJ2" s="24" t="s">
        <v>36</v>
      </c>
      <c r="AK2" s="166">
        <v>0.18448881964508199</v>
      </c>
      <c r="AL2" s="166">
        <v>3.8629515135334799E-3</v>
      </c>
    </row>
    <row r="3" spans="1:38">
      <c r="A3" s="23">
        <v>161</v>
      </c>
      <c r="B3" s="23">
        <v>1434</v>
      </c>
      <c r="C3" s="23" t="s">
        <v>1573</v>
      </c>
      <c r="D3" s="23" t="s">
        <v>1574</v>
      </c>
      <c r="E3" s="21" t="s">
        <v>817</v>
      </c>
      <c r="F3" s="23" t="s">
        <v>1575</v>
      </c>
      <c r="G3" s="23" t="s">
        <v>1576</v>
      </c>
      <c r="H3" s="23" t="s">
        <v>152</v>
      </c>
      <c r="I3" s="23" t="s">
        <v>153</v>
      </c>
      <c r="J3" s="21" t="s">
        <v>30</v>
      </c>
      <c r="K3" s="21" t="s">
        <v>30</v>
      </c>
      <c r="L3" s="23" t="s">
        <v>1571</v>
      </c>
      <c r="M3" s="23" t="s">
        <v>194</v>
      </c>
      <c r="N3" s="23" t="s">
        <v>156</v>
      </c>
      <c r="O3" s="179" t="s">
        <v>1577</v>
      </c>
      <c r="P3" s="23" t="s">
        <v>179</v>
      </c>
      <c r="Q3" s="23" t="s">
        <v>169</v>
      </c>
      <c r="R3" s="23" t="s">
        <v>159</v>
      </c>
      <c r="S3" s="21" t="s">
        <v>34</v>
      </c>
      <c r="T3" s="157">
        <v>1.66</v>
      </c>
      <c r="U3" s="23" t="s">
        <v>634</v>
      </c>
      <c r="V3" s="171">
        <v>5.1299999999999998E-2</v>
      </c>
      <c r="W3" s="166">
        <v>2.86E-2</v>
      </c>
      <c r="X3" s="21" t="s">
        <v>161</v>
      </c>
      <c r="Y3" s="21" t="s">
        <v>156</v>
      </c>
      <c r="Z3" s="23" t="s">
        <v>1563</v>
      </c>
      <c r="AA3" s="23" t="s">
        <v>1564</v>
      </c>
      <c r="AB3" s="182" t="s">
        <v>1566</v>
      </c>
      <c r="AC3" s="179" t="s">
        <v>1566</v>
      </c>
      <c r="AD3" s="157">
        <v>15428.58</v>
      </c>
      <c r="AE3" s="172">
        <v>1</v>
      </c>
      <c r="AF3" s="173">
        <v>98.48</v>
      </c>
      <c r="AG3" s="157">
        <v>15.194000000000001</v>
      </c>
      <c r="AH3" s="23"/>
      <c r="AI3" s="23"/>
      <c r="AJ3" s="24" t="s">
        <v>36</v>
      </c>
      <c r="AK3" s="166">
        <v>3.1666866907315599E-2</v>
      </c>
      <c r="AL3" s="166">
        <v>6.6306224780347497E-4</v>
      </c>
    </row>
    <row r="4" spans="1:38">
      <c r="A4" s="23">
        <v>161</v>
      </c>
      <c r="B4" s="23">
        <v>1434</v>
      </c>
      <c r="C4" s="23" t="s">
        <v>1578</v>
      </c>
      <c r="D4" s="23" t="s">
        <v>1579</v>
      </c>
      <c r="E4" s="21" t="s">
        <v>149</v>
      </c>
      <c r="F4" s="23" t="s">
        <v>1580</v>
      </c>
      <c r="G4" s="23" t="s">
        <v>1581</v>
      </c>
      <c r="H4" s="23" t="s">
        <v>152</v>
      </c>
      <c r="I4" s="23" t="s">
        <v>153</v>
      </c>
      <c r="J4" s="21" t="s">
        <v>30</v>
      </c>
      <c r="K4" s="21" t="s">
        <v>30</v>
      </c>
      <c r="L4" s="23" t="s">
        <v>1571</v>
      </c>
      <c r="M4" s="23" t="s">
        <v>194</v>
      </c>
      <c r="N4" s="23" t="s">
        <v>156</v>
      </c>
      <c r="O4" s="182" t="s">
        <v>1582</v>
      </c>
      <c r="P4" s="23" t="s">
        <v>258</v>
      </c>
      <c r="Q4" s="23" t="s">
        <v>493</v>
      </c>
      <c r="R4" s="23" t="s">
        <v>159</v>
      </c>
      <c r="S4" s="23" t="s">
        <v>34</v>
      </c>
      <c r="T4" s="157">
        <v>1.46</v>
      </c>
      <c r="U4" s="23" t="s">
        <v>567</v>
      </c>
      <c r="V4" s="171">
        <v>5.2999999999999999E-2</v>
      </c>
      <c r="W4" s="166">
        <v>4.4699999999999997E-2</v>
      </c>
      <c r="X4" s="21" t="s">
        <v>161</v>
      </c>
      <c r="Y4" s="21" t="s">
        <v>156</v>
      </c>
      <c r="Z4" s="23" t="s">
        <v>1563</v>
      </c>
      <c r="AA4" s="23" t="s">
        <v>1564</v>
      </c>
      <c r="AB4" s="182" t="s">
        <v>1566</v>
      </c>
      <c r="AC4" s="182" t="s">
        <v>1566</v>
      </c>
      <c r="AD4" s="155">
        <v>48432.15</v>
      </c>
      <c r="AE4" s="172">
        <v>1</v>
      </c>
      <c r="AF4" s="173">
        <v>100.02</v>
      </c>
      <c r="AG4" s="157">
        <v>48.442</v>
      </c>
      <c r="AH4" s="23"/>
      <c r="AI4" s="23"/>
      <c r="AJ4" s="24" t="s">
        <v>36</v>
      </c>
      <c r="AK4" s="166">
        <v>0.100960547951704</v>
      </c>
      <c r="AL4" s="166">
        <v>2.11398014398646E-3</v>
      </c>
    </row>
    <row r="5" spans="1:38">
      <c r="A5" s="23">
        <v>161</v>
      </c>
      <c r="B5" s="23">
        <v>1434</v>
      </c>
      <c r="C5" s="23" t="s">
        <v>1583</v>
      </c>
      <c r="D5" s="23" t="s">
        <v>1584</v>
      </c>
      <c r="E5" s="21" t="s">
        <v>149</v>
      </c>
      <c r="F5" s="23" t="s">
        <v>1585</v>
      </c>
      <c r="G5" s="23" t="s">
        <v>1586</v>
      </c>
      <c r="H5" s="23" t="s">
        <v>152</v>
      </c>
      <c r="I5" s="23" t="s">
        <v>153</v>
      </c>
      <c r="J5" s="21" t="s">
        <v>30</v>
      </c>
      <c r="K5" s="21" t="s">
        <v>30</v>
      </c>
      <c r="L5" s="23" t="s">
        <v>1571</v>
      </c>
      <c r="M5" s="23" t="s">
        <v>194</v>
      </c>
      <c r="N5" s="23" t="s">
        <v>156</v>
      </c>
      <c r="O5" s="179" t="s">
        <v>1587</v>
      </c>
      <c r="P5" s="23" t="s">
        <v>359</v>
      </c>
      <c r="Q5" s="23" t="s">
        <v>158</v>
      </c>
      <c r="R5" s="23" t="s">
        <v>159</v>
      </c>
      <c r="S5" s="21" t="s">
        <v>34</v>
      </c>
      <c r="T5" s="157">
        <v>1.33</v>
      </c>
      <c r="U5" s="23" t="s">
        <v>1588</v>
      </c>
      <c r="V5" s="171">
        <v>4.7699999999999999E-2</v>
      </c>
      <c r="W5" s="166">
        <v>2.1000000000000001E-2</v>
      </c>
      <c r="X5" s="21" t="s">
        <v>161</v>
      </c>
      <c r="Y5" s="21" t="s">
        <v>156</v>
      </c>
      <c r="Z5" s="23" t="s">
        <v>1563</v>
      </c>
      <c r="AA5" s="23" t="s">
        <v>1564</v>
      </c>
      <c r="AB5" s="182" t="s">
        <v>1566</v>
      </c>
      <c r="AC5" s="179" t="s">
        <v>1566</v>
      </c>
      <c r="AD5" s="157">
        <v>17142.88</v>
      </c>
      <c r="AE5" s="172">
        <v>1</v>
      </c>
      <c r="AF5" s="173">
        <v>97.85</v>
      </c>
      <c r="AG5" s="155">
        <v>16.774000000000001</v>
      </c>
      <c r="AJ5" s="24" t="s">
        <v>36</v>
      </c>
      <c r="AK5" s="166">
        <v>3.4960345438487098E-2</v>
      </c>
      <c r="AL5" s="166">
        <v>7.3202332577695104E-4</v>
      </c>
    </row>
    <row r="6" spans="1:38">
      <c r="A6" s="23">
        <v>161</v>
      </c>
      <c r="B6" s="23">
        <v>1434</v>
      </c>
      <c r="C6" s="23" t="s">
        <v>1589</v>
      </c>
      <c r="D6" s="23" t="s">
        <v>1590</v>
      </c>
      <c r="E6" s="21" t="s">
        <v>149</v>
      </c>
      <c r="F6" s="23" t="s">
        <v>1591</v>
      </c>
      <c r="G6" s="23" t="s">
        <v>1592</v>
      </c>
      <c r="H6" s="23" t="s">
        <v>152</v>
      </c>
      <c r="I6" s="23" t="s">
        <v>166</v>
      </c>
      <c r="J6" s="21" t="s">
        <v>30</v>
      </c>
      <c r="K6" s="21" t="s">
        <v>30</v>
      </c>
      <c r="L6" s="23" t="s">
        <v>1571</v>
      </c>
      <c r="M6" s="23" t="s">
        <v>599</v>
      </c>
      <c r="N6" s="23" t="s">
        <v>156</v>
      </c>
      <c r="O6" s="179" t="s">
        <v>1593</v>
      </c>
      <c r="P6" s="23" t="s">
        <v>232</v>
      </c>
      <c r="Q6" s="23" t="s">
        <v>158</v>
      </c>
      <c r="R6" s="23" t="s">
        <v>159</v>
      </c>
      <c r="S6" s="21" t="s">
        <v>34</v>
      </c>
      <c r="T6" s="157">
        <v>3.21</v>
      </c>
      <c r="U6" s="23" t="s">
        <v>776</v>
      </c>
      <c r="V6" s="171">
        <v>4.4600000000000001E-2</v>
      </c>
      <c r="W6" s="166">
        <v>4.4499999999999998E-2</v>
      </c>
      <c r="X6" s="21" t="s">
        <v>161</v>
      </c>
      <c r="Y6" s="21" t="s">
        <v>156</v>
      </c>
      <c r="Z6" s="23" t="s">
        <v>1563</v>
      </c>
      <c r="AA6" s="23" t="s">
        <v>1564</v>
      </c>
      <c r="AB6" s="182" t="s">
        <v>1566</v>
      </c>
      <c r="AC6" s="179" t="s">
        <v>1566</v>
      </c>
      <c r="AD6" s="157">
        <v>81000</v>
      </c>
      <c r="AE6" s="172">
        <v>1</v>
      </c>
      <c r="AF6" s="173">
        <v>105.78</v>
      </c>
      <c r="AG6" s="155">
        <v>85.682000000000002</v>
      </c>
      <c r="AJ6" s="24" t="s">
        <v>36</v>
      </c>
      <c r="AK6" s="166">
        <v>0.17857459821921701</v>
      </c>
      <c r="AL6" s="166">
        <v>3.73911555072354E-3</v>
      </c>
    </row>
    <row r="7" spans="1:38">
      <c r="A7" s="23">
        <v>161</v>
      </c>
      <c r="B7" s="23">
        <v>1434</v>
      </c>
      <c r="C7" s="23" t="s">
        <v>1594</v>
      </c>
      <c r="D7" s="23" t="s">
        <v>1595</v>
      </c>
      <c r="E7" s="21" t="s">
        <v>149</v>
      </c>
      <c r="F7" s="23" t="s">
        <v>1596</v>
      </c>
      <c r="G7" s="23" t="s">
        <v>1597</v>
      </c>
      <c r="H7" s="23" t="s">
        <v>152</v>
      </c>
      <c r="I7" s="23" t="s">
        <v>153</v>
      </c>
      <c r="J7" s="21" t="s">
        <v>30</v>
      </c>
      <c r="K7" s="21" t="s">
        <v>30</v>
      </c>
      <c r="L7" s="23" t="s">
        <v>1571</v>
      </c>
      <c r="M7" s="23" t="s">
        <v>167</v>
      </c>
      <c r="N7" s="23" t="s">
        <v>156</v>
      </c>
      <c r="O7" s="179" t="s">
        <v>1598</v>
      </c>
      <c r="P7" s="23" t="s">
        <v>272</v>
      </c>
      <c r="Q7" s="23" t="s">
        <v>158</v>
      </c>
      <c r="R7" s="23" t="s">
        <v>159</v>
      </c>
      <c r="S7" s="21" t="s">
        <v>34</v>
      </c>
      <c r="T7" s="157">
        <v>1.22</v>
      </c>
      <c r="U7" s="23" t="s">
        <v>567</v>
      </c>
      <c r="V7" s="171">
        <v>4.6399999999999997E-2</v>
      </c>
      <c r="W7" s="166">
        <v>3.1E-2</v>
      </c>
      <c r="X7" s="21" t="s">
        <v>161</v>
      </c>
      <c r="Y7" s="21" t="s">
        <v>156</v>
      </c>
      <c r="Z7" s="23" t="s">
        <v>1563</v>
      </c>
      <c r="AA7" s="23" t="s">
        <v>1564</v>
      </c>
      <c r="AB7" s="182" t="s">
        <v>1566</v>
      </c>
      <c r="AC7" s="179" t="s">
        <v>1566</v>
      </c>
      <c r="AD7" s="157">
        <v>30178.09</v>
      </c>
      <c r="AE7" s="172">
        <v>1</v>
      </c>
      <c r="AF7" s="173">
        <v>98.25</v>
      </c>
      <c r="AG7" s="157">
        <v>29.65</v>
      </c>
      <c r="AH7" s="23"/>
      <c r="AI7" s="23"/>
      <c r="AJ7" s="24" t="s">
        <v>36</v>
      </c>
      <c r="AK7" s="166">
        <v>6.1795294818500997E-2</v>
      </c>
      <c r="AL7" s="166">
        <v>1.2939116208104599E-3</v>
      </c>
    </row>
    <row r="8" spans="1:38">
      <c r="A8" s="23">
        <v>161</v>
      </c>
      <c r="B8" s="23">
        <v>1434</v>
      </c>
      <c r="C8" s="23" t="s">
        <v>1599</v>
      </c>
      <c r="D8" s="23" t="s">
        <v>1600</v>
      </c>
      <c r="E8" s="21" t="s">
        <v>149</v>
      </c>
      <c r="F8" s="23" t="s">
        <v>1601</v>
      </c>
      <c r="G8" s="23" t="s">
        <v>1602</v>
      </c>
      <c r="H8" s="23" t="s">
        <v>152</v>
      </c>
      <c r="I8" s="23" t="s">
        <v>153</v>
      </c>
      <c r="J8" s="21" t="s">
        <v>30</v>
      </c>
      <c r="K8" s="21" t="s">
        <v>30</v>
      </c>
      <c r="L8" s="23" t="s">
        <v>1571</v>
      </c>
      <c r="M8" s="23" t="s">
        <v>599</v>
      </c>
      <c r="N8" s="23" t="s">
        <v>156</v>
      </c>
      <c r="O8" s="179" t="s">
        <v>1603</v>
      </c>
      <c r="P8" s="23" t="s">
        <v>272</v>
      </c>
      <c r="Q8" s="23" t="s">
        <v>158</v>
      </c>
      <c r="R8" s="23" t="s">
        <v>159</v>
      </c>
      <c r="S8" s="21" t="s">
        <v>34</v>
      </c>
      <c r="T8" s="157">
        <v>0.33</v>
      </c>
      <c r="U8" s="23" t="s">
        <v>1604</v>
      </c>
      <c r="V8" s="171">
        <v>5.2200000000000003E-2</v>
      </c>
      <c r="W8" s="166">
        <v>6.5000000000000002E-2</v>
      </c>
      <c r="X8" s="21" t="s">
        <v>161</v>
      </c>
      <c r="Y8" s="21" t="s">
        <v>156</v>
      </c>
      <c r="Z8" s="23" t="s">
        <v>1563</v>
      </c>
      <c r="AA8" s="23" t="s">
        <v>1564</v>
      </c>
      <c r="AB8" s="182" t="s">
        <v>1566</v>
      </c>
      <c r="AC8" s="179" t="s">
        <v>1566</v>
      </c>
      <c r="AD8" s="157">
        <v>5078.16</v>
      </c>
      <c r="AE8" s="172">
        <v>1</v>
      </c>
      <c r="AF8" s="173">
        <v>100.62</v>
      </c>
      <c r="AG8" s="157">
        <v>5.1100000000000003</v>
      </c>
      <c r="AH8" s="23"/>
      <c r="AI8" s="23"/>
      <c r="AJ8" s="24" t="s">
        <v>36</v>
      </c>
      <c r="AK8" s="166">
        <v>1.0649317942193001E-2</v>
      </c>
      <c r="AL8" s="166">
        <v>2.2298261185709999E-4</v>
      </c>
    </row>
    <row r="9" spans="1:38">
      <c r="A9" s="23">
        <v>161</v>
      </c>
      <c r="B9" s="23">
        <v>1434</v>
      </c>
      <c r="C9" s="23" t="s">
        <v>1605</v>
      </c>
      <c r="D9" s="23" t="s">
        <v>1606</v>
      </c>
      <c r="E9" s="21" t="s">
        <v>149</v>
      </c>
      <c r="F9" s="23" t="s">
        <v>1607</v>
      </c>
      <c r="G9" s="23" t="s">
        <v>1608</v>
      </c>
      <c r="H9" s="23" t="s">
        <v>152</v>
      </c>
      <c r="I9" s="23" t="s">
        <v>166</v>
      </c>
      <c r="J9" s="21" t="s">
        <v>30</v>
      </c>
      <c r="K9" s="21" t="s">
        <v>30</v>
      </c>
      <c r="L9" s="23" t="s">
        <v>1571</v>
      </c>
      <c r="M9" s="23" t="s">
        <v>946</v>
      </c>
      <c r="N9" s="23" t="s">
        <v>156</v>
      </c>
      <c r="O9" s="179" t="s">
        <v>1609</v>
      </c>
      <c r="P9" s="23" t="s">
        <v>246</v>
      </c>
      <c r="Q9" s="23" t="s">
        <v>169</v>
      </c>
      <c r="R9" s="23" t="s">
        <v>159</v>
      </c>
      <c r="S9" s="21" t="s">
        <v>34</v>
      </c>
      <c r="T9" s="157">
        <v>4.6500000000000004</v>
      </c>
      <c r="U9" s="23" t="s">
        <v>1610</v>
      </c>
      <c r="V9" s="171">
        <v>2.4500000000000001E-2</v>
      </c>
      <c r="W9" s="166">
        <v>2.3217999999999999E-2</v>
      </c>
      <c r="X9" s="21" t="s">
        <v>161</v>
      </c>
      <c r="Y9" s="21" t="s">
        <v>156</v>
      </c>
      <c r="Z9" s="23" t="s">
        <v>1563</v>
      </c>
      <c r="AA9" s="23" t="s">
        <v>1564</v>
      </c>
      <c r="AB9" s="182" t="s">
        <v>1566</v>
      </c>
      <c r="AC9" s="179" t="s">
        <v>1566</v>
      </c>
      <c r="AD9" s="157">
        <v>45670.02</v>
      </c>
      <c r="AE9" s="172">
        <v>1</v>
      </c>
      <c r="AF9" s="173">
        <v>118.75</v>
      </c>
      <c r="AG9" s="157">
        <v>54.232999999999997</v>
      </c>
      <c r="AH9" s="23"/>
      <c r="AI9" s="23"/>
      <c r="AJ9" s="24" t="s">
        <v>36</v>
      </c>
      <c r="AK9" s="166">
        <v>0.11303057064854199</v>
      </c>
      <c r="AL9" s="166">
        <v>2.3667104315715599E-3</v>
      </c>
    </row>
    <row r="10" spans="1:38">
      <c r="A10" s="23">
        <v>161</v>
      </c>
      <c r="B10" s="23">
        <v>1434</v>
      </c>
      <c r="C10" s="23" t="s">
        <v>1605</v>
      </c>
      <c r="D10" s="23" t="s">
        <v>1606</v>
      </c>
      <c r="E10" s="21" t="s">
        <v>149</v>
      </c>
      <c r="F10" s="23" t="s">
        <v>1611</v>
      </c>
      <c r="G10" s="23" t="s">
        <v>1612</v>
      </c>
      <c r="H10" s="23" t="s">
        <v>152</v>
      </c>
      <c r="I10" s="23" t="s">
        <v>153</v>
      </c>
      <c r="J10" s="21" t="s">
        <v>30</v>
      </c>
      <c r="K10" s="21" t="s">
        <v>30</v>
      </c>
      <c r="L10" s="23" t="s">
        <v>1571</v>
      </c>
      <c r="M10" s="23" t="s">
        <v>946</v>
      </c>
      <c r="N10" s="23" t="s">
        <v>156</v>
      </c>
      <c r="O10" s="179" t="s">
        <v>1613</v>
      </c>
      <c r="P10" s="23" t="s">
        <v>246</v>
      </c>
      <c r="Q10" s="23" t="s">
        <v>169</v>
      </c>
      <c r="R10" s="23" t="s">
        <v>159</v>
      </c>
      <c r="S10" s="21" t="s">
        <v>34</v>
      </c>
      <c r="T10" s="157">
        <v>0.45</v>
      </c>
      <c r="U10" s="23" t="s">
        <v>1604</v>
      </c>
      <c r="V10" s="171">
        <v>4.6899999999999997E-2</v>
      </c>
      <c r="W10" s="166">
        <v>2.5000000000000001E-2</v>
      </c>
      <c r="X10" s="21" t="s">
        <v>161</v>
      </c>
      <c r="Y10" s="21" t="s">
        <v>156</v>
      </c>
      <c r="Z10" s="23" t="s">
        <v>1563</v>
      </c>
      <c r="AA10" s="23" t="s">
        <v>1564</v>
      </c>
      <c r="AB10" s="182" t="s">
        <v>1566</v>
      </c>
      <c r="AC10" s="179" t="s">
        <v>1566</v>
      </c>
      <c r="AD10" s="157">
        <v>29949.59</v>
      </c>
      <c r="AE10" s="172">
        <v>1</v>
      </c>
      <c r="AF10" s="173">
        <v>99.16</v>
      </c>
      <c r="AG10" s="157">
        <v>29.698</v>
      </c>
      <c r="AH10" s="23"/>
      <c r="AI10" s="23"/>
      <c r="AJ10" s="24" t="s">
        <v>36</v>
      </c>
      <c r="AK10" s="166">
        <v>6.1895417914553698E-2</v>
      </c>
      <c r="AL10" s="166">
        <v>1.29600806582095E-3</v>
      </c>
    </row>
    <row r="11" spans="1:38">
      <c r="A11" s="23">
        <v>161</v>
      </c>
      <c r="B11" s="23">
        <v>1434</v>
      </c>
      <c r="C11" s="23" t="s">
        <v>1605</v>
      </c>
      <c r="D11" s="23" t="s">
        <v>1606</v>
      </c>
      <c r="E11" s="21" t="s">
        <v>149</v>
      </c>
      <c r="F11" s="23" t="s">
        <v>1614</v>
      </c>
      <c r="G11" s="23" t="s">
        <v>1615</v>
      </c>
      <c r="H11" s="23" t="s">
        <v>152</v>
      </c>
      <c r="I11" s="23" t="s">
        <v>153</v>
      </c>
      <c r="J11" s="21" t="s">
        <v>30</v>
      </c>
      <c r="K11" s="21" t="s">
        <v>30</v>
      </c>
      <c r="L11" s="23" t="s">
        <v>1571</v>
      </c>
      <c r="M11" s="23" t="s">
        <v>946</v>
      </c>
      <c r="N11" s="23" t="s">
        <v>156</v>
      </c>
      <c r="O11" s="179" t="s">
        <v>1613</v>
      </c>
      <c r="P11" s="23" t="s">
        <v>246</v>
      </c>
      <c r="Q11" s="23" t="s">
        <v>169</v>
      </c>
      <c r="R11" s="23" t="s">
        <v>159</v>
      </c>
      <c r="S11" s="21" t="s">
        <v>34</v>
      </c>
      <c r="T11" s="157">
        <v>4.41</v>
      </c>
      <c r="U11" s="23" t="s">
        <v>1610</v>
      </c>
      <c r="V11" s="171">
        <v>4.65E-2</v>
      </c>
      <c r="W11" s="166">
        <v>3.7400000000000003E-2</v>
      </c>
      <c r="X11" s="21" t="s">
        <v>161</v>
      </c>
      <c r="Y11" s="21" t="s">
        <v>156</v>
      </c>
      <c r="Z11" s="23" t="s">
        <v>1563</v>
      </c>
      <c r="AA11" s="23" t="s">
        <v>1564</v>
      </c>
      <c r="AB11" s="182" t="s">
        <v>1566</v>
      </c>
      <c r="AC11" s="179" t="s">
        <v>1566</v>
      </c>
      <c r="AD11" s="157">
        <v>96485.97</v>
      </c>
      <c r="AE11" s="172">
        <v>1</v>
      </c>
      <c r="AF11" s="173">
        <v>96.46</v>
      </c>
      <c r="AG11" s="157">
        <v>93.07</v>
      </c>
      <c r="AH11" s="23"/>
      <c r="AI11" s="23"/>
      <c r="AJ11" s="24" t="s">
        <v>36</v>
      </c>
      <c r="AK11" s="166">
        <v>0.19397355485974699</v>
      </c>
      <c r="AL11" s="166">
        <v>4.0615493056568204E-3</v>
      </c>
    </row>
    <row r="12" spans="1:38">
      <c r="A12" s="23">
        <v>161</v>
      </c>
      <c r="B12" s="23">
        <v>1434</v>
      </c>
      <c r="C12" s="23" t="s">
        <v>1616</v>
      </c>
      <c r="D12" s="23" t="s">
        <v>1617</v>
      </c>
      <c r="E12" s="21" t="s">
        <v>149</v>
      </c>
      <c r="F12" s="23" t="s">
        <v>1618</v>
      </c>
      <c r="G12" s="23" t="s">
        <v>1619</v>
      </c>
      <c r="H12" s="23" t="s">
        <v>152</v>
      </c>
      <c r="I12" s="23" t="s">
        <v>486</v>
      </c>
      <c r="J12" s="21" t="s">
        <v>81</v>
      </c>
      <c r="K12" s="21" t="s">
        <v>82</v>
      </c>
      <c r="L12" s="23" t="s">
        <v>1571</v>
      </c>
      <c r="M12" s="23" t="s">
        <v>1620</v>
      </c>
      <c r="N12" s="23" t="s">
        <v>156</v>
      </c>
      <c r="O12" s="179" t="s">
        <v>1621</v>
      </c>
      <c r="P12" s="23" t="s">
        <v>1622</v>
      </c>
      <c r="Q12" s="23" t="s">
        <v>85</v>
      </c>
      <c r="R12" s="23" t="s">
        <v>159</v>
      </c>
      <c r="S12" s="21" t="s">
        <v>86</v>
      </c>
      <c r="T12" s="157">
        <v>1.66</v>
      </c>
      <c r="U12" s="23" t="s">
        <v>567</v>
      </c>
      <c r="V12" s="171">
        <v>6.6100000000000006E-2</v>
      </c>
      <c r="W12" s="166">
        <v>6.5000000000000002E-2</v>
      </c>
      <c r="X12" s="21" t="s">
        <v>161</v>
      </c>
      <c r="Y12" s="21" t="s">
        <v>156</v>
      </c>
      <c r="Z12" s="23" t="s">
        <v>1563</v>
      </c>
      <c r="AA12" s="23" t="s">
        <v>1564</v>
      </c>
      <c r="AB12" s="182" t="s">
        <v>1566</v>
      </c>
      <c r="AC12" s="179" t="s">
        <v>1566</v>
      </c>
      <c r="AD12" s="157">
        <v>4000</v>
      </c>
      <c r="AE12" s="172">
        <v>3.306</v>
      </c>
      <c r="AF12" s="173">
        <v>101.61</v>
      </c>
      <c r="AG12" s="157">
        <v>13.436999999999999</v>
      </c>
      <c r="AH12" s="23"/>
      <c r="AI12" s="23"/>
      <c r="AJ12" s="24" t="s">
        <v>36</v>
      </c>
      <c r="AK12" s="166">
        <v>2.8004665654657399E-2</v>
      </c>
      <c r="AL12" s="166">
        <v>5.8638060444407905E-4</v>
      </c>
    </row>
    <row r="13" spans="1:38">
      <c r="A13" s="23">
        <v>161</v>
      </c>
      <c r="B13" s="23">
        <v>9938</v>
      </c>
      <c r="C13" s="23" t="s">
        <v>1567</v>
      </c>
      <c r="D13" s="23" t="s">
        <v>1568</v>
      </c>
      <c r="E13" s="21" t="s">
        <v>149</v>
      </c>
      <c r="F13" s="23" t="s">
        <v>1569</v>
      </c>
      <c r="G13" s="23" t="s">
        <v>1570</v>
      </c>
      <c r="H13" s="23" t="s">
        <v>152</v>
      </c>
      <c r="I13" s="23" t="s">
        <v>166</v>
      </c>
      <c r="J13" s="21" t="s">
        <v>30</v>
      </c>
      <c r="K13" s="21" t="s">
        <v>30</v>
      </c>
      <c r="L13" s="23" t="s">
        <v>1571</v>
      </c>
      <c r="M13" s="23" t="s">
        <v>167</v>
      </c>
      <c r="N13" s="23" t="s">
        <v>156</v>
      </c>
      <c r="O13" s="179" t="s">
        <v>1572</v>
      </c>
      <c r="P13" s="23" t="s">
        <v>179</v>
      </c>
      <c r="Q13" s="23" t="s">
        <v>169</v>
      </c>
      <c r="R13" s="23" t="s">
        <v>159</v>
      </c>
      <c r="S13" s="21" t="s">
        <v>34</v>
      </c>
      <c r="T13" s="157">
        <v>2.9</v>
      </c>
      <c r="U13" s="23" t="s">
        <v>634</v>
      </c>
      <c r="V13" s="171">
        <v>3.4799999999999998E-2</v>
      </c>
      <c r="W13" s="166">
        <v>3.8399999999999997E-2</v>
      </c>
      <c r="X13" s="21" t="s">
        <v>161</v>
      </c>
      <c r="Y13" s="21" t="s">
        <v>156</v>
      </c>
      <c r="Z13" s="23" t="s">
        <v>1563</v>
      </c>
      <c r="AA13" s="23" t="s">
        <v>1564</v>
      </c>
      <c r="AB13" s="182" t="s">
        <v>1566</v>
      </c>
      <c r="AC13" s="179" t="s">
        <v>1566</v>
      </c>
      <c r="AD13" s="157">
        <v>227000</v>
      </c>
      <c r="AE13" s="172">
        <v>1</v>
      </c>
      <c r="AF13" s="173">
        <v>106.65</v>
      </c>
      <c r="AG13" s="157">
        <v>242.095</v>
      </c>
      <c r="AH13" s="23"/>
      <c r="AI13" s="23"/>
      <c r="AJ13" s="24" t="s">
        <v>36</v>
      </c>
      <c r="AK13" s="166">
        <v>0.21124648997300399</v>
      </c>
      <c r="AL13" s="166">
        <v>2.8923703966089401E-3</v>
      </c>
    </row>
    <row r="14" spans="1:38">
      <c r="A14" s="23">
        <v>161</v>
      </c>
      <c r="B14" s="23">
        <v>9938</v>
      </c>
      <c r="C14" s="23" t="s">
        <v>1573</v>
      </c>
      <c r="D14" s="23" t="s">
        <v>1574</v>
      </c>
      <c r="E14" s="21" t="s">
        <v>817</v>
      </c>
      <c r="F14" s="23" t="s">
        <v>1575</v>
      </c>
      <c r="G14" s="23" t="s">
        <v>1576</v>
      </c>
      <c r="H14" s="23" t="s">
        <v>152</v>
      </c>
      <c r="I14" s="23" t="s">
        <v>153</v>
      </c>
      <c r="J14" s="21" t="s">
        <v>30</v>
      </c>
      <c r="K14" s="21" t="s">
        <v>30</v>
      </c>
      <c r="L14" s="23" t="s">
        <v>1571</v>
      </c>
      <c r="M14" s="23" t="s">
        <v>194</v>
      </c>
      <c r="N14" s="23" t="s">
        <v>156</v>
      </c>
      <c r="O14" s="179" t="s">
        <v>1577</v>
      </c>
      <c r="P14" s="23" t="s">
        <v>179</v>
      </c>
      <c r="Q14" s="23" t="s">
        <v>169</v>
      </c>
      <c r="R14" s="23" t="s">
        <v>159</v>
      </c>
      <c r="S14" s="21" t="s">
        <v>34</v>
      </c>
      <c r="T14" s="157">
        <v>1.66</v>
      </c>
      <c r="U14" s="23" t="s">
        <v>634</v>
      </c>
      <c r="V14" s="171">
        <v>5.1299999999999998E-2</v>
      </c>
      <c r="W14" s="166">
        <v>2.86E-2</v>
      </c>
      <c r="X14" s="21" t="s">
        <v>161</v>
      </c>
      <c r="Y14" s="21" t="s">
        <v>156</v>
      </c>
      <c r="Z14" s="23" t="s">
        <v>1563</v>
      </c>
      <c r="AA14" s="23" t="s">
        <v>1564</v>
      </c>
      <c r="AB14" s="182" t="s">
        <v>1566</v>
      </c>
      <c r="AC14" s="179" t="s">
        <v>1566</v>
      </c>
      <c r="AD14" s="157">
        <v>33714.29</v>
      </c>
      <c r="AE14" s="172">
        <v>1</v>
      </c>
      <c r="AF14" s="173">
        <v>98.48</v>
      </c>
      <c r="AG14" s="157">
        <v>33.201999999999998</v>
      </c>
      <c r="AH14" s="23"/>
      <c r="AI14" s="23"/>
      <c r="AJ14" s="24" t="s">
        <v>36</v>
      </c>
      <c r="AK14" s="166">
        <v>2.8971090491068999E-2</v>
      </c>
      <c r="AL14" s="166">
        <v>3.9666990208715502E-4</v>
      </c>
    </row>
    <row r="15" spans="1:38">
      <c r="A15" s="23">
        <v>161</v>
      </c>
      <c r="B15" s="23">
        <v>9938</v>
      </c>
      <c r="C15" s="23" t="s">
        <v>1578</v>
      </c>
      <c r="D15" s="23" t="s">
        <v>1579</v>
      </c>
      <c r="E15" s="21" t="s">
        <v>149</v>
      </c>
      <c r="F15" s="23" t="s">
        <v>1580</v>
      </c>
      <c r="G15" s="23" t="s">
        <v>1581</v>
      </c>
      <c r="H15" s="23" t="s">
        <v>152</v>
      </c>
      <c r="I15" s="23" t="s">
        <v>153</v>
      </c>
      <c r="J15" s="21" t="s">
        <v>30</v>
      </c>
      <c r="K15" s="21" t="s">
        <v>30</v>
      </c>
      <c r="L15" s="23" t="s">
        <v>1571</v>
      </c>
      <c r="M15" s="23" t="s">
        <v>194</v>
      </c>
      <c r="N15" s="23" t="s">
        <v>156</v>
      </c>
      <c r="O15" s="179" t="s">
        <v>1623</v>
      </c>
      <c r="P15" s="23" t="s">
        <v>258</v>
      </c>
      <c r="Q15" s="23" t="s">
        <v>493</v>
      </c>
      <c r="R15" s="23" t="s">
        <v>159</v>
      </c>
      <c r="S15" s="21" t="s">
        <v>34</v>
      </c>
      <c r="T15" s="157">
        <v>1.46</v>
      </c>
      <c r="U15" s="23" t="s">
        <v>567</v>
      </c>
      <c r="V15" s="171">
        <v>5.2999999999999999E-2</v>
      </c>
      <c r="W15" s="166">
        <v>4.4699999999999997E-2</v>
      </c>
      <c r="X15" s="21" t="s">
        <v>161</v>
      </c>
      <c r="Y15" s="21" t="s">
        <v>156</v>
      </c>
      <c r="Z15" s="23" t="s">
        <v>1563</v>
      </c>
      <c r="AA15" s="23" t="s">
        <v>1564</v>
      </c>
      <c r="AB15" s="182" t="s">
        <v>1566</v>
      </c>
      <c r="AC15" s="179" t="s">
        <v>1566</v>
      </c>
      <c r="AD15" s="157">
        <v>153260.92000000001</v>
      </c>
      <c r="AE15" s="172">
        <v>1</v>
      </c>
      <c r="AF15" s="173">
        <v>100.02</v>
      </c>
      <c r="AG15" s="157">
        <v>153.292</v>
      </c>
      <c r="AH15" s="23"/>
      <c r="AI15" s="23"/>
      <c r="AJ15" s="24" t="s">
        <v>36</v>
      </c>
      <c r="AK15" s="166">
        <v>0.13375839933544201</v>
      </c>
      <c r="AL15" s="166">
        <v>1.8314095282012399E-3</v>
      </c>
    </row>
    <row r="16" spans="1:38">
      <c r="A16" s="23">
        <v>161</v>
      </c>
      <c r="B16" s="23">
        <v>9938</v>
      </c>
      <c r="C16" s="23" t="s">
        <v>1583</v>
      </c>
      <c r="D16" s="23" t="s">
        <v>1584</v>
      </c>
      <c r="E16" s="21" t="s">
        <v>149</v>
      </c>
      <c r="F16" s="23" t="s">
        <v>1585</v>
      </c>
      <c r="G16" s="23" t="s">
        <v>1586</v>
      </c>
      <c r="H16" s="23" t="s">
        <v>152</v>
      </c>
      <c r="I16" s="23" t="s">
        <v>153</v>
      </c>
      <c r="J16" s="21" t="s">
        <v>30</v>
      </c>
      <c r="K16" s="21" t="s">
        <v>30</v>
      </c>
      <c r="L16" s="23" t="s">
        <v>1571</v>
      </c>
      <c r="M16" s="23" t="s">
        <v>194</v>
      </c>
      <c r="N16" s="23" t="s">
        <v>156</v>
      </c>
      <c r="O16" s="179" t="s">
        <v>1587</v>
      </c>
      <c r="P16" s="23" t="s">
        <v>359</v>
      </c>
      <c r="Q16" s="23" t="s">
        <v>158</v>
      </c>
      <c r="R16" s="23" t="s">
        <v>159</v>
      </c>
      <c r="S16" s="21" t="s">
        <v>34</v>
      </c>
      <c r="T16" s="157">
        <v>1.33</v>
      </c>
      <c r="U16" s="23" t="s">
        <v>1588</v>
      </c>
      <c r="V16" s="171">
        <v>4.7699999999999999E-2</v>
      </c>
      <c r="W16" s="166">
        <v>2.1000000000000001E-2</v>
      </c>
      <c r="X16" s="21" t="s">
        <v>161</v>
      </c>
      <c r="Y16" s="21" t="s">
        <v>156</v>
      </c>
      <c r="Z16" s="23" t="s">
        <v>1563</v>
      </c>
      <c r="AA16" s="23" t="s">
        <v>1564</v>
      </c>
      <c r="AB16" s="182" t="s">
        <v>1566</v>
      </c>
      <c r="AC16" s="179" t="s">
        <v>1566</v>
      </c>
      <c r="AD16" s="157">
        <v>12857.16</v>
      </c>
      <c r="AE16" s="172">
        <v>1</v>
      </c>
      <c r="AF16" s="173">
        <v>97.85</v>
      </c>
      <c r="AG16" s="157">
        <v>12.581</v>
      </c>
      <c r="AH16" s="23"/>
      <c r="AI16" s="23"/>
      <c r="AJ16" s="24" t="s">
        <v>36</v>
      </c>
      <c r="AK16" s="166">
        <v>1.09776318755175E-2</v>
      </c>
      <c r="AL16" s="166">
        <v>1.50304875909063E-4</v>
      </c>
    </row>
    <row r="17" spans="1:38">
      <c r="A17" s="23">
        <v>161</v>
      </c>
      <c r="B17" s="23">
        <v>9938</v>
      </c>
      <c r="C17" s="23" t="s">
        <v>1589</v>
      </c>
      <c r="D17" s="23" t="s">
        <v>1590</v>
      </c>
      <c r="E17" s="21" t="s">
        <v>149</v>
      </c>
      <c r="F17" s="23" t="s">
        <v>1591</v>
      </c>
      <c r="G17" s="23" t="s">
        <v>1592</v>
      </c>
      <c r="H17" s="23" t="s">
        <v>152</v>
      </c>
      <c r="I17" s="23" t="s">
        <v>166</v>
      </c>
      <c r="J17" s="21" t="s">
        <v>30</v>
      </c>
      <c r="K17" s="21" t="s">
        <v>30</v>
      </c>
      <c r="L17" s="23" t="s">
        <v>1571</v>
      </c>
      <c r="M17" s="23" t="s">
        <v>599</v>
      </c>
      <c r="N17" s="23" t="s">
        <v>156</v>
      </c>
      <c r="O17" s="179" t="s">
        <v>1593</v>
      </c>
      <c r="P17" s="23" t="s">
        <v>232</v>
      </c>
      <c r="Q17" s="23" t="s">
        <v>158</v>
      </c>
      <c r="R17" s="23" t="s">
        <v>159</v>
      </c>
      <c r="S17" s="21" t="s">
        <v>34</v>
      </c>
      <c r="T17" s="157">
        <v>3.21</v>
      </c>
      <c r="U17" s="23" t="s">
        <v>776</v>
      </c>
      <c r="V17" s="171">
        <v>4.4600000000000001E-2</v>
      </c>
      <c r="W17" s="166">
        <v>4.4499999999999998E-2</v>
      </c>
      <c r="X17" s="21" t="s">
        <v>161</v>
      </c>
      <c r="Y17" s="21" t="s">
        <v>156</v>
      </c>
      <c r="Z17" s="23" t="s">
        <v>1563</v>
      </c>
      <c r="AA17" s="23" t="s">
        <v>1564</v>
      </c>
      <c r="AB17" s="182" t="s">
        <v>1566</v>
      </c>
      <c r="AC17" s="179" t="s">
        <v>1566</v>
      </c>
      <c r="AD17" s="157">
        <v>224999.99</v>
      </c>
      <c r="AE17" s="172">
        <v>1</v>
      </c>
      <c r="AF17" s="173">
        <v>105.78</v>
      </c>
      <c r="AG17" s="157">
        <v>238.005</v>
      </c>
      <c r="AH17" s="23"/>
      <c r="AI17" s="23"/>
      <c r="AJ17" s="24" t="s">
        <v>36</v>
      </c>
      <c r="AK17" s="166">
        <v>0.207677212552317</v>
      </c>
      <c r="AL17" s="166">
        <v>2.84350012969847E-3</v>
      </c>
    </row>
    <row r="18" spans="1:38">
      <c r="A18" s="23">
        <v>161</v>
      </c>
      <c r="B18" s="23">
        <v>9938</v>
      </c>
      <c r="C18" s="23" t="s">
        <v>1594</v>
      </c>
      <c r="D18" s="23" t="s">
        <v>1595</v>
      </c>
      <c r="E18" s="21" t="s">
        <v>149</v>
      </c>
      <c r="F18" s="23" t="s">
        <v>1596</v>
      </c>
      <c r="G18" s="23" t="s">
        <v>1597</v>
      </c>
      <c r="H18" s="23" t="s">
        <v>152</v>
      </c>
      <c r="I18" s="23" t="s">
        <v>153</v>
      </c>
      <c r="J18" s="21" t="s">
        <v>30</v>
      </c>
      <c r="K18" s="21" t="s">
        <v>30</v>
      </c>
      <c r="L18" s="23" t="s">
        <v>1571</v>
      </c>
      <c r="M18" s="23" t="s">
        <v>167</v>
      </c>
      <c r="N18" s="23" t="s">
        <v>156</v>
      </c>
      <c r="O18" s="179" t="s">
        <v>1598</v>
      </c>
      <c r="P18" s="23" t="s">
        <v>272</v>
      </c>
      <c r="Q18" s="23" t="s">
        <v>158</v>
      </c>
      <c r="R18" s="23" t="s">
        <v>159</v>
      </c>
      <c r="S18" s="21" t="s">
        <v>34</v>
      </c>
      <c r="T18" s="157">
        <v>1.22</v>
      </c>
      <c r="U18" s="23" t="s">
        <v>567</v>
      </c>
      <c r="V18" s="171">
        <v>4.6399999999999997E-2</v>
      </c>
      <c r="W18" s="166">
        <v>3.1E-2</v>
      </c>
      <c r="X18" s="21" t="s">
        <v>161</v>
      </c>
      <c r="Y18" s="21" t="s">
        <v>156</v>
      </c>
      <c r="Z18" s="23" t="s">
        <v>1563</v>
      </c>
      <c r="AA18" s="23" t="s">
        <v>1564</v>
      </c>
      <c r="AB18" s="182" t="s">
        <v>1566</v>
      </c>
      <c r="AC18" s="179" t="s">
        <v>1566</v>
      </c>
      <c r="AD18" s="157">
        <v>50950.46</v>
      </c>
      <c r="AE18" s="172">
        <v>1</v>
      </c>
      <c r="AF18" s="173">
        <v>98.25</v>
      </c>
      <c r="AG18" s="157">
        <v>50.058999999999997</v>
      </c>
      <c r="AH18" s="23"/>
      <c r="AI18" s="23"/>
      <c r="AJ18" s="24" t="s">
        <v>36</v>
      </c>
      <c r="AK18" s="166">
        <v>4.3680082799364403E-2</v>
      </c>
      <c r="AL18" s="166">
        <v>5.9806427281444599E-4</v>
      </c>
    </row>
    <row r="19" spans="1:38">
      <c r="A19" s="23">
        <v>161</v>
      </c>
      <c r="B19" s="23">
        <v>9938</v>
      </c>
      <c r="C19" s="23" t="s">
        <v>1599</v>
      </c>
      <c r="D19" s="23" t="s">
        <v>1600</v>
      </c>
      <c r="E19" s="21" t="s">
        <v>149</v>
      </c>
      <c r="F19" s="23" t="s">
        <v>1601</v>
      </c>
      <c r="G19" s="23" t="s">
        <v>1602</v>
      </c>
      <c r="H19" s="23" t="s">
        <v>152</v>
      </c>
      <c r="I19" s="23" t="s">
        <v>153</v>
      </c>
      <c r="J19" s="21" t="s">
        <v>30</v>
      </c>
      <c r="K19" s="21" t="s">
        <v>30</v>
      </c>
      <c r="L19" s="23" t="s">
        <v>1571</v>
      </c>
      <c r="M19" s="23" t="s">
        <v>599</v>
      </c>
      <c r="N19" s="23" t="s">
        <v>156</v>
      </c>
      <c r="O19" s="179" t="s">
        <v>1603</v>
      </c>
      <c r="P19" s="23" t="s">
        <v>272</v>
      </c>
      <c r="Q19" s="23" t="s">
        <v>158</v>
      </c>
      <c r="R19" s="23" t="s">
        <v>159</v>
      </c>
      <c r="S19" s="21" t="s">
        <v>34</v>
      </c>
      <c r="T19" s="157">
        <v>0.33</v>
      </c>
      <c r="U19" s="23" t="s">
        <v>1604</v>
      </c>
      <c r="V19" s="171">
        <v>5.2200000000000003E-2</v>
      </c>
      <c r="W19" s="166">
        <v>6.5000000000000002E-2</v>
      </c>
      <c r="X19" s="21" t="s">
        <v>161</v>
      </c>
      <c r="Y19" s="21" t="s">
        <v>156</v>
      </c>
      <c r="Z19" s="23" t="s">
        <v>1563</v>
      </c>
      <c r="AA19" s="23" t="s">
        <v>1564</v>
      </c>
      <c r="AB19" s="182" t="s">
        <v>1566</v>
      </c>
      <c r="AC19" s="179" t="s">
        <v>1566</v>
      </c>
      <c r="AD19" s="157">
        <v>12304.77</v>
      </c>
      <c r="AE19" s="172">
        <v>1</v>
      </c>
      <c r="AF19" s="173">
        <v>100.62</v>
      </c>
      <c r="AG19" s="157">
        <v>12.381</v>
      </c>
      <c r="AH19" s="23"/>
      <c r="AI19" s="23"/>
      <c r="AJ19" s="24" t="s">
        <v>36</v>
      </c>
      <c r="AK19" s="166">
        <v>1.0803403521148299E-2</v>
      </c>
      <c r="AL19" s="166">
        <v>1.4791935492600801E-4</v>
      </c>
    </row>
    <row r="20" spans="1:38">
      <c r="A20" s="3">
        <v>161</v>
      </c>
      <c r="B20" s="3">
        <v>9938</v>
      </c>
      <c r="C20" s="3" t="s">
        <v>1605</v>
      </c>
      <c r="D20" s="3" t="s">
        <v>1606</v>
      </c>
      <c r="E20" s="21" t="s">
        <v>149</v>
      </c>
      <c r="F20" s="3" t="s">
        <v>1607</v>
      </c>
      <c r="G20" s="3" t="s">
        <v>1608</v>
      </c>
      <c r="H20" s="23" t="s">
        <v>152</v>
      </c>
      <c r="I20" s="23" t="s">
        <v>166</v>
      </c>
      <c r="J20" s="21" t="s">
        <v>30</v>
      </c>
      <c r="K20" s="21" t="s">
        <v>30</v>
      </c>
      <c r="L20" s="23" t="s">
        <v>1571</v>
      </c>
      <c r="M20" s="23" t="s">
        <v>946</v>
      </c>
      <c r="N20" s="23" t="s">
        <v>156</v>
      </c>
      <c r="O20" s="182" t="s">
        <v>1609</v>
      </c>
      <c r="P20" s="3" t="s">
        <v>246</v>
      </c>
      <c r="Q20" s="23" t="s">
        <v>169</v>
      </c>
      <c r="R20" s="23" t="s">
        <v>159</v>
      </c>
      <c r="S20" s="3" t="s">
        <v>34</v>
      </c>
      <c r="T20" s="155">
        <v>4.6500000000000004</v>
      </c>
      <c r="U20" s="3" t="s">
        <v>1610</v>
      </c>
      <c r="V20" s="166">
        <v>2.4500000000000001E-2</v>
      </c>
      <c r="W20" s="166">
        <v>2.3217999999999999E-2</v>
      </c>
      <c r="X20" s="21" t="s">
        <v>161</v>
      </c>
      <c r="Y20" s="21" t="s">
        <v>156</v>
      </c>
      <c r="Z20" s="3" t="s">
        <v>1563</v>
      </c>
      <c r="AA20" s="23" t="s">
        <v>1564</v>
      </c>
      <c r="AB20" s="182" t="s">
        <v>1566</v>
      </c>
      <c r="AC20" s="182" t="s">
        <v>1566</v>
      </c>
      <c r="AD20" s="155">
        <v>79118.490000000005</v>
      </c>
      <c r="AE20" s="164">
        <v>1</v>
      </c>
      <c r="AF20" s="174">
        <v>118.75</v>
      </c>
      <c r="AG20" s="155">
        <v>93.953000000000003</v>
      </c>
      <c r="AJ20" s="24" t="s">
        <v>36</v>
      </c>
      <c r="AK20" s="166">
        <v>8.1981223005182999E-2</v>
      </c>
      <c r="AL20" s="166">
        <v>1.1224804848984199E-3</v>
      </c>
    </row>
    <row r="21" spans="1:38">
      <c r="A21" s="3">
        <v>161</v>
      </c>
      <c r="B21" s="3">
        <v>9938</v>
      </c>
      <c r="C21" s="3" t="s">
        <v>1605</v>
      </c>
      <c r="D21" s="3" t="s">
        <v>1606</v>
      </c>
      <c r="E21" s="5" t="s">
        <v>149</v>
      </c>
      <c r="F21" s="3" t="s">
        <v>1611</v>
      </c>
      <c r="G21" s="3" t="s">
        <v>1612</v>
      </c>
      <c r="H21" s="3" t="s">
        <v>152</v>
      </c>
      <c r="I21" s="3" t="s">
        <v>153</v>
      </c>
      <c r="J21" s="3" t="s">
        <v>30</v>
      </c>
      <c r="K21" s="3" t="s">
        <v>30</v>
      </c>
      <c r="L21" s="42" t="s">
        <v>1571</v>
      </c>
      <c r="M21" s="3" t="s">
        <v>946</v>
      </c>
      <c r="N21" s="3" t="s">
        <v>156</v>
      </c>
      <c r="O21" s="182" t="s">
        <v>1613</v>
      </c>
      <c r="P21" s="3" t="s">
        <v>246</v>
      </c>
      <c r="Q21" s="3" t="s">
        <v>169</v>
      </c>
      <c r="R21" s="3" t="s">
        <v>159</v>
      </c>
      <c r="S21" s="3" t="s">
        <v>34</v>
      </c>
      <c r="T21" s="155">
        <v>0.45</v>
      </c>
      <c r="U21" s="3" t="s">
        <v>1604</v>
      </c>
      <c r="V21" s="166">
        <v>4.6899999999999997E-2</v>
      </c>
      <c r="W21" s="166">
        <v>2.5000000000000001E-2</v>
      </c>
      <c r="X21" s="45" t="s">
        <v>161</v>
      </c>
      <c r="Y21" s="5" t="s">
        <v>156</v>
      </c>
      <c r="Z21" s="3" t="s">
        <v>1563</v>
      </c>
      <c r="AA21" s="3" t="s">
        <v>1564</v>
      </c>
      <c r="AB21" s="182" t="s">
        <v>1566</v>
      </c>
      <c r="AC21" s="182" t="s">
        <v>1566</v>
      </c>
      <c r="AD21" s="155">
        <v>51912.62</v>
      </c>
      <c r="AE21" s="164">
        <v>1</v>
      </c>
      <c r="AF21" s="174">
        <v>99.16</v>
      </c>
      <c r="AG21" s="155">
        <v>51.476999999999997</v>
      </c>
      <c r="AJ21" s="3" t="s">
        <v>36</v>
      </c>
      <c r="AK21" s="166">
        <v>4.49171560260965E-2</v>
      </c>
      <c r="AL21" s="166">
        <v>6.1500218255152405E-4</v>
      </c>
    </row>
    <row r="22" spans="1:38">
      <c r="A22" s="3">
        <v>161</v>
      </c>
      <c r="B22" s="3">
        <v>9938</v>
      </c>
      <c r="C22" s="3" t="s">
        <v>1605</v>
      </c>
      <c r="D22" s="3" t="s">
        <v>1606</v>
      </c>
      <c r="E22" s="5" t="s">
        <v>149</v>
      </c>
      <c r="F22" s="3" t="s">
        <v>1614</v>
      </c>
      <c r="G22" s="3" t="s">
        <v>1615</v>
      </c>
      <c r="H22" s="3" t="s">
        <v>152</v>
      </c>
      <c r="I22" s="3" t="s">
        <v>153</v>
      </c>
      <c r="J22" s="3" t="s">
        <v>30</v>
      </c>
      <c r="K22" s="3" t="s">
        <v>30</v>
      </c>
      <c r="L22" s="3" t="s">
        <v>1571</v>
      </c>
      <c r="M22" s="3" t="s">
        <v>946</v>
      </c>
      <c r="N22" s="3" t="s">
        <v>156</v>
      </c>
      <c r="O22" s="182" t="s">
        <v>1613</v>
      </c>
      <c r="P22" s="3" t="s">
        <v>246</v>
      </c>
      <c r="Q22" s="3" t="s">
        <v>169</v>
      </c>
      <c r="R22" s="3" t="s">
        <v>159</v>
      </c>
      <c r="S22" s="3" t="s">
        <v>34</v>
      </c>
      <c r="T22" s="155">
        <v>4.41</v>
      </c>
      <c r="U22" s="3" t="s">
        <v>1610</v>
      </c>
      <c r="V22" s="166">
        <v>4.65E-2</v>
      </c>
      <c r="W22" s="166">
        <v>3.7400000000000003E-2</v>
      </c>
      <c r="X22" s="5" t="s">
        <v>161</v>
      </c>
      <c r="Y22" s="5" t="s">
        <v>156</v>
      </c>
      <c r="Z22" s="3" t="s">
        <v>1563</v>
      </c>
      <c r="AA22" s="3" t="s">
        <v>1564</v>
      </c>
      <c r="AB22" s="182" t="s">
        <v>1566</v>
      </c>
      <c r="AC22" s="182" t="s">
        <v>1566</v>
      </c>
      <c r="AD22" s="155">
        <v>167242.34</v>
      </c>
      <c r="AE22" s="164">
        <v>1</v>
      </c>
      <c r="AF22" s="174">
        <v>96.46</v>
      </c>
      <c r="AG22" s="155">
        <v>161.322</v>
      </c>
      <c r="AJ22" s="3" t="s">
        <v>36</v>
      </c>
      <c r="AK22" s="166">
        <v>0.14076551630020501</v>
      </c>
      <c r="AL22" s="166">
        <v>1.92735042490939E-3</v>
      </c>
    </row>
    <row r="23" spans="1:38">
      <c r="A23" s="3">
        <v>161</v>
      </c>
      <c r="B23" s="3">
        <v>9938</v>
      </c>
      <c r="C23" s="3" t="s">
        <v>1624</v>
      </c>
      <c r="D23" s="3" t="s">
        <v>1625</v>
      </c>
      <c r="E23" s="5" t="s">
        <v>935</v>
      </c>
      <c r="F23" s="3" t="s">
        <v>1626</v>
      </c>
      <c r="G23" s="3" t="s">
        <v>1627</v>
      </c>
      <c r="H23" s="3" t="s">
        <v>152</v>
      </c>
      <c r="I23" s="3" t="s">
        <v>486</v>
      </c>
      <c r="J23" s="3" t="s">
        <v>30</v>
      </c>
      <c r="K23" s="3" t="s">
        <v>30</v>
      </c>
      <c r="L23" s="3" t="s">
        <v>1571</v>
      </c>
      <c r="M23" s="3" t="s">
        <v>487</v>
      </c>
      <c r="N23" s="3" t="s">
        <v>156</v>
      </c>
      <c r="O23" s="182" t="s">
        <v>1628</v>
      </c>
      <c r="P23" s="3" t="s">
        <v>1629</v>
      </c>
      <c r="Q23" s="3" t="s">
        <v>493</v>
      </c>
      <c r="R23" s="3" t="s">
        <v>159</v>
      </c>
      <c r="S23" s="3" t="s">
        <v>86</v>
      </c>
      <c r="T23" s="155">
        <v>2.37</v>
      </c>
      <c r="U23" s="3" t="s">
        <v>1630</v>
      </c>
      <c r="V23" s="166">
        <v>6.6799999999999998E-2</v>
      </c>
      <c r="W23" s="166">
        <v>5.3749999999999999E-2</v>
      </c>
      <c r="X23" s="5" t="s">
        <v>161</v>
      </c>
      <c r="Y23" s="5" t="s">
        <v>156</v>
      </c>
      <c r="Z23" s="3" t="s">
        <v>131</v>
      </c>
      <c r="AA23" s="3" t="s">
        <v>1564</v>
      </c>
      <c r="AB23" s="182" t="s">
        <v>1566</v>
      </c>
      <c r="AC23" s="182" t="s">
        <v>1566</v>
      </c>
      <c r="AD23" s="155">
        <v>20400</v>
      </c>
      <c r="AE23" s="164">
        <v>3.306</v>
      </c>
      <c r="AF23" s="174">
        <v>97.3</v>
      </c>
      <c r="AG23" s="155">
        <v>67.433999999999997</v>
      </c>
      <c r="AJ23" s="3" t="s">
        <v>36</v>
      </c>
      <c r="AK23" s="166">
        <v>5.8841198634716201E-2</v>
      </c>
      <c r="AL23" s="166">
        <v>8.0564908346542703E-4</v>
      </c>
    </row>
    <row r="24" spans="1:38">
      <c r="A24" s="3">
        <v>161</v>
      </c>
      <c r="B24" s="3">
        <v>9938</v>
      </c>
      <c r="C24" s="3" t="s">
        <v>1616</v>
      </c>
      <c r="D24" s="3" t="s">
        <v>1617</v>
      </c>
      <c r="E24" s="5" t="s">
        <v>149</v>
      </c>
      <c r="F24" s="3" t="s">
        <v>1618</v>
      </c>
      <c r="G24" s="3" t="s">
        <v>1619</v>
      </c>
      <c r="H24" s="3" t="s">
        <v>152</v>
      </c>
      <c r="I24" s="3" t="s">
        <v>486</v>
      </c>
      <c r="J24" s="3" t="s">
        <v>81</v>
      </c>
      <c r="K24" s="3" t="s">
        <v>82</v>
      </c>
      <c r="L24" s="3" t="s">
        <v>1571</v>
      </c>
      <c r="M24" s="3" t="s">
        <v>1620</v>
      </c>
      <c r="N24" s="3" t="s">
        <v>156</v>
      </c>
      <c r="O24" s="182" t="s">
        <v>1621</v>
      </c>
      <c r="P24" s="3" t="s">
        <v>1622</v>
      </c>
      <c r="Q24" s="3" t="s">
        <v>85</v>
      </c>
      <c r="R24" s="3" t="s">
        <v>159</v>
      </c>
      <c r="S24" s="3" t="s">
        <v>86</v>
      </c>
      <c r="T24" s="155">
        <v>1.66</v>
      </c>
      <c r="U24" s="3" t="s">
        <v>567</v>
      </c>
      <c r="V24" s="166">
        <v>6.6100000000000006E-2</v>
      </c>
      <c r="W24" s="166">
        <v>6.5000000000000002E-2</v>
      </c>
      <c r="X24" s="5" t="s">
        <v>161</v>
      </c>
      <c r="Y24" s="5" t="s">
        <v>156</v>
      </c>
      <c r="Z24" s="3" t="s">
        <v>1563</v>
      </c>
      <c r="AA24" s="3" t="s">
        <v>1564</v>
      </c>
      <c r="AB24" s="182" t="s">
        <v>1566</v>
      </c>
      <c r="AC24" s="182" t="s">
        <v>1566</v>
      </c>
      <c r="AD24" s="155">
        <v>9000</v>
      </c>
      <c r="AE24" s="164">
        <v>3.306</v>
      </c>
      <c r="AF24" s="174">
        <v>101.61</v>
      </c>
      <c r="AG24" s="155">
        <v>30.233000000000001</v>
      </c>
      <c r="AJ24" s="3" t="s">
        <v>36</v>
      </c>
      <c r="AK24" s="166">
        <v>2.6380595485936499E-2</v>
      </c>
      <c r="AL24" s="166">
        <v>3.6120104735557499E-4</v>
      </c>
    </row>
    <row r="25" spans="1:38">
      <c r="A25" s="3">
        <v>161</v>
      </c>
      <c r="B25" s="3">
        <v>9942</v>
      </c>
      <c r="C25" s="3" t="s">
        <v>1567</v>
      </c>
      <c r="D25" s="3" t="s">
        <v>1568</v>
      </c>
      <c r="E25" s="5" t="s">
        <v>149</v>
      </c>
      <c r="F25" s="3" t="s">
        <v>1569</v>
      </c>
      <c r="G25" s="3" t="s">
        <v>1570</v>
      </c>
      <c r="H25" s="3" t="s">
        <v>152</v>
      </c>
      <c r="I25" s="3" t="s">
        <v>166</v>
      </c>
      <c r="J25" s="3" t="s">
        <v>30</v>
      </c>
      <c r="K25" s="3" t="s">
        <v>30</v>
      </c>
      <c r="L25" s="3" t="s">
        <v>1571</v>
      </c>
      <c r="M25" s="3" t="s">
        <v>167</v>
      </c>
      <c r="N25" s="3" t="s">
        <v>156</v>
      </c>
      <c r="O25" s="182" t="s">
        <v>1572</v>
      </c>
      <c r="P25" s="3" t="s">
        <v>179</v>
      </c>
      <c r="Q25" s="3" t="s">
        <v>169</v>
      </c>
      <c r="R25" s="3" t="s">
        <v>159</v>
      </c>
      <c r="S25" s="3" t="s">
        <v>34</v>
      </c>
      <c r="T25" s="155">
        <v>2.9</v>
      </c>
      <c r="U25" s="3" t="s">
        <v>634</v>
      </c>
      <c r="V25" s="166">
        <v>3.4799999999999998E-2</v>
      </c>
      <c r="W25" s="166">
        <v>3.8399999999999997E-2</v>
      </c>
      <c r="X25" s="5" t="s">
        <v>161</v>
      </c>
      <c r="Y25" s="5" t="s">
        <v>156</v>
      </c>
      <c r="Z25" s="3" t="s">
        <v>1563</v>
      </c>
      <c r="AA25" s="3" t="s">
        <v>1564</v>
      </c>
      <c r="AB25" s="182" t="s">
        <v>1566</v>
      </c>
      <c r="AC25" s="182" t="s">
        <v>1566</v>
      </c>
      <c r="AD25" s="155">
        <v>332000</v>
      </c>
      <c r="AE25" s="164">
        <v>1</v>
      </c>
      <c r="AF25" s="174">
        <v>106.65</v>
      </c>
      <c r="AG25" s="155">
        <v>354.07799999999997</v>
      </c>
      <c r="AJ25" s="3" t="s">
        <v>36</v>
      </c>
      <c r="AK25" s="166">
        <v>0.209668892040764</v>
      </c>
      <c r="AL25" s="166">
        <v>3.5835262862593401E-3</v>
      </c>
    </row>
    <row r="26" spans="1:38">
      <c r="A26" s="3">
        <v>161</v>
      </c>
      <c r="B26" s="3">
        <v>9942</v>
      </c>
      <c r="C26" s="3" t="s">
        <v>1573</v>
      </c>
      <c r="D26" s="3" t="s">
        <v>1574</v>
      </c>
      <c r="E26" s="5" t="s">
        <v>817</v>
      </c>
      <c r="F26" s="3" t="s">
        <v>1575</v>
      </c>
      <c r="G26" s="3" t="s">
        <v>1576</v>
      </c>
      <c r="H26" s="3" t="s">
        <v>152</v>
      </c>
      <c r="I26" s="3" t="s">
        <v>153</v>
      </c>
      <c r="J26" s="3" t="s">
        <v>30</v>
      </c>
      <c r="K26" s="3" t="s">
        <v>30</v>
      </c>
      <c r="L26" s="5" t="s">
        <v>1571</v>
      </c>
      <c r="M26" s="3" t="s">
        <v>194</v>
      </c>
      <c r="N26" s="3" t="s">
        <v>156</v>
      </c>
      <c r="O26" s="182" t="s">
        <v>1577</v>
      </c>
      <c r="P26" s="3" t="s">
        <v>179</v>
      </c>
      <c r="Q26" s="3" t="s">
        <v>169</v>
      </c>
      <c r="R26" s="3" t="s">
        <v>159</v>
      </c>
      <c r="S26" s="3" t="s">
        <v>34</v>
      </c>
      <c r="T26" s="155">
        <v>1.66</v>
      </c>
      <c r="U26" s="3" t="s">
        <v>634</v>
      </c>
      <c r="V26" s="166">
        <v>5.1299999999999998E-2</v>
      </c>
      <c r="W26" s="166">
        <v>2.86E-2</v>
      </c>
      <c r="X26" s="5" t="s">
        <v>161</v>
      </c>
      <c r="Y26" s="5" t="s">
        <v>156</v>
      </c>
      <c r="Z26" s="3" t="s">
        <v>1563</v>
      </c>
      <c r="AA26" s="3" t="s">
        <v>1564</v>
      </c>
      <c r="AB26" s="182" t="s">
        <v>1566</v>
      </c>
      <c r="AC26" s="182" t="s">
        <v>1566</v>
      </c>
      <c r="AD26" s="155">
        <v>48000.01</v>
      </c>
      <c r="AE26" s="164">
        <v>1</v>
      </c>
      <c r="AF26" s="174">
        <v>98.48</v>
      </c>
      <c r="AG26" s="155">
        <v>47.27</v>
      </c>
      <c r="AJ26" s="3" t="s">
        <v>36</v>
      </c>
      <c r="AK26" s="166">
        <v>2.79913873755019E-2</v>
      </c>
      <c r="AL26" s="166">
        <v>4.7841084804071601E-4</v>
      </c>
    </row>
    <row r="27" spans="1:38">
      <c r="A27" s="3">
        <v>161</v>
      </c>
      <c r="B27" s="3">
        <v>9942</v>
      </c>
      <c r="C27" s="3" t="s">
        <v>1578</v>
      </c>
      <c r="D27" s="3" t="s">
        <v>1579</v>
      </c>
      <c r="E27" s="5" t="s">
        <v>149</v>
      </c>
      <c r="F27" s="3" t="s">
        <v>1580</v>
      </c>
      <c r="G27" s="3" t="s">
        <v>1581</v>
      </c>
      <c r="H27" s="3" t="s">
        <v>152</v>
      </c>
      <c r="I27" s="3" t="s">
        <v>153</v>
      </c>
      <c r="J27" s="3" t="s">
        <v>30</v>
      </c>
      <c r="K27" s="3" t="s">
        <v>30</v>
      </c>
      <c r="L27" s="5" t="s">
        <v>1571</v>
      </c>
      <c r="M27" s="3" t="s">
        <v>194</v>
      </c>
      <c r="N27" s="3" t="s">
        <v>156</v>
      </c>
      <c r="O27" s="182" t="s">
        <v>1623</v>
      </c>
      <c r="P27" s="3" t="s">
        <v>258</v>
      </c>
      <c r="Q27" s="3" t="s">
        <v>493</v>
      </c>
      <c r="R27" s="3" t="s">
        <v>159</v>
      </c>
      <c r="S27" s="3" t="s">
        <v>34</v>
      </c>
      <c r="T27" s="155">
        <v>1.46</v>
      </c>
      <c r="U27" s="3" t="s">
        <v>567</v>
      </c>
      <c r="V27" s="166">
        <v>5.2999999999999999E-2</v>
      </c>
      <c r="W27" s="166">
        <v>4.4699999999999997E-2</v>
      </c>
      <c r="X27" s="5" t="s">
        <v>161</v>
      </c>
      <c r="Y27" s="5" t="s">
        <v>156</v>
      </c>
      <c r="Z27" s="3" t="s">
        <v>1563</v>
      </c>
      <c r="AA27" s="3" t="s">
        <v>1564</v>
      </c>
      <c r="AB27" s="182" t="s">
        <v>1566</v>
      </c>
      <c r="AC27" s="182" t="s">
        <v>1566</v>
      </c>
      <c r="AD27" s="155">
        <v>223119.05</v>
      </c>
      <c r="AE27" s="164">
        <v>1</v>
      </c>
      <c r="AF27" s="174">
        <v>100.02</v>
      </c>
      <c r="AG27" s="155">
        <v>223.16399999999999</v>
      </c>
      <c r="AJ27" s="3" t="s">
        <v>36</v>
      </c>
      <c r="AK27" s="166">
        <v>0.13214738060960901</v>
      </c>
      <c r="AL27" s="166">
        <v>2.2585783110962601E-3</v>
      </c>
    </row>
    <row r="28" spans="1:38">
      <c r="A28" s="3">
        <v>161</v>
      </c>
      <c r="B28" s="3">
        <v>9942</v>
      </c>
      <c r="C28" s="3" t="s">
        <v>1583</v>
      </c>
      <c r="D28" s="3" t="s">
        <v>1584</v>
      </c>
      <c r="E28" s="5" t="s">
        <v>149</v>
      </c>
      <c r="F28" s="3" t="s">
        <v>1585</v>
      </c>
      <c r="G28" s="3" t="s">
        <v>1586</v>
      </c>
      <c r="H28" s="3" t="s">
        <v>152</v>
      </c>
      <c r="I28" s="3" t="s">
        <v>153</v>
      </c>
      <c r="J28" s="3" t="s">
        <v>30</v>
      </c>
      <c r="K28" s="3" t="s">
        <v>30</v>
      </c>
      <c r="L28" s="5" t="s">
        <v>1571</v>
      </c>
      <c r="M28" s="3" t="s">
        <v>194</v>
      </c>
      <c r="N28" s="3" t="s">
        <v>156</v>
      </c>
      <c r="O28" s="182" t="s">
        <v>1587</v>
      </c>
      <c r="P28" s="3" t="s">
        <v>359</v>
      </c>
      <c r="Q28" s="3" t="s">
        <v>158</v>
      </c>
      <c r="R28" s="3" t="s">
        <v>159</v>
      </c>
      <c r="S28" s="3" t="s">
        <v>34</v>
      </c>
      <c r="T28" s="155">
        <v>1.33</v>
      </c>
      <c r="U28" s="3" t="s">
        <v>1588</v>
      </c>
      <c r="V28" s="166">
        <v>4.7699999999999999E-2</v>
      </c>
      <c r="W28" s="166">
        <v>2.1000000000000001E-2</v>
      </c>
      <c r="X28" s="5" t="s">
        <v>161</v>
      </c>
      <c r="Y28" s="5" t="s">
        <v>156</v>
      </c>
      <c r="Z28" s="3" t="s">
        <v>1563</v>
      </c>
      <c r="AA28" s="3" t="s">
        <v>1564</v>
      </c>
      <c r="AB28" s="182" t="s">
        <v>1566</v>
      </c>
      <c r="AC28" s="182" t="s">
        <v>1566</v>
      </c>
      <c r="AD28" s="155">
        <v>40714.33</v>
      </c>
      <c r="AE28" s="164">
        <v>1</v>
      </c>
      <c r="AF28" s="174">
        <v>97.85</v>
      </c>
      <c r="AG28" s="155">
        <v>39.838999999999999</v>
      </c>
      <c r="AJ28" s="3" t="s">
        <v>36</v>
      </c>
      <c r="AK28" s="166">
        <v>2.3590827725429E-2</v>
      </c>
      <c r="AL28" s="166">
        <v>4.0319930365375701E-4</v>
      </c>
    </row>
    <row r="29" spans="1:38">
      <c r="A29" s="3">
        <v>161</v>
      </c>
      <c r="B29" s="3">
        <v>9942</v>
      </c>
      <c r="C29" s="3" t="s">
        <v>1589</v>
      </c>
      <c r="D29" s="3" t="s">
        <v>1590</v>
      </c>
      <c r="E29" s="5" t="s">
        <v>149</v>
      </c>
      <c r="F29" s="3" t="s">
        <v>1591</v>
      </c>
      <c r="G29" s="3" t="s">
        <v>1592</v>
      </c>
      <c r="H29" s="3" t="s">
        <v>152</v>
      </c>
      <c r="I29" s="3" t="s">
        <v>166</v>
      </c>
      <c r="J29" s="3" t="s">
        <v>30</v>
      </c>
      <c r="K29" s="3" t="s">
        <v>30</v>
      </c>
      <c r="L29" s="5" t="s">
        <v>1571</v>
      </c>
      <c r="M29" s="3" t="s">
        <v>599</v>
      </c>
      <c r="N29" s="3" t="s">
        <v>156</v>
      </c>
      <c r="O29" s="182" t="s">
        <v>1593</v>
      </c>
      <c r="P29" s="3" t="s">
        <v>232</v>
      </c>
      <c r="Q29" s="3" t="s">
        <v>158</v>
      </c>
      <c r="R29" s="3" t="s">
        <v>159</v>
      </c>
      <c r="S29" s="3" t="s">
        <v>34</v>
      </c>
      <c r="T29" s="155">
        <v>3.21</v>
      </c>
      <c r="U29" s="3" t="s">
        <v>776</v>
      </c>
      <c r="V29" s="166">
        <v>4.4600000000000001E-2</v>
      </c>
      <c r="W29" s="166">
        <v>4.4499999999999998E-2</v>
      </c>
      <c r="X29" s="5" t="s">
        <v>161</v>
      </c>
      <c r="Y29" s="5" t="s">
        <v>156</v>
      </c>
      <c r="Z29" s="3" t="s">
        <v>1563</v>
      </c>
      <c r="AA29" s="3" t="s">
        <v>1564</v>
      </c>
      <c r="AB29" s="182" t="s">
        <v>1566</v>
      </c>
      <c r="AC29" s="182" t="s">
        <v>1566</v>
      </c>
      <c r="AD29" s="155">
        <v>319499.99</v>
      </c>
      <c r="AE29" s="164">
        <v>1</v>
      </c>
      <c r="AF29" s="174">
        <v>105.78</v>
      </c>
      <c r="AG29" s="155">
        <v>337.96699999999998</v>
      </c>
      <c r="AJ29" s="3" t="s">
        <v>36</v>
      </c>
      <c r="AK29" s="166">
        <v>0.20012874334285799</v>
      </c>
      <c r="AL29" s="166">
        <v>3.4204721808028101E-3</v>
      </c>
    </row>
    <row r="30" spans="1:38">
      <c r="A30" s="3">
        <v>161</v>
      </c>
      <c r="B30" s="3">
        <v>9942</v>
      </c>
      <c r="C30" s="3" t="s">
        <v>1594</v>
      </c>
      <c r="D30" s="3" t="s">
        <v>1595</v>
      </c>
      <c r="E30" s="5" t="s">
        <v>149</v>
      </c>
      <c r="F30" s="3" t="s">
        <v>1596</v>
      </c>
      <c r="G30" s="3" t="s">
        <v>1597</v>
      </c>
      <c r="H30" s="3" t="s">
        <v>152</v>
      </c>
      <c r="I30" s="3" t="s">
        <v>153</v>
      </c>
      <c r="J30" s="3" t="s">
        <v>30</v>
      </c>
      <c r="K30" s="3" t="s">
        <v>30</v>
      </c>
      <c r="L30" s="5" t="s">
        <v>1571</v>
      </c>
      <c r="M30" s="3" t="s">
        <v>167</v>
      </c>
      <c r="N30" s="3" t="s">
        <v>156</v>
      </c>
      <c r="O30" s="182" t="s">
        <v>1598</v>
      </c>
      <c r="P30" s="3" t="s">
        <v>272</v>
      </c>
      <c r="Q30" s="3" t="s">
        <v>158</v>
      </c>
      <c r="R30" s="3" t="s">
        <v>159</v>
      </c>
      <c r="S30" s="3" t="s">
        <v>34</v>
      </c>
      <c r="T30" s="155">
        <v>1.22</v>
      </c>
      <c r="U30" s="3" t="s">
        <v>567</v>
      </c>
      <c r="V30" s="166">
        <v>4.6399999999999997E-2</v>
      </c>
      <c r="W30" s="166">
        <v>3.1E-2</v>
      </c>
      <c r="X30" s="5" t="s">
        <v>161</v>
      </c>
      <c r="Y30" s="5" t="s">
        <v>156</v>
      </c>
      <c r="Z30" s="3" t="s">
        <v>1563</v>
      </c>
      <c r="AA30" s="3" t="s">
        <v>1564</v>
      </c>
      <c r="AB30" s="182" t="s">
        <v>1566</v>
      </c>
      <c r="AC30" s="182" t="s">
        <v>1566</v>
      </c>
      <c r="AD30" s="155">
        <v>84021.61</v>
      </c>
      <c r="AE30" s="164">
        <v>1</v>
      </c>
      <c r="AF30" s="174">
        <v>98.25</v>
      </c>
      <c r="AG30" s="155">
        <v>82.551000000000002</v>
      </c>
      <c r="AJ30" s="3" t="s">
        <v>36</v>
      </c>
      <c r="AK30" s="166">
        <v>4.8883085967916601E-2</v>
      </c>
      <c r="AL30" s="166">
        <v>8.3547836693603197E-4</v>
      </c>
    </row>
    <row r="31" spans="1:38">
      <c r="A31" s="3">
        <v>161</v>
      </c>
      <c r="B31" s="3">
        <v>9942</v>
      </c>
      <c r="C31" s="3" t="s">
        <v>1599</v>
      </c>
      <c r="D31" s="3" t="s">
        <v>1600</v>
      </c>
      <c r="E31" s="5" t="s">
        <v>149</v>
      </c>
      <c r="F31" s="3" t="s">
        <v>1601</v>
      </c>
      <c r="G31" s="3" t="s">
        <v>1602</v>
      </c>
      <c r="H31" s="3" t="s">
        <v>152</v>
      </c>
      <c r="I31" s="3" t="s">
        <v>153</v>
      </c>
      <c r="J31" s="3" t="s">
        <v>30</v>
      </c>
      <c r="K31" s="3" t="s">
        <v>30</v>
      </c>
      <c r="L31" s="5" t="s">
        <v>1571</v>
      </c>
      <c r="M31" s="3" t="s">
        <v>599</v>
      </c>
      <c r="N31" s="3" t="s">
        <v>156</v>
      </c>
      <c r="O31" s="182" t="s">
        <v>1603</v>
      </c>
      <c r="P31" s="3" t="s">
        <v>272</v>
      </c>
      <c r="Q31" s="3" t="s">
        <v>158</v>
      </c>
      <c r="R31" s="3" t="s">
        <v>159</v>
      </c>
      <c r="S31" s="3" t="s">
        <v>34</v>
      </c>
      <c r="T31" s="155">
        <v>0.33</v>
      </c>
      <c r="U31" s="3" t="s">
        <v>1604</v>
      </c>
      <c r="V31" s="166">
        <v>5.2200000000000003E-2</v>
      </c>
      <c r="W31" s="166">
        <v>6.5000000000000002E-2</v>
      </c>
      <c r="X31" s="5" t="s">
        <v>161</v>
      </c>
      <c r="Y31" s="5" t="s">
        <v>156</v>
      </c>
      <c r="Z31" s="3" t="s">
        <v>1563</v>
      </c>
      <c r="AA31" s="3" t="s">
        <v>1564</v>
      </c>
      <c r="AB31" s="182" t="s">
        <v>1566</v>
      </c>
      <c r="AC31" s="182" t="s">
        <v>1566</v>
      </c>
      <c r="AD31" s="155">
        <v>18750.12</v>
      </c>
      <c r="AE31" s="164">
        <v>1</v>
      </c>
      <c r="AF31" s="174">
        <v>100.62</v>
      </c>
      <c r="AG31" s="155">
        <v>18.866</v>
      </c>
      <c r="AJ31" s="3" t="s">
        <v>36</v>
      </c>
      <c r="AK31" s="166">
        <v>1.11718069202965E-2</v>
      </c>
      <c r="AL31" s="166">
        <v>1.9094136175486299E-4</v>
      </c>
    </row>
    <row r="32" spans="1:38">
      <c r="A32" s="3">
        <v>161</v>
      </c>
      <c r="B32" s="3">
        <v>9942</v>
      </c>
      <c r="C32" s="3" t="s">
        <v>1605</v>
      </c>
      <c r="D32" s="3" t="s">
        <v>1606</v>
      </c>
      <c r="E32" s="5" t="s">
        <v>149</v>
      </c>
      <c r="F32" s="3" t="s">
        <v>1607</v>
      </c>
      <c r="G32" s="3" t="s">
        <v>1608</v>
      </c>
      <c r="H32" s="3" t="s">
        <v>152</v>
      </c>
      <c r="I32" s="3" t="s">
        <v>166</v>
      </c>
      <c r="J32" s="3" t="s">
        <v>30</v>
      </c>
      <c r="K32" s="3" t="s">
        <v>30</v>
      </c>
      <c r="L32" s="5" t="s">
        <v>1571</v>
      </c>
      <c r="M32" s="3" t="s">
        <v>946</v>
      </c>
      <c r="N32" s="3" t="s">
        <v>156</v>
      </c>
      <c r="O32" s="182" t="s">
        <v>1609</v>
      </c>
      <c r="P32" s="3" t="s">
        <v>246</v>
      </c>
      <c r="Q32" s="3" t="s">
        <v>169</v>
      </c>
      <c r="R32" s="3" t="s">
        <v>159</v>
      </c>
      <c r="S32" s="3" t="s">
        <v>34</v>
      </c>
      <c r="T32" s="155">
        <v>4.6500000000000004</v>
      </c>
      <c r="U32" s="3" t="s">
        <v>1610</v>
      </c>
      <c r="V32" s="166">
        <v>2.4500000000000001E-2</v>
      </c>
      <c r="W32" s="166">
        <v>2.3217999999999999E-2</v>
      </c>
      <c r="X32" s="5" t="s">
        <v>161</v>
      </c>
      <c r="Y32" s="5" t="s">
        <v>156</v>
      </c>
      <c r="Z32" s="3" t="s">
        <v>1563</v>
      </c>
      <c r="AA32" s="3" t="s">
        <v>1564</v>
      </c>
      <c r="AB32" s="182" t="s">
        <v>1566</v>
      </c>
      <c r="AC32" s="182" t="s">
        <v>1566</v>
      </c>
      <c r="AD32" s="155">
        <v>112566.97</v>
      </c>
      <c r="AE32" s="164">
        <v>1</v>
      </c>
      <c r="AF32" s="174">
        <v>118.75</v>
      </c>
      <c r="AG32" s="155">
        <v>133.673</v>
      </c>
      <c r="AJ32" s="3" t="s">
        <v>36</v>
      </c>
      <c r="AK32" s="166">
        <v>7.9155236580187097E-2</v>
      </c>
      <c r="AL32" s="166">
        <v>1.35287055804649E-3</v>
      </c>
    </row>
    <row r="33" spans="1:38">
      <c r="A33" s="3">
        <v>161</v>
      </c>
      <c r="B33" s="3">
        <v>9942</v>
      </c>
      <c r="C33" s="3" t="s">
        <v>1605</v>
      </c>
      <c r="D33" s="3" t="s">
        <v>1606</v>
      </c>
      <c r="E33" s="5" t="s">
        <v>149</v>
      </c>
      <c r="F33" s="3" t="s">
        <v>1611</v>
      </c>
      <c r="G33" s="3" t="s">
        <v>1612</v>
      </c>
      <c r="H33" s="3" t="s">
        <v>152</v>
      </c>
      <c r="I33" s="3" t="s">
        <v>153</v>
      </c>
      <c r="J33" s="3" t="s">
        <v>30</v>
      </c>
      <c r="K33" s="3" t="s">
        <v>30</v>
      </c>
      <c r="L33" s="5" t="s">
        <v>1571</v>
      </c>
      <c r="M33" s="3" t="s">
        <v>946</v>
      </c>
      <c r="N33" s="3" t="s">
        <v>156</v>
      </c>
      <c r="O33" s="182" t="s">
        <v>1609</v>
      </c>
      <c r="P33" s="3" t="s">
        <v>246</v>
      </c>
      <c r="Q33" s="3" t="s">
        <v>169</v>
      </c>
      <c r="R33" s="3" t="s">
        <v>159</v>
      </c>
      <c r="S33" s="3" t="s">
        <v>34</v>
      </c>
      <c r="T33" s="155">
        <v>0.45</v>
      </c>
      <c r="U33" s="3" t="s">
        <v>1604</v>
      </c>
      <c r="V33" s="166">
        <v>4.6899999999999997E-2</v>
      </c>
      <c r="W33" s="166">
        <v>2.5000000000000001E-2</v>
      </c>
      <c r="X33" s="5" t="s">
        <v>161</v>
      </c>
      <c r="Y33" s="5" t="s">
        <v>156</v>
      </c>
      <c r="Z33" s="3" t="s">
        <v>1563</v>
      </c>
      <c r="AA33" s="3" t="s">
        <v>1564</v>
      </c>
      <c r="AB33" s="182" t="s">
        <v>1566</v>
      </c>
      <c r="AC33" s="182" t="s">
        <v>1566</v>
      </c>
      <c r="AD33" s="155">
        <v>73875.66</v>
      </c>
      <c r="AE33" s="164">
        <v>1</v>
      </c>
      <c r="AF33" s="174">
        <v>99.16</v>
      </c>
      <c r="AG33" s="155">
        <v>73.254999999999995</v>
      </c>
      <c r="AJ33" s="3" t="s">
        <v>36</v>
      </c>
      <c r="AK33" s="166">
        <v>4.3378342025259801E-2</v>
      </c>
      <c r="AL33" s="166">
        <v>7.4139481250105898E-4</v>
      </c>
    </row>
    <row r="34" spans="1:38">
      <c r="A34" s="3">
        <v>161</v>
      </c>
      <c r="B34" s="3">
        <v>9942</v>
      </c>
      <c r="C34" s="3" t="s">
        <v>1605</v>
      </c>
      <c r="D34" s="3" t="s">
        <v>1606</v>
      </c>
      <c r="E34" s="5" t="s">
        <v>149</v>
      </c>
      <c r="F34" s="3" t="s">
        <v>1614</v>
      </c>
      <c r="G34" s="3" t="s">
        <v>1615</v>
      </c>
      <c r="H34" s="3" t="s">
        <v>152</v>
      </c>
      <c r="I34" s="3" t="s">
        <v>153</v>
      </c>
      <c r="J34" s="3" t="s">
        <v>30</v>
      </c>
      <c r="K34" s="3" t="s">
        <v>30</v>
      </c>
      <c r="L34" s="5" t="s">
        <v>1571</v>
      </c>
      <c r="M34" s="3" t="s">
        <v>946</v>
      </c>
      <c r="N34" s="3" t="s">
        <v>156</v>
      </c>
      <c r="O34" s="182" t="s">
        <v>1613</v>
      </c>
      <c r="P34" s="3" t="s">
        <v>246</v>
      </c>
      <c r="Q34" s="3" t="s">
        <v>169</v>
      </c>
      <c r="R34" s="3" t="s">
        <v>159</v>
      </c>
      <c r="S34" s="3" t="s">
        <v>34</v>
      </c>
      <c r="T34" s="155">
        <v>4.41</v>
      </c>
      <c r="U34" s="3" t="s">
        <v>1610</v>
      </c>
      <c r="V34" s="166">
        <v>4.65E-2</v>
      </c>
      <c r="W34" s="166">
        <v>3.7400000000000003E-2</v>
      </c>
      <c r="X34" s="5" t="s">
        <v>161</v>
      </c>
      <c r="Y34" s="5" t="s">
        <v>156</v>
      </c>
      <c r="Z34" s="3" t="s">
        <v>1563</v>
      </c>
      <c r="AA34" s="3" t="s">
        <v>1564</v>
      </c>
      <c r="AB34" s="182" t="s">
        <v>1566</v>
      </c>
      <c r="AC34" s="182" t="s">
        <v>1566</v>
      </c>
      <c r="AD34" s="155">
        <v>237998.72</v>
      </c>
      <c r="AE34" s="164">
        <v>1</v>
      </c>
      <c r="AF34" s="174">
        <v>96.46</v>
      </c>
      <c r="AG34" s="155">
        <v>229.57400000000001</v>
      </c>
      <c r="AJ34" s="3" t="s">
        <v>36</v>
      </c>
      <c r="AK34" s="166">
        <v>0.13594302690597801</v>
      </c>
      <c r="AL34" s="166">
        <v>2.32345106424524E-3</v>
      </c>
    </row>
    <row r="35" spans="1:38">
      <c r="A35" s="3">
        <v>161</v>
      </c>
      <c r="B35" s="3">
        <v>9942</v>
      </c>
      <c r="C35" s="3" t="s">
        <v>1624</v>
      </c>
      <c r="D35" s="3" t="s">
        <v>1625</v>
      </c>
      <c r="E35" s="5" t="s">
        <v>935</v>
      </c>
      <c r="F35" s="3" t="s">
        <v>1626</v>
      </c>
      <c r="G35" s="3" t="s">
        <v>1627</v>
      </c>
      <c r="H35" s="3" t="s">
        <v>152</v>
      </c>
      <c r="I35" s="3" t="s">
        <v>486</v>
      </c>
      <c r="J35" s="3" t="s">
        <v>30</v>
      </c>
      <c r="K35" s="3" t="s">
        <v>30</v>
      </c>
      <c r="L35" s="5" t="s">
        <v>1571</v>
      </c>
      <c r="M35" s="3" t="s">
        <v>487</v>
      </c>
      <c r="N35" s="3" t="s">
        <v>156</v>
      </c>
      <c r="O35" s="182" t="s">
        <v>1628</v>
      </c>
      <c r="P35" s="3" t="s">
        <v>1629</v>
      </c>
      <c r="Q35" s="3" t="s">
        <v>493</v>
      </c>
      <c r="R35" s="3" t="s">
        <v>159</v>
      </c>
      <c r="S35" s="3" t="s">
        <v>86</v>
      </c>
      <c r="T35" s="155">
        <v>2.37</v>
      </c>
      <c r="U35" s="3" t="s">
        <v>1630</v>
      </c>
      <c r="V35" s="166">
        <v>6.6799999999999998E-2</v>
      </c>
      <c r="W35" s="166">
        <v>5.3749999999999999E-2</v>
      </c>
      <c r="X35" s="5" t="s">
        <v>161</v>
      </c>
      <c r="Y35" s="5" t="s">
        <v>156</v>
      </c>
      <c r="Z35" s="3" t="s">
        <v>131</v>
      </c>
      <c r="AA35" s="3" t="s">
        <v>1564</v>
      </c>
      <c r="AB35" s="182" t="s">
        <v>1566</v>
      </c>
      <c r="AC35" s="182" t="s">
        <v>1566</v>
      </c>
      <c r="AD35" s="155">
        <v>30700</v>
      </c>
      <c r="AE35" s="164">
        <v>3.306</v>
      </c>
      <c r="AF35" s="174">
        <v>97.3</v>
      </c>
      <c r="AG35" s="155">
        <v>101.482</v>
      </c>
      <c r="AJ35" s="3" t="s">
        <v>36</v>
      </c>
      <c r="AK35" s="166">
        <v>6.0092732978587901E-2</v>
      </c>
      <c r="AL35" s="166">
        <v>1.0270664672567E-3</v>
      </c>
    </row>
    <row r="36" spans="1:38">
      <c r="A36" s="3">
        <v>161</v>
      </c>
      <c r="B36" s="3">
        <v>9942</v>
      </c>
      <c r="C36" s="3" t="s">
        <v>1616</v>
      </c>
      <c r="D36" s="3" t="s">
        <v>1617</v>
      </c>
      <c r="E36" s="5" t="s">
        <v>149</v>
      </c>
      <c r="F36" s="3" t="s">
        <v>1618</v>
      </c>
      <c r="G36" s="3" t="s">
        <v>1619</v>
      </c>
      <c r="H36" s="3" t="s">
        <v>152</v>
      </c>
      <c r="I36" s="3" t="s">
        <v>486</v>
      </c>
      <c r="J36" s="3" t="s">
        <v>81</v>
      </c>
      <c r="K36" s="3" t="s">
        <v>82</v>
      </c>
      <c r="L36" s="5" t="s">
        <v>1571</v>
      </c>
      <c r="M36" s="3" t="s">
        <v>1620</v>
      </c>
      <c r="N36" s="3" t="s">
        <v>156</v>
      </c>
      <c r="O36" s="182" t="s">
        <v>1621</v>
      </c>
      <c r="P36" s="3" t="s">
        <v>1622</v>
      </c>
      <c r="Q36" s="3" t="s">
        <v>85</v>
      </c>
      <c r="R36" s="3" t="s">
        <v>159</v>
      </c>
      <c r="S36" s="3" t="s">
        <v>86</v>
      </c>
      <c r="T36" s="155">
        <v>1.66</v>
      </c>
      <c r="U36" s="3" t="s">
        <v>567</v>
      </c>
      <c r="V36" s="166">
        <v>6.6100000000000006E-2</v>
      </c>
      <c r="W36" s="166">
        <v>6.5000000000000002E-2</v>
      </c>
      <c r="X36" s="5" t="s">
        <v>161</v>
      </c>
      <c r="Y36" s="5" t="s">
        <v>156</v>
      </c>
      <c r="Z36" s="3" t="s">
        <v>1563</v>
      </c>
      <c r="AA36" s="3" t="s">
        <v>1564</v>
      </c>
      <c r="AB36" s="182" t="s">
        <v>1566</v>
      </c>
      <c r="AC36" s="182" t="s">
        <v>1566</v>
      </c>
      <c r="AD36" s="155">
        <v>14000</v>
      </c>
      <c r="AE36" s="164">
        <v>3.306</v>
      </c>
      <c r="AF36" s="174">
        <v>101.61</v>
      </c>
      <c r="AG36" s="155">
        <v>47.029000000000003</v>
      </c>
      <c r="AJ36" s="3" t="s">
        <v>36</v>
      </c>
      <c r="AK36" s="166">
        <v>2.78485375276127E-2</v>
      </c>
      <c r="AL36" s="166">
        <v>4.7596935002011502E-4</v>
      </c>
    </row>
    <row r="37" spans="1:38">
      <c r="A37" s="3">
        <v>161</v>
      </c>
      <c r="B37" s="3">
        <v>9943</v>
      </c>
      <c r="C37" s="3" t="s">
        <v>1631</v>
      </c>
      <c r="D37" s="3" t="s">
        <v>1632</v>
      </c>
      <c r="E37" s="5" t="s">
        <v>935</v>
      </c>
      <c r="F37" s="3" t="s">
        <v>1633</v>
      </c>
      <c r="G37" s="3" t="s">
        <v>1634</v>
      </c>
      <c r="H37" s="3" t="s">
        <v>152</v>
      </c>
      <c r="I37" s="3" t="s">
        <v>486</v>
      </c>
      <c r="J37" s="3" t="s">
        <v>81</v>
      </c>
      <c r="K37" s="3" t="s">
        <v>1635</v>
      </c>
      <c r="L37" s="5" t="s">
        <v>1571</v>
      </c>
      <c r="M37" s="3" t="s">
        <v>1636</v>
      </c>
      <c r="N37" s="3" t="s">
        <v>156</v>
      </c>
      <c r="O37" s="182" t="s">
        <v>1637</v>
      </c>
      <c r="P37" s="3" t="s">
        <v>283</v>
      </c>
      <c r="Q37" s="3" t="s">
        <v>283</v>
      </c>
      <c r="R37" s="3" t="s">
        <v>283</v>
      </c>
      <c r="S37" s="3" t="s">
        <v>86</v>
      </c>
      <c r="T37" s="155">
        <v>17.510000000000002</v>
      </c>
      <c r="U37" s="3" t="s">
        <v>1638</v>
      </c>
      <c r="V37" s="166">
        <v>1.1039999999999999E-2</v>
      </c>
      <c r="W37" s="166">
        <v>0</v>
      </c>
      <c r="X37" s="5" t="s">
        <v>161</v>
      </c>
      <c r="Y37" s="5" t="s">
        <v>156</v>
      </c>
      <c r="Z37" s="3" t="s">
        <v>131</v>
      </c>
      <c r="AA37" s="3" t="s">
        <v>1564</v>
      </c>
      <c r="AB37" s="182" t="s">
        <v>1639</v>
      </c>
      <c r="AC37" s="182" t="s">
        <v>1640</v>
      </c>
      <c r="AD37" s="155">
        <v>440000</v>
      </c>
      <c r="AE37" s="164">
        <v>3.306</v>
      </c>
      <c r="AF37" s="174">
        <v>0.1</v>
      </c>
      <c r="AG37" s="155">
        <v>1.4550000000000001</v>
      </c>
      <c r="AJ37" s="3" t="s">
        <v>36</v>
      </c>
      <c r="AK37" s="166">
        <v>1.02078305381565E-4</v>
      </c>
      <c r="AL37" s="166">
        <v>7.4774128419043799E-7</v>
      </c>
    </row>
    <row r="38" spans="1:38">
      <c r="A38" s="3">
        <v>161</v>
      </c>
      <c r="B38" s="3">
        <v>9943</v>
      </c>
      <c r="C38" s="3" t="s">
        <v>1641</v>
      </c>
      <c r="D38" s="3" t="s">
        <v>1642</v>
      </c>
      <c r="E38" s="5" t="s">
        <v>149</v>
      </c>
      <c r="F38" s="3" t="s">
        <v>1643</v>
      </c>
      <c r="G38" s="3" t="s">
        <v>1644</v>
      </c>
      <c r="H38" s="3" t="s">
        <v>152</v>
      </c>
      <c r="I38" s="3" t="s">
        <v>166</v>
      </c>
      <c r="J38" s="3" t="s">
        <v>30</v>
      </c>
      <c r="K38" s="3" t="s">
        <v>30</v>
      </c>
      <c r="L38" s="5" t="s">
        <v>1571</v>
      </c>
      <c r="M38" s="3" t="s">
        <v>194</v>
      </c>
      <c r="N38" s="3" t="s">
        <v>156</v>
      </c>
      <c r="O38" s="182" t="s">
        <v>1645</v>
      </c>
      <c r="P38" s="3" t="s">
        <v>916</v>
      </c>
      <c r="Q38" s="3" t="s">
        <v>169</v>
      </c>
      <c r="R38" s="3" t="s">
        <v>159</v>
      </c>
      <c r="S38" s="3" t="s">
        <v>34</v>
      </c>
      <c r="T38" s="155">
        <v>0.01</v>
      </c>
      <c r="U38" s="3" t="s">
        <v>927</v>
      </c>
      <c r="V38" s="166">
        <v>1E-4</v>
      </c>
      <c r="W38" s="166">
        <v>5.3499999999999999E-2</v>
      </c>
      <c r="X38" s="5" t="s">
        <v>918</v>
      </c>
      <c r="Y38" s="5" t="s">
        <v>156</v>
      </c>
      <c r="Z38" s="3" t="s">
        <v>1646</v>
      </c>
      <c r="AA38" s="3" t="s">
        <v>1647</v>
      </c>
      <c r="AB38" s="182" t="s">
        <v>1566</v>
      </c>
      <c r="AC38" s="182" t="s">
        <v>1566</v>
      </c>
      <c r="AD38" s="155">
        <v>1944828.12</v>
      </c>
      <c r="AE38" s="164">
        <v>1</v>
      </c>
      <c r="AF38" s="174">
        <v>14.75</v>
      </c>
      <c r="AG38" s="155">
        <v>286.86200000000002</v>
      </c>
      <c r="AJ38" s="3" t="s">
        <v>36</v>
      </c>
      <c r="AK38" s="166">
        <v>2.0130342844505999E-2</v>
      </c>
      <c r="AL38" s="166">
        <v>1.4745825132460601E-4</v>
      </c>
    </row>
    <row r="39" spans="1:38">
      <c r="A39" s="3">
        <v>161</v>
      </c>
      <c r="B39" s="3">
        <v>9943</v>
      </c>
      <c r="C39" s="3" t="s">
        <v>1648</v>
      </c>
      <c r="D39" s="3" t="s">
        <v>1649</v>
      </c>
      <c r="E39" s="5" t="s">
        <v>913</v>
      </c>
      <c r="F39" s="3" t="s">
        <v>1650</v>
      </c>
      <c r="G39" s="3" t="s">
        <v>1651</v>
      </c>
      <c r="H39" s="3" t="s">
        <v>152</v>
      </c>
      <c r="I39" s="3" t="s">
        <v>166</v>
      </c>
      <c r="J39" s="3" t="s">
        <v>30</v>
      </c>
      <c r="K39" s="3" t="s">
        <v>30</v>
      </c>
      <c r="L39" s="5" t="s">
        <v>1571</v>
      </c>
      <c r="M39" s="3" t="s">
        <v>194</v>
      </c>
      <c r="N39" s="3" t="s">
        <v>156</v>
      </c>
      <c r="O39" s="182" t="s">
        <v>1652</v>
      </c>
      <c r="P39" s="3" t="s">
        <v>916</v>
      </c>
      <c r="Q39" s="3" t="s">
        <v>158</v>
      </c>
      <c r="R39" s="3" t="s">
        <v>159</v>
      </c>
      <c r="S39" s="3" t="s">
        <v>34</v>
      </c>
      <c r="T39" s="155">
        <v>1.95</v>
      </c>
      <c r="U39" s="3" t="s">
        <v>1653</v>
      </c>
      <c r="V39" s="166">
        <v>1E-4</v>
      </c>
      <c r="W39" s="166">
        <v>5.7500000000000002E-2</v>
      </c>
      <c r="X39" s="5" t="s">
        <v>918</v>
      </c>
      <c r="Y39" s="5" t="s">
        <v>1654</v>
      </c>
      <c r="Z39" s="3" t="s">
        <v>131</v>
      </c>
      <c r="AA39" s="3" t="s">
        <v>1647</v>
      </c>
      <c r="AB39" s="182" t="s">
        <v>1655</v>
      </c>
      <c r="AC39" s="182" t="s">
        <v>1640</v>
      </c>
      <c r="AD39" s="155">
        <v>353484.96</v>
      </c>
      <c r="AE39" s="164">
        <v>1</v>
      </c>
      <c r="AF39" s="174">
        <v>0</v>
      </c>
      <c r="AG39" s="155">
        <v>0</v>
      </c>
      <c r="AJ39" s="3" t="s">
        <v>36</v>
      </c>
      <c r="AK39" s="166">
        <v>2.4805550304316101E-10</v>
      </c>
      <c r="AL39" s="166">
        <v>1.8170495650635599E-12</v>
      </c>
    </row>
    <row r="40" spans="1:38">
      <c r="A40" s="3">
        <v>161</v>
      </c>
      <c r="B40" s="3">
        <v>9943</v>
      </c>
      <c r="C40" s="3" t="s">
        <v>1567</v>
      </c>
      <c r="D40" s="3" t="s">
        <v>1568</v>
      </c>
      <c r="E40" s="5" t="s">
        <v>149</v>
      </c>
      <c r="F40" s="3" t="s">
        <v>1569</v>
      </c>
      <c r="G40" s="3" t="s">
        <v>1570</v>
      </c>
      <c r="H40" s="3" t="s">
        <v>152</v>
      </c>
      <c r="I40" s="3" t="s">
        <v>166</v>
      </c>
      <c r="J40" s="3" t="s">
        <v>30</v>
      </c>
      <c r="K40" s="3" t="s">
        <v>30</v>
      </c>
      <c r="L40" s="5" t="s">
        <v>1571</v>
      </c>
      <c r="M40" s="3" t="s">
        <v>167</v>
      </c>
      <c r="N40" s="3" t="s">
        <v>156</v>
      </c>
      <c r="O40" s="182" t="s">
        <v>1572</v>
      </c>
      <c r="P40" s="3" t="s">
        <v>179</v>
      </c>
      <c r="Q40" s="3" t="s">
        <v>169</v>
      </c>
      <c r="R40" s="3" t="s">
        <v>159</v>
      </c>
      <c r="S40" s="3" t="s">
        <v>34</v>
      </c>
      <c r="T40" s="155">
        <v>2.9</v>
      </c>
      <c r="U40" s="3" t="s">
        <v>634</v>
      </c>
      <c r="V40" s="166">
        <v>3.4799999999999998E-2</v>
      </c>
      <c r="W40" s="166">
        <v>3.8399999999999997E-2</v>
      </c>
      <c r="X40" s="5" t="s">
        <v>161</v>
      </c>
      <c r="Y40" s="5" t="s">
        <v>156</v>
      </c>
      <c r="Z40" s="3" t="s">
        <v>1563</v>
      </c>
      <c r="AA40" s="3" t="s">
        <v>1564</v>
      </c>
      <c r="AB40" s="182" t="s">
        <v>1566</v>
      </c>
      <c r="AC40" s="182" t="s">
        <v>1566</v>
      </c>
      <c r="AD40" s="155">
        <v>1131883</v>
      </c>
      <c r="AE40" s="164">
        <v>1</v>
      </c>
      <c r="AF40" s="174">
        <v>106.65</v>
      </c>
      <c r="AG40" s="155">
        <v>1207.153</v>
      </c>
      <c r="AJ40" s="3" t="s">
        <v>36</v>
      </c>
      <c r="AK40" s="166">
        <v>8.4711100328920305E-2</v>
      </c>
      <c r="AL40" s="166">
        <v>6.2052349623518705E-4</v>
      </c>
    </row>
    <row r="41" spans="1:38">
      <c r="A41" s="3">
        <v>161</v>
      </c>
      <c r="B41" s="3">
        <v>9943</v>
      </c>
      <c r="C41" s="3" t="s">
        <v>1656</v>
      </c>
      <c r="D41" s="3" t="s">
        <v>1657</v>
      </c>
      <c r="E41" s="5" t="s">
        <v>149</v>
      </c>
      <c r="F41" s="3" t="s">
        <v>1658</v>
      </c>
      <c r="G41" s="3" t="s">
        <v>1659</v>
      </c>
      <c r="H41" s="3" t="s">
        <v>152</v>
      </c>
      <c r="I41" s="3" t="s">
        <v>166</v>
      </c>
      <c r="J41" s="3" t="s">
        <v>30</v>
      </c>
      <c r="K41" s="3" t="s">
        <v>30</v>
      </c>
      <c r="L41" s="5" t="s">
        <v>1571</v>
      </c>
      <c r="M41" s="3" t="s">
        <v>167</v>
      </c>
      <c r="N41" s="3" t="s">
        <v>156</v>
      </c>
      <c r="O41" s="182" t="s">
        <v>1652</v>
      </c>
      <c r="P41" s="3" t="s">
        <v>283</v>
      </c>
      <c r="Q41" s="3" t="s">
        <v>283</v>
      </c>
      <c r="R41" s="3" t="s">
        <v>283</v>
      </c>
      <c r="S41" s="3" t="s">
        <v>34</v>
      </c>
      <c r="T41" s="155">
        <v>0</v>
      </c>
      <c r="U41" s="3" t="s">
        <v>1660</v>
      </c>
      <c r="V41" s="166">
        <v>1E-4</v>
      </c>
      <c r="W41" s="166">
        <v>0</v>
      </c>
      <c r="X41" s="5" t="s">
        <v>918</v>
      </c>
      <c r="Y41" s="5" t="s">
        <v>1654</v>
      </c>
      <c r="Z41" s="3" t="s">
        <v>131</v>
      </c>
      <c r="AA41" s="3" t="s">
        <v>1647</v>
      </c>
      <c r="AB41" s="182" t="s">
        <v>1655</v>
      </c>
      <c r="AC41" s="182" t="s">
        <v>1640</v>
      </c>
      <c r="AD41" s="155">
        <v>502.56</v>
      </c>
      <c r="AE41" s="164">
        <v>1</v>
      </c>
      <c r="AF41" s="174">
        <v>0</v>
      </c>
      <c r="AG41" s="155">
        <v>0</v>
      </c>
      <c r="AJ41" s="3" t="s">
        <v>36</v>
      </c>
      <c r="AK41" s="166">
        <v>3.5266782951492698E-13</v>
      </c>
      <c r="AL41" s="166">
        <v>2.5833529930618002E-15</v>
      </c>
    </row>
    <row r="42" spans="1:38">
      <c r="A42" s="3">
        <v>161</v>
      </c>
      <c r="B42" s="3">
        <v>9943</v>
      </c>
      <c r="C42" s="3" t="s">
        <v>1656</v>
      </c>
      <c r="D42" s="3" t="s">
        <v>1657</v>
      </c>
      <c r="E42" s="5" t="s">
        <v>149</v>
      </c>
      <c r="F42" s="3" t="s">
        <v>1661</v>
      </c>
      <c r="G42" s="3" t="s">
        <v>1662</v>
      </c>
      <c r="H42" s="3" t="s">
        <v>152</v>
      </c>
      <c r="I42" s="3" t="s">
        <v>166</v>
      </c>
      <c r="J42" s="3" t="s">
        <v>30</v>
      </c>
      <c r="K42" s="3" t="s">
        <v>30</v>
      </c>
      <c r="L42" s="5" t="s">
        <v>1571</v>
      </c>
      <c r="M42" s="3" t="s">
        <v>282</v>
      </c>
      <c r="N42" s="3" t="s">
        <v>156</v>
      </c>
      <c r="O42" s="182" t="s">
        <v>1652</v>
      </c>
      <c r="P42" s="3" t="s">
        <v>283</v>
      </c>
      <c r="Q42" s="3" t="s">
        <v>283</v>
      </c>
      <c r="R42" s="3" t="s">
        <v>283</v>
      </c>
      <c r="S42" s="3" t="s">
        <v>34</v>
      </c>
      <c r="T42" s="155">
        <v>0.01</v>
      </c>
      <c r="U42" s="3" t="s">
        <v>1660</v>
      </c>
      <c r="V42" s="166">
        <v>0</v>
      </c>
      <c r="W42" s="166">
        <v>0.06</v>
      </c>
      <c r="X42" s="5" t="s">
        <v>918</v>
      </c>
      <c r="Y42" s="5" t="s">
        <v>1654</v>
      </c>
      <c r="Z42" s="3" t="s">
        <v>131</v>
      </c>
      <c r="AA42" s="3" t="s">
        <v>1647</v>
      </c>
      <c r="AB42" s="182" t="s">
        <v>1655</v>
      </c>
      <c r="AC42" s="182" t="s">
        <v>1640</v>
      </c>
      <c r="AD42" s="155">
        <v>3015.35</v>
      </c>
      <c r="AE42" s="164">
        <v>1</v>
      </c>
      <c r="AF42" s="174">
        <v>0</v>
      </c>
      <c r="AG42" s="155">
        <v>0</v>
      </c>
      <c r="AJ42" s="3" t="s">
        <v>36</v>
      </c>
      <c r="AK42" s="166">
        <v>2.1159999596621996E-12</v>
      </c>
      <c r="AL42" s="166">
        <v>1.5500066554498999E-14</v>
      </c>
    </row>
    <row r="43" spans="1:38">
      <c r="A43" s="3">
        <v>161</v>
      </c>
      <c r="B43" s="3">
        <v>9943</v>
      </c>
      <c r="C43" s="3" t="s">
        <v>1573</v>
      </c>
      <c r="D43" s="3" t="s">
        <v>1574</v>
      </c>
      <c r="E43" s="5" t="s">
        <v>817</v>
      </c>
      <c r="F43" s="3" t="s">
        <v>1575</v>
      </c>
      <c r="G43" s="3" t="s">
        <v>1576</v>
      </c>
      <c r="H43" s="3" t="s">
        <v>152</v>
      </c>
      <c r="I43" s="3" t="s">
        <v>153</v>
      </c>
      <c r="J43" s="3" t="s">
        <v>30</v>
      </c>
      <c r="K43" s="3" t="s">
        <v>30</v>
      </c>
      <c r="L43" s="5" t="s">
        <v>1571</v>
      </c>
      <c r="M43" s="3" t="s">
        <v>194</v>
      </c>
      <c r="N43" s="3" t="s">
        <v>156</v>
      </c>
      <c r="O43" s="182" t="s">
        <v>1577</v>
      </c>
      <c r="P43" s="3" t="s">
        <v>179</v>
      </c>
      <c r="Q43" s="3" t="s">
        <v>169</v>
      </c>
      <c r="R43" s="3" t="s">
        <v>159</v>
      </c>
      <c r="S43" s="3" t="s">
        <v>34</v>
      </c>
      <c r="T43" s="155">
        <v>1.66</v>
      </c>
      <c r="U43" s="3" t="s">
        <v>634</v>
      </c>
      <c r="V43" s="166">
        <v>5.1299999999999998E-2</v>
      </c>
      <c r="W43" s="166">
        <v>2.86E-2</v>
      </c>
      <c r="X43" s="5" t="s">
        <v>161</v>
      </c>
      <c r="Y43" s="5" t="s">
        <v>156</v>
      </c>
      <c r="Z43" s="3" t="s">
        <v>1563</v>
      </c>
      <c r="AA43" s="3" t="s">
        <v>1564</v>
      </c>
      <c r="AB43" s="182" t="s">
        <v>1566</v>
      </c>
      <c r="AC43" s="182" t="s">
        <v>1566</v>
      </c>
      <c r="AD43" s="155">
        <v>220000.03</v>
      </c>
      <c r="AE43" s="164">
        <v>1</v>
      </c>
      <c r="AF43" s="174">
        <v>98.48</v>
      </c>
      <c r="AG43" s="155">
        <v>216.65600000000001</v>
      </c>
      <c r="AJ43" s="3" t="s">
        <v>36</v>
      </c>
      <c r="AK43" s="166">
        <v>1.52036794990856E-2</v>
      </c>
      <c r="AL43" s="166">
        <v>1.1136958818596501E-4</v>
      </c>
    </row>
    <row r="44" spans="1:38">
      <c r="A44" s="3">
        <v>161</v>
      </c>
      <c r="B44" s="3">
        <v>9943</v>
      </c>
      <c r="C44" s="3" t="s">
        <v>1578</v>
      </c>
      <c r="D44" s="3" t="s">
        <v>1579</v>
      </c>
      <c r="E44" s="5" t="s">
        <v>149</v>
      </c>
      <c r="F44" s="3" t="s">
        <v>1580</v>
      </c>
      <c r="G44" s="3" t="s">
        <v>1581</v>
      </c>
      <c r="H44" s="3" t="s">
        <v>152</v>
      </c>
      <c r="I44" s="3" t="s">
        <v>153</v>
      </c>
      <c r="J44" s="3" t="s">
        <v>30</v>
      </c>
      <c r="K44" s="3" t="s">
        <v>30</v>
      </c>
      <c r="L44" s="5" t="s">
        <v>1571</v>
      </c>
      <c r="M44" s="3" t="s">
        <v>194</v>
      </c>
      <c r="N44" s="3" t="s">
        <v>156</v>
      </c>
      <c r="O44" s="182" t="s">
        <v>1623</v>
      </c>
      <c r="P44" s="3" t="s">
        <v>258</v>
      </c>
      <c r="Q44" s="3" t="s">
        <v>493</v>
      </c>
      <c r="R44" s="3" t="s">
        <v>159</v>
      </c>
      <c r="S44" s="3" t="s">
        <v>34</v>
      </c>
      <c r="T44" s="155">
        <v>1.46</v>
      </c>
      <c r="U44" s="3" t="s">
        <v>567</v>
      </c>
      <c r="V44" s="166">
        <v>5.2999999999999999E-2</v>
      </c>
      <c r="W44" s="166">
        <v>4.4699999999999997E-2</v>
      </c>
      <c r="X44" s="5" t="s">
        <v>161</v>
      </c>
      <c r="Y44" s="5" t="s">
        <v>156</v>
      </c>
      <c r="Z44" s="3" t="s">
        <v>1563</v>
      </c>
      <c r="AA44" s="3" t="s">
        <v>1564</v>
      </c>
      <c r="AB44" s="182" t="s">
        <v>1566</v>
      </c>
      <c r="AC44" s="182" t="s">
        <v>1566</v>
      </c>
      <c r="AD44" s="155">
        <v>995561.64</v>
      </c>
      <c r="AE44" s="164">
        <v>1</v>
      </c>
      <c r="AF44" s="174">
        <v>100.02</v>
      </c>
      <c r="AG44" s="155">
        <v>995.76099999999997</v>
      </c>
      <c r="AJ44" s="3" t="s">
        <v>36</v>
      </c>
      <c r="AK44" s="166">
        <v>6.9876787495954107E-2</v>
      </c>
      <c r="AL44" s="166">
        <v>5.11859582915481E-4</v>
      </c>
    </row>
    <row r="45" spans="1:38">
      <c r="A45" s="3">
        <v>161</v>
      </c>
      <c r="B45" s="3">
        <v>9943</v>
      </c>
      <c r="C45" s="3" t="s">
        <v>321</v>
      </c>
      <c r="D45" s="3" t="s">
        <v>322</v>
      </c>
      <c r="E45" s="5" t="s">
        <v>149</v>
      </c>
      <c r="F45" s="3" t="s">
        <v>1663</v>
      </c>
      <c r="G45" s="3" t="s">
        <v>1664</v>
      </c>
      <c r="H45" s="3" t="s">
        <v>33</v>
      </c>
      <c r="I45" s="3" t="s">
        <v>166</v>
      </c>
      <c r="J45" s="3" t="s">
        <v>30</v>
      </c>
      <c r="K45" s="3" t="s">
        <v>30</v>
      </c>
      <c r="L45" s="5" t="s">
        <v>1571</v>
      </c>
      <c r="M45" s="3" t="s">
        <v>245</v>
      </c>
      <c r="N45" s="3" t="s">
        <v>156</v>
      </c>
      <c r="O45" s="182" t="s">
        <v>1652</v>
      </c>
      <c r="P45" s="3" t="s">
        <v>246</v>
      </c>
      <c r="Q45" s="3" t="s">
        <v>169</v>
      </c>
      <c r="R45" s="3" t="s">
        <v>159</v>
      </c>
      <c r="S45" s="3" t="s">
        <v>34</v>
      </c>
      <c r="T45" s="155">
        <v>0.8</v>
      </c>
      <c r="U45" s="3" t="s">
        <v>1665</v>
      </c>
      <c r="V45" s="166">
        <v>2.1000000000000001E-2</v>
      </c>
      <c r="W45" s="166">
        <v>6.1499999999999999E-2</v>
      </c>
      <c r="X45" s="5" t="s">
        <v>161</v>
      </c>
      <c r="Y45" s="5" t="s">
        <v>156</v>
      </c>
      <c r="Z45" s="3" t="s">
        <v>1563</v>
      </c>
      <c r="AA45" s="3" t="s">
        <v>1564</v>
      </c>
      <c r="AB45" s="182" t="s">
        <v>1566</v>
      </c>
      <c r="AC45" s="182" t="s">
        <v>1566</v>
      </c>
      <c r="AD45" s="155">
        <v>8000</v>
      </c>
      <c r="AE45" s="164">
        <v>1</v>
      </c>
      <c r="AF45" s="174">
        <v>156.37</v>
      </c>
      <c r="AG45" s="155">
        <v>12.51</v>
      </c>
      <c r="AJ45" s="3" t="s">
        <v>36</v>
      </c>
      <c r="AK45" s="166">
        <v>8.7785209330228E-4</v>
      </c>
      <c r="AL45" s="166">
        <v>6.4304187762667796E-6</v>
      </c>
    </row>
    <row r="46" spans="1:38">
      <c r="A46" s="3">
        <v>161</v>
      </c>
      <c r="B46" s="3">
        <v>9943</v>
      </c>
      <c r="C46" s="3" t="s">
        <v>321</v>
      </c>
      <c r="D46" s="3" t="s">
        <v>322</v>
      </c>
      <c r="E46" s="5" t="s">
        <v>149</v>
      </c>
      <c r="F46" s="3" t="s">
        <v>1666</v>
      </c>
      <c r="G46" s="3" t="s">
        <v>1667</v>
      </c>
      <c r="H46" s="3" t="s">
        <v>33</v>
      </c>
      <c r="I46" s="3" t="s">
        <v>166</v>
      </c>
      <c r="J46" s="3" t="s">
        <v>30</v>
      </c>
      <c r="K46" s="3" t="s">
        <v>30</v>
      </c>
      <c r="L46" s="5" t="s">
        <v>1571</v>
      </c>
      <c r="M46" s="3" t="s">
        <v>245</v>
      </c>
      <c r="N46" s="3" t="s">
        <v>156</v>
      </c>
      <c r="O46" s="182" t="s">
        <v>1652</v>
      </c>
      <c r="P46" s="3" t="s">
        <v>424</v>
      </c>
      <c r="Q46" s="3" t="s">
        <v>169</v>
      </c>
      <c r="R46" s="3" t="s">
        <v>159</v>
      </c>
      <c r="S46" s="3" t="s">
        <v>34</v>
      </c>
      <c r="T46" s="155">
        <v>0.8</v>
      </c>
      <c r="U46" s="3" t="s">
        <v>1665</v>
      </c>
      <c r="V46" s="166">
        <v>2.3900000000000001E-2</v>
      </c>
      <c r="W46" s="166">
        <v>6.6000000000000003E-2</v>
      </c>
      <c r="X46" s="5" t="s">
        <v>161</v>
      </c>
      <c r="Y46" s="5" t="s">
        <v>156</v>
      </c>
      <c r="Z46" s="3" t="s">
        <v>1563</v>
      </c>
      <c r="AA46" s="3" t="s">
        <v>1564</v>
      </c>
      <c r="AB46" s="182" t="s">
        <v>1566</v>
      </c>
      <c r="AC46" s="182" t="s">
        <v>1566</v>
      </c>
      <c r="AD46" s="155">
        <v>2190000</v>
      </c>
      <c r="AE46" s="164">
        <v>1</v>
      </c>
      <c r="AF46" s="174">
        <v>156.55000000000001</v>
      </c>
      <c r="AG46" s="155">
        <v>3428.4450000000002</v>
      </c>
      <c r="AJ46" s="3" t="s">
        <v>36</v>
      </c>
      <c r="AK46" s="166">
        <v>0.24058863752811699</v>
      </c>
      <c r="AL46" s="166">
        <v>1.76235348063871E-3</v>
      </c>
    </row>
    <row r="47" spans="1:38">
      <c r="A47" s="3">
        <v>161</v>
      </c>
      <c r="B47" s="3">
        <v>9943</v>
      </c>
      <c r="C47" s="3" t="s">
        <v>1583</v>
      </c>
      <c r="D47" s="3" t="s">
        <v>1584</v>
      </c>
      <c r="E47" s="5" t="s">
        <v>149</v>
      </c>
      <c r="F47" s="3" t="s">
        <v>1585</v>
      </c>
      <c r="G47" s="3" t="s">
        <v>1586</v>
      </c>
      <c r="H47" s="3" t="s">
        <v>152</v>
      </c>
      <c r="I47" s="3" t="s">
        <v>153</v>
      </c>
      <c r="J47" s="3" t="s">
        <v>30</v>
      </c>
      <c r="K47" s="3" t="s">
        <v>30</v>
      </c>
      <c r="L47" s="5" t="s">
        <v>1571</v>
      </c>
      <c r="M47" s="3" t="s">
        <v>194</v>
      </c>
      <c r="N47" s="3" t="s">
        <v>156</v>
      </c>
      <c r="O47" s="182" t="s">
        <v>1587</v>
      </c>
      <c r="P47" s="3" t="s">
        <v>359</v>
      </c>
      <c r="Q47" s="3" t="s">
        <v>158</v>
      </c>
      <c r="R47" s="3" t="s">
        <v>159</v>
      </c>
      <c r="S47" s="3" t="s">
        <v>34</v>
      </c>
      <c r="T47" s="155">
        <v>1.33</v>
      </c>
      <c r="U47" s="3" t="s">
        <v>1588</v>
      </c>
      <c r="V47" s="166">
        <v>4.7699999999999999E-2</v>
      </c>
      <c r="W47" s="166">
        <v>2.1000000000000001E-2</v>
      </c>
      <c r="X47" s="5" t="s">
        <v>161</v>
      </c>
      <c r="Y47" s="5" t="s">
        <v>156</v>
      </c>
      <c r="Z47" s="3" t="s">
        <v>1563</v>
      </c>
      <c r="AA47" s="3" t="s">
        <v>1564</v>
      </c>
      <c r="AB47" s="182" t="s">
        <v>1566</v>
      </c>
      <c r="AC47" s="182" t="s">
        <v>1566</v>
      </c>
      <c r="AD47" s="155">
        <v>137143.04999999999</v>
      </c>
      <c r="AE47" s="164">
        <v>1</v>
      </c>
      <c r="AF47" s="174">
        <v>97.85</v>
      </c>
      <c r="AG47" s="155">
        <v>134.19399999999999</v>
      </c>
      <c r="AJ47" s="3" t="s">
        <v>36</v>
      </c>
      <c r="AK47" s="166">
        <v>9.4169997668658804E-3</v>
      </c>
      <c r="AL47" s="166">
        <v>6.8981155913360302E-5</v>
      </c>
    </row>
    <row r="48" spans="1:38">
      <c r="A48" s="3">
        <v>161</v>
      </c>
      <c r="B48" s="3">
        <v>9943</v>
      </c>
      <c r="C48" s="3" t="s">
        <v>1668</v>
      </c>
      <c r="D48" s="3" t="s">
        <v>1669</v>
      </c>
      <c r="E48" s="5" t="s">
        <v>149</v>
      </c>
      <c r="F48" s="3" t="s">
        <v>1670</v>
      </c>
      <c r="G48" s="3" t="s">
        <v>1671</v>
      </c>
      <c r="H48" s="3" t="s">
        <v>152</v>
      </c>
      <c r="I48" s="3" t="s">
        <v>153</v>
      </c>
      <c r="J48" s="3" t="s">
        <v>30</v>
      </c>
      <c r="K48" s="3" t="s">
        <v>30</v>
      </c>
      <c r="L48" s="5" t="s">
        <v>1571</v>
      </c>
      <c r="M48" s="3" t="s">
        <v>906</v>
      </c>
      <c r="N48" s="3" t="s">
        <v>156</v>
      </c>
      <c r="O48" s="182" t="s">
        <v>1652</v>
      </c>
      <c r="P48" s="3" t="s">
        <v>283</v>
      </c>
      <c r="Q48" s="3" t="s">
        <v>283</v>
      </c>
      <c r="R48" s="3" t="s">
        <v>283</v>
      </c>
      <c r="S48" s="3" t="s">
        <v>34</v>
      </c>
      <c r="T48" s="155">
        <v>0</v>
      </c>
      <c r="U48" s="3" t="s">
        <v>1672</v>
      </c>
      <c r="V48" s="166">
        <v>0</v>
      </c>
      <c r="W48" s="166">
        <v>0</v>
      </c>
      <c r="X48" s="5" t="s">
        <v>918</v>
      </c>
      <c r="Y48" s="5" t="s">
        <v>1654</v>
      </c>
      <c r="Z48" s="3" t="s">
        <v>131</v>
      </c>
      <c r="AA48" s="3" t="s">
        <v>1647</v>
      </c>
      <c r="AB48" s="182" t="s">
        <v>1673</v>
      </c>
      <c r="AC48" s="182" t="s">
        <v>1674</v>
      </c>
      <c r="AD48" s="155">
        <v>8743.39</v>
      </c>
      <c r="AE48" s="164">
        <v>1</v>
      </c>
      <c r="AF48" s="174">
        <v>0</v>
      </c>
      <c r="AG48" s="155">
        <v>0</v>
      </c>
      <c r="AJ48" s="3" t="s">
        <v>36</v>
      </c>
      <c r="AK48" s="166">
        <v>6.1356104224421396E-12</v>
      </c>
      <c r="AL48" s="166">
        <v>4.4944410072442899E-14</v>
      </c>
    </row>
    <row r="49" spans="1:38">
      <c r="A49" s="3">
        <v>161</v>
      </c>
      <c r="B49" s="3">
        <v>9943</v>
      </c>
      <c r="C49" s="3" t="s">
        <v>1589</v>
      </c>
      <c r="D49" s="3" t="s">
        <v>1590</v>
      </c>
      <c r="E49" s="5" t="s">
        <v>149</v>
      </c>
      <c r="F49" s="3" t="s">
        <v>1591</v>
      </c>
      <c r="G49" s="3" t="s">
        <v>1592</v>
      </c>
      <c r="H49" s="3" t="s">
        <v>152</v>
      </c>
      <c r="I49" s="3" t="s">
        <v>166</v>
      </c>
      <c r="J49" s="3" t="s">
        <v>30</v>
      </c>
      <c r="K49" s="3" t="s">
        <v>30</v>
      </c>
      <c r="L49" s="5" t="s">
        <v>1571</v>
      </c>
      <c r="M49" s="3" t="s">
        <v>599</v>
      </c>
      <c r="N49" s="3" t="s">
        <v>156</v>
      </c>
      <c r="O49" s="182" t="s">
        <v>1593</v>
      </c>
      <c r="P49" s="3" t="s">
        <v>232</v>
      </c>
      <c r="Q49" s="3" t="s">
        <v>158</v>
      </c>
      <c r="R49" s="3" t="s">
        <v>159</v>
      </c>
      <c r="S49" s="3" t="s">
        <v>34</v>
      </c>
      <c r="T49" s="155">
        <v>3.21</v>
      </c>
      <c r="U49" s="3" t="s">
        <v>776</v>
      </c>
      <c r="V49" s="166">
        <v>4.4600000000000001E-2</v>
      </c>
      <c r="W49" s="166">
        <v>4.4499999999999998E-2</v>
      </c>
      <c r="X49" s="5" t="s">
        <v>161</v>
      </c>
      <c r="Y49" s="5" t="s">
        <v>156</v>
      </c>
      <c r="Z49" s="3" t="s">
        <v>1563</v>
      </c>
      <c r="AA49" s="3" t="s">
        <v>1564</v>
      </c>
      <c r="AB49" s="182" t="s">
        <v>1566</v>
      </c>
      <c r="AC49" s="182" t="s">
        <v>1566</v>
      </c>
      <c r="AD49" s="155">
        <v>1093493.68</v>
      </c>
      <c r="AE49" s="164">
        <v>1</v>
      </c>
      <c r="AF49" s="174">
        <v>105.78</v>
      </c>
      <c r="AG49" s="155">
        <v>1156.6980000000001</v>
      </c>
      <c r="AJ49" s="3" t="s">
        <v>36</v>
      </c>
      <c r="AK49" s="166">
        <v>8.1170414912200201E-2</v>
      </c>
      <c r="AL49" s="166">
        <v>5.9458736171065399E-4</v>
      </c>
    </row>
    <row r="50" spans="1:38">
      <c r="A50" s="3">
        <v>161</v>
      </c>
      <c r="B50" s="3">
        <v>9943</v>
      </c>
      <c r="C50" s="3" t="s">
        <v>1668</v>
      </c>
      <c r="D50" s="3" t="s">
        <v>1669</v>
      </c>
      <c r="E50" s="5" t="s">
        <v>149</v>
      </c>
      <c r="F50" s="3" t="s">
        <v>1675</v>
      </c>
      <c r="G50" s="3" t="s">
        <v>1676</v>
      </c>
      <c r="H50" s="3" t="s">
        <v>152</v>
      </c>
      <c r="I50" s="3" t="s">
        <v>166</v>
      </c>
      <c r="J50" s="3" t="s">
        <v>30</v>
      </c>
      <c r="K50" s="3" t="s">
        <v>30</v>
      </c>
      <c r="L50" s="5" t="s">
        <v>1571</v>
      </c>
      <c r="M50" s="3" t="s">
        <v>906</v>
      </c>
      <c r="N50" s="3" t="s">
        <v>156</v>
      </c>
      <c r="O50" s="182" t="s">
        <v>1652</v>
      </c>
      <c r="P50" s="3" t="s">
        <v>283</v>
      </c>
      <c r="Q50" s="3" t="s">
        <v>283</v>
      </c>
      <c r="R50" s="3" t="s">
        <v>283</v>
      </c>
      <c r="S50" s="3" t="s">
        <v>34</v>
      </c>
      <c r="T50" s="155">
        <v>0</v>
      </c>
      <c r="U50" s="3" t="s">
        <v>1672</v>
      </c>
      <c r="V50" s="166">
        <v>0</v>
      </c>
      <c r="W50" s="166">
        <v>0</v>
      </c>
      <c r="X50" s="5" t="s">
        <v>918</v>
      </c>
      <c r="Y50" s="5" t="s">
        <v>1654</v>
      </c>
      <c r="Z50" s="3" t="s">
        <v>131</v>
      </c>
      <c r="AA50" s="3" t="s">
        <v>1647</v>
      </c>
      <c r="AB50" s="182" t="s">
        <v>1673</v>
      </c>
      <c r="AC50" s="182" t="s">
        <v>1640</v>
      </c>
      <c r="AD50" s="155">
        <v>8112.62</v>
      </c>
      <c r="AE50" s="164">
        <v>1</v>
      </c>
      <c r="AF50" s="174">
        <v>0</v>
      </c>
      <c r="AG50" s="155">
        <v>0</v>
      </c>
      <c r="AJ50" s="3" t="s">
        <v>36</v>
      </c>
      <c r="AK50" s="166">
        <v>5.6929721567163901E-12</v>
      </c>
      <c r="AL50" s="166">
        <v>4.1702008036002204E-14</v>
      </c>
    </row>
    <row r="51" spans="1:38">
      <c r="A51" s="3">
        <v>161</v>
      </c>
      <c r="B51" s="3">
        <v>9943</v>
      </c>
      <c r="C51" s="3" t="s">
        <v>1594</v>
      </c>
      <c r="D51" s="3" t="s">
        <v>1595</v>
      </c>
      <c r="E51" s="5" t="s">
        <v>149</v>
      </c>
      <c r="F51" s="3" t="s">
        <v>1596</v>
      </c>
      <c r="G51" s="3" t="s">
        <v>1597</v>
      </c>
      <c r="H51" s="3" t="s">
        <v>152</v>
      </c>
      <c r="I51" s="3" t="s">
        <v>153</v>
      </c>
      <c r="J51" s="3" t="s">
        <v>30</v>
      </c>
      <c r="K51" s="3" t="s">
        <v>30</v>
      </c>
      <c r="L51" s="5" t="s">
        <v>1571</v>
      </c>
      <c r="M51" s="3" t="s">
        <v>167</v>
      </c>
      <c r="N51" s="3" t="s">
        <v>156</v>
      </c>
      <c r="O51" s="182" t="s">
        <v>1598</v>
      </c>
      <c r="P51" s="3" t="s">
        <v>272</v>
      </c>
      <c r="Q51" s="3" t="s">
        <v>158</v>
      </c>
      <c r="R51" s="3" t="s">
        <v>159</v>
      </c>
      <c r="S51" s="3" t="s">
        <v>34</v>
      </c>
      <c r="T51" s="155">
        <v>1.22</v>
      </c>
      <c r="U51" s="3" t="s">
        <v>567</v>
      </c>
      <c r="V51" s="166">
        <v>4.6399999999999997E-2</v>
      </c>
      <c r="W51" s="166">
        <v>3.1E-2</v>
      </c>
      <c r="X51" s="5" t="s">
        <v>161</v>
      </c>
      <c r="Y51" s="5" t="s">
        <v>156</v>
      </c>
      <c r="Z51" s="3" t="s">
        <v>1563</v>
      </c>
      <c r="AA51" s="3" t="s">
        <v>1564</v>
      </c>
      <c r="AB51" s="182" t="s">
        <v>1566</v>
      </c>
      <c r="AC51" s="182" t="s">
        <v>1566</v>
      </c>
      <c r="AD51" s="155">
        <v>1284707.3400000001</v>
      </c>
      <c r="AE51" s="164">
        <v>1</v>
      </c>
      <c r="AF51" s="174">
        <v>98.25</v>
      </c>
      <c r="AG51" s="155">
        <v>1262.2249999999999</v>
      </c>
      <c r="AJ51" s="3" t="s">
        <v>36</v>
      </c>
      <c r="AK51" s="166">
        <v>8.8575719824379395E-2</v>
      </c>
      <c r="AL51" s="166">
        <v>6.4883250404679097E-4</v>
      </c>
    </row>
    <row r="52" spans="1:38">
      <c r="A52" s="3">
        <v>161</v>
      </c>
      <c r="B52" s="3">
        <v>9943</v>
      </c>
      <c r="C52" s="3" t="s">
        <v>1677</v>
      </c>
      <c r="D52" s="3" t="s">
        <v>1678</v>
      </c>
      <c r="E52" s="5" t="s">
        <v>149</v>
      </c>
      <c r="F52" s="3" t="s">
        <v>1679</v>
      </c>
      <c r="G52" s="3" t="s">
        <v>1680</v>
      </c>
      <c r="H52" s="3" t="s">
        <v>152</v>
      </c>
      <c r="I52" s="3" t="s">
        <v>166</v>
      </c>
      <c r="J52" s="3" t="s">
        <v>30</v>
      </c>
      <c r="K52" s="3" t="s">
        <v>30</v>
      </c>
      <c r="L52" s="5" t="s">
        <v>1571</v>
      </c>
      <c r="M52" s="3" t="s">
        <v>178</v>
      </c>
      <c r="N52" s="3" t="s">
        <v>156</v>
      </c>
      <c r="O52" s="182" t="s">
        <v>1652</v>
      </c>
      <c r="P52" s="3" t="s">
        <v>246</v>
      </c>
      <c r="Q52" s="3" t="s">
        <v>169</v>
      </c>
      <c r="R52" s="3" t="s">
        <v>159</v>
      </c>
      <c r="S52" s="3" t="s">
        <v>34</v>
      </c>
      <c r="T52" s="155">
        <v>0.57999999999999996</v>
      </c>
      <c r="U52" s="3" t="s">
        <v>1681</v>
      </c>
      <c r="V52" s="166">
        <v>2.8299999999999999E-2</v>
      </c>
      <c r="W52" s="166">
        <v>5.6000000000000001E-2</v>
      </c>
      <c r="X52" s="5" t="s">
        <v>161</v>
      </c>
      <c r="Y52" s="5" t="s">
        <v>156</v>
      </c>
      <c r="Z52" s="3" t="s">
        <v>1563</v>
      </c>
      <c r="AA52" s="3" t="s">
        <v>1564</v>
      </c>
      <c r="AB52" s="182" t="s">
        <v>1566</v>
      </c>
      <c r="AC52" s="182" t="s">
        <v>1566</v>
      </c>
      <c r="AD52" s="155">
        <v>453826.74</v>
      </c>
      <c r="AE52" s="164">
        <v>1</v>
      </c>
      <c r="AF52" s="174">
        <v>147.66999999999999</v>
      </c>
      <c r="AG52" s="155">
        <v>670.16600000000005</v>
      </c>
      <c r="AJ52" s="3" t="s">
        <v>36</v>
      </c>
      <c r="AK52" s="166">
        <v>4.7028408534004702E-2</v>
      </c>
      <c r="AL52" s="166">
        <v>3.4449124580588698E-4</v>
      </c>
    </row>
    <row r="53" spans="1:38">
      <c r="A53" s="3">
        <v>161</v>
      </c>
      <c r="B53" s="3">
        <v>9943</v>
      </c>
      <c r="C53" s="3" t="s">
        <v>1599</v>
      </c>
      <c r="D53" s="3" t="s">
        <v>1600</v>
      </c>
      <c r="E53" s="5" t="s">
        <v>149</v>
      </c>
      <c r="F53" s="3" t="s">
        <v>1601</v>
      </c>
      <c r="G53" s="3" t="s">
        <v>1602</v>
      </c>
      <c r="H53" s="3" t="s">
        <v>152</v>
      </c>
      <c r="I53" s="3" t="s">
        <v>153</v>
      </c>
      <c r="J53" s="3" t="s">
        <v>30</v>
      </c>
      <c r="K53" s="3" t="s">
        <v>30</v>
      </c>
      <c r="L53" s="5" t="s">
        <v>1571</v>
      </c>
      <c r="M53" s="3" t="s">
        <v>599</v>
      </c>
      <c r="N53" s="3" t="s">
        <v>156</v>
      </c>
      <c r="O53" s="182" t="s">
        <v>1603</v>
      </c>
      <c r="P53" s="3" t="s">
        <v>272</v>
      </c>
      <c r="Q53" s="3" t="s">
        <v>158</v>
      </c>
      <c r="R53" s="3" t="s">
        <v>159</v>
      </c>
      <c r="S53" s="3" t="s">
        <v>34</v>
      </c>
      <c r="T53" s="155">
        <v>0.33</v>
      </c>
      <c r="U53" s="3" t="s">
        <v>1604</v>
      </c>
      <c r="V53" s="166">
        <v>5.2200000000000003E-2</v>
      </c>
      <c r="W53" s="166">
        <v>6.5000000000000002E-2</v>
      </c>
      <c r="X53" s="5" t="s">
        <v>161</v>
      </c>
      <c r="Y53" s="5" t="s">
        <v>156</v>
      </c>
      <c r="Z53" s="3" t="s">
        <v>1563</v>
      </c>
      <c r="AA53" s="3" t="s">
        <v>1564</v>
      </c>
      <c r="AB53" s="182" t="s">
        <v>1566</v>
      </c>
      <c r="AC53" s="182" t="s">
        <v>1566</v>
      </c>
      <c r="AD53" s="155">
        <v>78906.77</v>
      </c>
      <c r="AE53" s="164">
        <v>1</v>
      </c>
      <c r="AF53" s="174">
        <v>100.62</v>
      </c>
      <c r="AG53" s="155">
        <v>79.396000000000001</v>
      </c>
      <c r="AJ53" s="3" t="s">
        <v>36</v>
      </c>
      <c r="AK53" s="166">
        <v>5.5715560652768196E-3</v>
      </c>
      <c r="AL53" s="166">
        <v>4.0812614116353502E-5</v>
      </c>
    </row>
    <row r="54" spans="1:38">
      <c r="A54" s="3">
        <v>161</v>
      </c>
      <c r="B54" s="3">
        <v>9943</v>
      </c>
      <c r="C54" s="3" t="s">
        <v>1605</v>
      </c>
      <c r="D54" s="3" t="s">
        <v>1606</v>
      </c>
      <c r="E54" s="5" t="s">
        <v>149</v>
      </c>
      <c r="F54" s="3" t="s">
        <v>1607</v>
      </c>
      <c r="G54" s="3" t="s">
        <v>1608</v>
      </c>
      <c r="H54" s="3" t="s">
        <v>152</v>
      </c>
      <c r="I54" s="3" t="s">
        <v>166</v>
      </c>
      <c r="J54" s="3" t="s">
        <v>30</v>
      </c>
      <c r="K54" s="3" t="s">
        <v>30</v>
      </c>
      <c r="L54" s="5" t="s">
        <v>1571</v>
      </c>
      <c r="M54" s="3" t="s">
        <v>946</v>
      </c>
      <c r="N54" s="3" t="s">
        <v>156</v>
      </c>
      <c r="O54" s="182" t="s">
        <v>1609</v>
      </c>
      <c r="P54" s="3" t="s">
        <v>246</v>
      </c>
      <c r="Q54" s="3" t="s">
        <v>169</v>
      </c>
      <c r="R54" s="3" t="s">
        <v>159</v>
      </c>
      <c r="S54" s="3" t="s">
        <v>34</v>
      </c>
      <c r="T54" s="155">
        <v>4.6500000000000004</v>
      </c>
      <c r="U54" s="3" t="s">
        <v>1610</v>
      </c>
      <c r="V54" s="166">
        <v>2.4500000000000001E-2</v>
      </c>
      <c r="W54" s="166">
        <v>2.3217999999999999E-2</v>
      </c>
      <c r="X54" s="5" t="s">
        <v>161</v>
      </c>
      <c r="Y54" s="5" t="s">
        <v>156</v>
      </c>
      <c r="Z54" s="3" t="s">
        <v>1563</v>
      </c>
      <c r="AA54" s="3" t="s">
        <v>1564</v>
      </c>
      <c r="AB54" s="182" t="s">
        <v>1566</v>
      </c>
      <c r="AC54" s="182" t="s">
        <v>1566</v>
      </c>
      <c r="AD54" s="155">
        <v>1054913.26</v>
      </c>
      <c r="AE54" s="164">
        <v>1</v>
      </c>
      <c r="AF54" s="174">
        <v>118.75</v>
      </c>
      <c r="AG54" s="155">
        <v>1252.7090000000001</v>
      </c>
      <c r="AJ54" s="3" t="s">
        <v>36</v>
      </c>
      <c r="AK54" s="166">
        <v>8.7907978958776195E-2</v>
      </c>
      <c r="AL54" s="166">
        <v>6.4394118644031E-4</v>
      </c>
    </row>
    <row r="55" spans="1:38">
      <c r="A55" s="3">
        <v>161</v>
      </c>
      <c r="B55" s="3">
        <v>9943</v>
      </c>
      <c r="C55" s="3" t="s">
        <v>1605</v>
      </c>
      <c r="D55" s="3" t="s">
        <v>1606</v>
      </c>
      <c r="E55" s="5" t="s">
        <v>149</v>
      </c>
      <c r="F55" s="3" t="s">
        <v>1611</v>
      </c>
      <c r="G55" s="3" t="s">
        <v>1612</v>
      </c>
      <c r="H55" s="3" t="s">
        <v>152</v>
      </c>
      <c r="I55" s="3" t="s">
        <v>153</v>
      </c>
      <c r="J55" s="3" t="s">
        <v>30</v>
      </c>
      <c r="K55" s="3" t="s">
        <v>30</v>
      </c>
      <c r="L55" s="5" t="s">
        <v>1571</v>
      </c>
      <c r="M55" s="3" t="s">
        <v>946</v>
      </c>
      <c r="N55" s="3" t="s">
        <v>156</v>
      </c>
      <c r="O55" s="182" t="s">
        <v>1613</v>
      </c>
      <c r="P55" s="3" t="s">
        <v>246</v>
      </c>
      <c r="Q55" s="3" t="s">
        <v>169</v>
      </c>
      <c r="R55" s="3" t="s">
        <v>159</v>
      </c>
      <c r="S55" s="3" t="s">
        <v>34</v>
      </c>
      <c r="T55" s="155">
        <v>0.45</v>
      </c>
      <c r="U55" s="3" t="s">
        <v>1604</v>
      </c>
      <c r="V55" s="166">
        <v>4.6899999999999997E-2</v>
      </c>
      <c r="W55" s="166">
        <v>2.5000000000000001E-2</v>
      </c>
      <c r="X55" s="5" t="s">
        <v>161</v>
      </c>
      <c r="Y55" s="5" t="s">
        <v>156</v>
      </c>
      <c r="Z55" s="3" t="s">
        <v>1563</v>
      </c>
      <c r="AA55" s="3" t="s">
        <v>1564</v>
      </c>
      <c r="AB55" s="182" t="s">
        <v>1566</v>
      </c>
      <c r="AC55" s="182" t="s">
        <v>1566</v>
      </c>
      <c r="AD55" s="155">
        <v>363388.4</v>
      </c>
      <c r="AE55" s="164">
        <v>1</v>
      </c>
      <c r="AF55" s="174">
        <v>99.16</v>
      </c>
      <c r="AG55" s="155">
        <v>360.33600000000001</v>
      </c>
      <c r="AJ55" s="3" t="s">
        <v>36</v>
      </c>
      <c r="AK55" s="166">
        <v>2.52863126697691E-2</v>
      </c>
      <c r="AL55" s="166">
        <v>1.8522662418285699E-4</v>
      </c>
    </row>
    <row r="56" spans="1:38">
      <c r="A56" s="3">
        <v>161</v>
      </c>
      <c r="B56" s="3">
        <v>9943</v>
      </c>
      <c r="C56" s="3" t="s">
        <v>1605</v>
      </c>
      <c r="D56" s="3" t="s">
        <v>1606</v>
      </c>
      <c r="E56" s="5" t="s">
        <v>149</v>
      </c>
      <c r="F56" s="3" t="s">
        <v>1614</v>
      </c>
      <c r="G56" s="3" t="s">
        <v>1615</v>
      </c>
      <c r="H56" s="3" t="s">
        <v>152</v>
      </c>
      <c r="I56" s="3" t="s">
        <v>153</v>
      </c>
      <c r="J56" s="3" t="s">
        <v>30</v>
      </c>
      <c r="K56" s="3" t="s">
        <v>30</v>
      </c>
      <c r="L56" s="5" t="s">
        <v>1571</v>
      </c>
      <c r="M56" s="3" t="s">
        <v>946</v>
      </c>
      <c r="N56" s="3" t="s">
        <v>156</v>
      </c>
      <c r="O56" s="182" t="s">
        <v>1613</v>
      </c>
      <c r="P56" s="3" t="s">
        <v>246</v>
      </c>
      <c r="Q56" s="3" t="s">
        <v>169</v>
      </c>
      <c r="R56" s="3" t="s">
        <v>159</v>
      </c>
      <c r="S56" s="3" t="s">
        <v>34</v>
      </c>
      <c r="T56" s="155">
        <v>4.41</v>
      </c>
      <c r="U56" s="3" t="s">
        <v>1610</v>
      </c>
      <c r="V56" s="166">
        <v>4.65E-2</v>
      </c>
      <c r="W56" s="166">
        <v>3.7400000000000003E-2</v>
      </c>
      <c r="X56" s="5" t="s">
        <v>161</v>
      </c>
      <c r="Y56" s="5" t="s">
        <v>156</v>
      </c>
      <c r="Z56" s="3" t="s">
        <v>1563</v>
      </c>
      <c r="AA56" s="3" t="s">
        <v>1564</v>
      </c>
      <c r="AB56" s="182" t="s">
        <v>1566</v>
      </c>
      <c r="AC56" s="182" t="s">
        <v>1566</v>
      </c>
      <c r="AD56" s="155">
        <v>2264204</v>
      </c>
      <c r="AE56" s="164">
        <v>1</v>
      </c>
      <c r="AF56" s="174">
        <v>96.46</v>
      </c>
      <c r="AG56" s="155">
        <v>2184.0509999999999</v>
      </c>
      <c r="AJ56" s="3" t="s">
        <v>36</v>
      </c>
      <c r="AK56" s="166">
        <v>0.153264204997582</v>
      </c>
      <c r="AL56" s="166">
        <v>1.12268687295445E-3</v>
      </c>
    </row>
    <row r="57" spans="1:38">
      <c r="A57" s="3">
        <v>161</v>
      </c>
      <c r="B57" s="3">
        <v>9943</v>
      </c>
      <c r="C57" s="3" t="s">
        <v>1567</v>
      </c>
      <c r="D57" s="3" t="s">
        <v>1568</v>
      </c>
      <c r="E57" s="5" t="s">
        <v>149</v>
      </c>
      <c r="F57" s="3" t="s">
        <v>1569</v>
      </c>
      <c r="G57" s="3" t="s">
        <v>1570</v>
      </c>
      <c r="H57" s="3" t="s">
        <v>152</v>
      </c>
      <c r="I57" s="3" t="s">
        <v>166</v>
      </c>
      <c r="J57" s="3" t="s">
        <v>30</v>
      </c>
      <c r="K57" s="3" t="s">
        <v>30</v>
      </c>
      <c r="L57" s="5" t="s">
        <v>1571</v>
      </c>
      <c r="M57" s="3" t="s">
        <v>167</v>
      </c>
      <c r="N57" s="3" t="s">
        <v>156</v>
      </c>
      <c r="O57" s="182" t="s">
        <v>1572</v>
      </c>
      <c r="P57" s="3" t="s">
        <v>179</v>
      </c>
      <c r="Q57" s="3" t="s">
        <v>169</v>
      </c>
      <c r="R57" s="3" t="s">
        <v>159</v>
      </c>
      <c r="S57" s="3" t="s">
        <v>34</v>
      </c>
      <c r="T57" s="155">
        <v>2.9</v>
      </c>
      <c r="U57" s="3" t="s">
        <v>634</v>
      </c>
      <c r="V57" s="166">
        <v>3.4799999999999998E-2</v>
      </c>
      <c r="W57" s="166">
        <v>3.8399999999999997E-2</v>
      </c>
      <c r="X57" s="5" t="s">
        <v>161</v>
      </c>
      <c r="Y57" s="5" t="s">
        <v>156</v>
      </c>
      <c r="Z57" s="3" t="s">
        <v>1563</v>
      </c>
      <c r="AA57" s="3" t="s">
        <v>1564</v>
      </c>
      <c r="AB57" s="182" t="s">
        <v>1566</v>
      </c>
      <c r="AC57" s="182" t="s">
        <v>1566</v>
      </c>
      <c r="AD57" s="155">
        <v>298117</v>
      </c>
      <c r="AE57" s="164">
        <v>1</v>
      </c>
      <c r="AF57" s="174">
        <v>106.65</v>
      </c>
      <c r="AG57" s="155">
        <v>317.94200000000001</v>
      </c>
      <c r="AJ57" s="3" t="s">
        <v>36</v>
      </c>
      <c r="AK57" s="166">
        <v>2.2311333500685801E-2</v>
      </c>
      <c r="AL57" s="166">
        <v>1.63434385998504E-4</v>
      </c>
    </row>
    <row r="58" spans="1:38">
      <c r="A58" s="3">
        <v>161</v>
      </c>
      <c r="B58" s="3">
        <v>9943</v>
      </c>
      <c r="C58" s="3" t="s">
        <v>1624</v>
      </c>
      <c r="D58" s="3" t="s">
        <v>1625</v>
      </c>
      <c r="E58" s="5" t="s">
        <v>935</v>
      </c>
      <c r="F58" s="3" t="s">
        <v>1626</v>
      </c>
      <c r="G58" s="3" t="s">
        <v>1627</v>
      </c>
      <c r="H58" s="3" t="s">
        <v>152</v>
      </c>
      <c r="I58" s="3" t="s">
        <v>486</v>
      </c>
      <c r="J58" s="3" t="s">
        <v>30</v>
      </c>
      <c r="K58" s="3" t="s">
        <v>30</v>
      </c>
      <c r="L58" s="5" t="s">
        <v>1571</v>
      </c>
      <c r="M58" s="3" t="s">
        <v>487</v>
      </c>
      <c r="N58" s="3" t="s">
        <v>156</v>
      </c>
      <c r="O58" s="182" t="s">
        <v>1628</v>
      </c>
      <c r="P58" s="3" t="s">
        <v>1629</v>
      </c>
      <c r="Q58" s="3" t="s">
        <v>493</v>
      </c>
      <c r="R58" s="3" t="s">
        <v>159</v>
      </c>
      <c r="S58" s="3" t="s">
        <v>86</v>
      </c>
      <c r="T58" s="155">
        <v>2.37</v>
      </c>
      <c r="U58" s="3" t="s">
        <v>1630</v>
      </c>
      <c r="V58" s="166">
        <v>6.6799999999999998E-2</v>
      </c>
      <c r="W58" s="166">
        <v>5.3749999999999999E-2</v>
      </c>
      <c r="X58" s="5" t="s">
        <v>161</v>
      </c>
      <c r="Y58" s="5" t="s">
        <v>156</v>
      </c>
      <c r="Z58" s="3" t="s">
        <v>131</v>
      </c>
      <c r="AA58" s="3" t="s">
        <v>1564</v>
      </c>
      <c r="AB58" s="182" t="s">
        <v>1566</v>
      </c>
      <c r="AC58" s="182" t="s">
        <v>1566</v>
      </c>
      <c r="AD58" s="155">
        <v>148900</v>
      </c>
      <c r="AE58" s="164">
        <v>3.306</v>
      </c>
      <c r="AF58" s="174">
        <v>97.3</v>
      </c>
      <c r="AG58" s="155">
        <v>492.202</v>
      </c>
      <c r="AJ58" s="3" t="s">
        <v>36</v>
      </c>
      <c r="AK58" s="166">
        <v>3.4539909077390699E-2</v>
      </c>
      <c r="AL58" s="166">
        <v>2.5301082216058502E-4</v>
      </c>
    </row>
    <row r="59" spans="1:38">
      <c r="A59" s="3">
        <v>161</v>
      </c>
      <c r="B59" s="3">
        <v>9943</v>
      </c>
      <c r="C59" s="3" t="s">
        <v>1616</v>
      </c>
      <c r="D59" s="3" t="s">
        <v>1617</v>
      </c>
      <c r="E59" s="5" t="s">
        <v>149</v>
      </c>
      <c r="F59" s="3" t="s">
        <v>1618</v>
      </c>
      <c r="G59" s="3" t="s">
        <v>1619</v>
      </c>
      <c r="H59" s="3" t="s">
        <v>152</v>
      </c>
      <c r="I59" s="3" t="s">
        <v>486</v>
      </c>
      <c r="J59" s="3" t="s">
        <v>81</v>
      </c>
      <c r="K59" s="3" t="s">
        <v>82</v>
      </c>
      <c r="L59" s="5" t="s">
        <v>1571</v>
      </c>
      <c r="M59" s="3" t="s">
        <v>1620</v>
      </c>
      <c r="N59" s="3" t="s">
        <v>156</v>
      </c>
      <c r="O59" s="182" t="s">
        <v>1621</v>
      </c>
      <c r="P59" s="3" t="s">
        <v>1622</v>
      </c>
      <c r="Q59" s="3" t="s">
        <v>85</v>
      </c>
      <c r="R59" s="3" t="s">
        <v>159</v>
      </c>
      <c r="S59" s="3" t="s">
        <v>86</v>
      </c>
      <c r="T59" s="155">
        <v>1.66</v>
      </c>
      <c r="U59" s="3" t="s">
        <v>567</v>
      </c>
      <c r="V59" s="166">
        <v>6.6100000000000006E-2</v>
      </c>
      <c r="W59" s="166">
        <v>6.5000000000000002E-2</v>
      </c>
      <c r="X59" s="5" t="s">
        <v>161</v>
      </c>
      <c r="Y59" s="5" t="s">
        <v>156</v>
      </c>
      <c r="Z59" s="3" t="s">
        <v>1563</v>
      </c>
      <c r="AA59" s="3" t="s">
        <v>1564</v>
      </c>
      <c r="AB59" s="182" t="s">
        <v>1566</v>
      </c>
      <c r="AC59" s="182" t="s">
        <v>1566</v>
      </c>
      <c r="AD59" s="155">
        <v>57000</v>
      </c>
      <c r="AE59" s="164">
        <v>3.306</v>
      </c>
      <c r="AF59" s="174">
        <v>101.61</v>
      </c>
      <c r="AG59" s="155">
        <v>191.476</v>
      </c>
      <c r="AJ59" s="3" t="s">
        <v>36</v>
      </c>
      <c r="AK59" s="166">
        <v>1.3436683335449701E-2</v>
      </c>
      <c r="AL59" s="166">
        <v>9.8426034943992099E-5</v>
      </c>
    </row>
    <row r="60" spans="1:38">
      <c r="A60" s="3">
        <v>161</v>
      </c>
      <c r="B60" s="3">
        <v>12468</v>
      </c>
      <c r="C60" s="3" t="s">
        <v>1573</v>
      </c>
      <c r="D60" s="3" t="s">
        <v>1574</v>
      </c>
      <c r="E60" s="5" t="s">
        <v>817</v>
      </c>
      <c r="F60" s="3" t="s">
        <v>1575</v>
      </c>
      <c r="G60" s="3" t="s">
        <v>1576</v>
      </c>
      <c r="H60" s="3" t="s">
        <v>152</v>
      </c>
      <c r="I60" s="3" t="s">
        <v>153</v>
      </c>
      <c r="J60" s="3" t="s">
        <v>30</v>
      </c>
      <c r="K60" s="3" t="s">
        <v>30</v>
      </c>
      <c r="L60" s="5" t="s">
        <v>1571</v>
      </c>
      <c r="M60" s="3" t="s">
        <v>194</v>
      </c>
      <c r="N60" s="3" t="s">
        <v>156</v>
      </c>
      <c r="O60" s="182" t="s">
        <v>1577</v>
      </c>
      <c r="P60" s="3" t="s">
        <v>179</v>
      </c>
      <c r="Q60" s="3" t="s">
        <v>169</v>
      </c>
      <c r="R60" s="3" t="s">
        <v>159</v>
      </c>
      <c r="S60" s="3" t="s">
        <v>34</v>
      </c>
      <c r="T60" s="155">
        <v>1.66</v>
      </c>
      <c r="U60" s="3" t="s">
        <v>634</v>
      </c>
      <c r="V60" s="166">
        <v>5.1299999999999998E-2</v>
      </c>
      <c r="W60" s="166">
        <v>2.86E-2</v>
      </c>
      <c r="X60" s="5" t="s">
        <v>161</v>
      </c>
      <c r="Y60" s="5" t="s">
        <v>156</v>
      </c>
      <c r="Z60" s="3" t="s">
        <v>1563</v>
      </c>
      <c r="AA60" s="3" t="s">
        <v>1564</v>
      </c>
      <c r="AB60" s="182" t="s">
        <v>1566</v>
      </c>
      <c r="AC60" s="182" t="s">
        <v>1566</v>
      </c>
      <c r="AD60" s="155">
        <v>4571.42</v>
      </c>
      <c r="AE60" s="164">
        <v>1</v>
      </c>
      <c r="AF60" s="174">
        <v>98.48</v>
      </c>
      <c r="AG60" s="155">
        <v>4.5019999999999998</v>
      </c>
      <c r="AJ60" s="3" t="s">
        <v>36</v>
      </c>
      <c r="AK60" s="166">
        <v>0.29656769582512399</v>
      </c>
      <c r="AL60" s="166">
        <v>1.89296711642807E-4</v>
      </c>
    </row>
    <row r="61" spans="1:38">
      <c r="A61" s="3">
        <v>161</v>
      </c>
      <c r="B61" s="3">
        <v>12468</v>
      </c>
      <c r="C61" s="3" t="s">
        <v>1605</v>
      </c>
      <c r="D61" s="3" t="s">
        <v>1606</v>
      </c>
      <c r="E61" s="5" t="s">
        <v>149</v>
      </c>
      <c r="F61" s="3" t="s">
        <v>1611</v>
      </c>
      <c r="G61" s="3" t="s">
        <v>1612</v>
      </c>
      <c r="H61" s="3" t="s">
        <v>152</v>
      </c>
      <c r="I61" s="3" t="s">
        <v>153</v>
      </c>
      <c r="J61" s="3" t="s">
        <v>30</v>
      </c>
      <c r="K61" s="3" t="s">
        <v>30</v>
      </c>
      <c r="L61" s="5" t="s">
        <v>1571</v>
      </c>
      <c r="M61" s="3" t="s">
        <v>946</v>
      </c>
      <c r="N61" s="3" t="s">
        <v>156</v>
      </c>
      <c r="O61" s="182" t="s">
        <v>1613</v>
      </c>
      <c r="P61" s="3" t="s">
        <v>246</v>
      </c>
      <c r="Q61" s="3" t="s">
        <v>169</v>
      </c>
      <c r="R61" s="3" t="s">
        <v>159</v>
      </c>
      <c r="S61" s="3" t="s">
        <v>34</v>
      </c>
      <c r="T61" s="155">
        <v>0.45</v>
      </c>
      <c r="U61" s="3" t="s">
        <v>1604</v>
      </c>
      <c r="V61" s="166">
        <v>4.6899999999999997E-2</v>
      </c>
      <c r="W61" s="166">
        <v>2.5000000000000001E-2</v>
      </c>
      <c r="X61" s="5" t="s">
        <v>161</v>
      </c>
      <c r="Y61" s="5" t="s">
        <v>156</v>
      </c>
      <c r="Z61" s="3" t="s">
        <v>1563</v>
      </c>
      <c r="AA61" s="3" t="s">
        <v>1564</v>
      </c>
      <c r="AB61" s="182" t="s">
        <v>1566</v>
      </c>
      <c r="AC61" s="182" t="s">
        <v>1566</v>
      </c>
      <c r="AD61" s="155">
        <v>3993.28</v>
      </c>
      <c r="AE61" s="164">
        <v>1</v>
      </c>
      <c r="AF61" s="174">
        <v>99.16</v>
      </c>
      <c r="AG61" s="155">
        <v>3.96</v>
      </c>
      <c r="AJ61" s="3" t="s">
        <v>36</v>
      </c>
      <c r="AK61" s="166">
        <v>0.26085007153469902</v>
      </c>
      <c r="AL61" s="166">
        <v>1.6649844695973301E-4</v>
      </c>
    </row>
    <row r="62" spans="1:38">
      <c r="A62" s="3">
        <v>161</v>
      </c>
      <c r="B62" s="3">
        <v>12468</v>
      </c>
      <c r="C62" s="3" t="s">
        <v>1616</v>
      </c>
      <c r="D62" s="3" t="s">
        <v>1617</v>
      </c>
      <c r="E62" s="5" t="s">
        <v>149</v>
      </c>
      <c r="F62" s="3" t="s">
        <v>1618</v>
      </c>
      <c r="G62" s="3" t="s">
        <v>1619</v>
      </c>
      <c r="H62" s="3" t="s">
        <v>152</v>
      </c>
      <c r="I62" s="3" t="s">
        <v>486</v>
      </c>
      <c r="J62" s="3" t="s">
        <v>81</v>
      </c>
      <c r="K62" s="3" t="s">
        <v>82</v>
      </c>
      <c r="L62" s="5" t="s">
        <v>1571</v>
      </c>
      <c r="M62" s="3" t="s">
        <v>1620</v>
      </c>
      <c r="N62" s="3" t="s">
        <v>156</v>
      </c>
      <c r="O62" s="182" t="s">
        <v>1621</v>
      </c>
      <c r="P62" s="3" t="s">
        <v>1622</v>
      </c>
      <c r="Q62" s="3" t="s">
        <v>85</v>
      </c>
      <c r="R62" s="3" t="s">
        <v>159</v>
      </c>
      <c r="S62" s="3" t="s">
        <v>86</v>
      </c>
      <c r="T62" s="155">
        <v>1.66</v>
      </c>
      <c r="U62" s="3" t="s">
        <v>567</v>
      </c>
      <c r="V62" s="166">
        <v>6.6100000000000006E-2</v>
      </c>
      <c r="W62" s="166">
        <v>6.5000000000000002E-2</v>
      </c>
      <c r="X62" s="5" t="s">
        <v>161</v>
      </c>
      <c r="Y62" s="5" t="s">
        <v>156</v>
      </c>
      <c r="Z62" s="3" t="s">
        <v>1563</v>
      </c>
      <c r="AA62" s="3" t="s">
        <v>1564</v>
      </c>
      <c r="AB62" s="182" t="s">
        <v>1566</v>
      </c>
      <c r="AC62" s="182" t="s">
        <v>1566</v>
      </c>
      <c r="AD62" s="155">
        <v>2000</v>
      </c>
      <c r="AE62" s="164">
        <v>3.306</v>
      </c>
      <c r="AF62" s="174">
        <v>101.61</v>
      </c>
      <c r="AG62" s="155">
        <v>6.718</v>
      </c>
      <c r="AJ62" s="3" t="s">
        <v>36</v>
      </c>
      <c r="AK62" s="166">
        <v>0.44258223264017699</v>
      </c>
      <c r="AL62" s="166">
        <v>2.8249658492717102E-4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136</v>
      </c>
      <c r="E1" s="22" t="s">
        <v>137</v>
      </c>
      <c r="F1" s="22" t="s">
        <v>3</v>
      </c>
      <c r="G1" s="22" t="s">
        <v>4</v>
      </c>
      <c r="H1" s="22" t="s">
        <v>138</v>
      </c>
      <c r="I1" s="22" t="s">
        <v>5</v>
      </c>
      <c r="J1" s="22" t="s">
        <v>6</v>
      </c>
      <c r="K1" s="22" t="s">
        <v>7</v>
      </c>
      <c r="L1" s="22" t="s">
        <v>146</v>
      </c>
      <c r="M1" s="22" t="s">
        <v>139</v>
      </c>
      <c r="N1" s="22" t="s">
        <v>140</v>
      </c>
      <c r="O1" s="178" t="s">
        <v>1546</v>
      </c>
      <c r="P1" s="22" t="s">
        <v>11</v>
      </c>
      <c r="Q1" s="22" t="s">
        <v>1552</v>
      </c>
      <c r="R1" s="22" t="s">
        <v>1553</v>
      </c>
      <c r="S1" s="178" t="s">
        <v>1555</v>
      </c>
      <c r="T1" s="178" t="s">
        <v>1556</v>
      </c>
      <c r="U1" s="22" t="s">
        <v>17</v>
      </c>
      <c r="V1" s="163" t="s">
        <v>18</v>
      </c>
      <c r="W1" s="169" t="s">
        <v>19</v>
      </c>
      <c r="X1" s="22" t="s">
        <v>20</v>
      </c>
      <c r="Y1" s="165" t="s">
        <v>24</v>
      </c>
      <c r="Z1" s="165" t="s">
        <v>25</v>
      </c>
    </row>
    <row r="2" spans="1:26">
      <c r="A2" s="23">
        <v>161</v>
      </c>
      <c r="B2" s="23">
        <v>9938</v>
      </c>
      <c r="C2" s="23" t="s">
        <v>1682</v>
      </c>
      <c r="D2" s="23" t="s">
        <v>1683</v>
      </c>
      <c r="E2" s="21" t="s">
        <v>33</v>
      </c>
      <c r="F2" s="23" t="s">
        <v>1684</v>
      </c>
      <c r="G2" s="23" t="s">
        <v>1685</v>
      </c>
      <c r="H2" s="21" t="s">
        <v>152</v>
      </c>
      <c r="I2" s="23" t="s">
        <v>1686</v>
      </c>
      <c r="J2" s="21" t="s">
        <v>30</v>
      </c>
      <c r="K2" s="21" t="s">
        <v>30</v>
      </c>
      <c r="L2" s="23" t="s">
        <v>1571</v>
      </c>
      <c r="M2" s="23" t="s">
        <v>1687</v>
      </c>
      <c r="N2" s="23" t="s">
        <v>156</v>
      </c>
      <c r="O2" s="179" t="s">
        <v>1688</v>
      </c>
      <c r="P2" s="21" t="s">
        <v>34</v>
      </c>
      <c r="Q2" s="23" t="s">
        <v>131</v>
      </c>
      <c r="R2" s="23" t="s">
        <v>1564</v>
      </c>
      <c r="S2" s="179" t="s">
        <v>1566</v>
      </c>
      <c r="T2" s="179" t="s">
        <v>1566</v>
      </c>
      <c r="U2" s="157">
        <v>72698</v>
      </c>
      <c r="V2" s="172">
        <v>1</v>
      </c>
      <c r="W2" s="173">
        <v>0</v>
      </c>
      <c r="X2" s="157">
        <v>0</v>
      </c>
      <c r="Y2" s="171">
        <v>4.0173311955779001E-9</v>
      </c>
      <c r="Z2" s="171">
        <v>8.6853965931905698E-12</v>
      </c>
    </row>
    <row r="3" spans="1:26">
      <c r="A3" s="23">
        <v>161</v>
      </c>
      <c r="B3" s="23">
        <v>9938</v>
      </c>
      <c r="C3" s="23" t="s">
        <v>1689</v>
      </c>
      <c r="D3" s="23" t="s">
        <v>1690</v>
      </c>
      <c r="E3" s="21" t="s">
        <v>935</v>
      </c>
      <c r="F3" s="23" t="s">
        <v>1691</v>
      </c>
      <c r="G3" s="23" t="s">
        <v>1692</v>
      </c>
      <c r="H3" s="21" t="s">
        <v>152</v>
      </c>
      <c r="I3" s="23" t="s">
        <v>1686</v>
      </c>
      <c r="J3" s="21" t="s">
        <v>81</v>
      </c>
      <c r="K3" s="21" t="s">
        <v>82</v>
      </c>
      <c r="L3" s="23" t="s">
        <v>1571</v>
      </c>
      <c r="M3" s="23" t="s">
        <v>599</v>
      </c>
      <c r="N3" s="23" t="s">
        <v>156</v>
      </c>
      <c r="O3" s="179" t="s">
        <v>1693</v>
      </c>
      <c r="P3" s="21" t="s">
        <v>86</v>
      </c>
      <c r="Q3" s="23" t="s">
        <v>131</v>
      </c>
      <c r="R3" s="23" t="s">
        <v>1647</v>
      </c>
      <c r="S3" s="179" t="s">
        <v>1693</v>
      </c>
      <c r="T3" s="179" t="s">
        <v>1640</v>
      </c>
      <c r="U3" s="157">
        <v>1560</v>
      </c>
      <c r="V3" s="172">
        <v>3.306</v>
      </c>
      <c r="W3" s="173">
        <v>2500</v>
      </c>
      <c r="X3" s="157">
        <v>129.52500000000001</v>
      </c>
      <c r="Y3" s="171">
        <v>0.715761753259196</v>
      </c>
      <c r="Z3" s="171">
        <v>1.5474638237784799E-3</v>
      </c>
    </row>
    <row r="4" spans="1:26">
      <c r="A4" s="23">
        <v>161</v>
      </c>
      <c r="B4" s="23">
        <v>9938</v>
      </c>
      <c r="C4" s="23" t="s">
        <v>1694</v>
      </c>
      <c r="D4" s="23" t="s">
        <v>1695</v>
      </c>
      <c r="E4" s="21" t="s">
        <v>149</v>
      </c>
      <c r="F4" s="23" t="s">
        <v>1696</v>
      </c>
      <c r="G4" s="23" t="s">
        <v>1697</v>
      </c>
      <c r="H4" s="21" t="s">
        <v>33</v>
      </c>
      <c r="I4" s="23" t="s">
        <v>1686</v>
      </c>
      <c r="J4" s="21" t="s">
        <v>81</v>
      </c>
      <c r="K4" s="21" t="s">
        <v>237</v>
      </c>
      <c r="L4" s="23" t="s">
        <v>1571</v>
      </c>
      <c r="M4" s="23" t="s">
        <v>1196</v>
      </c>
      <c r="N4" s="23" t="s">
        <v>156</v>
      </c>
      <c r="O4" s="182" t="s">
        <v>1698</v>
      </c>
      <c r="P4" s="21" t="s">
        <v>86</v>
      </c>
      <c r="Q4" s="23" t="s">
        <v>131</v>
      </c>
      <c r="R4" s="23" t="s">
        <v>1647</v>
      </c>
      <c r="S4" s="179" t="s">
        <v>1699</v>
      </c>
      <c r="T4" s="179" t="s">
        <v>1700</v>
      </c>
      <c r="U4" s="157">
        <v>2235.4</v>
      </c>
      <c r="V4" s="172">
        <v>3.306</v>
      </c>
      <c r="W4" s="173">
        <v>696</v>
      </c>
      <c r="X4" s="157">
        <v>51.436</v>
      </c>
      <c r="Y4" s="171">
        <v>0.28423824272347298</v>
      </c>
      <c r="Z4" s="171">
        <v>6.1451788384347798E-4</v>
      </c>
    </row>
    <row r="5" spans="1:26">
      <c r="A5" s="23">
        <v>161</v>
      </c>
      <c r="B5" s="23">
        <v>9942</v>
      </c>
      <c r="C5" s="23" t="s">
        <v>1682</v>
      </c>
      <c r="D5" s="23" t="s">
        <v>1683</v>
      </c>
      <c r="E5" s="21" t="s">
        <v>33</v>
      </c>
      <c r="F5" s="23" t="s">
        <v>1684</v>
      </c>
      <c r="G5" s="23" t="s">
        <v>1685</v>
      </c>
      <c r="H5" s="21" t="s">
        <v>152</v>
      </c>
      <c r="I5" s="23" t="s">
        <v>1686</v>
      </c>
      <c r="J5" s="21" t="s">
        <v>30</v>
      </c>
      <c r="K5" s="21" t="s">
        <v>30</v>
      </c>
      <c r="L5" s="23" t="s">
        <v>1571</v>
      </c>
      <c r="M5" s="23" t="s">
        <v>1687</v>
      </c>
      <c r="N5" s="23" t="s">
        <v>156</v>
      </c>
      <c r="O5" s="179" t="s">
        <v>1688</v>
      </c>
      <c r="P5" s="21" t="s">
        <v>34</v>
      </c>
      <c r="Q5" s="23" t="s">
        <v>131</v>
      </c>
      <c r="R5" s="23" t="s">
        <v>1564</v>
      </c>
      <c r="S5" s="179" t="s">
        <v>1566</v>
      </c>
      <c r="T5" s="179" t="s">
        <v>1566</v>
      </c>
      <c r="U5" s="157">
        <v>53312</v>
      </c>
      <c r="V5" s="172">
        <v>1</v>
      </c>
      <c r="W5" s="173">
        <v>0</v>
      </c>
      <c r="X5" s="157">
        <v>0</v>
      </c>
      <c r="Y5" s="171">
        <v>2.7322998927589103E-9</v>
      </c>
      <c r="Z5" s="171">
        <v>5.3955612428068992E-12</v>
      </c>
    </row>
    <row r="6" spans="1:26">
      <c r="A6" s="23">
        <v>161</v>
      </c>
      <c r="B6" s="23">
        <v>9942</v>
      </c>
      <c r="C6" s="23" t="s">
        <v>1689</v>
      </c>
      <c r="D6" s="23" t="s">
        <v>1690</v>
      </c>
      <c r="E6" s="21" t="s">
        <v>935</v>
      </c>
      <c r="F6" s="23" t="s">
        <v>1691</v>
      </c>
      <c r="G6" s="23" t="s">
        <v>1692</v>
      </c>
      <c r="H6" s="21" t="s">
        <v>152</v>
      </c>
      <c r="I6" s="23" t="s">
        <v>1686</v>
      </c>
      <c r="J6" s="21" t="s">
        <v>81</v>
      </c>
      <c r="K6" s="21" t="s">
        <v>82</v>
      </c>
      <c r="L6" s="23" t="s">
        <v>1571</v>
      </c>
      <c r="M6" s="23" t="s">
        <v>599</v>
      </c>
      <c r="N6" s="23" t="s">
        <v>156</v>
      </c>
      <c r="O6" s="23"/>
      <c r="P6" s="21" t="s">
        <v>86</v>
      </c>
      <c r="Q6" s="23" t="s">
        <v>131</v>
      </c>
      <c r="R6" s="23" t="s">
        <v>1647</v>
      </c>
      <c r="S6" s="179" t="s">
        <v>1693</v>
      </c>
      <c r="T6" s="179" t="s">
        <v>1640</v>
      </c>
      <c r="U6" s="157">
        <v>2350</v>
      </c>
      <c r="V6" s="172">
        <v>3.306</v>
      </c>
      <c r="W6" s="173">
        <v>2500</v>
      </c>
      <c r="X6" s="157">
        <v>195.11799999999999</v>
      </c>
      <c r="Y6" s="171">
        <v>0.99999999726769995</v>
      </c>
      <c r="Z6" s="171">
        <v>1.97473243781322E-3</v>
      </c>
    </row>
    <row r="7" spans="1:26">
      <c r="A7" s="23">
        <v>161</v>
      </c>
      <c r="B7" s="23">
        <v>9943</v>
      </c>
      <c r="C7" s="23" t="s">
        <v>1641</v>
      </c>
      <c r="D7" s="23" t="s">
        <v>1642</v>
      </c>
      <c r="E7" s="21" t="s">
        <v>149</v>
      </c>
      <c r="F7" s="23" t="s">
        <v>1701</v>
      </c>
      <c r="G7" s="23" t="s">
        <v>1702</v>
      </c>
      <c r="H7" s="21" t="s">
        <v>33</v>
      </c>
      <c r="I7" s="23" t="s">
        <v>1686</v>
      </c>
      <c r="J7" s="21" t="s">
        <v>30</v>
      </c>
      <c r="K7" s="21" t="s">
        <v>30</v>
      </c>
      <c r="L7" s="23" t="s">
        <v>1571</v>
      </c>
      <c r="M7" s="23" t="s">
        <v>303</v>
      </c>
      <c r="N7" s="23" t="s">
        <v>156</v>
      </c>
      <c r="O7" s="23" t="s">
        <v>1703</v>
      </c>
      <c r="P7" s="21" t="s">
        <v>34</v>
      </c>
      <c r="Q7" s="23" t="s">
        <v>131</v>
      </c>
      <c r="R7" s="23" t="s">
        <v>1564</v>
      </c>
      <c r="S7" s="179" t="s">
        <v>1704</v>
      </c>
      <c r="T7" s="179" t="s">
        <v>1640</v>
      </c>
      <c r="U7" s="157">
        <v>141213.79</v>
      </c>
      <c r="V7" s="172">
        <v>1</v>
      </c>
      <c r="W7" s="173">
        <v>1E-3</v>
      </c>
      <c r="X7" s="157">
        <v>1E-3</v>
      </c>
      <c r="Y7" s="171">
        <v>1.05310552854749E-6</v>
      </c>
      <c r="Z7" s="171">
        <v>7.2589355909365097E-10</v>
      </c>
    </row>
    <row r="8" spans="1:26">
      <c r="A8" s="23">
        <v>161</v>
      </c>
      <c r="B8" s="23">
        <v>9943</v>
      </c>
      <c r="C8" s="23" t="s">
        <v>1705</v>
      </c>
      <c r="D8" s="23" t="s">
        <v>1706</v>
      </c>
      <c r="E8" s="21" t="s">
        <v>935</v>
      </c>
      <c r="F8" s="23" t="s">
        <v>1707</v>
      </c>
      <c r="G8" s="23" t="s">
        <v>1708</v>
      </c>
      <c r="H8" s="21" t="s">
        <v>152</v>
      </c>
      <c r="I8" s="23" t="s">
        <v>1686</v>
      </c>
      <c r="J8" s="21" t="s">
        <v>81</v>
      </c>
      <c r="K8" s="21" t="s">
        <v>82</v>
      </c>
      <c r="L8" s="23" t="s">
        <v>1571</v>
      </c>
      <c r="M8" s="23" t="s">
        <v>1205</v>
      </c>
      <c r="N8" s="23" t="s">
        <v>156</v>
      </c>
      <c r="O8" s="23" t="s">
        <v>1637</v>
      </c>
      <c r="P8" s="21" t="s">
        <v>86</v>
      </c>
      <c r="Q8" s="23" t="s">
        <v>131</v>
      </c>
      <c r="R8" s="23" t="s">
        <v>1564</v>
      </c>
      <c r="S8" s="179" t="s">
        <v>1709</v>
      </c>
      <c r="T8" s="179" t="s">
        <v>1640</v>
      </c>
      <c r="U8" s="157">
        <v>49</v>
      </c>
      <c r="V8" s="172">
        <v>3.306</v>
      </c>
      <c r="W8" s="173">
        <v>0</v>
      </c>
      <c r="X8" s="157">
        <v>0</v>
      </c>
      <c r="Y8" s="171">
        <v>1.20807448756614E-12</v>
      </c>
      <c r="Z8" s="171">
        <v>8.327118846666E-16</v>
      </c>
    </row>
    <row r="9" spans="1:26">
      <c r="A9" s="23">
        <v>161</v>
      </c>
      <c r="B9" s="23">
        <v>9943</v>
      </c>
      <c r="C9" s="23" t="s">
        <v>1705</v>
      </c>
      <c r="D9" s="23" t="s">
        <v>1706</v>
      </c>
      <c r="E9" s="21" t="s">
        <v>935</v>
      </c>
      <c r="F9" s="23" t="s">
        <v>1710</v>
      </c>
      <c r="G9" s="23" t="s">
        <v>1711</v>
      </c>
      <c r="H9" s="21" t="s">
        <v>152</v>
      </c>
      <c r="I9" s="23" t="s">
        <v>1686</v>
      </c>
      <c r="J9" s="21" t="s">
        <v>81</v>
      </c>
      <c r="K9" s="21" t="s">
        <v>82</v>
      </c>
      <c r="L9" s="23" t="s">
        <v>1571</v>
      </c>
      <c r="M9" s="23" t="s">
        <v>1205</v>
      </c>
      <c r="N9" s="23" t="s">
        <v>156</v>
      </c>
      <c r="O9" s="23" t="s">
        <v>1637</v>
      </c>
      <c r="P9" s="21" t="s">
        <v>86</v>
      </c>
      <c r="Q9" s="23" t="s">
        <v>131</v>
      </c>
      <c r="R9" s="23" t="s">
        <v>1564</v>
      </c>
      <c r="S9" s="179" t="s">
        <v>1712</v>
      </c>
      <c r="T9" s="179" t="s">
        <v>1640</v>
      </c>
      <c r="U9" s="157">
        <v>0</v>
      </c>
      <c r="V9" s="172">
        <v>3.306</v>
      </c>
      <c r="W9" s="173">
        <v>0</v>
      </c>
      <c r="X9" s="157">
        <v>168.303</v>
      </c>
      <c r="Y9" s="171">
        <v>0.125512035975335</v>
      </c>
      <c r="Z9" s="171">
        <v>8.6514006463235605E-5</v>
      </c>
    </row>
    <row r="10" spans="1:26">
      <c r="A10" s="23">
        <v>161</v>
      </c>
      <c r="B10" s="23">
        <v>9943</v>
      </c>
      <c r="C10" s="23" t="s">
        <v>1705</v>
      </c>
      <c r="D10" s="23" t="s">
        <v>1706</v>
      </c>
      <c r="E10" s="21" t="s">
        <v>935</v>
      </c>
      <c r="F10" s="23" t="s">
        <v>1713</v>
      </c>
      <c r="G10" s="23" t="s">
        <v>1714</v>
      </c>
      <c r="H10" s="21" t="s">
        <v>152</v>
      </c>
      <c r="I10" s="23" t="s">
        <v>1686</v>
      </c>
      <c r="J10" s="21" t="s">
        <v>81</v>
      </c>
      <c r="K10" s="21" t="s">
        <v>82</v>
      </c>
      <c r="L10" s="23" t="s">
        <v>1571</v>
      </c>
      <c r="M10" s="23" t="s">
        <v>1715</v>
      </c>
      <c r="N10" s="23" t="s">
        <v>156</v>
      </c>
      <c r="O10" s="23" t="s">
        <v>1716</v>
      </c>
      <c r="P10" s="21" t="s">
        <v>86</v>
      </c>
      <c r="Q10" s="23" t="s">
        <v>131</v>
      </c>
      <c r="R10" s="23" t="s">
        <v>1564</v>
      </c>
      <c r="S10" s="179" t="s">
        <v>1566</v>
      </c>
      <c r="T10" s="179" t="s">
        <v>1566</v>
      </c>
      <c r="U10" s="157">
        <v>73</v>
      </c>
      <c r="V10" s="172">
        <v>3.306</v>
      </c>
      <c r="W10" s="173">
        <v>0</v>
      </c>
      <c r="X10" s="157">
        <v>1.0999999999999999E-2</v>
      </c>
      <c r="Y10" s="171">
        <v>8.1853754577357792E-6</v>
      </c>
      <c r="Z10" s="171">
        <v>5.6420853964453502E-9</v>
      </c>
    </row>
    <row r="11" spans="1:26">
      <c r="A11" s="23">
        <v>161</v>
      </c>
      <c r="B11" s="23">
        <v>9943</v>
      </c>
      <c r="C11" s="23" t="s">
        <v>1682</v>
      </c>
      <c r="D11" s="23" t="s">
        <v>1683</v>
      </c>
      <c r="E11" s="21" t="s">
        <v>33</v>
      </c>
      <c r="F11" s="23" t="s">
        <v>1684</v>
      </c>
      <c r="G11" s="23" t="s">
        <v>1685</v>
      </c>
      <c r="H11" s="21" t="s">
        <v>152</v>
      </c>
      <c r="I11" s="23" t="s">
        <v>1686</v>
      </c>
      <c r="J11" s="21" t="s">
        <v>30</v>
      </c>
      <c r="K11" s="21" t="s">
        <v>30</v>
      </c>
      <c r="L11" s="23" t="s">
        <v>1571</v>
      </c>
      <c r="M11" s="23" t="s">
        <v>1687</v>
      </c>
      <c r="N11" s="23" t="s">
        <v>156</v>
      </c>
      <c r="O11" s="23" t="s">
        <v>1688</v>
      </c>
      <c r="P11" s="21" t="s">
        <v>34</v>
      </c>
      <c r="Q11" s="23" t="s">
        <v>131</v>
      </c>
      <c r="R11" s="23" t="s">
        <v>1564</v>
      </c>
      <c r="S11" s="179" t="s">
        <v>1566</v>
      </c>
      <c r="T11" s="179" t="s">
        <v>1566</v>
      </c>
      <c r="U11" s="157">
        <v>525040</v>
      </c>
      <c r="V11" s="172">
        <v>1</v>
      </c>
      <c r="W11" s="173">
        <v>0</v>
      </c>
      <c r="X11" s="157">
        <v>0</v>
      </c>
      <c r="Y11" s="171">
        <v>3.9154995182026704E-9</v>
      </c>
      <c r="Z11" s="171">
        <v>2.6989088973996798E-12</v>
      </c>
    </row>
    <row r="12" spans="1:26">
      <c r="A12" s="23">
        <v>161</v>
      </c>
      <c r="B12" s="23">
        <v>9943</v>
      </c>
      <c r="C12" s="23" t="s">
        <v>1689</v>
      </c>
      <c r="D12" s="23" t="s">
        <v>1690</v>
      </c>
      <c r="E12" s="21" t="s">
        <v>935</v>
      </c>
      <c r="F12" s="23" t="s">
        <v>1691</v>
      </c>
      <c r="G12" s="23" t="s">
        <v>1692</v>
      </c>
      <c r="H12" s="21" t="s">
        <v>152</v>
      </c>
      <c r="I12" s="23" t="s">
        <v>1686</v>
      </c>
      <c r="J12" s="21" t="s">
        <v>81</v>
      </c>
      <c r="K12" s="21" t="s">
        <v>82</v>
      </c>
      <c r="L12" s="23" t="s">
        <v>1571</v>
      </c>
      <c r="M12" s="23" t="s">
        <v>599</v>
      </c>
      <c r="N12" s="23" t="s">
        <v>156</v>
      </c>
      <c r="O12" s="23" t="s">
        <v>1717</v>
      </c>
      <c r="P12" s="21" t="s">
        <v>86</v>
      </c>
      <c r="Q12" s="23" t="s">
        <v>131</v>
      </c>
      <c r="R12" s="23" t="s">
        <v>1647</v>
      </c>
      <c r="S12" s="179" t="s">
        <v>1693</v>
      </c>
      <c r="T12" s="179" t="s">
        <v>1640</v>
      </c>
      <c r="U12" s="157">
        <v>11450</v>
      </c>
      <c r="V12" s="172">
        <v>3.306</v>
      </c>
      <c r="W12" s="173">
        <v>2500</v>
      </c>
      <c r="X12" s="157">
        <v>950.68</v>
      </c>
      <c r="Y12" s="171">
        <v>0.70897192512045704</v>
      </c>
      <c r="Z12" s="171">
        <v>4.8868621431794003E-4</v>
      </c>
    </row>
    <row r="13" spans="1:26">
      <c r="A13" s="23">
        <v>161</v>
      </c>
      <c r="B13" s="23">
        <v>9943</v>
      </c>
      <c r="C13" s="23" t="s">
        <v>1718</v>
      </c>
      <c r="D13" s="23" t="s">
        <v>1719</v>
      </c>
      <c r="E13" s="21" t="s">
        <v>33</v>
      </c>
      <c r="F13" s="23" t="s">
        <v>1718</v>
      </c>
      <c r="G13" s="23" t="s">
        <v>1720</v>
      </c>
      <c r="H13" s="21" t="s">
        <v>33</v>
      </c>
      <c r="I13" s="23" t="s">
        <v>1686</v>
      </c>
      <c r="J13" s="21" t="s">
        <v>81</v>
      </c>
      <c r="K13" s="21" t="s">
        <v>82</v>
      </c>
      <c r="L13" s="23" t="s">
        <v>1571</v>
      </c>
      <c r="M13" s="23" t="s">
        <v>1196</v>
      </c>
      <c r="N13" s="23" t="s">
        <v>156</v>
      </c>
      <c r="O13" s="23" t="s">
        <v>1721</v>
      </c>
      <c r="P13" s="21" t="s">
        <v>86</v>
      </c>
      <c r="Q13" s="23" t="s">
        <v>131</v>
      </c>
      <c r="R13" s="23" t="s">
        <v>1647</v>
      </c>
      <c r="S13" s="179" t="s">
        <v>1722</v>
      </c>
      <c r="T13" s="179" t="s">
        <v>1722</v>
      </c>
      <c r="U13" s="157">
        <v>43720</v>
      </c>
      <c r="V13" s="172">
        <v>3.306</v>
      </c>
      <c r="W13" s="173">
        <v>146</v>
      </c>
      <c r="X13" s="157">
        <v>211.02600000000001</v>
      </c>
      <c r="Y13" s="171">
        <v>0.157373151491289</v>
      </c>
      <c r="Z13" s="171">
        <v>1.08475507862311E-4</v>
      </c>
    </row>
    <row r="14" spans="1:26">
      <c r="A14" s="23">
        <v>161</v>
      </c>
      <c r="B14" s="23">
        <v>9943</v>
      </c>
      <c r="C14" s="23" t="s">
        <v>1694</v>
      </c>
      <c r="D14" s="23" t="s">
        <v>1695</v>
      </c>
      <c r="E14" s="21" t="s">
        <v>149</v>
      </c>
      <c r="F14" s="23" t="s">
        <v>1696</v>
      </c>
      <c r="G14" s="23" t="s">
        <v>1697</v>
      </c>
      <c r="H14" s="21" t="s">
        <v>33</v>
      </c>
      <c r="I14" s="23" t="s">
        <v>1686</v>
      </c>
      <c r="J14" s="21" t="s">
        <v>81</v>
      </c>
      <c r="K14" s="21" t="s">
        <v>237</v>
      </c>
      <c r="L14" s="23" t="s">
        <v>1571</v>
      </c>
      <c r="M14" s="23" t="s">
        <v>1196</v>
      </c>
      <c r="N14" s="23" t="s">
        <v>156</v>
      </c>
      <c r="O14" s="23" t="s">
        <v>1698</v>
      </c>
      <c r="P14" s="21" t="s">
        <v>86</v>
      </c>
      <c r="Q14" s="23" t="s">
        <v>131</v>
      </c>
      <c r="R14" s="23" t="s">
        <v>1647</v>
      </c>
      <c r="S14" s="179" t="s">
        <v>1699</v>
      </c>
      <c r="T14" s="179" t="s">
        <v>1700</v>
      </c>
      <c r="U14" s="157">
        <v>474</v>
      </c>
      <c r="V14" s="172">
        <v>3.306</v>
      </c>
      <c r="W14" s="173">
        <v>696</v>
      </c>
      <c r="X14" s="157">
        <v>10.907</v>
      </c>
      <c r="Y14" s="171">
        <v>8.1336450152248701E-3</v>
      </c>
      <c r="Z14" s="171">
        <v>5.60642819589914E-6</v>
      </c>
    </row>
    <row r="15" spans="1:26">
      <c r="A15" s="23">
        <v>161</v>
      </c>
      <c r="B15" s="23">
        <v>12468</v>
      </c>
      <c r="C15" s="23" t="s">
        <v>1682</v>
      </c>
      <c r="D15" s="23" t="s">
        <v>1683</v>
      </c>
      <c r="E15" s="21" t="s">
        <v>33</v>
      </c>
      <c r="F15" s="23" t="s">
        <v>1684</v>
      </c>
      <c r="G15" s="23" t="s">
        <v>1685</v>
      </c>
      <c r="H15" s="21" t="s">
        <v>152</v>
      </c>
      <c r="I15" s="23" t="s">
        <v>1686</v>
      </c>
      <c r="J15" s="21" t="s">
        <v>30</v>
      </c>
      <c r="K15" s="21" t="s">
        <v>30</v>
      </c>
      <c r="L15" s="23" t="s">
        <v>1571</v>
      </c>
      <c r="M15" s="23" t="s">
        <v>1687</v>
      </c>
      <c r="N15" s="23" t="s">
        <v>156</v>
      </c>
      <c r="O15" s="23" t="s">
        <v>1688</v>
      </c>
      <c r="P15" s="21" t="s">
        <v>34</v>
      </c>
      <c r="Q15" s="23" t="s">
        <v>131</v>
      </c>
      <c r="R15" s="23" t="s">
        <v>1564</v>
      </c>
      <c r="S15" s="179" t="s">
        <v>1566</v>
      </c>
      <c r="T15" s="179" t="s">
        <v>1566</v>
      </c>
      <c r="U15" s="157">
        <v>7270</v>
      </c>
      <c r="V15" s="172">
        <v>1</v>
      </c>
      <c r="W15" s="173">
        <v>0</v>
      </c>
      <c r="X15" s="157">
        <v>0</v>
      </c>
      <c r="Y15" s="171">
        <v>1.03011703545317E-8</v>
      </c>
      <c r="Z15" s="171">
        <v>3.0568794799680002E-12</v>
      </c>
    </row>
    <row r="16" spans="1:26">
      <c r="A16" s="23">
        <v>161</v>
      </c>
      <c r="B16" s="23">
        <v>12468</v>
      </c>
      <c r="C16" s="23" t="s">
        <v>1689</v>
      </c>
      <c r="D16" s="23" t="s">
        <v>1690</v>
      </c>
      <c r="E16" s="21" t="s">
        <v>935</v>
      </c>
      <c r="F16" s="23" t="s">
        <v>1691</v>
      </c>
      <c r="G16" s="23" t="s">
        <v>1692</v>
      </c>
      <c r="H16" s="21" t="s">
        <v>152</v>
      </c>
      <c r="I16" s="23" t="s">
        <v>1686</v>
      </c>
      <c r="J16" s="21" t="s">
        <v>81</v>
      </c>
      <c r="K16" s="21" t="s">
        <v>82</v>
      </c>
      <c r="L16" s="23" t="s">
        <v>1571</v>
      </c>
      <c r="M16" s="23" t="s">
        <v>599</v>
      </c>
      <c r="N16" s="23" t="s">
        <v>156</v>
      </c>
      <c r="O16" s="23"/>
      <c r="P16" s="21" t="s">
        <v>86</v>
      </c>
      <c r="Q16" s="23" t="s">
        <v>131</v>
      </c>
      <c r="R16" s="23" t="s">
        <v>1647</v>
      </c>
      <c r="S16" s="179" t="s">
        <v>1693</v>
      </c>
      <c r="T16" s="179" t="s">
        <v>1640</v>
      </c>
      <c r="U16" s="157">
        <v>85</v>
      </c>
      <c r="V16" s="172">
        <v>3.306</v>
      </c>
      <c r="W16" s="173">
        <v>2500</v>
      </c>
      <c r="X16" s="157">
        <v>7.0570000000000004</v>
      </c>
      <c r="Y16" s="171">
        <v>0.99999998969882997</v>
      </c>
      <c r="Z16" s="171">
        <v>2.9675069368538E-4</v>
      </c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5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5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73"/>
  <sheetViews>
    <sheetView rightToLeft="1" workbookViewId="0">
      <selection activeCell="A2" sqref="A2"/>
    </sheetView>
  </sheetViews>
  <sheetFormatPr defaultColWidth="0" defaultRowHeight="14.25"/>
  <cols>
    <col min="1" max="15" width="11.625" style="3" customWidth="1"/>
    <col min="16" max="16" width="11.625" customWidth="1"/>
    <col min="17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1723</v>
      </c>
      <c r="D1" s="22" t="s">
        <v>1724</v>
      </c>
      <c r="E1" s="22" t="s">
        <v>1725</v>
      </c>
      <c r="F1" s="22" t="s">
        <v>1726</v>
      </c>
      <c r="G1" s="22" t="s">
        <v>1727</v>
      </c>
      <c r="H1" s="22" t="s">
        <v>1728</v>
      </c>
      <c r="I1" s="22" t="s">
        <v>5</v>
      </c>
      <c r="J1" s="22" t="s">
        <v>1729</v>
      </c>
      <c r="K1" s="22" t="s">
        <v>6</v>
      </c>
      <c r="L1" s="22" t="s">
        <v>1730</v>
      </c>
      <c r="M1" s="22" t="s">
        <v>1731</v>
      </c>
      <c r="N1" s="22" t="s">
        <v>7</v>
      </c>
      <c r="O1" s="22" t="s">
        <v>140</v>
      </c>
      <c r="P1" s="183" t="s">
        <v>1546</v>
      </c>
      <c r="Q1" s="22" t="s">
        <v>11</v>
      </c>
      <c r="R1" s="22" t="s">
        <v>1552</v>
      </c>
      <c r="S1" s="22" t="s">
        <v>1553</v>
      </c>
      <c r="T1" s="178" t="s">
        <v>1555</v>
      </c>
      <c r="U1" s="163" t="s">
        <v>18</v>
      </c>
      <c r="V1" s="119" t="s">
        <v>1732</v>
      </c>
      <c r="W1" s="22" t="s">
        <v>20</v>
      </c>
      <c r="X1" s="165" t="s">
        <v>1733</v>
      </c>
      <c r="Y1" s="165" t="s">
        <v>24</v>
      </c>
      <c r="Z1" s="165" t="s">
        <v>25</v>
      </c>
    </row>
    <row r="2" spans="1:26">
      <c r="A2" s="23">
        <v>161</v>
      </c>
      <c r="B2" s="23">
        <v>9938</v>
      </c>
      <c r="C2" s="24" t="s">
        <v>1734</v>
      </c>
      <c r="D2" s="24" t="s">
        <v>1695</v>
      </c>
      <c r="E2" s="24" t="s">
        <v>149</v>
      </c>
      <c r="F2" s="24" t="s">
        <v>1735</v>
      </c>
      <c r="G2" s="24">
        <v>27970027</v>
      </c>
      <c r="H2" s="24" t="s">
        <v>33</v>
      </c>
      <c r="I2" s="3" t="s">
        <v>1736</v>
      </c>
      <c r="J2" s="24" t="s">
        <v>1737</v>
      </c>
      <c r="K2" s="21" t="s">
        <v>81</v>
      </c>
      <c r="L2" s="24" t="s">
        <v>82</v>
      </c>
      <c r="M2" s="24" t="s">
        <v>1635</v>
      </c>
      <c r="N2" s="21" t="s">
        <v>30</v>
      </c>
      <c r="O2" s="23" t="s">
        <v>156</v>
      </c>
      <c r="P2" s="180" t="s">
        <v>1738</v>
      </c>
      <c r="Q2" s="21" t="s">
        <v>86</v>
      </c>
      <c r="R2" s="23" t="s">
        <v>1739</v>
      </c>
      <c r="S2" s="23" t="s">
        <v>1564</v>
      </c>
      <c r="T2" s="179" t="s">
        <v>1566</v>
      </c>
      <c r="U2" s="172">
        <v>3.306</v>
      </c>
      <c r="V2" s="157">
        <v>43.981000000000002</v>
      </c>
      <c r="W2" s="157">
        <v>145.40199999999999</v>
      </c>
      <c r="X2" s="171">
        <v>0</v>
      </c>
      <c r="Y2" s="171">
        <v>0.38791393212692299</v>
      </c>
      <c r="Z2" s="171">
        <v>1.73715332371759E-3</v>
      </c>
    </row>
    <row r="3" spans="1:26">
      <c r="A3" s="23">
        <v>161</v>
      </c>
      <c r="B3" s="23">
        <v>9938</v>
      </c>
      <c r="C3" s="23" t="s">
        <v>1740</v>
      </c>
      <c r="D3" s="3" t="s">
        <v>1741</v>
      </c>
      <c r="E3" s="24" t="s">
        <v>33</v>
      </c>
      <c r="F3" s="23" t="s">
        <v>1742</v>
      </c>
      <c r="G3" s="23">
        <v>27970029</v>
      </c>
      <c r="H3" s="24" t="s">
        <v>33</v>
      </c>
      <c r="I3" s="3" t="s">
        <v>1736</v>
      </c>
      <c r="J3" s="23" t="s">
        <v>1743</v>
      </c>
      <c r="K3" s="21" t="s">
        <v>81</v>
      </c>
      <c r="L3" s="24" t="s">
        <v>1744</v>
      </c>
      <c r="M3" s="24" t="s">
        <v>1310</v>
      </c>
      <c r="N3" s="21" t="s">
        <v>1310</v>
      </c>
      <c r="O3" s="23" t="s">
        <v>156</v>
      </c>
      <c r="P3" s="180" t="s">
        <v>1745</v>
      </c>
      <c r="Q3" s="21" t="s">
        <v>86</v>
      </c>
      <c r="R3" s="23" t="s">
        <v>1739</v>
      </c>
      <c r="S3" s="23" t="s">
        <v>1647</v>
      </c>
      <c r="T3" s="184" t="s">
        <v>1746</v>
      </c>
      <c r="U3" s="172">
        <v>3.306</v>
      </c>
      <c r="V3" s="157">
        <v>69.397999999999996</v>
      </c>
      <c r="W3" s="157">
        <v>229.429</v>
      </c>
      <c r="X3" s="185">
        <v>0</v>
      </c>
      <c r="Y3" s="171">
        <v>0.61208606787307696</v>
      </c>
      <c r="Z3" s="171">
        <v>2.7410393366821498E-3</v>
      </c>
    </row>
    <row r="4" spans="1:26">
      <c r="A4" s="23">
        <v>161</v>
      </c>
      <c r="B4" s="23">
        <v>9942</v>
      </c>
      <c r="C4" s="23" t="s">
        <v>1740</v>
      </c>
      <c r="D4" s="3" t="s">
        <v>1741</v>
      </c>
      <c r="E4" s="24" t="s">
        <v>33</v>
      </c>
      <c r="F4" s="23" t="s">
        <v>1742</v>
      </c>
      <c r="G4" s="23">
        <v>27970029</v>
      </c>
      <c r="H4" s="24" t="s">
        <v>33</v>
      </c>
      <c r="I4" s="3" t="s">
        <v>1736</v>
      </c>
      <c r="J4" s="23" t="s">
        <v>1743</v>
      </c>
      <c r="K4" s="21" t="s">
        <v>81</v>
      </c>
      <c r="L4" s="24" t="s">
        <v>1744</v>
      </c>
      <c r="M4" s="24" t="s">
        <v>1310</v>
      </c>
      <c r="N4" s="21" t="s">
        <v>1310</v>
      </c>
      <c r="O4" s="23" t="s">
        <v>156</v>
      </c>
      <c r="P4" s="180" t="s">
        <v>1745</v>
      </c>
      <c r="Q4" s="21" t="s">
        <v>86</v>
      </c>
      <c r="R4" s="23" t="s">
        <v>1739</v>
      </c>
      <c r="S4" s="23" t="s">
        <v>1647</v>
      </c>
      <c r="T4" s="179" t="s">
        <v>1746</v>
      </c>
      <c r="U4" s="172">
        <v>3.306</v>
      </c>
      <c r="V4" s="157">
        <v>69.397999999999996</v>
      </c>
      <c r="W4" s="157">
        <v>229.429</v>
      </c>
      <c r="X4" s="185">
        <v>0</v>
      </c>
      <c r="Y4" s="171">
        <v>1</v>
      </c>
      <c r="Z4" s="171">
        <v>2.3219867022428202E-3</v>
      </c>
    </row>
    <row r="5" spans="1:26">
      <c r="A5" s="23">
        <v>161</v>
      </c>
      <c r="B5" s="23">
        <v>9943</v>
      </c>
      <c r="C5" s="23" t="s">
        <v>1747</v>
      </c>
      <c r="D5" s="3" t="s">
        <v>1748</v>
      </c>
      <c r="E5" s="24" t="s">
        <v>935</v>
      </c>
      <c r="F5" s="23" t="s">
        <v>1749</v>
      </c>
      <c r="G5" s="23">
        <v>27970039</v>
      </c>
      <c r="H5" s="24" t="s">
        <v>33</v>
      </c>
      <c r="I5" s="3" t="s">
        <v>1736</v>
      </c>
      <c r="J5" s="23" t="s">
        <v>1750</v>
      </c>
      <c r="K5" s="21" t="s">
        <v>30</v>
      </c>
      <c r="L5" s="24" t="s">
        <v>1635</v>
      </c>
      <c r="M5" s="24" t="s">
        <v>1751</v>
      </c>
      <c r="N5" s="21" t="s">
        <v>30</v>
      </c>
      <c r="O5" s="23" t="s">
        <v>156</v>
      </c>
      <c r="P5" s="180" t="s">
        <v>1752</v>
      </c>
      <c r="Q5" s="21" t="s">
        <v>34</v>
      </c>
      <c r="R5" s="23" t="s">
        <v>1739</v>
      </c>
      <c r="S5" s="23" t="s">
        <v>1564</v>
      </c>
      <c r="T5" s="179" t="s">
        <v>1753</v>
      </c>
      <c r="U5" s="172">
        <v>1</v>
      </c>
      <c r="V5" s="157">
        <v>5278.0129999999999</v>
      </c>
      <c r="W5" s="157">
        <v>5278.0129999999999</v>
      </c>
      <c r="X5" s="185">
        <v>0</v>
      </c>
      <c r="Y5" s="171">
        <v>1.9822805873015902E-2</v>
      </c>
      <c r="Z5" s="171">
        <v>2.7131028904153801E-3</v>
      </c>
    </row>
    <row r="6" spans="1:26">
      <c r="A6" s="23">
        <v>161</v>
      </c>
      <c r="B6" s="23">
        <v>9943</v>
      </c>
      <c r="C6" s="23" t="s">
        <v>1754</v>
      </c>
      <c r="D6" s="3" t="s">
        <v>1755</v>
      </c>
      <c r="E6" s="24" t="s">
        <v>149</v>
      </c>
      <c r="F6" s="23" t="s">
        <v>1756</v>
      </c>
      <c r="G6" s="23">
        <v>27970052</v>
      </c>
      <c r="H6" s="24" t="s">
        <v>33</v>
      </c>
      <c r="I6" s="3" t="s">
        <v>1736</v>
      </c>
      <c r="J6" s="23" t="s">
        <v>1757</v>
      </c>
      <c r="K6" s="21" t="s">
        <v>30</v>
      </c>
      <c r="L6" s="24" t="s">
        <v>30</v>
      </c>
      <c r="M6" s="24" t="s">
        <v>1758</v>
      </c>
      <c r="N6" s="21" t="s">
        <v>30</v>
      </c>
      <c r="O6" s="23" t="s">
        <v>156</v>
      </c>
      <c r="P6" s="180" t="s">
        <v>1759</v>
      </c>
      <c r="Q6" s="21" t="s">
        <v>86</v>
      </c>
      <c r="R6" s="23" t="s">
        <v>131</v>
      </c>
      <c r="S6" s="23" t="s">
        <v>1647</v>
      </c>
      <c r="T6" s="179" t="s">
        <v>1760</v>
      </c>
      <c r="U6" s="172">
        <v>3.306</v>
      </c>
      <c r="V6" s="157">
        <v>635.13599999999997</v>
      </c>
      <c r="W6" s="157">
        <v>2099.759</v>
      </c>
      <c r="X6" s="171">
        <v>0</v>
      </c>
      <c r="Y6" s="171">
        <v>7.8861345200895699E-3</v>
      </c>
      <c r="Z6" s="171">
        <v>1.07935750860503E-3</v>
      </c>
    </row>
    <row r="7" spans="1:26">
      <c r="A7" s="23">
        <v>161</v>
      </c>
      <c r="B7" s="23">
        <v>9943</v>
      </c>
      <c r="C7" s="23" t="s">
        <v>1761</v>
      </c>
      <c r="D7" s="3" t="s">
        <v>1762</v>
      </c>
      <c r="E7" s="24" t="s">
        <v>149</v>
      </c>
      <c r="F7" s="23" t="s">
        <v>1763</v>
      </c>
      <c r="G7" s="23">
        <v>27970034</v>
      </c>
      <c r="H7" s="24" t="s">
        <v>33</v>
      </c>
      <c r="I7" s="3" t="s">
        <v>1764</v>
      </c>
      <c r="J7" s="23" t="s">
        <v>1765</v>
      </c>
      <c r="K7" s="21" t="s">
        <v>30</v>
      </c>
      <c r="L7" s="24" t="s">
        <v>1635</v>
      </c>
      <c r="M7" s="24" t="s">
        <v>1766</v>
      </c>
      <c r="N7" s="21" t="s">
        <v>30</v>
      </c>
      <c r="O7" s="23" t="s">
        <v>156</v>
      </c>
      <c r="P7" s="180" t="s">
        <v>1767</v>
      </c>
      <c r="Q7" s="21" t="s">
        <v>34</v>
      </c>
      <c r="R7" s="23" t="s">
        <v>131</v>
      </c>
      <c r="S7" s="23" t="s">
        <v>1564</v>
      </c>
      <c r="T7" s="179" t="s">
        <v>1566</v>
      </c>
      <c r="U7" s="172">
        <v>1</v>
      </c>
      <c r="V7" s="157">
        <v>2565.7449999999999</v>
      </c>
      <c r="W7" s="157">
        <v>2565.7449999999999</v>
      </c>
      <c r="X7" s="171">
        <v>0</v>
      </c>
      <c r="Y7" s="171">
        <v>9.6362542253441204E-3</v>
      </c>
      <c r="Z7" s="171">
        <v>1.3188924594750601E-3</v>
      </c>
    </row>
    <row r="8" spans="1:26">
      <c r="A8" s="23">
        <v>161</v>
      </c>
      <c r="B8" s="23">
        <v>9943</v>
      </c>
      <c r="C8" s="23" t="s">
        <v>1761</v>
      </c>
      <c r="D8" s="3" t="s">
        <v>1762</v>
      </c>
      <c r="E8" s="24" t="s">
        <v>149</v>
      </c>
      <c r="F8" s="23" t="s">
        <v>1768</v>
      </c>
      <c r="G8" s="23">
        <v>27970033</v>
      </c>
      <c r="H8" s="24" t="s">
        <v>33</v>
      </c>
      <c r="I8" s="3" t="s">
        <v>1764</v>
      </c>
      <c r="J8" s="23" t="s">
        <v>1765</v>
      </c>
      <c r="K8" s="21" t="s">
        <v>30</v>
      </c>
      <c r="L8" s="24" t="s">
        <v>30</v>
      </c>
      <c r="M8" s="24" t="s">
        <v>1766</v>
      </c>
      <c r="N8" s="21" t="s">
        <v>30</v>
      </c>
      <c r="O8" s="23" t="s">
        <v>156</v>
      </c>
      <c r="P8" s="180" t="s">
        <v>1767</v>
      </c>
      <c r="Q8" s="21" t="s">
        <v>34</v>
      </c>
      <c r="R8" s="23" t="s">
        <v>131</v>
      </c>
      <c r="S8" s="23" t="s">
        <v>1564</v>
      </c>
      <c r="T8" s="179" t="s">
        <v>1769</v>
      </c>
      <c r="U8" s="172">
        <v>1</v>
      </c>
      <c r="V8" s="157">
        <v>2600.21</v>
      </c>
      <c r="W8" s="157">
        <v>2600.21</v>
      </c>
      <c r="X8" s="171">
        <v>0</v>
      </c>
      <c r="Y8" s="171">
        <v>9.7656946710995996E-3</v>
      </c>
      <c r="Z8" s="171">
        <v>1.3366086823834299E-3</v>
      </c>
    </row>
    <row r="9" spans="1:26">
      <c r="A9" s="23">
        <v>161</v>
      </c>
      <c r="B9" s="23">
        <v>9943</v>
      </c>
      <c r="C9" s="23" t="s">
        <v>1770</v>
      </c>
      <c r="D9" s="3" t="s">
        <v>1771</v>
      </c>
      <c r="E9" s="24" t="s">
        <v>33</v>
      </c>
      <c r="F9" s="23" t="s">
        <v>1772</v>
      </c>
      <c r="G9" s="23">
        <v>27950001</v>
      </c>
      <c r="H9" s="24" t="s">
        <v>33</v>
      </c>
      <c r="I9" s="3" t="s">
        <v>1764</v>
      </c>
      <c r="J9" s="23" t="s">
        <v>1757</v>
      </c>
      <c r="K9" s="21" t="s">
        <v>30</v>
      </c>
      <c r="L9" s="24" t="s">
        <v>30</v>
      </c>
      <c r="M9" s="24" t="s">
        <v>30</v>
      </c>
      <c r="N9" s="21" t="s">
        <v>30</v>
      </c>
      <c r="O9" s="23" t="s">
        <v>156</v>
      </c>
      <c r="P9" s="180" t="s">
        <v>1773</v>
      </c>
      <c r="Q9" s="21" t="s">
        <v>34</v>
      </c>
      <c r="R9" s="23" t="s">
        <v>1774</v>
      </c>
      <c r="S9" s="23" t="s">
        <v>1564</v>
      </c>
      <c r="T9" s="179" t="s">
        <v>1775</v>
      </c>
      <c r="U9" s="172">
        <v>1</v>
      </c>
      <c r="V9" s="157">
        <v>3761.75</v>
      </c>
      <c r="W9" s="157">
        <v>3761.75</v>
      </c>
      <c r="X9" s="171">
        <v>0</v>
      </c>
      <c r="Y9" s="171">
        <v>1.41281283666248E-2</v>
      </c>
      <c r="Z9" s="171">
        <v>1.9336851782334201E-3</v>
      </c>
    </row>
    <row r="10" spans="1:26">
      <c r="A10" s="23">
        <v>161</v>
      </c>
      <c r="B10" s="23">
        <v>9943</v>
      </c>
      <c r="C10" s="23" t="s">
        <v>1776</v>
      </c>
      <c r="D10" s="3" t="s">
        <v>1777</v>
      </c>
      <c r="E10" s="24" t="s">
        <v>817</v>
      </c>
      <c r="F10" s="23" t="s">
        <v>1778</v>
      </c>
      <c r="G10" s="23">
        <v>27950002</v>
      </c>
      <c r="H10" s="24" t="s">
        <v>33</v>
      </c>
      <c r="I10" s="3" t="s">
        <v>1736</v>
      </c>
      <c r="J10" s="23" t="s">
        <v>1757</v>
      </c>
      <c r="K10" s="21" t="s">
        <v>30</v>
      </c>
      <c r="L10" s="24" t="s">
        <v>30</v>
      </c>
      <c r="M10" s="24" t="s">
        <v>1779</v>
      </c>
      <c r="N10" s="21" t="s">
        <v>30</v>
      </c>
      <c r="O10" s="23" t="s">
        <v>156</v>
      </c>
      <c r="P10" s="180" t="s">
        <v>1780</v>
      </c>
      <c r="Q10" s="21" t="s">
        <v>34</v>
      </c>
      <c r="R10" s="23" t="s">
        <v>131</v>
      </c>
      <c r="S10" s="23" t="s">
        <v>1564</v>
      </c>
      <c r="T10" s="179" t="s">
        <v>1781</v>
      </c>
      <c r="U10" s="172">
        <v>1</v>
      </c>
      <c r="V10" s="157">
        <v>3035</v>
      </c>
      <c r="W10" s="157">
        <v>3035</v>
      </c>
      <c r="X10" s="171">
        <v>0</v>
      </c>
      <c r="Y10" s="171">
        <v>1.1398649327306999E-2</v>
      </c>
      <c r="Z10" s="171">
        <v>1.56010751630505E-3</v>
      </c>
    </row>
    <row r="11" spans="1:26">
      <c r="A11" s="23">
        <v>161</v>
      </c>
      <c r="B11" s="23">
        <v>9943</v>
      </c>
      <c r="C11" s="23" t="s">
        <v>1782</v>
      </c>
      <c r="D11" s="3" t="s">
        <v>1783</v>
      </c>
      <c r="E11" s="24" t="s">
        <v>149</v>
      </c>
      <c r="F11" s="23" t="s">
        <v>1784</v>
      </c>
      <c r="G11" s="23">
        <v>62011879</v>
      </c>
      <c r="H11" s="24" t="s">
        <v>33</v>
      </c>
      <c r="I11" s="3" t="s">
        <v>1785</v>
      </c>
      <c r="J11" s="23" t="s">
        <v>1786</v>
      </c>
      <c r="K11" s="21" t="s">
        <v>81</v>
      </c>
      <c r="L11" s="24" t="s">
        <v>1310</v>
      </c>
      <c r="M11" s="24" t="s">
        <v>1787</v>
      </c>
      <c r="N11" s="21" t="s">
        <v>237</v>
      </c>
      <c r="O11" s="23" t="s">
        <v>156</v>
      </c>
      <c r="P11" s="180" t="s">
        <v>1788</v>
      </c>
      <c r="Q11" s="21" t="s">
        <v>1245</v>
      </c>
      <c r="R11" s="23" t="s">
        <v>131</v>
      </c>
      <c r="S11" s="23" t="s">
        <v>1647</v>
      </c>
      <c r="T11" s="179" t="s">
        <v>1789</v>
      </c>
      <c r="U11" s="172">
        <v>3.8807</v>
      </c>
      <c r="V11" s="157">
        <v>1470.1679999999999</v>
      </c>
      <c r="W11" s="157">
        <v>5705.2820000000002</v>
      </c>
      <c r="X11" s="171">
        <v>0</v>
      </c>
      <c r="Y11" s="171">
        <v>2.1427515517970799E-2</v>
      </c>
      <c r="Z11" s="171">
        <v>2.9327358931242001E-3</v>
      </c>
    </row>
    <row r="12" spans="1:26">
      <c r="A12" s="23">
        <v>161</v>
      </c>
      <c r="B12" s="23">
        <v>9943</v>
      </c>
      <c r="C12" s="23" t="s">
        <v>1790</v>
      </c>
      <c r="D12" s="3" t="s">
        <v>1791</v>
      </c>
      <c r="E12" s="24" t="s">
        <v>817</v>
      </c>
      <c r="F12" s="23" t="s">
        <v>1792</v>
      </c>
      <c r="G12" s="23">
        <v>9840783</v>
      </c>
      <c r="H12" s="24" t="s">
        <v>33</v>
      </c>
      <c r="I12" s="3" t="s">
        <v>1736</v>
      </c>
      <c r="J12" s="23" t="s">
        <v>1793</v>
      </c>
      <c r="K12" s="21" t="s">
        <v>30</v>
      </c>
      <c r="L12" s="24" t="s">
        <v>30</v>
      </c>
      <c r="M12" s="24" t="s">
        <v>1794</v>
      </c>
      <c r="N12" s="21" t="s">
        <v>30</v>
      </c>
      <c r="O12" s="23" t="s">
        <v>156</v>
      </c>
      <c r="P12" s="180" t="s">
        <v>1652</v>
      </c>
      <c r="Q12" s="21" t="s">
        <v>86</v>
      </c>
      <c r="R12" s="23" t="s">
        <v>131</v>
      </c>
      <c r="S12" s="23" t="s">
        <v>1647</v>
      </c>
      <c r="T12" s="179" t="s">
        <v>1722</v>
      </c>
      <c r="U12" s="172">
        <v>3.306</v>
      </c>
      <c r="V12" s="157">
        <v>21.471</v>
      </c>
      <c r="W12" s="157">
        <v>70.981999999999999</v>
      </c>
      <c r="X12" s="171">
        <v>0</v>
      </c>
      <c r="Y12" s="171">
        <v>2.6658972011505203E-4</v>
      </c>
      <c r="Z12" s="171">
        <v>3.6487535863111999E-5</v>
      </c>
    </row>
    <row r="13" spans="1:26">
      <c r="A13" s="23">
        <v>161</v>
      </c>
      <c r="B13" s="23">
        <v>9943</v>
      </c>
      <c r="C13" s="23" t="s">
        <v>1795</v>
      </c>
      <c r="D13" s="3" t="s">
        <v>1796</v>
      </c>
      <c r="E13" s="24" t="s">
        <v>913</v>
      </c>
      <c r="F13" s="23" t="s">
        <v>1797</v>
      </c>
      <c r="G13" s="23">
        <v>27971038</v>
      </c>
      <c r="H13" s="24" t="s">
        <v>33</v>
      </c>
      <c r="I13" s="3" t="s">
        <v>1736</v>
      </c>
      <c r="J13" s="23" t="s">
        <v>1757</v>
      </c>
      <c r="K13" s="21" t="s">
        <v>30</v>
      </c>
      <c r="L13" s="24" t="s">
        <v>1635</v>
      </c>
      <c r="M13" s="24" t="s">
        <v>1798</v>
      </c>
      <c r="N13" s="21" t="s">
        <v>237</v>
      </c>
      <c r="O13" s="23" t="s">
        <v>156</v>
      </c>
      <c r="P13" s="180" t="s">
        <v>1799</v>
      </c>
      <c r="Q13" s="21" t="s">
        <v>34</v>
      </c>
      <c r="R13" s="23" t="s">
        <v>131</v>
      </c>
      <c r="S13" s="23" t="s">
        <v>1647</v>
      </c>
      <c r="T13" s="179" t="s">
        <v>1800</v>
      </c>
      <c r="U13" s="172">
        <v>1</v>
      </c>
      <c r="V13" s="157">
        <v>1281.414</v>
      </c>
      <c r="W13" s="157">
        <v>1281.414</v>
      </c>
      <c r="X13" s="171">
        <v>0</v>
      </c>
      <c r="Y13" s="171">
        <v>4.8126473560421903E-3</v>
      </c>
      <c r="Z13" s="171">
        <v>6.5869622776270698E-4</v>
      </c>
    </row>
    <row r="14" spans="1:26">
      <c r="A14" s="23">
        <v>161</v>
      </c>
      <c r="B14" s="23">
        <v>9943</v>
      </c>
      <c r="C14" s="23" t="s">
        <v>1801</v>
      </c>
      <c r="D14" s="3" t="s">
        <v>1796</v>
      </c>
      <c r="E14" s="24" t="s">
        <v>913</v>
      </c>
      <c r="F14" s="23" t="s">
        <v>1802</v>
      </c>
      <c r="G14" s="23">
        <v>27970001</v>
      </c>
      <c r="H14" s="24" t="s">
        <v>33</v>
      </c>
      <c r="I14" s="3" t="s">
        <v>1736</v>
      </c>
      <c r="J14" s="23" t="s">
        <v>1803</v>
      </c>
      <c r="K14" s="21" t="s">
        <v>30</v>
      </c>
      <c r="L14" s="24" t="s">
        <v>1635</v>
      </c>
      <c r="M14" s="24" t="s">
        <v>1804</v>
      </c>
      <c r="N14" s="21" t="s">
        <v>30</v>
      </c>
      <c r="O14" s="23" t="s">
        <v>156</v>
      </c>
      <c r="P14" s="180" t="s">
        <v>1805</v>
      </c>
      <c r="Q14" s="21" t="s">
        <v>34</v>
      </c>
      <c r="R14" s="23" t="s">
        <v>131</v>
      </c>
      <c r="S14" s="23" t="s">
        <v>1647</v>
      </c>
      <c r="T14" s="179" t="s">
        <v>1800</v>
      </c>
      <c r="U14" s="172">
        <v>1</v>
      </c>
      <c r="V14" s="157">
        <v>1596.462</v>
      </c>
      <c r="W14" s="157">
        <v>1596.462</v>
      </c>
      <c r="X14" s="171">
        <v>0</v>
      </c>
      <c r="Y14" s="171">
        <v>5.9958848442738903E-3</v>
      </c>
      <c r="Z14" s="171">
        <v>8.2064328358991601E-4</v>
      </c>
    </row>
    <row r="15" spans="1:26">
      <c r="A15" s="23">
        <v>161</v>
      </c>
      <c r="B15" s="23">
        <v>9943</v>
      </c>
      <c r="C15" s="23" t="s">
        <v>1806</v>
      </c>
      <c r="D15" s="3" t="s">
        <v>1807</v>
      </c>
      <c r="E15" s="24" t="s">
        <v>33</v>
      </c>
      <c r="F15" s="23" t="s">
        <v>1808</v>
      </c>
      <c r="G15" s="23">
        <v>27970016</v>
      </c>
      <c r="H15" s="24" t="s">
        <v>33</v>
      </c>
      <c r="I15" s="3" t="s">
        <v>1736</v>
      </c>
      <c r="J15" s="23" t="s">
        <v>1765</v>
      </c>
      <c r="K15" s="21" t="s">
        <v>81</v>
      </c>
      <c r="L15" s="24" t="s">
        <v>30</v>
      </c>
      <c r="M15" s="24" t="s">
        <v>1809</v>
      </c>
      <c r="N15" s="21" t="s">
        <v>82</v>
      </c>
      <c r="O15" s="23" t="s">
        <v>156</v>
      </c>
      <c r="P15" s="180" t="s">
        <v>1810</v>
      </c>
      <c r="Q15" s="21" t="s">
        <v>86</v>
      </c>
      <c r="R15" s="23" t="s">
        <v>131</v>
      </c>
      <c r="S15" s="23" t="s">
        <v>1564</v>
      </c>
      <c r="T15" s="179" t="s">
        <v>1789</v>
      </c>
      <c r="U15" s="172">
        <v>3.306</v>
      </c>
      <c r="V15" s="157">
        <v>31.018999999999998</v>
      </c>
      <c r="W15" s="157">
        <v>102.54900000000001</v>
      </c>
      <c r="X15" s="171">
        <v>1.1720000000000001E-3</v>
      </c>
      <c r="Y15" s="171">
        <v>3.8514586065493403E-4</v>
      </c>
      <c r="Z15" s="171">
        <v>5.2714048377826299E-5</v>
      </c>
    </row>
    <row r="16" spans="1:26">
      <c r="A16" s="23">
        <v>161</v>
      </c>
      <c r="B16" s="23">
        <v>9943</v>
      </c>
      <c r="C16" s="23" t="s">
        <v>1811</v>
      </c>
      <c r="D16" s="3" t="s">
        <v>1812</v>
      </c>
      <c r="E16" s="24" t="s">
        <v>33</v>
      </c>
      <c r="F16" s="23" t="s">
        <v>1813</v>
      </c>
      <c r="G16" s="23">
        <v>27970018</v>
      </c>
      <c r="H16" s="24" t="s">
        <v>33</v>
      </c>
      <c r="I16" s="3" t="s">
        <v>1736</v>
      </c>
      <c r="J16" s="23" t="s">
        <v>1757</v>
      </c>
      <c r="K16" s="21" t="s">
        <v>30</v>
      </c>
      <c r="L16" s="24" t="s">
        <v>30</v>
      </c>
      <c r="M16" s="24" t="s">
        <v>1814</v>
      </c>
      <c r="N16" s="21" t="s">
        <v>30</v>
      </c>
      <c r="O16" s="23" t="s">
        <v>156</v>
      </c>
      <c r="P16" s="180" t="s">
        <v>1815</v>
      </c>
      <c r="Q16" s="21" t="s">
        <v>86</v>
      </c>
      <c r="R16" s="23" t="s">
        <v>131</v>
      </c>
      <c r="S16" s="23" t="s">
        <v>1564</v>
      </c>
      <c r="T16" s="179" t="s">
        <v>1816</v>
      </c>
      <c r="U16" s="172">
        <v>3.306</v>
      </c>
      <c r="V16" s="157">
        <v>231.642</v>
      </c>
      <c r="W16" s="157">
        <v>765.80799999999999</v>
      </c>
      <c r="X16" s="171">
        <v>0</v>
      </c>
      <c r="Y16" s="171">
        <v>2.8761719921699602E-3</v>
      </c>
      <c r="Z16" s="171">
        <v>3.9365519671009399E-4</v>
      </c>
    </row>
    <row r="17" spans="1:26">
      <c r="A17" s="23">
        <v>161</v>
      </c>
      <c r="B17" s="23">
        <v>9943</v>
      </c>
      <c r="C17" s="23" t="s">
        <v>1734</v>
      </c>
      <c r="D17" s="3" t="s">
        <v>1695</v>
      </c>
      <c r="E17" s="24" t="s">
        <v>149</v>
      </c>
      <c r="F17" s="23" t="s">
        <v>1735</v>
      </c>
      <c r="G17" s="23">
        <v>27970027</v>
      </c>
      <c r="H17" s="24" t="s">
        <v>33</v>
      </c>
      <c r="I17" s="3" t="s">
        <v>1736</v>
      </c>
      <c r="J17" s="23" t="s">
        <v>1737</v>
      </c>
      <c r="K17" s="21" t="s">
        <v>81</v>
      </c>
      <c r="L17" s="24" t="s">
        <v>82</v>
      </c>
      <c r="M17" s="24" t="s">
        <v>1635</v>
      </c>
      <c r="N17" s="21" t="s">
        <v>30</v>
      </c>
      <c r="O17" s="23" t="s">
        <v>156</v>
      </c>
      <c r="P17" s="180" t="s">
        <v>1738</v>
      </c>
      <c r="Q17" s="21" t="s">
        <v>86</v>
      </c>
      <c r="R17" s="23" t="s">
        <v>1739</v>
      </c>
      <c r="S17" s="23" t="s">
        <v>1564</v>
      </c>
      <c r="T17" s="179" t="s">
        <v>1566</v>
      </c>
      <c r="U17" s="172">
        <v>3.306</v>
      </c>
      <c r="V17" s="157">
        <v>263.88799999999998</v>
      </c>
      <c r="W17" s="157">
        <v>872.41300000000001</v>
      </c>
      <c r="X17" s="171">
        <v>0</v>
      </c>
      <c r="Y17" s="171">
        <v>3.2765508229099598E-3</v>
      </c>
      <c r="Z17" s="171">
        <v>4.4845414746915498E-4</v>
      </c>
    </row>
    <row r="18" spans="1:26">
      <c r="A18" s="23">
        <v>161</v>
      </c>
      <c r="B18" s="23">
        <v>9943</v>
      </c>
      <c r="C18" s="23" t="s">
        <v>1817</v>
      </c>
      <c r="D18" s="3" t="s">
        <v>1818</v>
      </c>
      <c r="E18" s="24" t="s">
        <v>913</v>
      </c>
      <c r="F18" s="23" t="s">
        <v>1819</v>
      </c>
      <c r="G18" s="23">
        <v>604066001</v>
      </c>
      <c r="H18" s="24" t="s">
        <v>33</v>
      </c>
      <c r="I18" s="3" t="s">
        <v>1736</v>
      </c>
      <c r="J18" s="23" t="s">
        <v>1820</v>
      </c>
      <c r="K18" s="21" t="s">
        <v>81</v>
      </c>
      <c r="L18" s="24" t="s">
        <v>1635</v>
      </c>
      <c r="M18" s="24" t="s">
        <v>1821</v>
      </c>
      <c r="N18" s="21" t="s">
        <v>82</v>
      </c>
      <c r="O18" s="23" t="s">
        <v>156</v>
      </c>
      <c r="P18" s="180" t="s">
        <v>1822</v>
      </c>
      <c r="Q18" s="21" t="s">
        <v>86</v>
      </c>
      <c r="R18" s="23" t="s">
        <v>131</v>
      </c>
      <c r="S18" s="23" t="s">
        <v>1647</v>
      </c>
      <c r="T18" s="179" t="s">
        <v>1566</v>
      </c>
      <c r="U18" s="172">
        <v>3.306</v>
      </c>
      <c r="V18" s="157">
        <v>3100.9589999999998</v>
      </c>
      <c r="W18" s="157">
        <v>10251.772000000001</v>
      </c>
      <c r="X18" s="171">
        <v>0</v>
      </c>
      <c r="Y18" s="171">
        <v>3.8502917083019401E-2</v>
      </c>
      <c r="Z18" s="171">
        <v>5.2698077303760804E-3</v>
      </c>
    </row>
    <row r="19" spans="1:26">
      <c r="A19" s="23">
        <v>161</v>
      </c>
      <c r="B19" s="23">
        <v>9943</v>
      </c>
      <c r="C19" s="23" t="s">
        <v>1770</v>
      </c>
      <c r="D19" s="3" t="s">
        <v>1823</v>
      </c>
      <c r="E19" s="24" t="s">
        <v>149</v>
      </c>
      <c r="F19" s="23" t="s">
        <v>1824</v>
      </c>
      <c r="G19" s="23">
        <v>35196</v>
      </c>
      <c r="H19" s="24" t="s">
        <v>33</v>
      </c>
      <c r="I19" s="3" t="s">
        <v>1764</v>
      </c>
      <c r="J19" s="23" t="s">
        <v>1765</v>
      </c>
      <c r="K19" s="21" t="s">
        <v>30</v>
      </c>
      <c r="L19" s="24" t="s">
        <v>1635</v>
      </c>
      <c r="M19" s="24" t="s">
        <v>1825</v>
      </c>
      <c r="N19" s="21" t="s">
        <v>30</v>
      </c>
      <c r="O19" s="23" t="s">
        <v>156</v>
      </c>
      <c r="P19" s="180" t="s">
        <v>1652</v>
      </c>
      <c r="Q19" s="21" t="s">
        <v>34</v>
      </c>
      <c r="R19" s="23" t="s">
        <v>131</v>
      </c>
      <c r="S19" s="23" t="s">
        <v>1564</v>
      </c>
      <c r="T19" s="179" t="s">
        <v>1566</v>
      </c>
      <c r="U19" s="172">
        <v>1</v>
      </c>
      <c r="V19" s="157">
        <v>13639.56</v>
      </c>
      <c r="W19" s="157">
        <v>13639.56</v>
      </c>
      <c r="X19" s="171">
        <v>0</v>
      </c>
      <c r="Y19" s="171">
        <v>5.1226543711343497E-2</v>
      </c>
      <c r="Z19" s="171">
        <v>7.0112619121407297E-3</v>
      </c>
    </row>
    <row r="20" spans="1:26">
      <c r="A20" s="3">
        <v>161</v>
      </c>
      <c r="B20" s="3">
        <v>9943</v>
      </c>
      <c r="C20" s="3" t="s">
        <v>1826</v>
      </c>
      <c r="D20" s="3" t="s">
        <v>1827</v>
      </c>
      <c r="E20" s="24" t="s">
        <v>817</v>
      </c>
      <c r="F20" s="3" t="s">
        <v>1828</v>
      </c>
      <c r="G20" s="3">
        <v>78923</v>
      </c>
      <c r="H20" s="24" t="s">
        <v>33</v>
      </c>
      <c r="I20" s="3" t="s">
        <v>1736</v>
      </c>
      <c r="J20" s="23" t="s">
        <v>1750</v>
      </c>
      <c r="K20" s="21" t="s">
        <v>30</v>
      </c>
      <c r="L20" s="24" t="s">
        <v>30</v>
      </c>
      <c r="M20" s="24" t="s">
        <v>1829</v>
      </c>
      <c r="N20" s="21" t="s">
        <v>30</v>
      </c>
      <c r="O20" s="23" t="s">
        <v>156</v>
      </c>
      <c r="P20" s="180" t="s">
        <v>1830</v>
      </c>
      <c r="Q20" s="3" t="s">
        <v>34</v>
      </c>
      <c r="R20" s="23" t="s">
        <v>131</v>
      </c>
      <c r="S20" s="23" t="s">
        <v>1564</v>
      </c>
      <c r="T20" s="182" t="s">
        <v>1831</v>
      </c>
      <c r="U20" s="164">
        <v>1</v>
      </c>
      <c r="V20" s="155">
        <v>6197.45</v>
      </c>
      <c r="W20" s="155">
        <v>6197.45</v>
      </c>
      <c r="X20" s="166">
        <v>0</v>
      </c>
      <c r="Y20" s="166">
        <v>2.32759679668877E-2</v>
      </c>
      <c r="Z20" s="166">
        <v>3.1857294256280198E-3</v>
      </c>
    </row>
    <row r="21" spans="1:26">
      <c r="A21" s="3">
        <v>161</v>
      </c>
      <c r="B21" s="3">
        <v>9943</v>
      </c>
      <c r="C21" s="3" t="s">
        <v>1826</v>
      </c>
      <c r="D21" s="3" t="s">
        <v>1832</v>
      </c>
      <c r="E21" s="3" t="s">
        <v>149</v>
      </c>
      <c r="F21" s="3" t="s">
        <v>1833</v>
      </c>
      <c r="G21" s="3">
        <v>27970003</v>
      </c>
      <c r="H21" s="3" t="s">
        <v>33</v>
      </c>
      <c r="I21" s="3" t="s">
        <v>1736</v>
      </c>
      <c r="J21" s="3" t="s">
        <v>1750</v>
      </c>
      <c r="K21" s="3" t="s">
        <v>30</v>
      </c>
      <c r="L21" s="3" t="s">
        <v>30</v>
      </c>
      <c r="M21" s="3" t="s">
        <v>1829</v>
      </c>
      <c r="N21" s="3" t="s">
        <v>30</v>
      </c>
      <c r="O21" s="3" t="s">
        <v>156</v>
      </c>
      <c r="P21" s="180" t="s">
        <v>1834</v>
      </c>
      <c r="Q21" s="3" t="s">
        <v>34</v>
      </c>
      <c r="R21" s="3" t="s">
        <v>131</v>
      </c>
      <c r="S21" s="3" t="s">
        <v>1564</v>
      </c>
      <c r="T21" s="182" t="s">
        <v>1835</v>
      </c>
      <c r="U21" s="164">
        <v>1</v>
      </c>
      <c r="V21" s="155">
        <v>3768.8780000000002</v>
      </c>
      <c r="W21" s="155">
        <v>3768.8780000000002</v>
      </c>
      <c r="X21" s="166">
        <v>1.9880000000000002E-3</v>
      </c>
      <c r="Y21" s="166">
        <v>1.41548994901586E-2</v>
      </c>
      <c r="Z21" s="166">
        <v>1.93734928174654E-3</v>
      </c>
    </row>
    <row r="22" spans="1:26">
      <c r="A22" s="3">
        <v>161</v>
      </c>
      <c r="B22" s="3">
        <v>9943</v>
      </c>
      <c r="C22" s="3" t="s">
        <v>1761</v>
      </c>
      <c r="D22" s="3" t="s">
        <v>1762</v>
      </c>
      <c r="E22" s="3" t="s">
        <v>149</v>
      </c>
      <c r="F22" s="3" t="s">
        <v>1836</v>
      </c>
      <c r="G22" s="3">
        <v>27970014</v>
      </c>
      <c r="H22" s="3" t="s">
        <v>33</v>
      </c>
      <c r="I22" s="3" t="s">
        <v>1764</v>
      </c>
      <c r="J22" s="3" t="s">
        <v>1765</v>
      </c>
      <c r="K22" s="3" t="s">
        <v>30</v>
      </c>
      <c r="L22" s="3" t="s">
        <v>1635</v>
      </c>
      <c r="M22" s="3" t="s">
        <v>1766</v>
      </c>
      <c r="N22" s="3" t="s">
        <v>30</v>
      </c>
      <c r="O22" s="3" t="s">
        <v>156</v>
      </c>
      <c r="P22" s="180" t="s">
        <v>1837</v>
      </c>
      <c r="Q22" s="3" t="s">
        <v>34</v>
      </c>
      <c r="R22" s="3" t="s">
        <v>131</v>
      </c>
      <c r="S22" s="3" t="s">
        <v>1564</v>
      </c>
      <c r="T22" s="182" t="s">
        <v>1566</v>
      </c>
      <c r="U22" s="164">
        <v>1</v>
      </c>
      <c r="V22" s="155">
        <v>8270.7939999999999</v>
      </c>
      <c r="W22" s="155">
        <v>8270.7939999999999</v>
      </c>
      <c r="X22" s="166">
        <v>0</v>
      </c>
      <c r="Y22" s="166">
        <v>3.1062893401079102E-2</v>
      </c>
      <c r="Z22" s="166">
        <v>4.2515084096069102E-3</v>
      </c>
    </row>
    <row r="23" spans="1:26">
      <c r="A23" s="3">
        <v>161</v>
      </c>
      <c r="B23" s="3">
        <v>9943</v>
      </c>
      <c r="C23" s="3" t="s">
        <v>1838</v>
      </c>
      <c r="D23" s="3" t="s">
        <v>1839</v>
      </c>
      <c r="E23" s="3" t="s">
        <v>149</v>
      </c>
      <c r="F23" s="3" t="s">
        <v>1840</v>
      </c>
      <c r="G23" s="3">
        <v>604008921</v>
      </c>
      <c r="H23" s="3" t="s">
        <v>33</v>
      </c>
      <c r="I23" s="3" t="s">
        <v>1736</v>
      </c>
      <c r="J23" s="3" t="s">
        <v>1793</v>
      </c>
      <c r="K23" s="3" t="s">
        <v>30</v>
      </c>
      <c r="L23" s="3" t="s">
        <v>30</v>
      </c>
      <c r="M23" s="3" t="s">
        <v>1841</v>
      </c>
      <c r="N23" s="3" t="s">
        <v>30</v>
      </c>
      <c r="O23" s="3" t="s">
        <v>156</v>
      </c>
      <c r="P23" s="180" t="s">
        <v>1842</v>
      </c>
      <c r="Q23" s="3" t="s">
        <v>86</v>
      </c>
      <c r="R23" s="3" t="s">
        <v>131</v>
      </c>
      <c r="S23" s="3" t="s">
        <v>1564</v>
      </c>
      <c r="T23" s="182" t="s">
        <v>1843</v>
      </c>
      <c r="U23" s="164">
        <v>3.306</v>
      </c>
      <c r="V23" s="155">
        <v>2654.0940000000001</v>
      </c>
      <c r="W23" s="155">
        <v>8774.4359999999997</v>
      </c>
      <c r="X23" s="166">
        <v>0</v>
      </c>
      <c r="Y23" s="166">
        <v>3.29544382944362E-2</v>
      </c>
      <c r="Z23" s="166">
        <v>4.5103999081360698E-3</v>
      </c>
    </row>
    <row r="24" spans="1:26">
      <c r="A24" s="3">
        <v>161</v>
      </c>
      <c r="B24" s="3">
        <v>9943</v>
      </c>
      <c r="C24" s="3" t="s">
        <v>1844</v>
      </c>
      <c r="D24" s="3" t="s">
        <v>1845</v>
      </c>
      <c r="E24" s="3" t="s">
        <v>33</v>
      </c>
      <c r="F24" s="3" t="s">
        <v>1846</v>
      </c>
      <c r="G24" s="3">
        <v>27970031</v>
      </c>
      <c r="H24" s="3" t="s">
        <v>33</v>
      </c>
      <c r="I24" s="3" t="s">
        <v>1736</v>
      </c>
      <c r="J24" s="3" t="s">
        <v>1757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156</v>
      </c>
      <c r="P24" s="180" t="s">
        <v>1847</v>
      </c>
      <c r="Q24" s="3" t="s">
        <v>34</v>
      </c>
      <c r="R24" s="3" t="s">
        <v>1739</v>
      </c>
      <c r="S24" s="3" t="s">
        <v>1647</v>
      </c>
      <c r="T24" s="182" t="s">
        <v>1566</v>
      </c>
      <c r="U24" s="164">
        <v>1</v>
      </c>
      <c r="V24" s="155">
        <v>391.07499999999999</v>
      </c>
      <c r="W24" s="155">
        <v>391.07499999999999</v>
      </c>
      <c r="X24" s="166">
        <v>0</v>
      </c>
      <c r="Y24" s="166">
        <v>1.46877154691458E-3</v>
      </c>
      <c r="Z24" s="166">
        <v>2.0102746073492799E-4</v>
      </c>
    </row>
    <row r="25" spans="1:26">
      <c r="A25" s="3">
        <v>161</v>
      </c>
      <c r="B25" s="3">
        <v>9943</v>
      </c>
      <c r="C25" s="3" t="s">
        <v>1790</v>
      </c>
      <c r="D25" s="3" t="s">
        <v>1848</v>
      </c>
      <c r="E25" s="3" t="s">
        <v>149</v>
      </c>
      <c r="F25" s="3" t="s">
        <v>1849</v>
      </c>
      <c r="G25" s="3">
        <v>27970010</v>
      </c>
      <c r="H25" s="3" t="s">
        <v>33</v>
      </c>
      <c r="I25" s="3" t="s">
        <v>1736</v>
      </c>
      <c r="J25" s="3" t="s">
        <v>1793</v>
      </c>
      <c r="K25" s="3" t="s">
        <v>30</v>
      </c>
      <c r="L25" s="3" t="s">
        <v>30</v>
      </c>
      <c r="M25" s="3" t="s">
        <v>1794</v>
      </c>
      <c r="N25" s="3" t="s">
        <v>30</v>
      </c>
      <c r="O25" s="3" t="s">
        <v>156</v>
      </c>
      <c r="P25" s="180" t="s">
        <v>1850</v>
      </c>
      <c r="Q25" s="3" t="s">
        <v>86</v>
      </c>
      <c r="R25" s="3" t="s">
        <v>131</v>
      </c>
      <c r="S25" s="3" t="s">
        <v>1647</v>
      </c>
      <c r="T25" s="182" t="s">
        <v>1843</v>
      </c>
      <c r="U25" s="164">
        <v>3.306</v>
      </c>
      <c r="V25" s="155">
        <v>2895.1390000000001</v>
      </c>
      <c r="W25" s="155">
        <v>9571.33</v>
      </c>
      <c r="X25" s="166">
        <v>0</v>
      </c>
      <c r="Y25" s="166">
        <v>3.5947359783577298E-2</v>
      </c>
      <c r="Z25" s="166">
        <v>4.9200343461158497E-3</v>
      </c>
    </row>
    <row r="26" spans="1:26">
      <c r="A26" s="3">
        <v>161</v>
      </c>
      <c r="B26" s="3">
        <v>9943</v>
      </c>
      <c r="C26" s="3" t="s">
        <v>1761</v>
      </c>
      <c r="D26" s="3" t="s">
        <v>1762</v>
      </c>
      <c r="E26" s="3" t="s">
        <v>149</v>
      </c>
      <c r="F26" s="3" t="s">
        <v>1851</v>
      </c>
      <c r="G26" s="3">
        <v>36434</v>
      </c>
      <c r="H26" s="3" t="s">
        <v>33</v>
      </c>
      <c r="I26" s="3" t="s">
        <v>1764</v>
      </c>
      <c r="J26" s="3" t="s">
        <v>1765</v>
      </c>
      <c r="K26" s="3" t="s">
        <v>30</v>
      </c>
      <c r="L26" s="3" t="s">
        <v>30</v>
      </c>
      <c r="M26" s="3" t="s">
        <v>1766</v>
      </c>
      <c r="N26" s="3" t="s">
        <v>30</v>
      </c>
      <c r="O26" s="3" t="s">
        <v>156</v>
      </c>
      <c r="P26" s="180" t="s">
        <v>1852</v>
      </c>
      <c r="Q26" s="3" t="s">
        <v>34</v>
      </c>
      <c r="R26" s="3" t="s">
        <v>131</v>
      </c>
      <c r="S26" s="3" t="s">
        <v>1564</v>
      </c>
      <c r="T26" s="182" t="s">
        <v>1853</v>
      </c>
      <c r="U26" s="164">
        <v>1</v>
      </c>
      <c r="V26" s="155">
        <v>12238.299000000001</v>
      </c>
      <c r="W26" s="155">
        <v>12238.299000000001</v>
      </c>
      <c r="X26" s="166">
        <v>0</v>
      </c>
      <c r="Y26" s="166">
        <v>4.5963782427668499E-2</v>
      </c>
      <c r="Z26" s="166">
        <v>6.2909596026810097E-3</v>
      </c>
    </row>
    <row r="27" spans="1:26">
      <c r="A27" s="3">
        <v>161</v>
      </c>
      <c r="B27" s="3">
        <v>9943</v>
      </c>
      <c r="C27" s="3" t="s">
        <v>1854</v>
      </c>
      <c r="D27" s="3" t="s">
        <v>1855</v>
      </c>
      <c r="E27" s="3" t="s">
        <v>817</v>
      </c>
      <c r="F27" s="3" t="s">
        <v>1856</v>
      </c>
      <c r="G27" s="3">
        <v>47845</v>
      </c>
      <c r="H27" s="3" t="s">
        <v>33</v>
      </c>
      <c r="I27" s="3" t="s">
        <v>1736</v>
      </c>
      <c r="J27" s="3" t="s">
        <v>1820</v>
      </c>
      <c r="K27" s="3" t="s">
        <v>81</v>
      </c>
      <c r="L27" s="3" t="s">
        <v>30</v>
      </c>
      <c r="M27" s="3" t="s">
        <v>1857</v>
      </c>
      <c r="N27" s="3" t="s">
        <v>237</v>
      </c>
      <c r="O27" s="3" t="s">
        <v>156</v>
      </c>
      <c r="P27" s="180" t="s">
        <v>1858</v>
      </c>
      <c r="Q27" s="3" t="s">
        <v>34</v>
      </c>
      <c r="R27" s="3" t="s">
        <v>131</v>
      </c>
      <c r="S27" s="3" t="s">
        <v>1647</v>
      </c>
      <c r="T27" s="182" t="s">
        <v>1859</v>
      </c>
      <c r="U27" s="164">
        <v>1</v>
      </c>
      <c r="V27" s="155">
        <v>4328.8639999999996</v>
      </c>
      <c r="W27" s="155">
        <v>4328.8639999999996</v>
      </c>
      <c r="X27" s="166">
        <v>0</v>
      </c>
      <c r="Y27" s="166">
        <v>1.6258056394752501E-2</v>
      </c>
      <c r="Z27" s="166">
        <v>2.22520364068057E-3</v>
      </c>
    </row>
    <row r="28" spans="1:26">
      <c r="A28" s="3">
        <v>161</v>
      </c>
      <c r="B28" s="3">
        <v>9943</v>
      </c>
      <c r="C28" s="3" t="s">
        <v>1860</v>
      </c>
      <c r="D28" s="3" t="s">
        <v>1762</v>
      </c>
      <c r="E28" s="3" t="s">
        <v>149</v>
      </c>
      <c r="F28" s="3" t="s">
        <v>1861</v>
      </c>
      <c r="G28" s="3">
        <v>27970047</v>
      </c>
      <c r="H28" s="3" t="s">
        <v>33</v>
      </c>
      <c r="I28" s="3" t="s">
        <v>1764</v>
      </c>
      <c r="J28" s="3" t="s">
        <v>1757</v>
      </c>
      <c r="K28" s="3" t="s">
        <v>30</v>
      </c>
      <c r="L28" s="3" t="s">
        <v>30</v>
      </c>
      <c r="M28" s="3" t="s">
        <v>1862</v>
      </c>
      <c r="N28" s="3" t="s">
        <v>30</v>
      </c>
      <c r="O28" s="3" t="s">
        <v>156</v>
      </c>
      <c r="P28" s="180" t="s">
        <v>1863</v>
      </c>
      <c r="Q28" s="3" t="s">
        <v>34</v>
      </c>
      <c r="R28" s="3" t="s">
        <v>131</v>
      </c>
      <c r="S28" s="3" t="s">
        <v>1564</v>
      </c>
      <c r="T28" s="182" t="s">
        <v>1566</v>
      </c>
      <c r="U28" s="164">
        <v>1</v>
      </c>
      <c r="V28" s="155">
        <v>7909.692</v>
      </c>
      <c r="W28" s="155">
        <v>7909.692</v>
      </c>
      <c r="X28" s="166">
        <v>0</v>
      </c>
      <c r="Y28" s="166">
        <v>2.97066908222305E-2</v>
      </c>
      <c r="Z28" s="166">
        <v>4.0658880105456704E-3</v>
      </c>
    </row>
    <row r="29" spans="1:26">
      <c r="A29" s="3">
        <v>161</v>
      </c>
      <c r="B29" s="3">
        <v>9943</v>
      </c>
      <c r="C29" s="3" t="s">
        <v>1864</v>
      </c>
      <c r="D29" s="3" t="s">
        <v>1865</v>
      </c>
      <c r="E29" s="3" t="s">
        <v>935</v>
      </c>
      <c r="F29" s="3" t="s">
        <v>1866</v>
      </c>
      <c r="G29" s="3">
        <v>27970057</v>
      </c>
      <c r="H29" s="3" t="s">
        <v>33</v>
      </c>
      <c r="I29" s="3" t="s">
        <v>1736</v>
      </c>
      <c r="J29" s="3" t="s">
        <v>1757</v>
      </c>
      <c r="K29" s="3" t="s">
        <v>81</v>
      </c>
      <c r="L29" s="3" t="s">
        <v>1867</v>
      </c>
      <c r="M29" s="3" t="s">
        <v>1868</v>
      </c>
      <c r="N29" s="3" t="s">
        <v>1224</v>
      </c>
      <c r="O29" s="3" t="s">
        <v>156</v>
      </c>
      <c r="P29" s="180" t="s">
        <v>1753</v>
      </c>
      <c r="Q29" s="3" t="s">
        <v>86</v>
      </c>
      <c r="R29" s="3" t="s">
        <v>131</v>
      </c>
      <c r="S29" s="3" t="s">
        <v>1564</v>
      </c>
      <c r="T29" s="182" t="s">
        <v>1753</v>
      </c>
      <c r="U29" s="164">
        <v>3.306</v>
      </c>
      <c r="V29" s="155">
        <v>407.5</v>
      </c>
      <c r="W29" s="155">
        <v>1347.194</v>
      </c>
      <c r="X29" s="166">
        <v>0</v>
      </c>
      <c r="Y29" s="166">
        <v>5.0597024626795701E-3</v>
      </c>
      <c r="Z29" s="166">
        <v>6.9251010498087601E-4</v>
      </c>
    </row>
    <row r="30" spans="1:26">
      <c r="A30" s="3">
        <v>161</v>
      </c>
      <c r="B30" s="3">
        <v>9943</v>
      </c>
      <c r="C30" s="3" t="s">
        <v>1869</v>
      </c>
      <c r="D30" s="3" t="s">
        <v>1870</v>
      </c>
      <c r="E30" s="3" t="s">
        <v>33</v>
      </c>
      <c r="F30" s="3" t="s">
        <v>1871</v>
      </c>
      <c r="G30" s="3">
        <v>27970028</v>
      </c>
      <c r="H30" s="3" t="s">
        <v>33</v>
      </c>
      <c r="I30" s="3" t="s">
        <v>1736</v>
      </c>
      <c r="J30" s="3" t="s">
        <v>1803</v>
      </c>
      <c r="K30" s="3" t="s">
        <v>81</v>
      </c>
      <c r="L30" s="3" t="s">
        <v>1224</v>
      </c>
      <c r="M30" s="3" t="s">
        <v>1872</v>
      </c>
      <c r="N30" s="3" t="s">
        <v>237</v>
      </c>
      <c r="O30" s="3" t="s">
        <v>156</v>
      </c>
      <c r="P30" s="180" t="s">
        <v>1873</v>
      </c>
      <c r="Q30" s="3" t="s">
        <v>1245</v>
      </c>
      <c r="R30" s="3" t="s">
        <v>131</v>
      </c>
      <c r="S30" s="3" t="s">
        <v>1564</v>
      </c>
      <c r="T30" s="182" t="s">
        <v>1746</v>
      </c>
      <c r="U30" s="164">
        <v>3.8807</v>
      </c>
      <c r="V30" s="155">
        <v>417.03699999999998</v>
      </c>
      <c r="W30" s="155">
        <v>1618.396</v>
      </c>
      <c r="X30" s="166">
        <v>0</v>
      </c>
      <c r="Y30" s="166">
        <v>6.0782649131604898E-3</v>
      </c>
      <c r="Z30" s="166">
        <v>8.3191845847891104E-4</v>
      </c>
    </row>
    <row r="31" spans="1:26">
      <c r="A31" s="3">
        <v>161</v>
      </c>
      <c r="B31" s="3">
        <v>9943</v>
      </c>
      <c r="C31" s="3" t="s">
        <v>1874</v>
      </c>
      <c r="D31" s="3" t="s">
        <v>1875</v>
      </c>
      <c r="E31" s="3" t="s">
        <v>33</v>
      </c>
      <c r="F31" s="3" t="s">
        <v>1876</v>
      </c>
      <c r="G31" s="3">
        <v>27970056</v>
      </c>
      <c r="H31" s="3" t="s">
        <v>33</v>
      </c>
      <c r="I31" s="3" t="s">
        <v>1736</v>
      </c>
      <c r="J31" s="3" t="s">
        <v>1757</v>
      </c>
      <c r="K31" s="3" t="s">
        <v>81</v>
      </c>
      <c r="L31" s="3" t="s">
        <v>82</v>
      </c>
      <c r="M31" s="3" t="s">
        <v>1877</v>
      </c>
      <c r="N31" s="3" t="s">
        <v>82</v>
      </c>
      <c r="O31" s="3" t="s">
        <v>156</v>
      </c>
      <c r="P31" s="180" t="s">
        <v>1878</v>
      </c>
      <c r="Q31" s="3" t="s">
        <v>86</v>
      </c>
      <c r="R31" s="3" t="s">
        <v>131</v>
      </c>
      <c r="S31" s="3" t="s">
        <v>1647</v>
      </c>
      <c r="T31" s="182" t="s">
        <v>1566</v>
      </c>
      <c r="U31" s="164">
        <v>3.306</v>
      </c>
      <c r="V31" s="155">
        <v>323.21300000000002</v>
      </c>
      <c r="W31" s="155">
        <v>1068.5409999999999</v>
      </c>
      <c r="X31" s="166">
        <v>0</v>
      </c>
      <c r="Y31" s="166">
        <v>4.0131541877224501E-3</v>
      </c>
      <c r="Z31" s="166">
        <v>5.4927139458163E-4</v>
      </c>
    </row>
    <row r="32" spans="1:26">
      <c r="A32" s="3">
        <v>161</v>
      </c>
      <c r="B32" s="3">
        <v>9943</v>
      </c>
      <c r="C32" s="3" t="s">
        <v>1879</v>
      </c>
      <c r="D32" s="3" t="s">
        <v>1880</v>
      </c>
      <c r="E32" s="3" t="s">
        <v>131</v>
      </c>
      <c r="F32" s="3" t="s">
        <v>1879</v>
      </c>
      <c r="G32" s="3">
        <v>27970053</v>
      </c>
      <c r="H32" s="3" t="s">
        <v>33</v>
      </c>
      <c r="I32" s="3" t="s">
        <v>1736</v>
      </c>
      <c r="J32" s="3" t="s">
        <v>1757</v>
      </c>
      <c r="K32" s="3" t="s">
        <v>81</v>
      </c>
      <c r="L32" s="3" t="s">
        <v>1310</v>
      </c>
      <c r="M32" s="3" t="s">
        <v>1881</v>
      </c>
      <c r="N32" s="3" t="s">
        <v>1310</v>
      </c>
      <c r="O32" s="3" t="s">
        <v>156</v>
      </c>
      <c r="P32" s="180" t="s">
        <v>1882</v>
      </c>
      <c r="Q32" s="3" t="s">
        <v>1245</v>
      </c>
      <c r="R32" s="3" t="s">
        <v>131</v>
      </c>
      <c r="S32" s="3" t="s">
        <v>1564</v>
      </c>
      <c r="T32" s="182" t="s">
        <v>1753</v>
      </c>
      <c r="U32" s="164">
        <v>3.8807</v>
      </c>
      <c r="V32" s="155">
        <v>569.19399999999996</v>
      </c>
      <c r="W32" s="155">
        <v>2208.87</v>
      </c>
      <c r="X32" s="166">
        <v>0</v>
      </c>
      <c r="Y32" s="166">
        <v>8.2959264103732999E-3</v>
      </c>
      <c r="Z32" s="166">
        <v>1.13544480366909E-3</v>
      </c>
    </row>
    <row r="33" spans="1:26">
      <c r="A33" s="3">
        <v>161</v>
      </c>
      <c r="B33" s="3">
        <v>9943</v>
      </c>
      <c r="C33" s="3" t="s">
        <v>1883</v>
      </c>
      <c r="D33" s="3" t="s">
        <v>191</v>
      </c>
      <c r="E33" s="3" t="s">
        <v>149</v>
      </c>
      <c r="F33" s="3" t="s">
        <v>1884</v>
      </c>
      <c r="G33" s="3">
        <v>27970040</v>
      </c>
      <c r="H33" s="3" t="s">
        <v>33</v>
      </c>
      <c r="I33" s="3" t="s">
        <v>1736</v>
      </c>
      <c r="J33" s="3" t="s">
        <v>1757</v>
      </c>
      <c r="K33" s="3" t="s">
        <v>81</v>
      </c>
      <c r="L33" s="3" t="s">
        <v>1635</v>
      </c>
      <c r="M33" s="3" t="s">
        <v>1885</v>
      </c>
      <c r="N33" s="3" t="s">
        <v>82</v>
      </c>
      <c r="O33" s="3" t="s">
        <v>156</v>
      </c>
      <c r="P33" s="180" t="s">
        <v>1886</v>
      </c>
      <c r="Q33" s="3" t="s">
        <v>86</v>
      </c>
      <c r="R33" s="3" t="s">
        <v>131</v>
      </c>
      <c r="S33" s="3" t="s">
        <v>1564</v>
      </c>
      <c r="T33" s="182" t="s">
        <v>1887</v>
      </c>
      <c r="U33" s="164">
        <v>3.306</v>
      </c>
      <c r="V33" s="155">
        <v>866.61</v>
      </c>
      <c r="W33" s="155">
        <v>2865.0129999999999</v>
      </c>
      <c r="X33" s="166">
        <v>0</v>
      </c>
      <c r="Y33" s="166">
        <v>1.0760222283240599E-2</v>
      </c>
      <c r="Z33" s="166">
        <v>1.47272744157335E-3</v>
      </c>
    </row>
    <row r="34" spans="1:26">
      <c r="A34" s="3">
        <v>161</v>
      </c>
      <c r="B34" s="3">
        <v>9943</v>
      </c>
      <c r="C34" s="3" t="s">
        <v>1888</v>
      </c>
      <c r="D34" s="3" t="s">
        <v>1889</v>
      </c>
      <c r="E34" s="3" t="s">
        <v>149</v>
      </c>
      <c r="F34" s="3" t="s">
        <v>1890</v>
      </c>
      <c r="G34" s="3">
        <v>27970026</v>
      </c>
      <c r="H34" s="3" t="s">
        <v>33</v>
      </c>
      <c r="I34" s="3" t="s">
        <v>1736</v>
      </c>
      <c r="J34" s="3" t="s">
        <v>1820</v>
      </c>
      <c r="K34" s="3" t="s">
        <v>81</v>
      </c>
      <c r="L34" s="3" t="s">
        <v>1867</v>
      </c>
      <c r="M34" s="3" t="s">
        <v>1891</v>
      </c>
      <c r="N34" s="3" t="s">
        <v>237</v>
      </c>
      <c r="O34" s="3" t="s">
        <v>156</v>
      </c>
      <c r="P34" s="180" t="s">
        <v>1892</v>
      </c>
      <c r="Q34" s="3" t="s">
        <v>1245</v>
      </c>
      <c r="R34" s="3" t="s">
        <v>131</v>
      </c>
      <c r="S34" s="3" t="s">
        <v>1647</v>
      </c>
      <c r="T34" s="182" t="s">
        <v>1843</v>
      </c>
      <c r="U34" s="164">
        <v>3.8807</v>
      </c>
      <c r="V34" s="155">
        <v>1297.4369999999999</v>
      </c>
      <c r="W34" s="155">
        <v>5034.9639999999999</v>
      </c>
      <c r="X34" s="166">
        <v>0</v>
      </c>
      <c r="Y34" s="166">
        <v>1.89099810491286E-2</v>
      </c>
      <c r="Z34" s="166">
        <v>2.58816660823634E-3</v>
      </c>
    </row>
    <row r="35" spans="1:26">
      <c r="A35" s="3">
        <v>161</v>
      </c>
      <c r="B35" s="3">
        <v>9943</v>
      </c>
      <c r="C35" s="3" t="s">
        <v>1893</v>
      </c>
      <c r="D35" s="3" t="s">
        <v>1894</v>
      </c>
      <c r="E35" s="3" t="s">
        <v>913</v>
      </c>
      <c r="F35" s="3" t="s">
        <v>1895</v>
      </c>
      <c r="G35" s="3">
        <v>27970049</v>
      </c>
      <c r="H35" s="3" t="s">
        <v>33</v>
      </c>
      <c r="I35" s="3" t="s">
        <v>1736</v>
      </c>
      <c r="J35" s="3" t="s">
        <v>1757</v>
      </c>
      <c r="K35" s="3" t="s">
        <v>81</v>
      </c>
      <c r="L35" s="3" t="s">
        <v>82</v>
      </c>
      <c r="M35" s="3" t="s">
        <v>1896</v>
      </c>
      <c r="N35" s="3" t="s">
        <v>82</v>
      </c>
      <c r="O35" s="3" t="s">
        <v>156</v>
      </c>
      <c r="P35" s="180" t="s">
        <v>1897</v>
      </c>
      <c r="Q35" s="3" t="s">
        <v>86</v>
      </c>
      <c r="R35" s="3" t="s">
        <v>131</v>
      </c>
      <c r="S35" s="3" t="s">
        <v>1564</v>
      </c>
      <c r="T35" s="182" t="s">
        <v>1760</v>
      </c>
      <c r="U35" s="164">
        <v>3.306</v>
      </c>
      <c r="V35" s="155">
        <v>1609.94</v>
      </c>
      <c r="W35" s="155">
        <v>5322.4610000000002</v>
      </c>
      <c r="X35" s="166">
        <v>0</v>
      </c>
      <c r="Y35" s="166">
        <v>1.9989740842324199E-2</v>
      </c>
      <c r="Z35" s="166">
        <v>2.7359509044979002E-3</v>
      </c>
    </row>
    <row r="36" spans="1:26">
      <c r="A36" s="3">
        <v>161</v>
      </c>
      <c r="B36" s="3">
        <v>9943</v>
      </c>
      <c r="C36" s="3" t="s">
        <v>1898</v>
      </c>
      <c r="D36" s="3" t="s">
        <v>1899</v>
      </c>
      <c r="E36" s="3" t="s">
        <v>33</v>
      </c>
      <c r="F36" s="3" t="s">
        <v>1900</v>
      </c>
      <c r="G36" s="3">
        <v>27970023</v>
      </c>
      <c r="H36" s="3" t="s">
        <v>33</v>
      </c>
      <c r="I36" s="3" t="s">
        <v>1736</v>
      </c>
      <c r="J36" s="3" t="s">
        <v>1820</v>
      </c>
      <c r="K36" s="3" t="s">
        <v>81</v>
      </c>
      <c r="L36" s="3" t="s">
        <v>82</v>
      </c>
      <c r="M36" s="3" t="s">
        <v>1901</v>
      </c>
      <c r="N36" s="3" t="s">
        <v>237</v>
      </c>
      <c r="O36" s="3" t="s">
        <v>156</v>
      </c>
      <c r="P36" s="180" t="s">
        <v>1902</v>
      </c>
      <c r="Q36" s="3" t="s">
        <v>86</v>
      </c>
      <c r="R36" s="3" t="s">
        <v>131</v>
      </c>
      <c r="S36" s="3" t="s">
        <v>1647</v>
      </c>
      <c r="T36" s="182" t="s">
        <v>1760</v>
      </c>
      <c r="U36" s="164">
        <v>3.306</v>
      </c>
      <c r="V36" s="155">
        <v>1452.644</v>
      </c>
      <c r="W36" s="155">
        <v>4802.442</v>
      </c>
      <c r="X36" s="166">
        <v>0</v>
      </c>
      <c r="Y36" s="166">
        <v>1.8036690683677699E-2</v>
      </c>
      <c r="Z36" s="166">
        <v>2.4686413185344399E-3</v>
      </c>
    </row>
    <row r="37" spans="1:26">
      <c r="A37" s="3">
        <v>161</v>
      </c>
      <c r="B37" s="3">
        <v>9943</v>
      </c>
      <c r="C37" s="3" t="s">
        <v>1903</v>
      </c>
      <c r="D37" s="3" t="s">
        <v>1904</v>
      </c>
      <c r="E37" s="3" t="s">
        <v>935</v>
      </c>
      <c r="F37" s="3" t="s">
        <v>1905</v>
      </c>
      <c r="G37" s="3">
        <v>27970048</v>
      </c>
      <c r="H37" s="3" t="s">
        <v>33</v>
      </c>
      <c r="I37" s="3" t="s">
        <v>1906</v>
      </c>
      <c r="J37" s="3" t="s">
        <v>1757</v>
      </c>
      <c r="K37" s="3" t="s">
        <v>81</v>
      </c>
      <c r="L37" s="3" t="s">
        <v>1907</v>
      </c>
      <c r="M37" s="3" t="s">
        <v>1908</v>
      </c>
      <c r="N37" s="3" t="s">
        <v>82</v>
      </c>
      <c r="O37" s="3" t="s">
        <v>156</v>
      </c>
      <c r="P37" s="180" t="s">
        <v>1909</v>
      </c>
      <c r="Q37" s="3" t="s">
        <v>86</v>
      </c>
      <c r="R37" s="3" t="s">
        <v>131</v>
      </c>
      <c r="S37" s="3" t="s">
        <v>1564</v>
      </c>
      <c r="T37" s="182" t="s">
        <v>1760</v>
      </c>
      <c r="U37" s="164">
        <v>3.306</v>
      </c>
      <c r="V37" s="155">
        <v>785.02099999999996</v>
      </c>
      <c r="W37" s="155">
        <v>2595.2800000000002</v>
      </c>
      <c r="X37" s="166">
        <v>0</v>
      </c>
      <c r="Y37" s="166">
        <v>9.7471775312273808E-3</v>
      </c>
      <c r="Z37" s="166">
        <v>1.33407428306422E-3</v>
      </c>
    </row>
    <row r="38" spans="1:26">
      <c r="A38" s="3">
        <v>161</v>
      </c>
      <c r="B38" s="3">
        <v>9943</v>
      </c>
      <c r="C38" s="3" t="s">
        <v>1801</v>
      </c>
      <c r="D38" s="3" t="s">
        <v>1796</v>
      </c>
      <c r="E38" s="3" t="s">
        <v>913</v>
      </c>
      <c r="F38" s="3" t="s">
        <v>1910</v>
      </c>
      <c r="G38" s="3">
        <v>27970038</v>
      </c>
      <c r="H38" s="3" t="s">
        <v>33</v>
      </c>
      <c r="I38" s="3" t="s">
        <v>1736</v>
      </c>
      <c r="J38" s="3" t="s">
        <v>1803</v>
      </c>
      <c r="K38" s="3" t="s">
        <v>30</v>
      </c>
      <c r="L38" s="3" t="s">
        <v>1635</v>
      </c>
      <c r="M38" s="3" t="s">
        <v>1804</v>
      </c>
      <c r="N38" s="3" t="s">
        <v>30</v>
      </c>
      <c r="O38" s="3" t="s">
        <v>156</v>
      </c>
      <c r="P38" s="180" t="s">
        <v>1799</v>
      </c>
      <c r="Q38" s="3" t="s">
        <v>34</v>
      </c>
      <c r="R38" s="3" t="s">
        <v>1739</v>
      </c>
      <c r="S38" s="3" t="s">
        <v>1647</v>
      </c>
      <c r="T38" s="182" t="s">
        <v>1800</v>
      </c>
      <c r="U38" s="164">
        <v>1</v>
      </c>
      <c r="V38" s="155">
        <v>2464.2570000000001</v>
      </c>
      <c r="W38" s="155">
        <v>2464.2570000000001</v>
      </c>
      <c r="X38" s="166">
        <v>0</v>
      </c>
      <c r="Y38" s="166">
        <v>9.2550910693119104E-3</v>
      </c>
      <c r="Z38" s="166">
        <v>1.2667235149282799E-3</v>
      </c>
    </row>
    <row r="39" spans="1:26">
      <c r="A39" s="3">
        <v>161</v>
      </c>
      <c r="B39" s="3">
        <v>9943</v>
      </c>
      <c r="C39" s="3" t="s">
        <v>1911</v>
      </c>
      <c r="D39" s="3" t="s">
        <v>1912</v>
      </c>
      <c r="E39" s="3" t="s">
        <v>33</v>
      </c>
      <c r="F39" s="3" t="s">
        <v>1913</v>
      </c>
      <c r="G39" s="3">
        <v>27970045</v>
      </c>
      <c r="H39" s="3" t="s">
        <v>33</v>
      </c>
      <c r="I39" s="3" t="s">
        <v>1764</v>
      </c>
      <c r="J39" s="3" t="s">
        <v>1803</v>
      </c>
      <c r="K39" s="3" t="s">
        <v>81</v>
      </c>
      <c r="L39" s="3" t="s">
        <v>82</v>
      </c>
      <c r="M39" s="3" t="s">
        <v>1914</v>
      </c>
      <c r="N39" s="3" t="s">
        <v>82</v>
      </c>
      <c r="O39" s="3" t="s">
        <v>156</v>
      </c>
      <c r="P39" s="180" t="s">
        <v>1915</v>
      </c>
      <c r="Q39" s="3" t="s">
        <v>86</v>
      </c>
      <c r="R39" s="3" t="s">
        <v>131</v>
      </c>
      <c r="S39" s="3" t="s">
        <v>1564</v>
      </c>
      <c r="T39" s="182" t="s">
        <v>1566</v>
      </c>
      <c r="U39" s="164">
        <v>3.306</v>
      </c>
      <c r="V39" s="155">
        <v>3293.4520000000002</v>
      </c>
      <c r="W39" s="155">
        <v>10888.151</v>
      </c>
      <c r="X39" s="166">
        <v>0</v>
      </c>
      <c r="Y39" s="166">
        <v>4.0892988716115998E-2</v>
      </c>
      <c r="Z39" s="166">
        <v>5.59693146339318E-3</v>
      </c>
    </row>
    <row r="40" spans="1:26">
      <c r="A40" s="3">
        <v>161</v>
      </c>
      <c r="B40" s="3">
        <v>9943</v>
      </c>
      <c r="C40" s="3" t="s">
        <v>1916</v>
      </c>
      <c r="D40" s="3" t="s">
        <v>1917</v>
      </c>
      <c r="E40" s="3" t="s">
        <v>33</v>
      </c>
      <c r="F40" s="3" t="s">
        <v>1918</v>
      </c>
      <c r="G40" s="3">
        <v>27970050</v>
      </c>
      <c r="H40" s="3" t="s">
        <v>33</v>
      </c>
      <c r="I40" s="3" t="s">
        <v>1764</v>
      </c>
      <c r="J40" s="3" t="s">
        <v>1757</v>
      </c>
      <c r="K40" s="3" t="s">
        <v>81</v>
      </c>
      <c r="L40" s="3" t="s">
        <v>82</v>
      </c>
      <c r="M40" s="3" t="s">
        <v>1919</v>
      </c>
      <c r="N40" s="3" t="s">
        <v>82</v>
      </c>
      <c r="O40" s="3" t="s">
        <v>156</v>
      </c>
      <c r="P40" s="180" t="s">
        <v>1920</v>
      </c>
      <c r="Q40" s="3" t="s">
        <v>86</v>
      </c>
      <c r="R40" s="3" t="s">
        <v>131</v>
      </c>
      <c r="S40" s="3" t="s">
        <v>1564</v>
      </c>
      <c r="T40" s="182" t="s">
        <v>1921</v>
      </c>
      <c r="U40" s="164">
        <v>3.306</v>
      </c>
      <c r="V40" s="155">
        <v>2025.9349999999999</v>
      </c>
      <c r="W40" s="155">
        <v>6697.7389999999996</v>
      </c>
      <c r="X40" s="166">
        <v>0</v>
      </c>
      <c r="Y40" s="166">
        <v>2.5154920401752798E-2</v>
      </c>
      <c r="Z40" s="166">
        <v>3.4428974226634501E-3</v>
      </c>
    </row>
    <row r="41" spans="1:26">
      <c r="A41" s="3">
        <v>161</v>
      </c>
      <c r="B41" s="3">
        <v>9943</v>
      </c>
      <c r="C41" s="3" t="s">
        <v>1922</v>
      </c>
      <c r="D41" s="3" t="s">
        <v>1923</v>
      </c>
      <c r="E41" s="3" t="s">
        <v>33</v>
      </c>
      <c r="F41" s="3" t="s">
        <v>1924</v>
      </c>
      <c r="G41" s="3">
        <v>27970055</v>
      </c>
      <c r="H41" s="3" t="s">
        <v>33</v>
      </c>
      <c r="I41" s="3" t="s">
        <v>1906</v>
      </c>
      <c r="J41" s="3" t="s">
        <v>1757</v>
      </c>
      <c r="K41" s="3" t="s">
        <v>81</v>
      </c>
      <c r="L41" s="3" t="s">
        <v>1635</v>
      </c>
      <c r="M41" s="3" t="s">
        <v>1925</v>
      </c>
      <c r="N41" s="3" t="s">
        <v>82</v>
      </c>
      <c r="O41" s="3" t="s">
        <v>156</v>
      </c>
      <c r="P41" s="180" t="s">
        <v>1926</v>
      </c>
      <c r="Q41" s="3" t="s">
        <v>86</v>
      </c>
      <c r="R41" s="3" t="s">
        <v>131</v>
      </c>
      <c r="S41" s="3" t="s">
        <v>1647</v>
      </c>
      <c r="T41" s="182" t="s">
        <v>1566</v>
      </c>
      <c r="U41" s="164">
        <v>3.306</v>
      </c>
      <c r="V41" s="155">
        <v>1367.7539999999999</v>
      </c>
      <c r="W41" s="155">
        <v>4521.7939999999999</v>
      </c>
      <c r="X41" s="166">
        <v>0</v>
      </c>
      <c r="Y41" s="166">
        <v>1.6982650071815299E-2</v>
      </c>
      <c r="Z41" s="166">
        <v>2.3243771488211098E-3</v>
      </c>
    </row>
    <row r="42" spans="1:26">
      <c r="A42" s="3">
        <v>161</v>
      </c>
      <c r="B42" s="3">
        <v>9943</v>
      </c>
      <c r="C42" s="3" t="s">
        <v>1927</v>
      </c>
      <c r="D42" s="3" t="s">
        <v>1928</v>
      </c>
      <c r="E42" s="3" t="s">
        <v>33</v>
      </c>
      <c r="F42" s="3" t="s">
        <v>1929</v>
      </c>
      <c r="G42" s="3">
        <v>27970051</v>
      </c>
      <c r="H42" s="3" t="s">
        <v>33</v>
      </c>
      <c r="I42" s="3" t="s">
        <v>1736</v>
      </c>
      <c r="J42" s="3" t="s">
        <v>1757</v>
      </c>
      <c r="K42" s="3" t="s">
        <v>81</v>
      </c>
      <c r="L42" s="3" t="s">
        <v>82</v>
      </c>
      <c r="M42" s="3" t="s">
        <v>1930</v>
      </c>
      <c r="N42" s="3" t="s">
        <v>82</v>
      </c>
      <c r="O42" s="3" t="s">
        <v>156</v>
      </c>
      <c r="P42" s="180" t="s">
        <v>1931</v>
      </c>
      <c r="Q42" s="3" t="s">
        <v>86</v>
      </c>
      <c r="R42" s="3" t="s">
        <v>131</v>
      </c>
      <c r="S42" s="3" t="s">
        <v>1564</v>
      </c>
      <c r="T42" s="182" t="s">
        <v>1932</v>
      </c>
      <c r="U42" s="164">
        <v>3.306</v>
      </c>
      <c r="V42" s="155">
        <v>269.21899999999999</v>
      </c>
      <c r="W42" s="155">
        <v>890.03700000000003</v>
      </c>
      <c r="X42" s="166">
        <v>0</v>
      </c>
      <c r="Y42" s="166">
        <v>3.3427394499736798E-3</v>
      </c>
      <c r="Z42" s="166">
        <v>4.5751323610421202E-4</v>
      </c>
    </row>
    <row r="43" spans="1:26">
      <c r="A43" s="3">
        <v>161</v>
      </c>
      <c r="B43" s="3">
        <v>9943</v>
      </c>
      <c r="C43" s="3" t="s">
        <v>1790</v>
      </c>
      <c r="D43" s="3" t="s">
        <v>1848</v>
      </c>
      <c r="E43" s="3" t="s">
        <v>149</v>
      </c>
      <c r="F43" s="3" t="s">
        <v>1849</v>
      </c>
      <c r="G43" s="3">
        <v>27970046</v>
      </c>
      <c r="H43" s="3" t="s">
        <v>33</v>
      </c>
      <c r="I43" s="3" t="s">
        <v>1736</v>
      </c>
      <c r="J43" s="3" t="s">
        <v>1793</v>
      </c>
      <c r="K43" s="3" t="s">
        <v>30</v>
      </c>
      <c r="L43" s="3" t="s">
        <v>30</v>
      </c>
      <c r="M43" s="3" t="s">
        <v>1794</v>
      </c>
      <c r="N43" s="3" t="s">
        <v>30</v>
      </c>
      <c r="O43" s="3" t="s">
        <v>156</v>
      </c>
      <c r="P43" s="180" t="s">
        <v>1933</v>
      </c>
      <c r="Q43" s="3" t="s">
        <v>86</v>
      </c>
      <c r="R43" s="3" t="s">
        <v>131</v>
      </c>
      <c r="S43" s="3" t="s">
        <v>1647</v>
      </c>
      <c r="T43" s="182" t="s">
        <v>1843</v>
      </c>
      <c r="U43" s="164">
        <v>3.306</v>
      </c>
      <c r="V43" s="155">
        <v>1294.26</v>
      </c>
      <c r="W43" s="155">
        <v>4278.8230000000003</v>
      </c>
      <c r="X43" s="166">
        <v>0</v>
      </c>
      <c r="Y43" s="166">
        <v>1.6070116521011299E-2</v>
      </c>
      <c r="Z43" s="166">
        <v>2.1994807325343702E-3</v>
      </c>
    </row>
    <row r="44" spans="1:26">
      <c r="A44" s="3">
        <v>161</v>
      </c>
      <c r="B44" s="3">
        <v>9943</v>
      </c>
      <c r="C44" s="3" t="s">
        <v>1934</v>
      </c>
      <c r="D44" s="3" t="s">
        <v>1777</v>
      </c>
      <c r="E44" s="3" t="s">
        <v>817</v>
      </c>
      <c r="F44" s="3" t="s">
        <v>1935</v>
      </c>
      <c r="G44" s="3">
        <v>604051641</v>
      </c>
      <c r="H44" s="3" t="s">
        <v>33</v>
      </c>
      <c r="I44" s="3" t="s">
        <v>1764</v>
      </c>
      <c r="J44" s="3" t="s">
        <v>1750</v>
      </c>
      <c r="K44" s="3" t="s">
        <v>81</v>
      </c>
      <c r="L44" s="3" t="s">
        <v>1635</v>
      </c>
      <c r="M44" s="3" t="s">
        <v>1936</v>
      </c>
      <c r="N44" s="3" t="s">
        <v>82</v>
      </c>
      <c r="O44" s="3" t="s">
        <v>156</v>
      </c>
      <c r="P44" s="180" t="s">
        <v>1937</v>
      </c>
      <c r="Q44" s="3" t="s">
        <v>86</v>
      </c>
      <c r="R44" s="3" t="s">
        <v>1774</v>
      </c>
      <c r="S44" s="3" t="s">
        <v>1564</v>
      </c>
      <c r="T44" s="182" t="s">
        <v>1753</v>
      </c>
      <c r="U44" s="164">
        <v>3.306</v>
      </c>
      <c r="V44" s="155">
        <v>315.49400000000003</v>
      </c>
      <c r="W44" s="155">
        <v>1043.0229999999999</v>
      </c>
      <c r="X44" s="166">
        <v>0</v>
      </c>
      <c r="Y44" s="166">
        <v>3.9173154387288998E-3</v>
      </c>
      <c r="Z44" s="166">
        <v>5.3615416039319705E-4</v>
      </c>
    </row>
    <row r="45" spans="1:26">
      <c r="A45" s="3">
        <v>161</v>
      </c>
      <c r="B45" s="3">
        <v>9943</v>
      </c>
      <c r="C45" s="3" t="s">
        <v>1938</v>
      </c>
      <c r="D45" s="3" t="s">
        <v>1939</v>
      </c>
      <c r="E45" s="3" t="s">
        <v>913</v>
      </c>
      <c r="F45" s="3" t="s">
        <v>1940</v>
      </c>
      <c r="G45" s="3">
        <v>62000074</v>
      </c>
      <c r="H45" s="3" t="s">
        <v>33</v>
      </c>
      <c r="I45" s="3" t="s">
        <v>1785</v>
      </c>
      <c r="J45" s="3" t="s">
        <v>1786</v>
      </c>
      <c r="K45" s="3" t="s">
        <v>81</v>
      </c>
      <c r="L45" s="3" t="s">
        <v>82</v>
      </c>
      <c r="M45" s="3" t="s">
        <v>1941</v>
      </c>
      <c r="N45" s="3" t="s">
        <v>82</v>
      </c>
      <c r="O45" s="3" t="s">
        <v>156</v>
      </c>
      <c r="P45" s="180" t="s">
        <v>1942</v>
      </c>
      <c r="Q45" s="3" t="s">
        <v>86</v>
      </c>
      <c r="R45" s="3" t="s">
        <v>131</v>
      </c>
      <c r="S45" s="3" t="s">
        <v>1647</v>
      </c>
      <c r="T45" s="182" t="s">
        <v>1746</v>
      </c>
      <c r="U45" s="164">
        <v>3.306</v>
      </c>
      <c r="V45" s="155">
        <v>862.58799999999997</v>
      </c>
      <c r="W45" s="155">
        <v>2851.7139999999999</v>
      </c>
      <c r="X45" s="166">
        <v>0</v>
      </c>
      <c r="Y45" s="166">
        <v>1.07102771012852E-2</v>
      </c>
      <c r="Z45" s="166">
        <v>1.4658915567650401E-3</v>
      </c>
    </row>
    <row r="46" spans="1:26">
      <c r="A46" s="3">
        <v>161</v>
      </c>
      <c r="B46" s="3">
        <v>9943</v>
      </c>
      <c r="C46" s="3" t="s">
        <v>1943</v>
      </c>
      <c r="D46" s="3" t="s">
        <v>1939</v>
      </c>
      <c r="E46" s="3" t="s">
        <v>913</v>
      </c>
      <c r="F46" s="3" t="s">
        <v>1944</v>
      </c>
      <c r="G46" s="3">
        <v>60390077</v>
      </c>
      <c r="H46" s="3" t="s">
        <v>33</v>
      </c>
      <c r="I46" s="3" t="s">
        <v>1785</v>
      </c>
      <c r="J46" s="3" t="s">
        <v>1786</v>
      </c>
      <c r="K46" s="3" t="s">
        <v>81</v>
      </c>
      <c r="L46" s="3" t="s">
        <v>82</v>
      </c>
      <c r="M46" s="3" t="s">
        <v>1941</v>
      </c>
      <c r="N46" s="3" t="s">
        <v>82</v>
      </c>
      <c r="O46" s="3" t="s">
        <v>156</v>
      </c>
      <c r="P46" s="180" t="s">
        <v>1945</v>
      </c>
      <c r="Q46" s="3" t="s">
        <v>86</v>
      </c>
      <c r="R46" s="3" t="s">
        <v>131</v>
      </c>
      <c r="S46" s="3" t="s">
        <v>1647</v>
      </c>
      <c r="T46" s="182" t="s">
        <v>1946</v>
      </c>
      <c r="U46" s="164">
        <v>3.306</v>
      </c>
      <c r="V46" s="155">
        <v>585.04499999999996</v>
      </c>
      <c r="W46" s="155">
        <v>1934.1590000000001</v>
      </c>
      <c r="X46" s="166">
        <v>0</v>
      </c>
      <c r="Y46" s="166">
        <v>7.2641837108947298E-3</v>
      </c>
      <c r="Z46" s="166">
        <v>9.9423249911180598E-4</v>
      </c>
    </row>
    <row r="47" spans="1:26">
      <c r="A47" s="3">
        <v>161</v>
      </c>
      <c r="B47" s="3">
        <v>9943</v>
      </c>
      <c r="C47" s="3" t="s">
        <v>1947</v>
      </c>
      <c r="D47" s="3" t="s">
        <v>1948</v>
      </c>
      <c r="E47" s="3" t="s">
        <v>33</v>
      </c>
      <c r="F47" s="3" t="s">
        <v>1949</v>
      </c>
      <c r="G47" s="3">
        <v>60398484</v>
      </c>
      <c r="H47" s="3" t="s">
        <v>33</v>
      </c>
      <c r="I47" s="3" t="s">
        <v>1736</v>
      </c>
      <c r="J47" s="3" t="s">
        <v>1793</v>
      </c>
      <c r="K47" s="3" t="s">
        <v>81</v>
      </c>
      <c r="L47" s="3" t="s">
        <v>1744</v>
      </c>
      <c r="M47" s="3" t="s">
        <v>1950</v>
      </c>
      <c r="N47" s="3" t="s">
        <v>30</v>
      </c>
      <c r="O47" s="3" t="s">
        <v>156</v>
      </c>
      <c r="P47" s="180" t="s">
        <v>1951</v>
      </c>
      <c r="Q47" s="3" t="s">
        <v>86</v>
      </c>
      <c r="R47" s="3" t="s">
        <v>131</v>
      </c>
      <c r="S47" s="3" t="s">
        <v>1564</v>
      </c>
      <c r="T47" s="182" t="s">
        <v>1952</v>
      </c>
      <c r="U47" s="164">
        <v>3.306</v>
      </c>
      <c r="V47" s="155">
        <v>1587.923</v>
      </c>
      <c r="W47" s="155">
        <v>5249.674</v>
      </c>
      <c r="X47" s="166">
        <v>0</v>
      </c>
      <c r="Y47" s="166">
        <v>1.9716374343161699E-2</v>
      </c>
      <c r="Z47" s="166">
        <v>2.6985358461165802E-3</v>
      </c>
    </row>
    <row r="48" spans="1:26">
      <c r="A48" s="3">
        <v>161</v>
      </c>
      <c r="B48" s="3">
        <v>9943</v>
      </c>
      <c r="C48" s="3" t="s">
        <v>1953</v>
      </c>
      <c r="D48" s="3" t="s">
        <v>1954</v>
      </c>
      <c r="E48" s="3" t="s">
        <v>935</v>
      </c>
      <c r="F48" s="3" t="s">
        <v>1955</v>
      </c>
      <c r="G48" s="3">
        <v>27970054</v>
      </c>
      <c r="H48" s="3" t="s">
        <v>33</v>
      </c>
      <c r="I48" s="3" t="s">
        <v>1736</v>
      </c>
      <c r="J48" s="3" t="s">
        <v>1757</v>
      </c>
      <c r="K48" s="3" t="s">
        <v>81</v>
      </c>
      <c r="L48" s="3" t="s">
        <v>82</v>
      </c>
      <c r="M48" s="3" t="s">
        <v>1956</v>
      </c>
      <c r="N48" s="3" t="s">
        <v>82</v>
      </c>
      <c r="O48" s="3" t="s">
        <v>156</v>
      </c>
      <c r="P48" s="180" t="s">
        <v>1957</v>
      </c>
      <c r="Q48" s="3" t="s">
        <v>86</v>
      </c>
      <c r="R48" s="3" t="s">
        <v>131</v>
      </c>
      <c r="S48" s="3" t="s">
        <v>1564</v>
      </c>
      <c r="T48" s="182" t="s">
        <v>1958</v>
      </c>
      <c r="U48" s="164">
        <v>3.306</v>
      </c>
      <c r="V48" s="155">
        <v>473.33300000000003</v>
      </c>
      <c r="W48" s="155">
        <v>1564.8389999999999</v>
      </c>
      <c r="X48" s="166">
        <v>0</v>
      </c>
      <c r="Y48" s="166">
        <v>5.8771168458133204E-3</v>
      </c>
      <c r="Z48" s="166">
        <v>8.0438777455772302E-4</v>
      </c>
    </row>
    <row r="49" spans="1:26">
      <c r="A49" s="3">
        <v>161</v>
      </c>
      <c r="B49" s="3">
        <v>9943</v>
      </c>
      <c r="C49" s="3" t="s">
        <v>1959</v>
      </c>
      <c r="D49" s="3" t="s">
        <v>1960</v>
      </c>
      <c r="E49" s="3" t="s">
        <v>33</v>
      </c>
      <c r="F49" s="3" t="s">
        <v>1961</v>
      </c>
      <c r="G49" s="3">
        <v>60416385</v>
      </c>
      <c r="H49" s="3" t="s">
        <v>33</v>
      </c>
      <c r="I49" s="3" t="s">
        <v>1736</v>
      </c>
      <c r="J49" s="3" t="s">
        <v>1803</v>
      </c>
      <c r="K49" s="3" t="s">
        <v>81</v>
      </c>
      <c r="L49" s="3" t="s">
        <v>1867</v>
      </c>
      <c r="M49" s="3" t="s">
        <v>1962</v>
      </c>
      <c r="N49" s="3" t="s">
        <v>237</v>
      </c>
      <c r="O49" s="3" t="s">
        <v>156</v>
      </c>
      <c r="P49" s="180" t="s">
        <v>1963</v>
      </c>
      <c r="Q49" s="3" t="s">
        <v>1245</v>
      </c>
      <c r="R49" s="3" t="s">
        <v>131</v>
      </c>
      <c r="S49" s="3" t="s">
        <v>1564</v>
      </c>
      <c r="T49" s="182" t="s">
        <v>1859</v>
      </c>
      <c r="U49" s="164">
        <v>3.8807</v>
      </c>
      <c r="V49" s="155">
        <v>662.64499999999998</v>
      </c>
      <c r="W49" s="155">
        <v>2571.5279999999998</v>
      </c>
      <c r="X49" s="166">
        <v>0</v>
      </c>
      <c r="Y49" s="166">
        <v>9.6579718255985908E-3</v>
      </c>
      <c r="Z49" s="166">
        <v>1.32186489861413E-3</v>
      </c>
    </row>
    <row r="50" spans="1:26">
      <c r="A50" s="3">
        <v>161</v>
      </c>
      <c r="B50" s="3">
        <v>9943</v>
      </c>
      <c r="C50" s="3" t="s">
        <v>1964</v>
      </c>
      <c r="D50" s="3" t="s">
        <v>1965</v>
      </c>
      <c r="E50" s="3" t="s">
        <v>913</v>
      </c>
      <c r="F50" s="3" t="s">
        <v>1966</v>
      </c>
      <c r="G50" s="3">
        <v>60408978</v>
      </c>
      <c r="H50" s="3" t="s">
        <v>33</v>
      </c>
      <c r="I50" s="3" t="s">
        <v>1785</v>
      </c>
      <c r="J50" s="3" t="s">
        <v>1757</v>
      </c>
      <c r="K50" s="3" t="s">
        <v>81</v>
      </c>
      <c r="L50" s="3" t="s">
        <v>82</v>
      </c>
      <c r="M50" s="3" t="s">
        <v>1967</v>
      </c>
      <c r="N50" s="3" t="s">
        <v>82</v>
      </c>
      <c r="O50" s="3" t="s">
        <v>156</v>
      </c>
      <c r="P50" s="180" t="s">
        <v>1968</v>
      </c>
      <c r="Q50" s="3" t="s">
        <v>86</v>
      </c>
      <c r="R50" s="3" t="s">
        <v>131</v>
      </c>
      <c r="S50" s="3" t="s">
        <v>1564</v>
      </c>
      <c r="T50" s="182" t="s">
        <v>1969</v>
      </c>
      <c r="U50" s="164">
        <v>3.306</v>
      </c>
      <c r="V50" s="155">
        <v>4632.76</v>
      </c>
      <c r="W50" s="155">
        <v>15315.905000000001</v>
      </c>
      <c r="X50" s="166">
        <v>0</v>
      </c>
      <c r="Y50" s="166">
        <v>5.7522446527163998E-2</v>
      </c>
      <c r="Z50" s="166">
        <v>7.8729679812411194E-3</v>
      </c>
    </row>
    <row r="51" spans="1:26">
      <c r="A51" s="3">
        <v>161</v>
      </c>
      <c r="B51" s="3">
        <v>9943</v>
      </c>
      <c r="C51" s="3" t="s">
        <v>1970</v>
      </c>
      <c r="D51" s="3" t="s">
        <v>1971</v>
      </c>
      <c r="E51" s="3" t="s">
        <v>33</v>
      </c>
      <c r="F51" s="3" t="s">
        <v>1972</v>
      </c>
      <c r="G51" s="3">
        <v>27970041</v>
      </c>
      <c r="H51" s="3" t="s">
        <v>33</v>
      </c>
      <c r="I51" s="3" t="s">
        <v>1736</v>
      </c>
      <c r="J51" s="3" t="s">
        <v>1757</v>
      </c>
      <c r="K51" s="3" t="s">
        <v>81</v>
      </c>
      <c r="L51" s="3" t="s">
        <v>82</v>
      </c>
      <c r="M51" s="3" t="s">
        <v>1973</v>
      </c>
      <c r="N51" s="3" t="s">
        <v>82</v>
      </c>
      <c r="O51" s="3" t="s">
        <v>156</v>
      </c>
      <c r="P51" s="180" t="s">
        <v>1974</v>
      </c>
      <c r="Q51" s="3" t="s">
        <v>86</v>
      </c>
      <c r="R51" s="3" t="s">
        <v>131</v>
      </c>
      <c r="S51" s="3" t="s">
        <v>1647</v>
      </c>
      <c r="T51" s="182" t="s">
        <v>1760</v>
      </c>
      <c r="U51" s="164">
        <v>3.306</v>
      </c>
      <c r="V51" s="155">
        <v>810.87800000000004</v>
      </c>
      <c r="W51" s="155">
        <v>2680.7640000000001</v>
      </c>
      <c r="X51" s="166">
        <v>0</v>
      </c>
      <c r="Y51" s="166">
        <v>1.0068234332870201E-2</v>
      </c>
      <c r="Z51" s="166">
        <v>1.37801660596768E-3</v>
      </c>
    </row>
    <row r="52" spans="1:26">
      <c r="A52" s="3">
        <v>161</v>
      </c>
      <c r="B52" s="3">
        <v>9943</v>
      </c>
      <c r="C52" s="3" t="s">
        <v>1975</v>
      </c>
      <c r="D52" s="3" t="s">
        <v>1976</v>
      </c>
      <c r="E52" s="3" t="s">
        <v>935</v>
      </c>
      <c r="F52" s="3" t="s">
        <v>1977</v>
      </c>
      <c r="G52" s="3">
        <v>98405711</v>
      </c>
      <c r="H52" s="3" t="s">
        <v>33</v>
      </c>
      <c r="I52" s="3" t="s">
        <v>1785</v>
      </c>
      <c r="J52" s="3" t="s">
        <v>1786</v>
      </c>
      <c r="K52" s="3" t="s">
        <v>81</v>
      </c>
      <c r="L52" s="3" t="s">
        <v>1978</v>
      </c>
      <c r="M52" s="3" t="s">
        <v>1979</v>
      </c>
      <c r="N52" s="3" t="s">
        <v>30</v>
      </c>
      <c r="O52" s="3" t="s">
        <v>156</v>
      </c>
      <c r="P52" s="180" t="s">
        <v>1980</v>
      </c>
      <c r="Q52" s="3" t="s">
        <v>86</v>
      </c>
      <c r="R52" s="3" t="s">
        <v>131</v>
      </c>
      <c r="S52" s="3" t="s">
        <v>1647</v>
      </c>
      <c r="T52" s="182" t="s">
        <v>1981</v>
      </c>
      <c r="U52" s="164">
        <v>3.306</v>
      </c>
      <c r="V52" s="155">
        <v>95.28</v>
      </c>
      <c r="W52" s="155">
        <v>314.99400000000003</v>
      </c>
      <c r="X52" s="166">
        <v>0</v>
      </c>
      <c r="Y52" s="166">
        <v>1.1830350634916499E-3</v>
      </c>
      <c r="Z52" s="166">
        <v>1.61919350407966E-4</v>
      </c>
    </row>
    <row r="53" spans="1:26">
      <c r="A53" s="3">
        <v>161</v>
      </c>
      <c r="B53" s="3">
        <v>9943</v>
      </c>
      <c r="C53" s="3" t="s">
        <v>1740</v>
      </c>
      <c r="D53" s="3" t="s">
        <v>1741</v>
      </c>
      <c r="E53" s="3" t="s">
        <v>33</v>
      </c>
      <c r="F53" s="3" t="s">
        <v>1742</v>
      </c>
      <c r="G53" s="3">
        <v>27970029</v>
      </c>
      <c r="H53" s="3" t="s">
        <v>33</v>
      </c>
      <c r="I53" s="3" t="s">
        <v>1736</v>
      </c>
      <c r="J53" s="3" t="s">
        <v>1743</v>
      </c>
      <c r="K53" s="3" t="s">
        <v>81</v>
      </c>
      <c r="L53" s="3" t="s">
        <v>1744</v>
      </c>
      <c r="M53" s="3" t="s">
        <v>1310</v>
      </c>
      <c r="N53" s="3" t="s">
        <v>1310</v>
      </c>
      <c r="O53" s="3" t="s">
        <v>156</v>
      </c>
      <c r="P53" s="180" t="s">
        <v>1745</v>
      </c>
      <c r="Q53" s="3" t="s">
        <v>86</v>
      </c>
      <c r="R53" s="3" t="s">
        <v>1739</v>
      </c>
      <c r="S53" s="3" t="s">
        <v>1647</v>
      </c>
      <c r="T53" s="182" t="s">
        <v>1746</v>
      </c>
      <c r="U53" s="164">
        <v>3.306</v>
      </c>
      <c r="V53" s="155">
        <v>555.18200000000002</v>
      </c>
      <c r="W53" s="155">
        <v>1835.431</v>
      </c>
      <c r="X53" s="166">
        <v>0</v>
      </c>
      <c r="Y53" s="166">
        <v>6.8933884871474E-3</v>
      </c>
      <c r="Z53" s="166">
        <v>9.4348259015615598E-4</v>
      </c>
    </row>
    <row r="54" spans="1:26">
      <c r="A54" s="3">
        <v>161</v>
      </c>
      <c r="B54" s="3">
        <v>9943</v>
      </c>
      <c r="C54" s="3" t="s">
        <v>1982</v>
      </c>
      <c r="D54" s="3" t="s">
        <v>1983</v>
      </c>
      <c r="E54" s="3" t="s">
        <v>33</v>
      </c>
      <c r="F54" s="3" t="s">
        <v>1984</v>
      </c>
      <c r="G54" s="3">
        <v>27970043</v>
      </c>
      <c r="H54" s="3" t="s">
        <v>33</v>
      </c>
      <c r="I54" s="3" t="s">
        <v>1736</v>
      </c>
      <c r="J54" s="3" t="s">
        <v>1757</v>
      </c>
      <c r="K54" s="3" t="s">
        <v>81</v>
      </c>
      <c r="L54" s="3" t="s">
        <v>237</v>
      </c>
      <c r="M54" s="3" t="s">
        <v>1985</v>
      </c>
      <c r="N54" s="3" t="s">
        <v>82</v>
      </c>
      <c r="O54" s="3" t="s">
        <v>156</v>
      </c>
      <c r="P54" s="180" t="s">
        <v>1986</v>
      </c>
      <c r="Q54" s="3" t="s">
        <v>86</v>
      </c>
      <c r="R54" s="3" t="s">
        <v>131</v>
      </c>
      <c r="S54" s="3" t="s">
        <v>1647</v>
      </c>
      <c r="T54" s="182" t="s">
        <v>1566</v>
      </c>
      <c r="U54" s="164">
        <v>3.306</v>
      </c>
      <c r="V54" s="155">
        <v>489.80200000000002</v>
      </c>
      <c r="W54" s="155">
        <v>1619.287</v>
      </c>
      <c r="X54" s="166">
        <v>0</v>
      </c>
      <c r="Y54" s="166">
        <v>6.0816084500117801E-3</v>
      </c>
      <c r="Z54" s="166">
        <v>8.3237608085354197E-4</v>
      </c>
    </row>
    <row r="55" spans="1:26">
      <c r="A55" s="3">
        <v>161</v>
      </c>
      <c r="B55" s="3">
        <v>9943</v>
      </c>
      <c r="C55" s="3" t="s">
        <v>1987</v>
      </c>
      <c r="D55" s="3" t="s">
        <v>1988</v>
      </c>
      <c r="E55" s="3" t="s">
        <v>131</v>
      </c>
      <c r="F55" s="3" t="s">
        <v>1989</v>
      </c>
      <c r="G55" s="3">
        <v>27970042</v>
      </c>
      <c r="H55" s="3" t="s">
        <v>33</v>
      </c>
      <c r="I55" s="3" t="s">
        <v>1736</v>
      </c>
      <c r="J55" s="3" t="s">
        <v>1757</v>
      </c>
      <c r="K55" s="3" t="s">
        <v>81</v>
      </c>
      <c r="L55" s="3" t="s">
        <v>82</v>
      </c>
      <c r="M55" s="3" t="s">
        <v>1990</v>
      </c>
      <c r="N55" s="3" t="s">
        <v>82</v>
      </c>
      <c r="O55" s="3" t="s">
        <v>156</v>
      </c>
      <c r="P55" s="180" t="s">
        <v>1991</v>
      </c>
      <c r="Q55" s="3" t="s">
        <v>86</v>
      </c>
      <c r="R55" s="3" t="s">
        <v>131</v>
      </c>
      <c r="S55" s="3" t="s">
        <v>1564</v>
      </c>
      <c r="T55" s="182" t="s">
        <v>1992</v>
      </c>
      <c r="U55" s="164">
        <v>3.306</v>
      </c>
      <c r="V55" s="155">
        <v>789.11599999999999</v>
      </c>
      <c r="W55" s="155">
        <v>2608.817</v>
      </c>
      <c r="X55" s="166">
        <v>0</v>
      </c>
      <c r="Y55" s="166">
        <v>9.7980197485169895E-3</v>
      </c>
      <c r="Z55" s="166">
        <v>1.34103294308274E-3</v>
      </c>
    </row>
    <row r="56" spans="1:26">
      <c r="A56" s="3">
        <v>161</v>
      </c>
      <c r="B56" s="3">
        <v>9943</v>
      </c>
      <c r="C56" s="3" t="s">
        <v>1993</v>
      </c>
      <c r="D56" s="3" t="s">
        <v>1994</v>
      </c>
      <c r="E56" s="3" t="s">
        <v>33</v>
      </c>
      <c r="F56" s="3" t="s">
        <v>1995</v>
      </c>
      <c r="G56" s="3">
        <v>27970032</v>
      </c>
      <c r="H56" s="3" t="s">
        <v>33</v>
      </c>
      <c r="I56" s="3" t="s">
        <v>1736</v>
      </c>
      <c r="J56" s="3" t="s">
        <v>1996</v>
      </c>
      <c r="K56" s="3" t="s">
        <v>81</v>
      </c>
      <c r="L56" s="3" t="s">
        <v>1635</v>
      </c>
      <c r="M56" s="3" t="s">
        <v>82</v>
      </c>
      <c r="N56" s="3" t="s">
        <v>82</v>
      </c>
      <c r="O56" s="3" t="s">
        <v>156</v>
      </c>
      <c r="P56" s="180" t="s">
        <v>1997</v>
      </c>
      <c r="Q56" s="3" t="s">
        <v>86</v>
      </c>
      <c r="R56" s="3" t="s">
        <v>1739</v>
      </c>
      <c r="S56" s="3" t="s">
        <v>1564</v>
      </c>
      <c r="T56" s="182" t="s">
        <v>1831</v>
      </c>
      <c r="U56" s="164">
        <v>3.306</v>
      </c>
      <c r="V56" s="155">
        <v>2135.3180000000002</v>
      </c>
      <c r="W56" s="155">
        <v>7059.3630000000003</v>
      </c>
      <c r="X56" s="166">
        <v>0</v>
      </c>
      <c r="Y56" s="166">
        <v>2.6513079952822E-2</v>
      </c>
      <c r="Z56" s="166">
        <v>3.6287856681144698E-3</v>
      </c>
    </row>
    <row r="57" spans="1:26">
      <c r="A57" s="3">
        <v>161</v>
      </c>
      <c r="B57" s="3">
        <v>9943</v>
      </c>
      <c r="C57" s="3" t="s">
        <v>1998</v>
      </c>
      <c r="D57" s="3" t="s">
        <v>1999</v>
      </c>
      <c r="E57" s="3" t="s">
        <v>913</v>
      </c>
      <c r="F57" s="3" t="s">
        <v>2000</v>
      </c>
      <c r="G57" s="3">
        <v>27970020</v>
      </c>
      <c r="H57" s="3" t="s">
        <v>33</v>
      </c>
      <c r="I57" s="3" t="s">
        <v>1906</v>
      </c>
      <c r="J57" s="3" t="s">
        <v>2001</v>
      </c>
      <c r="K57" s="3" t="s">
        <v>81</v>
      </c>
      <c r="L57" s="3" t="s">
        <v>1635</v>
      </c>
      <c r="M57" s="3" t="s">
        <v>82</v>
      </c>
      <c r="N57" s="3" t="s">
        <v>82</v>
      </c>
      <c r="O57" s="3" t="s">
        <v>156</v>
      </c>
      <c r="P57" s="180" t="s">
        <v>2002</v>
      </c>
      <c r="Q57" s="3" t="s">
        <v>86</v>
      </c>
      <c r="R57" s="3" t="s">
        <v>1739</v>
      </c>
      <c r="S57" s="3" t="s">
        <v>1564</v>
      </c>
      <c r="T57" s="182" t="s">
        <v>1831</v>
      </c>
      <c r="U57" s="164">
        <v>3.306</v>
      </c>
      <c r="V57" s="155">
        <v>175.47</v>
      </c>
      <c r="W57" s="155">
        <v>580.10400000000004</v>
      </c>
      <c r="X57" s="166">
        <v>0</v>
      </c>
      <c r="Y57" s="166">
        <v>2.1787149975654799E-3</v>
      </c>
      <c r="Z57" s="166">
        <v>2.9819582531112799E-4</v>
      </c>
    </row>
    <row r="58" spans="1:26">
      <c r="A58" s="3">
        <v>161</v>
      </c>
      <c r="B58" s="3">
        <v>9943</v>
      </c>
      <c r="C58" s="3" t="s">
        <v>2003</v>
      </c>
      <c r="D58" s="3" t="s">
        <v>2004</v>
      </c>
      <c r="E58" s="3" t="s">
        <v>149</v>
      </c>
      <c r="F58" s="3" t="s">
        <v>2005</v>
      </c>
      <c r="G58" s="3">
        <v>62012539</v>
      </c>
      <c r="H58" s="3" t="s">
        <v>33</v>
      </c>
      <c r="I58" s="3" t="s">
        <v>1785</v>
      </c>
      <c r="J58" s="3" t="s">
        <v>1786</v>
      </c>
      <c r="K58" s="3" t="s">
        <v>81</v>
      </c>
      <c r="L58" s="3" t="s">
        <v>1635</v>
      </c>
      <c r="M58" s="3" t="s">
        <v>2006</v>
      </c>
      <c r="N58" s="3" t="s">
        <v>82</v>
      </c>
      <c r="O58" s="3" t="s">
        <v>156</v>
      </c>
      <c r="P58" s="180" t="s">
        <v>2007</v>
      </c>
      <c r="Q58" s="3" t="s">
        <v>86</v>
      </c>
      <c r="R58" s="3" t="s">
        <v>131</v>
      </c>
      <c r="S58" s="3" t="s">
        <v>1564</v>
      </c>
      <c r="T58" s="182" t="s">
        <v>1760</v>
      </c>
      <c r="U58" s="164">
        <v>3.306</v>
      </c>
      <c r="V58" s="155">
        <v>1845.607</v>
      </c>
      <c r="W58" s="155">
        <v>6101.5749999999998</v>
      </c>
      <c r="X58" s="166">
        <v>0</v>
      </c>
      <c r="Y58" s="166">
        <v>2.2915887496585401E-2</v>
      </c>
      <c r="Z58" s="166">
        <v>3.1364460208962502E-3</v>
      </c>
    </row>
    <row r="59" spans="1:26">
      <c r="A59" s="3">
        <v>161</v>
      </c>
      <c r="B59" s="3">
        <v>9943</v>
      </c>
      <c r="C59" s="3" t="s">
        <v>2008</v>
      </c>
      <c r="D59" s="3" t="s">
        <v>2009</v>
      </c>
      <c r="E59" s="3" t="s">
        <v>913</v>
      </c>
      <c r="F59" s="3" t="s">
        <v>2010</v>
      </c>
      <c r="G59" s="3">
        <v>62012828</v>
      </c>
      <c r="H59" s="3" t="s">
        <v>33</v>
      </c>
      <c r="I59" s="3" t="s">
        <v>1736</v>
      </c>
      <c r="J59" s="3" t="s">
        <v>1793</v>
      </c>
      <c r="K59" s="3" t="s">
        <v>81</v>
      </c>
      <c r="L59" s="3" t="s">
        <v>1635</v>
      </c>
      <c r="M59" s="3" t="s">
        <v>2011</v>
      </c>
      <c r="N59" s="3" t="s">
        <v>82</v>
      </c>
      <c r="O59" s="3" t="s">
        <v>156</v>
      </c>
      <c r="P59" s="180" t="s">
        <v>2012</v>
      </c>
      <c r="Q59" s="3" t="s">
        <v>86</v>
      </c>
      <c r="R59" s="3" t="s">
        <v>131</v>
      </c>
      <c r="S59" s="3" t="s">
        <v>1564</v>
      </c>
      <c r="T59" s="182" t="s">
        <v>1746</v>
      </c>
      <c r="U59" s="164">
        <v>3.306</v>
      </c>
      <c r="V59" s="155">
        <v>2386.8629999999998</v>
      </c>
      <c r="W59" s="155">
        <v>7890.97</v>
      </c>
      <c r="X59" s="166">
        <v>0</v>
      </c>
      <c r="Y59" s="166">
        <v>2.9636374296281801E-2</v>
      </c>
      <c r="Z59" s="166">
        <v>4.05626394566718E-3</v>
      </c>
    </row>
    <row r="60" spans="1:26">
      <c r="A60" s="3">
        <v>161</v>
      </c>
      <c r="B60" s="3">
        <v>9943</v>
      </c>
      <c r="C60" s="3" t="s">
        <v>2013</v>
      </c>
      <c r="D60" s="3" t="s">
        <v>2014</v>
      </c>
      <c r="E60" s="3" t="s">
        <v>33</v>
      </c>
      <c r="F60" s="3" t="s">
        <v>2015</v>
      </c>
      <c r="G60" s="3">
        <v>27970025</v>
      </c>
      <c r="H60" s="3" t="s">
        <v>33</v>
      </c>
      <c r="I60" s="3" t="s">
        <v>1736</v>
      </c>
      <c r="J60" s="3" t="s">
        <v>1737</v>
      </c>
      <c r="K60" s="3" t="s">
        <v>81</v>
      </c>
      <c r="L60" s="3" t="s">
        <v>82</v>
      </c>
      <c r="M60" s="3" t="s">
        <v>1635</v>
      </c>
      <c r="N60" s="3" t="s">
        <v>82</v>
      </c>
      <c r="O60" s="3" t="s">
        <v>156</v>
      </c>
      <c r="P60" s="180" t="s">
        <v>2016</v>
      </c>
      <c r="Q60" s="3" t="s">
        <v>86</v>
      </c>
      <c r="R60" s="3" t="s">
        <v>1739</v>
      </c>
      <c r="S60" s="3" t="s">
        <v>1564</v>
      </c>
      <c r="T60" s="182" t="s">
        <v>1760</v>
      </c>
      <c r="U60" s="164">
        <v>3.306</v>
      </c>
      <c r="V60" s="155">
        <v>244.80199999999999</v>
      </c>
      <c r="W60" s="155">
        <v>809.31700000000001</v>
      </c>
      <c r="X60" s="166">
        <v>0</v>
      </c>
      <c r="Y60" s="166">
        <v>3.03957747945532E-3</v>
      </c>
      <c r="Z60" s="166">
        <v>4.1602013852023003E-4</v>
      </c>
    </row>
    <row r="61" spans="1:26">
      <c r="A61" s="3">
        <v>161</v>
      </c>
      <c r="B61" s="3">
        <v>9943</v>
      </c>
      <c r="C61" s="3" t="s">
        <v>2017</v>
      </c>
      <c r="D61" s="3" t="s">
        <v>2018</v>
      </c>
      <c r="E61" s="3" t="s">
        <v>33</v>
      </c>
      <c r="F61" s="3" t="s">
        <v>2019</v>
      </c>
      <c r="G61" s="3">
        <v>27970005</v>
      </c>
      <c r="H61" s="3" t="s">
        <v>33</v>
      </c>
      <c r="I61" s="3" t="s">
        <v>1736</v>
      </c>
      <c r="J61" s="3" t="s">
        <v>1743</v>
      </c>
      <c r="K61" s="3" t="s">
        <v>81</v>
      </c>
      <c r="L61" s="3" t="s">
        <v>82</v>
      </c>
      <c r="M61" s="3" t="s">
        <v>2020</v>
      </c>
      <c r="N61" s="3" t="s">
        <v>237</v>
      </c>
      <c r="O61" s="3" t="s">
        <v>156</v>
      </c>
      <c r="P61" s="180" t="s">
        <v>2021</v>
      </c>
      <c r="Q61" s="3" t="s">
        <v>86</v>
      </c>
      <c r="R61" s="3" t="s">
        <v>131</v>
      </c>
      <c r="S61" s="3" t="s">
        <v>1647</v>
      </c>
      <c r="T61" s="182" t="s">
        <v>1760</v>
      </c>
      <c r="U61" s="164">
        <v>3.306</v>
      </c>
      <c r="V61" s="155">
        <v>2390.4569999999999</v>
      </c>
      <c r="W61" s="155">
        <v>7902.85</v>
      </c>
      <c r="X61" s="166">
        <v>0</v>
      </c>
      <c r="Y61" s="166">
        <v>2.9680992005679301E-2</v>
      </c>
      <c r="Z61" s="166">
        <v>4.0623706712793698E-3</v>
      </c>
    </row>
    <row r="62" spans="1:26">
      <c r="A62" s="3">
        <v>161</v>
      </c>
      <c r="B62" s="3">
        <v>9943</v>
      </c>
      <c r="C62" s="3" t="s">
        <v>2022</v>
      </c>
      <c r="D62" s="3" t="s">
        <v>2023</v>
      </c>
      <c r="E62" s="3" t="s">
        <v>33</v>
      </c>
      <c r="F62" s="3" t="s">
        <v>2024</v>
      </c>
      <c r="G62" s="3">
        <v>62007695</v>
      </c>
      <c r="H62" s="3" t="s">
        <v>33</v>
      </c>
      <c r="I62" s="3" t="s">
        <v>1736</v>
      </c>
      <c r="J62" s="3" t="s">
        <v>1757</v>
      </c>
      <c r="K62" s="3" t="s">
        <v>81</v>
      </c>
      <c r="L62" s="3" t="s">
        <v>1867</v>
      </c>
      <c r="M62" s="3" t="s">
        <v>2025</v>
      </c>
      <c r="N62" s="3" t="s">
        <v>237</v>
      </c>
      <c r="O62" s="3" t="s">
        <v>156</v>
      </c>
      <c r="P62" s="180" t="s">
        <v>2026</v>
      </c>
      <c r="Q62" s="3" t="s">
        <v>1245</v>
      </c>
      <c r="R62" s="3" t="s">
        <v>131</v>
      </c>
      <c r="S62" s="3" t="s">
        <v>1564</v>
      </c>
      <c r="T62" s="182" t="s">
        <v>2027</v>
      </c>
      <c r="U62" s="164">
        <v>3.8807</v>
      </c>
      <c r="V62" s="155">
        <v>450.05500000000001</v>
      </c>
      <c r="W62" s="155">
        <v>1746.527</v>
      </c>
      <c r="X62" s="166">
        <v>0</v>
      </c>
      <c r="Y62" s="166">
        <v>6.5594891367285E-3</v>
      </c>
      <c r="Z62" s="166">
        <v>8.9778253646383198E-4</v>
      </c>
    </row>
    <row r="63" spans="1:26">
      <c r="A63" s="3">
        <v>161</v>
      </c>
      <c r="B63" s="3">
        <v>9943</v>
      </c>
      <c r="C63" s="3" t="s">
        <v>2028</v>
      </c>
      <c r="D63" s="3" t="s">
        <v>2023</v>
      </c>
      <c r="E63" s="3" t="s">
        <v>33</v>
      </c>
      <c r="F63" s="3" t="s">
        <v>2029</v>
      </c>
      <c r="G63" s="3">
        <v>62011416</v>
      </c>
      <c r="H63" s="3" t="s">
        <v>33</v>
      </c>
      <c r="I63" s="3" t="s">
        <v>1736</v>
      </c>
      <c r="J63" s="3" t="s">
        <v>1757</v>
      </c>
      <c r="K63" s="3" t="s">
        <v>81</v>
      </c>
      <c r="L63" s="3" t="s">
        <v>82</v>
      </c>
      <c r="M63" s="3" t="s">
        <v>2030</v>
      </c>
      <c r="N63" s="3" t="s">
        <v>82</v>
      </c>
      <c r="O63" s="3" t="s">
        <v>156</v>
      </c>
      <c r="P63" s="180" t="s">
        <v>2031</v>
      </c>
      <c r="Q63" s="3" t="s">
        <v>86</v>
      </c>
      <c r="R63" s="3" t="s">
        <v>131</v>
      </c>
      <c r="S63" s="3" t="s">
        <v>1564</v>
      </c>
      <c r="T63" s="182" t="s">
        <v>1760</v>
      </c>
      <c r="U63" s="164">
        <v>3.306</v>
      </c>
      <c r="V63" s="155">
        <v>483.38299999999998</v>
      </c>
      <c r="W63" s="155">
        <v>1598.0650000000001</v>
      </c>
      <c r="X63" s="166">
        <v>0</v>
      </c>
      <c r="Y63" s="166">
        <v>6.0019067035234804E-3</v>
      </c>
      <c r="Z63" s="166">
        <v>8.2146748193198801E-4</v>
      </c>
    </row>
    <row r="64" spans="1:26">
      <c r="A64" s="3">
        <v>161</v>
      </c>
      <c r="B64" s="3">
        <v>9943</v>
      </c>
      <c r="C64" s="3" t="s">
        <v>2032</v>
      </c>
      <c r="D64" s="3" t="s">
        <v>2033</v>
      </c>
      <c r="E64" s="3" t="s">
        <v>913</v>
      </c>
      <c r="F64" s="3" t="s">
        <v>2034</v>
      </c>
      <c r="G64" s="3">
        <v>27970036</v>
      </c>
      <c r="H64" s="3" t="s">
        <v>33</v>
      </c>
      <c r="I64" s="3" t="s">
        <v>1736</v>
      </c>
      <c r="J64" s="3" t="s">
        <v>1757</v>
      </c>
      <c r="K64" s="3" t="s">
        <v>81</v>
      </c>
      <c r="L64" s="3" t="s">
        <v>82</v>
      </c>
      <c r="M64" s="3" t="s">
        <v>82</v>
      </c>
      <c r="N64" s="3" t="s">
        <v>82</v>
      </c>
      <c r="O64" s="3" t="s">
        <v>156</v>
      </c>
      <c r="P64" s="180" t="s">
        <v>2035</v>
      </c>
      <c r="Q64" s="3" t="s">
        <v>86</v>
      </c>
      <c r="R64" s="3" t="s">
        <v>1739</v>
      </c>
      <c r="S64" s="3" t="s">
        <v>1564</v>
      </c>
      <c r="T64" s="182" t="s">
        <v>1566</v>
      </c>
      <c r="U64" s="164">
        <v>3.306</v>
      </c>
      <c r="V64" s="155">
        <v>568.75599999999997</v>
      </c>
      <c r="W64" s="155">
        <v>1880.308</v>
      </c>
      <c r="X64" s="166">
        <v>0</v>
      </c>
      <c r="Y64" s="166">
        <v>7.0619329531599702E-3</v>
      </c>
      <c r="Z64" s="166">
        <v>9.6655089243543604E-4</v>
      </c>
    </row>
    <row r="65" spans="1:26">
      <c r="A65" s="3">
        <v>161</v>
      </c>
      <c r="B65" s="3">
        <v>9943</v>
      </c>
      <c r="C65" s="3" t="s">
        <v>2036</v>
      </c>
      <c r="D65" s="3" t="s">
        <v>2037</v>
      </c>
      <c r="E65" s="3" t="s">
        <v>33</v>
      </c>
      <c r="F65" s="3" t="s">
        <v>2038</v>
      </c>
      <c r="G65" s="3">
        <v>27970021</v>
      </c>
      <c r="H65" s="3" t="s">
        <v>33</v>
      </c>
      <c r="I65" s="3" t="s">
        <v>1736</v>
      </c>
      <c r="J65" s="3" t="s">
        <v>1786</v>
      </c>
      <c r="K65" s="3" t="s">
        <v>81</v>
      </c>
      <c r="L65" s="3" t="s">
        <v>82</v>
      </c>
      <c r="M65" s="3" t="s">
        <v>82</v>
      </c>
      <c r="N65" s="3" t="s">
        <v>82</v>
      </c>
      <c r="O65" s="3" t="s">
        <v>156</v>
      </c>
      <c r="P65" s="180" t="s">
        <v>2039</v>
      </c>
      <c r="Q65" s="3" t="s">
        <v>86</v>
      </c>
      <c r="R65" s="3" t="s">
        <v>1739</v>
      </c>
      <c r="S65" s="3" t="s">
        <v>1564</v>
      </c>
      <c r="T65" s="182" t="s">
        <v>1566</v>
      </c>
      <c r="U65" s="164">
        <v>3.306</v>
      </c>
      <c r="V65" s="155">
        <v>341.79199999999997</v>
      </c>
      <c r="W65" s="155">
        <v>1129.9639999999999</v>
      </c>
      <c r="X65" s="166">
        <v>0</v>
      </c>
      <c r="Y65" s="166">
        <v>4.2438418003356796E-3</v>
      </c>
      <c r="Z65" s="166">
        <v>5.8084508967672999E-4</v>
      </c>
    </row>
    <row r="66" spans="1:26">
      <c r="A66" s="3">
        <v>161</v>
      </c>
      <c r="B66" s="3">
        <v>9943</v>
      </c>
      <c r="C66" s="3" t="s">
        <v>2040</v>
      </c>
      <c r="D66" s="3" t="s">
        <v>2041</v>
      </c>
      <c r="E66" s="3" t="s">
        <v>913</v>
      </c>
      <c r="F66" s="3" t="s">
        <v>2042</v>
      </c>
      <c r="G66" s="3">
        <v>62007091</v>
      </c>
      <c r="H66" s="3" t="s">
        <v>33</v>
      </c>
      <c r="I66" s="3" t="s">
        <v>1736</v>
      </c>
      <c r="J66" s="3" t="s">
        <v>1820</v>
      </c>
      <c r="K66" s="3" t="s">
        <v>81</v>
      </c>
      <c r="L66" s="3" t="s">
        <v>1867</v>
      </c>
      <c r="M66" s="3" t="s">
        <v>2043</v>
      </c>
      <c r="N66" s="3" t="s">
        <v>82</v>
      </c>
      <c r="O66" s="3" t="s">
        <v>156</v>
      </c>
      <c r="P66" s="180" t="s">
        <v>2044</v>
      </c>
      <c r="Q66" s="3" t="s">
        <v>86</v>
      </c>
      <c r="R66" s="3" t="s">
        <v>131</v>
      </c>
      <c r="S66" s="3" t="s">
        <v>1647</v>
      </c>
      <c r="T66" s="182" t="s">
        <v>2045</v>
      </c>
      <c r="U66" s="164">
        <v>3.306</v>
      </c>
      <c r="V66" s="155">
        <v>3046.893</v>
      </c>
      <c r="W66" s="155">
        <v>10073.029</v>
      </c>
      <c r="X66" s="166">
        <v>4.7130000000000002E-3</v>
      </c>
      <c r="Y66" s="166">
        <v>3.7831606580209003E-2</v>
      </c>
      <c r="Z66" s="166">
        <v>5.1779269705478099E-3</v>
      </c>
    </row>
    <row r="67" spans="1:26">
      <c r="A67" s="3">
        <v>161</v>
      </c>
      <c r="B67" s="3">
        <v>9943</v>
      </c>
      <c r="C67" s="3" t="s">
        <v>2046</v>
      </c>
      <c r="D67" s="3" t="s">
        <v>2047</v>
      </c>
      <c r="E67" s="3" t="s">
        <v>33</v>
      </c>
      <c r="F67" s="3" t="s">
        <v>2046</v>
      </c>
      <c r="G67" s="3">
        <v>27970044</v>
      </c>
      <c r="H67" s="3" t="s">
        <v>33</v>
      </c>
      <c r="I67" s="3" t="s">
        <v>1736</v>
      </c>
      <c r="J67" s="3" t="s">
        <v>1757</v>
      </c>
      <c r="K67" s="3" t="s">
        <v>81</v>
      </c>
      <c r="L67" s="3" t="s">
        <v>82</v>
      </c>
      <c r="M67" s="3" t="s">
        <v>1930</v>
      </c>
      <c r="N67" s="3" t="s">
        <v>1907</v>
      </c>
      <c r="O67" s="3" t="s">
        <v>156</v>
      </c>
      <c r="P67" s="180" t="s">
        <v>2048</v>
      </c>
      <c r="Q67" s="3" t="s">
        <v>86</v>
      </c>
      <c r="R67" s="3" t="s">
        <v>131</v>
      </c>
      <c r="S67" s="3" t="s">
        <v>1647</v>
      </c>
      <c r="T67" s="182" t="s">
        <v>1746</v>
      </c>
      <c r="U67" s="164">
        <v>3.306</v>
      </c>
      <c r="V67" s="155">
        <v>1168.211</v>
      </c>
      <c r="W67" s="155">
        <v>3862.1060000000002</v>
      </c>
      <c r="X67" s="166">
        <v>0</v>
      </c>
      <c r="Y67" s="166">
        <v>1.45050393105385E-2</v>
      </c>
      <c r="Z67" s="166">
        <v>1.98527213206388E-3</v>
      </c>
    </row>
    <row r="68" spans="1:26">
      <c r="A68" s="3">
        <v>161</v>
      </c>
      <c r="B68" s="3">
        <v>9943</v>
      </c>
      <c r="C68" s="3" t="s">
        <v>2049</v>
      </c>
      <c r="D68" s="3" t="s">
        <v>2050</v>
      </c>
      <c r="E68" s="3" t="s">
        <v>33</v>
      </c>
      <c r="F68" s="3" t="s">
        <v>2051</v>
      </c>
      <c r="G68" s="3">
        <v>27970022</v>
      </c>
      <c r="H68" s="3" t="s">
        <v>33</v>
      </c>
      <c r="I68" s="3" t="s">
        <v>1736</v>
      </c>
      <c r="J68" s="3" t="s">
        <v>1737</v>
      </c>
      <c r="K68" s="3" t="s">
        <v>30</v>
      </c>
      <c r="L68" s="3" t="s">
        <v>82</v>
      </c>
      <c r="M68" s="3" t="s">
        <v>30</v>
      </c>
      <c r="N68" s="3" t="s">
        <v>237</v>
      </c>
      <c r="O68" s="3" t="s">
        <v>156</v>
      </c>
      <c r="P68" s="180" t="s">
        <v>2052</v>
      </c>
      <c r="Q68" s="3" t="s">
        <v>86</v>
      </c>
      <c r="R68" s="3" t="s">
        <v>1739</v>
      </c>
      <c r="S68" s="3" t="s">
        <v>1564</v>
      </c>
      <c r="T68" s="182" t="s">
        <v>1746</v>
      </c>
      <c r="U68" s="164">
        <v>3.306</v>
      </c>
      <c r="V68" s="155">
        <v>171.35300000000001</v>
      </c>
      <c r="W68" s="155">
        <v>566.49300000000005</v>
      </c>
      <c r="X68" s="166">
        <v>0</v>
      </c>
      <c r="Y68" s="166">
        <v>2.12759576548583E-3</v>
      </c>
      <c r="Z68" s="166">
        <v>2.9119925090084601E-4</v>
      </c>
    </row>
    <row r="69" spans="1:26">
      <c r="A69" s="3">
        <v>161</v>
      </c>
      <c r="B69" s="3">
        <v>9943</v>
      </c>
      <c r="C69" s="3" t="s">
        <v>2053</v>
      </c>
      <c r="D69" s="3" t="s">
        <v>2054</v>
      </c>
      <c r="E69" s="3" t="s">
        <v>33</v>
      </c>
      <c r="F69" s="3" t="s">
        <v>2055</v>
      </c>
      <c r="G69" s="3">
        <v>27970037</v>
      </c>
      <c r="H69" s="3" t="s">
        <v>33</v>
      </c>
      <c r="I69" s="3" t="s">
        <v>1785</v>
      </c>
      <c r="J69" s="3" t="s">
        <v>1786</v>
      </c>
      <c r="K69" s="3" t="s">
        <v>81</v>
      </c>
      <c r="L69" s="3" t="s">
        <v>2056</v>
      </c>
      <c r="M69" s="3" t="s">
        <v>1310</v>
      </c>
      <c r="N69" s="3" t="s">
        <v>1310</v>
      </c>
      <c r="O69" s="3" t="s">
        <v>156</v>
      </c>
      <c r="P69" s="180" t="s">
        <v>2057</v>
      </c>
      <c r="Q69" s="3" t="s">
        <v>1226</v>
      </c>
      <c r="R69" s="3" t="s">
        <v>1739</v>
      </c>
      <c r="S69" s="3" t="s">
        <v>1564</v>
      </c>
      <c r="T69" s="182" t="s">
        <v>1760</v>
      </c>
      <c r="U69" s="164">
        <v>4.4409000000000001</v>
      </c>
      <c r="V69" s="155">
        <v>164.08600000000001</v>
      </c>
      <c r="W69" s="155">
        <v>728.68899999999996</v>
      </c>
      <c r="X69" s="166">
        <v>0</v>
      </c>
      <c r="Y69" s="166">
        <v>2.7367613920984499E-3</v>
      </c>
      <c r="Z69" s="166">
        <v>3.7457438118723002E-4</v>
      </c>
    </row>
    <row r="70" spans="1:26">
      <c r="A70" s="3">
        <v>161</v>
      </c>
      <c r="B70" s="3">
        <v>9943</v>
      </c>
      <c r="C70" s="3" t="s">
        <v>2058</v>
      </c>
      <c r="D70" s="3" t="s">
        <v>2059</v>
      </c>
      <c r="E70" s="3" t="s">
        <v>33</v>
      </c>
      <c r="F70" s="3" t="s">
        <v>2060</v>
      </c>
      <c r="G70" s="3">
        <v>27970030</v>
      </c>
      <c r="H70" s="3" t="s">
        <v>33</v>
      </c>
      <c r="I70" s="3" t="s">
        <v>1736</v>
      </c>
      <c r="J70" s="3" t="s">
        <v>1737</v>
      </c>
      <c r="K70" s="3" t="s">
        <v>81</v>
      </c>
      <c r="L70" s="3" t="s">
        <v>1907</v>
      </c>
      <c r="M70" s="3" t="s">
        <v>1907</v>
      </c>
      <c r="N70" s="3" t="s">
        <v>1310</v>
      </c>
      <c r="O70" s="3" t="s">
        <v>156</v>
      </c>
      <c r="P70" s="180" t="s">
        <v>2061</v>
      </c>
      <c r="Q70" s="3" t="s">
        <v>1245</v>
      </c>
      <c r="R70" s="3" t="s">
        <v>1739</v>
      </c>
      <c r="S70" s="3" t="s">
        <v>1564</v>
      </c>
      <c r="T70" s="182" t="s">
        <v>1760</v>
      </c>
      <c r="U70" s="164">
        <v>3.8807</v>
      </c>
      <c r="V70" s="155">
        <v>161.42699999999999</v>
      </c>
      <c r="W70" s="155">
        <v>626.45100000000002</v>
      </c>
      <c r="X70" s="166">
        <v>0</v>
      </c>
      <c r="Y70" s="166">
        <v>2.35278372323634E-3</v>
      </c>
      <c r="Z70" s="166">
        <v>3.22020220594714E-4</v>
      </c>
    </row>
    <row r="71" spans="1:26">
      <c r="A71" s="3">
        <v>161</v>
      </c>
      <c r="B71" s="3">
        <v>9943</v>
      </c>
      <c r="C71" s="3" t="s">
        <v>1817</v>
      </c>
      <c r="D71" s="3" t="s">
        <v>1818</v>
      </c>
      <c r="E71" s="3" t="s">
        <v>913</v>
      </c>
      <c r="F71" s="3" t="s">
        <v>2062</v>
      </c>
      <c r="G71" s="3">
        <v>27970004</v>
      </c>
      <c r="H71" s="3" t="s">
        <v>33</v>
      </c>
      <c r="I71" s="3" t="s">
        <v>1736</v>
      </c>
      <c r="J71" s="3" t="s">
        <v>1820</v>
      </c>
      <c r="K71" s="3" t="s">
        <v>81</v>
      </c>
      <c r="L71" s="3" t="s">
        <v>82</v>
      </c>
      <c r="M71" s="3" t="s">
        <v>1821</v>
      </c>
      <c r="N71" s="3" t="s">
        <v>82</v>
      </c>
      <c r="O71" s="3" t="s">
        <v>156</v>
      </c>
      <c r="P71" s="180" t="s">
        <v>2063</v>
      </c>
      <c r="Q71" s="3" t="s">
        <v>86</v>
      </c>
      <c r="R71" s="3" t="s">
        <v>131</v>
      </c>
      <c r="S71" s="3" t="s">
        <v>1647</v>
      </c>
      <c r="T71" s="182" t="s">
        <v>2045</v>
      </c>
      <c r="U71" s="164">
        <v>3.306</v>
      </c>
      <c r="V71" s="155">
        <v>185.86099999999999</v>
      </c>
      <c r="W71" s="155">
        <v>614.45500000000004</v>
      </c>
      <c r="X71" s="166">
        <v>0</v>
      </c>
      <c r="Y71" s="166">
        <v>2.3077284622607499E-3</v>
      </c>
      <c r="Z71" s="166">
        <v>3.1585360828138398E-4</v>
      </c>
    </row>
    <row r="72" spans="1:26">
      <c r="A72" s="3">
        <v>161</v>
      </c>
      <c r="B72" s="3">
        <v>9943</v>
      </c>
      <c r="C72" s="3" t="s">
        <v>1817</v>
      </c>
      <c r="D72" s="3" t="s">
        <v>1818</v>
      </c>
      <c r="E72" s="3" t="s">
        <v>913</v>
      </c>
      <c r="F72" s="3" t="s">
        <v>2064</v>
      </c>
      <c r="G72" s="3">
        <v>62007406</v>
      </c>
      <c r="H72" s="3" t="s">
        <v>33</v>
      </c>
      <c r="I72" s="3" t="s">
        <v>1736</v>
      </c>
      <c r="J72" s="3" t="s">
        <v>1820</v>
      </c>
      <c r="K72" s="3" t="s">
        <v>81</v>
      </c>
      <c r="L72" s="3" t="s">
        <v>1635</v>
      </c>
      <c r="M72" s="3" t="s">
        <v>1821</v>
      </c>
      <c r="N72" s="3" t="s">
        <v>82</v>
      </c>
      <c r="O72" s="3" t="s">
        <v>156</v>
      </c>
      <c r="P72" s="180" t="s">
        <v>2065</v>
      </c>
      <c r="Q72" s="3" t="s">
        <v>86</v>
      </c>
      <c r="R72" s="3" t="s">
        <v>131</v>
      </c>
      <c r="S72" s="3" t="s">
        <v>1647</v>
      </c>
      <c r="T72" s="182" t="s">
        <v>2066</v>
      </c>
      <c r="U72" s="164">
        <v>3.306</v>
      </c>
      <c r="V72" s="155">
        <v>449.48899999999998</v>
      </c>
      <c r="W72" s="155">
        <v>1486.011</v>
      </c>
      <c r="X72" s="166">
        <v>1.6869999999999999E-3</v>
      </c>
      <c r="Y72" s="166">
        <v>5.5810621201314199E-3</v>
      </c>
      <c r="Z72" s="166">
        <v>7.6386742960181104E-4</v>
      </c>
    </row>
    <row r="73" spans="1:26">
      <c r="A73" s="3">
        <v>161</v>
      </c>
      <c r="B73" s="3">
        <v>9943</v>
      </c>
      <c r="C73" s="3" t="s">
        <v>2067</v>
      </c>
      <c r="D73" s="3" t="s">
        <v>2068</v>
      </c>
      <c r="E73" s="3" t="s">
        <v>33</v>
      </c>
      <c r="F73" s="3" t="s">
        <v>2069</v>
      </c>
      <c r="G73" s="3">
        <v>27970035</v>
      </c>
      <c r="H73" s="3" t="s">
        <v>33</v>
      </c>
      <c r="I73" s="3" t="s">
        <v>1736</v>
      </c>
      <c r="J73" s="3" t="s">
        <v>1750</v>
      </c>
      <c r="K73" s="3" t="s">
        <v>30</v>
      </c>
      <c r="L73" s="3" t="s">
        <v>30</v>
      </c>
      <c r="M73" s="3" t="s">
        <v>30</v>
      </c>
      <c r="N73" s="3" t="s">
        <v>82</v>
      </c>
      <c r="O73" s="3" t="s">
        <v>156</v>
      </c>
      <c r="P73" s="180" t="s">
        <v>2070</v>
      </c>
      <c r="Q73" s="3" t="s">
        <v>86</v>
      </c>
      <c r="R73" s="3" t="s">
        <v>1739</v>
      </c>
      <c r="S73" s="3" t="s">
        <v>1647</v>
      </c>
      <c r="T73" s="182" t="s">
        <v>1760</v>
      </c>
      <c r="U73" s="164">
        <v>3.306</v>
      </c>
      <c r="V73" s="155">
        <v>100.334</v>
      </c>
      <c r="W73" s="155">
        <v>331.70400000000001</v>
      </c>
      <c r="X73" s="166">
        <v>0</v>
      </c>
      <c r="Y73" s="166">
        <v>1.24579333601736E-3</v>
      </c>
      <c r="Z73" s="166">
        <v>1.7050893412672499E-4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136</v>
      </c>
      <c r="E1" s="22" t="s">
        <v>137</v>
      </c>
      <c r="F1" s="22" t="s">
        <v>3</v>
      </c>
      <c r="G1" s="22" t="s">
        <v>4</v>
      </c>
      <c r="H1" s="22" t="s">
        <v>138</v>
      </c>
      <c r="I1" s="22" t="s">
        <v>6</v>
      </c>
      <c r="J1" s="22" t="s">
        <v>7</v>
      </c>
      <c r="K1" s="22" t="s">
        <v>146</v>
      </c>
      <c r="L1" s="22" t="s">
        <v>1513</v>
      </c>
      <c r="M1" s="22" t="s">
        <v>139</v>
      </c>
      <c r="N1" s="178" t="s">
        <v>1514</v>
      </c>
      <c r="O1" s="22" t="s">
        <v>140</v>
      </c>
      <c r="P1" s="178" t="s">
        <v>1546</v>
      </c>
      <c r="Q1" s="22" t="s">
        <v>11</v>
      </c>
      <c r="R1" s="22" t="s">
        <v>1552</v>
      </c>
      <c r="S1" s="22" t="s">
        <v>1553</v>
      </c>
      <c r="T1" s="178" t="s">
        <v>1555</v>
      </c>
      <c r="U1" s="169" t="s">
        <v>1515</v>
      </c>
      <c r="V1" s="22" t="s">
        <v>1516</v>
      </c>
      <c r="W1" s="22" t="s">
        <v>17</v>
      </c>
      <c r="X1" s="169" t="s">
        <v>19</v>
      </c>
      <c r="Y1" s="163" t="s">
        <v>18</v>
      </c>
      <c r="Z1" s="22" t="s">
        <v>20</v>
      </c>
      <c r="AA1" s="165" t="s">
        <v>24</v>
      </c>
      <c r="AB1" s="165" t="s">
        <v>25</v>
      </c>
    </row>
    <row r="2" spans="1:28">
      <c r="A2" s="23">
        <v>161</v>
      </c>
      <c r="B2" s="23">
        <v>9938</v>
      </c>
      <c r="C2" s="23" t="s">
        <v>957</v>
      </c>
      <c r="D2" s="23" t="s">
        <v>958</v>
      </c>
      <c r="E2" s="21" t="s">
        <v>149</v>
      </c>
      <c r="F2" s="23" t="s">
        <v>2071</v>
      </c>
      <c r="G2" s="23" t="s">
        <v>2072</v>
      </c>
      <c r="H2" s="23" t="s">
        <v>33</v>
      </c>
      <c r="I2" s="21" t="s">
        <v>30</v>
      </c>
      <c r="J2" s="21" t="s">
        <v>30</v>
      </c>
      <c r="K2" s="23" t="s">
        <v>131</v>
      </c>
      <c r="L2" s="24" t="s">
        <v>960</v>
      </c>
      <c r="M2" s="23" t="s">
        <v>282</v>
      </c>
      <c r="N2" s="179" t="s">
        <v>927</v>
      </c>
      <c r="O2" s="23" t="s">
        <v>156</v>
      </c>
      <c r="P2" s="179" t="s">
        <v>2073</v>
      </c>
      <c r="Q2" s="21" t="s">
        <v>34</v>
      </c>
      <c r="R2" s="23" t="s">
        <v>131</v>
      </c>
      <c r="S2" s="23" t="s">
        <v>1564</v>
      </c>
      <c r="T2" s="179" t="s">
        <v>1566</v>
      </c>
      <c r="U2" s="173">
        <v>27083</v>
      </c>
      <c r="V2" s="157">
        <v>0</v>
      </c>
      <c r="W2" s="157">
        <v>150</v>
      </c>
      <c r="X2" s="173">
        <v>122.66</v>
      </c>
      <c r="Y2" s="172">
        <v>1</v>
      </c>
      <c r="Z2" s="157">
        <v>0.184</v>
      </c>
      <c r="AA2" s="171">
        <v>0.95676057374746004</v>
      </c>
      <c r="AB2" s="171">
        <v>2.1981706775717801E-6</v>
      </c>
    </row>
    <row r="3" spans="1:28">
      <c r="A3" s="23">
        <v>161</v>
      </c>
      <c r="B3" s="23">
        <v>9938</v>
      </c>
      <c r="C3" s="23" t="s">
        <v>2074</v>
      </c>
      <c r="D3" s="23" t="s">
        <v>2075</v>
      </c>
      <c r="E3" s="21" t="s">
        <v>149</v>
      </c>
      <c r="F3" s="23" t="s">
        <v>2076</v>
      </c>
      <c r="G3" s="23" t="s">
        <v>2077</v>
      </c>
      <c r="H3" s="23" t="s">
        <v>152</v>
      </c>
      <c r="I3" s="21" t="s">
        <v>30</v>
      </c>
      <c r="J3" s="21" t="s">
        <v>30</v>
      </c>
      <c r="K3" s="23" t="s">
        <v>2078</v>
      </c>
      <c r="L3" s="23" t="s">
        <v>2077</v>
      </c>
      <c r="M3" s="23" t="s">
        <v>178</v>
      </c>
      <c r="N3" s="179" t="s">
        <v>2079</v>
      </c>
      <c r="O3" s="23" t="s">
        <v>156</v>
      </c>
      <c r="P3" s="179" t="s">
        <v>2080</v>
      </c>
      <c r="Q3" s="21" t="s">
        <v>34</v>
      </c>
      <c r="R3" s="23" t="s">
        <v>131</v>
      </c>
      <c r="S3" s="23" t="s">
        <v>1564</v>
      </c>
      <c r="T3" s="179" t="s">
        <v>2081</v>
      </c>
      <c r="U3" s="173">
        <v>22.5</v>
      </c>
      <c r="V3" s="157">
        <v>1</v>
      </c>
      <c r="W3" s="157">
        <v>1985</v>
      </c>
      <c r="X3" s="173">
        <v>0.41899999999999998</v>
      </c>
      <c r="Y3" s="172">
        <v>1</v>
      </c>
      <c r="Z3" s="157">
        <v>8.0000000000000002E-3</v>
      </c>
      <c r="AA3" s="171">
        <v>4.3239426252539799E-2</v>
      </c>
      <c r="AB3" s="171">
        <v>9.9343181054248304E-8</v>
      </c>
    </row>
    <row r="4" spans="1:28">
      <c r="A4" s="23">
        <v>161</v>
      </c>
      <c r="B4" s="23">
        <v>9942</v>
      </c>
      <c r="C4" s="23" t="s">
        <v>957</v>
      </c>
      <c r="D4" s="23" t="s">
        <v>958</v>
      </c>
      <c r="E4" s="21" t="s">
        <v>149</v>
      </c>
      <c r="F4" s="23" t="s">
        <v>2071</v>
      </c>
      <c r="G4" s="23" t="s">
        <v>2072</v>
      </c>
      <c r="H4" s="23" t="s">
        <v>33</v>
      </c>
      <c r="I4" s="21" t="s">
        <v>30</v>
      </c>
      <c r="J4" s="21" t="s">
        <v>30</v>
      </c>
      <c r="K4" s="23" t="s">
        <v>131</v>
      </c>
      <c r="L4" s="23" t="s">
        <v>960</v>
      </c>
      <c r="M4" s="23" t="s">
        <v>282</v>
      </c>
      <c r="N4" s="179" t="s">
        <v>927</v>
      </c>
      <c r="O4" s="23" t="s">
        <v>156</v>
      </c>
      <c r="P4" s="179" t="s">
        <v>2073</v>
      </c>
      <c r="Q4" s="21" t="s">
        <v>34</v>
      </c>
      <c r="R4" s="23" t="s">
        <v>131</v>
      </c>
      <c r="S4" s="23" t="s">
        <v>1564</v>
      </c>
      <c r="T4" s="179" t="s">
        <v>1566</v>
      </c>
      <c r="U4" s="173">
        <v>27083</v>
      </c>
      <c r="V4" s="157">
        <v>0</v>
      </c>
      <c r="W4" s="157">
        <v>90</v>
      </c>
      <c r="X4" s="173">
        <v>122.66</v>
      </c>
      <c r="Y4" s="172">
        <v>1</v>
      </c>
      <c r="Z4" s="157">
        <v>0.11</v>
      </c>
      <c r="AA4" s="171">
        <v>0.89368667123815504</v>
      </c>
      <c r="AB4" s="171">
        <v>1.11726738415071E-6</v>
      </c>
    </row>
    <row r="5" spans="1:28">
      <c r="A5" s="23">
        <v>161</v>
      </c>
      <c r="B5" s="23">
        <v>9942</v>
      </c>
      <c r="C5" s="23" t="s">
        <v>2074</v>
      </c>
      <c r="D5" s="23" t="s">
        <v>2075</v>
      </c>
      <c r="E5" s="21" t="s">
        <v>149</v>
      </c>
      <c r="F5" s="23" t="s">
        <v>2076</v>
      </c>
      <c r="G5" s="23" t="s">
        <v>2077</v>
      </c>
      <c r="H5" s="23" t="s">
        <v>152</v>
      </c>
      <c r="I5" s="21" t="s">
        <v>30</v>
      </c>
      <c r="J5" s="21" t="s">
        <v>30</v>
      </c>
      <c r="K5" s="23" t="s">
        <v>2078</v>
      </c>
      <c r="L5" s="23" t="s">
        <v>2077</v>
      </c>
      <c r="M5" s="23" t="s">
        <v>178</v>
      </c>
      <c r="N5" s="179" t="s">
        <v>2079</v>
      </c>
      <c r="O5" s="23" t="s">
        <v>156</v>
      </c>
      <c r="P5" s="179" t="s">
        <v>2080</v>
      </c>
      <c r="Q5" s="21" t="s">
        <v>34</v>
      </c>
      <c r="R5" s="23" t="s">
        <v>131</v>
      </c>
      <c r="S5" s="23" t="s">
        <v>1564</v>
      </c>
      <c r="T5" s="179" t="s">
        <v>2081</v>
      </c>
      <c r="U5" s="173">
        <v>22.5</v>
      </c>
      <c r="V5" s="157">
        <v>1</v>
      </c>
      <c r="W5" s="157">
        <v>3135</v>
      </c>
      <c r="X5" s="173">
        <v>0.41899999999999998</v>
      </c>
      <c r="Y5" s="172">
        <v>1</v>
      </c>
      <c r="Z5" s="157">
        <v>1.2999999999999999E-2</v>
      </c>
      <c r="AA5" s="171">
        <v>0.106313328761845</v>
      </c>
      <c r="AB5" s="171">
        <v>1.3291058102224701E-7</v>
      </c>
    </row>
    <row r="6" spans="1:28">
      <c r="A6" s="23">
        <v>161</v>
      </c>
      <c r="B6" s="23">
        <v>9943</v>
      </c>
      <c r="C6" s="23" t="s">
        <v>957</v>
      </c>
      <c r="D6" s="23" t="s">
        <v>958</v>
      </c>
      <c r="E6" s="21" t="s">
        <v>149</v>
      </c>
      <c r="F6" s="23" t="s">
        <v>2071</v>
      </c>
      <c r="G6" s="23" t="s">
        <v>2072</v>
      </c>
      <c r="H6" s="23" t="s">
        <v>33</v>
      </c>
      <c r="I6" s="21" t="s">
        <v>30</v>
      </c>
      <c r="J6" s="21" t="s">
        <v>30</v>
      </c>
      <c r="K6" s="23" t="s">
        <v>131</v>
      </c>
      <c r="L6" s="23" t="s">
        <v>960</v>
      </c>
      <c r="M6" s="23" t="s">
        <v>282</v>
      </c>
      <c r="N6" s="179" t="s">
        <v>927</v>
      </c>
      <c r="O6" s="23" t="s">
        <v>156</v>
      </c>
      <c r="P6" s="179" t="s">
        <v>2073</v>
      </c>
      <c r="Q6" s="21" t="s">
        <v>34</v>
      </c>
      <c r="R6" s="23" t="s">
        <v>131</v>
      </c>
      <c r="S6" s="23" t="s">
        <v>1564</v>
      </c>
      <c r="T6" s="179" t="s">
        <v>1566</v>
      </c>
      <c r="U6" s="173">
        <v>27083</v>
      </c>
      <c r="V6" s="157">
        <v>0</v>
      </c>
      <c r="W6" s="157">
        <v>1410</v>
      </c>
      <c r="X6" s="173">
        <v>122.66</v>
      </c>
      <c r="Y6" s="172">
        <v>1</v>
      </c>
      <c r="Z6" s="157">
        <v>1.73</v>
      </c>
      <c r="AA6" s="171">
        <v>0.96943316806473101</v>
      </c>
      <c r="AB6" s="171">
        <v>8.8903305110203805E-7</v>
      </c>
    </row>
    <row r="7" spans="1:28">
      <c r="A7" s="23">
        <v>161</v>
      </c>
      <c r="B7" s="23">
        <v>9943</v>
      </c>
      <c r="C7" s="23" t="s">
        <v>2074</v>
      </c>
      <c r="D7" s="23" t="s">
        <v>2075</v>
      </c>
      <c r="E7" s="21" t="s">
        <v>149</v>
      </c>
      <c r="F7" s="23" t="s">
        <v>2076</v>
      </c>
      <c r="G7" s="23" t="s">
        <v>2077</v>
      </c>
      <c r="H7" s="23" t="s">
        <v>152</v>
      </c>
      <c r="I7" s="21" t="s">
        <v>30</v>
      </c>
      <c r="J7" s="21" t="s">
        <v>30</v>
      </c>
      <c r="K7" s="23" t="s">
        <v>2078</v>
      </c>
      <c r="L7" s="23" t="s">
        <v>2077</v>
      </c>
      <c r="M7" s="23" t="s">
        <v>178</v>
      </c>
      <c r="N7" s="179" t="s">
        <v>2079</v>
      </c>
      <c r="O7" s="23" t="s">
        <v>156</v>
      </c>
      <c r="P7" s="179" t="s">
        <v>2080</v>
      </c>
      <c r="Q7" s="21" t="s">
        <v>34</v>
      </c>
      <c r="R7" s="23" t="s">
        <v>131</v>
      </c>
      <c r="S7" s="23" t="s">
        <v>1564</v>
      </c>
      <c r="T7" s="179" t="s">
        <v>2081</v>
      </c>
      <c r="U7" s="173">
        <v>22.5</v>
      </c>
      <c r="V7" s="157">
        <v>1</v>
      </c>
      <c r="W7" s="157">
        <v>13018</v>
      </c>
      <c r="X7" s="173">
        <v>0.41899999999999998</v>
      </c>
      <c r="Y7" s="172">
        <v>1</v>
      </c>
      <c r="Z7" s="157">
        <v>5.5E-2</v>
      </c>
      <c r="AA7" s="171">
        <v>3.0566831935269101E-2</v>
      </c>
      <c r="AB7" s="171">
        <v>2.8031766142460801E-8</v>
      </c>
    </row>
    <row r="8" spans="1:28">
      <c r="A8" s="23">
        <v>161</v>
      </c>
      <c r="B8" s="23">
        <v>12468</v>
      </c>
      <c r="C8" s="23" t="s">
        <v>957</v>
      </c>
      <c r="D8" s="23" t="s">
        <v>958</v>
      </c>
      <c r="E8" s="21" t="s">
        <v>149</v>
      </c>
      <c r="F8" s="23" t="s">
        <v>2071</v>
      </c>
      <c r="G8" s="23" t="s">
        <v>2072</v>
      </c>
      <c r="H8" s="23" t="s">
        <v>33</v>
      </c>
      <c r="I8" s="21" t="s">
        <v>30</v>
      </c>
      <c r="J8" s="21" t="s">
        <v>30</v>
      </c>
      <c r="K8" s="23" t="s">
        <v>131</v>
      </c>
      <c r="L8" s="23" t="s">
        <v>960</v>
      </c>
      <c r="M8" s="23" t="s">
        <v>282</v>
      </c>
      <c r="N8" s="179" t="s">
        <v>927</v>
      </c>
      <c r="O8" s="23" t="s">
        <v>156</v>
      </c>
      <c r="P8" s="179" t="s">
        <v>2073</v>
      </c>
      <c r="Q8" s="21" t="s">
        <v>34</v>
      </c>
      <c r="R8" s="23" t="s">
        <v>131</v>
      </c>
      <c r="S8" s="23" t="s">
        <v>1564</v>
      </c>
      <c r="T8" s="179" t="s">
        <v>1566</v>
      </c>
      <c r="U8" s="173">
        <v>27083</v>
      </c>
      <c r="V8" s="157">
        <v>0</v>
      </c>
      <c r="W8" s="157">
        <v>51</v>
      </c>
      <c r="X8" s="173">
        <v>122.66</v>
      </c>
      <c r="Y8" s="172">
        <v>1</v>
      </c>
      <c r="Z8" s="157">
        <v>6.3E-2</v>
      </c>
      <c r="AA8" s="171">
        <v>0.98049970679803899</v>
      </c>
      <c r="AB8" s="171">
        <v>2.6303712087560599E-6</v>
      </c>
    </row>
    <row r="9" spans="1:28">
      <c r="A9" s="23">
        <v>161</v>
      </c>
      <c r="B9" s="23">
        <v>12468</v>
      </c>
      <c r="C9" s="23" t="s">
        <v>2074</v>
      </c>
      <c r="D9" s="23" t="s">
        <v>2075</v>
      </c>
      <c r="E9" s="21" t="s">
        <v>149</v>
      </c>
      <c r="F9" s="23" t="s">
        <v>2076</v>
      </c>
      <c r="G9" s="23" t="s">
        <v>2077</v>
      </c>
      <c r="H9" s="23" t="s">
        <v>152</v>
      </c>
      <c r="I9" s="21" t="s">
        <v>30</v>
      </c>
      <c r="J9" s="21" t="s">
        <v>30</v>
      </c>
      <c r="K9" s="23" t="s">
        <v>2078</v>
      </c>
      <c r="L9" s="23" t="s">
        <v>2077</v>
      </c>
      <c r="M9" s="23" t="s">
        <v>178</v>
      </c>
      <c r="N9" s="179" t="s">
        <v>2079</v>
      </c>
      <c r="O9" s="23" t="s">
        <v>156</v>
      </c>
      <c r="P9" s="179" t="s">
        <v>2080</v>
      </c>
      <c r="Q9" s="21" t="s">
        <v>34</v>
      </c>
      <c r="R9" s="23" t="s">
        <v>131</v>
      </c>
      <c r="S9" s="23" t="s">
        <v>1564</v>
      </c>
      <c r="T9" s="179" t="s">
        <v>2081</v>
      </c>
      <c r="U9" s="173">
        <v>22.5</v>
      </c>
      <c r="V9" s="157">
        <v>1</v>
      </c>
      <c r="W9" s="157">
        <v>297</v>
      </c>
      <c r="X9" s="173">
        <v>0.41899999999999998</v>
      </c>
      <c r="Y9" s="172">
        <v>1</v>
      </c>
      <c r="Z9" s="157">
        <v>1E-3</v>
      </c>
      <c r="AA9" s="171">
        <v>1.9500293201960499E-2</v>
      </c>
      <c r="AB9" s="171">
        <v>5.2313131197400597E-8</v>
      </c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3" spans="1:28">
      <c r="H23" s="42"/>
    </row>
    <row r="24" spans="1:28">
      <c r="H24" s="42"/>
      <c r="K24" s="3"/>
    </row>
    <row r="25" spans="1:28">
      <c r="H25" s="42"/>
    </row>
    <row r="26" spans="1:28">
      <c r="H26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136</v>
      </c>
      <c r="E1" s="22" t="s">
        <v>137</v>
      </c>
      <c r="F1" s="22" t="s">
        <v>3</v>
      </c>
      <c r="G1" s="22" t="s">
        <v>4</v>
      </c>
      <c r="H1" s="22" t="s">
        <v>138</v>
      </c>
      <c r="I1" s="22" t="s">
        <v>5</v>
      </c>
      <c r="J1" s="22" t="s">
        <v>6</v>
      </c>
      <c r="K1" s="22" t="s">
        <v>7</v>
      </c>
      <c r="L1" s="22" t="s">
        <v>139</v>
      </c>
      <c r="M1" s="22" t="s">
        <v>1524</v>
      </c>
      <c r="N1" s="22" t="s">
        <v>1514</v>
      </c>
      <c r="O1" s="22" t="s">
        <v>140</v>
      </c>
      <c r="P1" s="22" t="s">
        <v>1546</v>
      </c>
      <c r="Q1" s="22" t="s">
        <v>11</v>
      </c>
      <c r="R1" s="22" t="s">
        <v>1552</v>
      </c>
      <c r="S1" s="22" t="s">
        <v>1553</v>
      </c>
      <c r="T1" s="22" t="s">
        <v>1555</v>
      </c>
      <c r="U1" s="22" t="s">
        <v>1515</v>
      </c>
      <c r="V1" s="22" t="s">
        <v>1516</v>
      </c>
      <c r="W1" s="22" t="s">
        <v>17</v>
      </c>
      <c r="X1" s="22" t="s">
        <v>19</v>
      </c>
      <c r="Y1" s="22" t="s">
        <v>18</v>
      </c>
      <c r="Z1" s="22" t="s">
        <v>2082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  <row r="21" spans="1:28" s="42" customFormat="1">
      <c r="H21" s="41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workbookViewId="0">
      <selection activeCell="A2" sqref="A2"/>
    </sheetView>
  </sheetViews>
  <sheetFormatPr defaultColWidth="0" defaultRowHeight="14.25"/>
  <cols>
    <col min="1" max="33" width="11.625" style="9" customWidth="1"/>
    <col min="34" max="34" width="11.625" customWidth="1"/>
    <col min="35" max="39" width="11.625" style="9" customWidth="1"/>
    <col min="40" max="41" width="11.625" style="3" customWidth="1"/>
    <col min="42" max="42" width="9" style="9" hidden="1" customWidth="1"/>
    <col min="43" max="16384" width="9" style="9" hidden="1"/>
  </cols>
  <sheetData>
    <row r="1" spans="1:41" ht="51">
      <c r="A1" s="22" t="s">
        <v>0</v>
      </c>
      <c r="B1" s="22" t="s">
        <v>1</v>
      </c>
      <c r="C1" s="22" t="s">
        <v>5</v>
      </c>
      <c r="D1" s="22" t="s">
        <v>2083</v>
      </c>
      <c r="E1" s="22" t="s">
        <v>2084</v>
      </c>
      <c r="F1" s="169" t="s">
        <v>18</v>
      </c>
      <c r="G1" s="22" t="s">
        <v>2085</v>
      </c>
      <c r="H1" s="22" t="s">
        <v>2086</v>
      </c>
      <c r="I1" s="165" t="s">
        <v>2087</v>
      </c>
      <c r="J1" s="165" t="s">
        <v>2088</v>
      </c>
      <c r="K1" s="22" t="s">
        <v>2089</v>
      </c>
      <c r="L1" s="22" t="s">
        <v>2090</v>
      </c>
      <c r="M1" s="169" t="s">
        <v>18</v>
      </c>
      <c r="N1" s="22" t="s">
        <v>2091</v>
      </c>
      <c r="O1" s="22" t="s">
        <v>2092</v>
      </c>
      <c r="P1" s="165" t="s">
        <v>2093</v>
      </c>
      <c r="Q1" s="165" t="s">
        <v>2094</v>
      </c>
      <c r="R1" s="22" t="s">
        <v>2095</v>
      </c>
      <c r="S1" s="22" t="s">
        <v>6</v>
      </c>
      <c r="T1" s="22" t="s">
        <v>7</v>
      </c>
      <c r="U1" s="22" t="s">
        <v>2096</v>
      </c>
      <c r="V1" s="22" t="s">
        <v>2097</v>
      </c>
      <c r="W1" s="22" t="s">
        <v>2098</v>
      </c>
      <c r="X1" s="22" t="s">
        <v>2099</v>
      </c>
      <c r="Y1" s="22" t="s">
        <v>140</v>
      </c>
      <c r="Z1" s="22" t="s">
        <v>2100</v>
      </c>
      <c r="AA1" s="22" t="s">
        <v>2101</v>
      </c>
      <c r="AB1" s="22" t="s">
        <v>2102</v>
      </c>
      <c r="AC1" s="22" t="s">
        <v>2103</v>
      </c>
      <c r="AD1" s="22" t="s">
        <v>2104</v>
      </c>
      <c r="AE1" s="22" t="s">
        <v>2105</v>
      </c>
      <c r="AF1" s="22" t="s">
        <v>142</v>
      </c>
      <c r="AG1" s="22" t="s">
        <v>2106</v>
      </c>
      <c r="AH1" s="22" t="s">
        <v>2107</v>
      </c>
      <c r="AI1" s="22" t="s">
        <v>2108</v>
      </c>
      <c r="AJ1" s="22" t="s">
        <v>2109</v>
      </c>
      <c r="AK1" s="22" t="s">
        <v>2110</v>
      </c>
      <c r="AL1" s="22" t="s">
        <v>2111</v>
      </c>
      <c r="AM1" s="22" t="s">
        <v>2112</v>
      </c>
      <c r="AN1" s="165" t="s">
        <v>24</v>
      </c>
      <c r="AO1" s="165" t="s">
        <v>25</v>
      </c>
    </row>
    <row r="2" spans="1:41">
      <c r="A2" s="11" t="s">
        <v>2113</v>
      </c>
      <c r="B2" s="11" t="s">
        <v>2114</v>
      </c>
      <c r="C2" s="11" t="s">
        <v>2115</v>
      </c>
      <c r="D2" s="2" t="s">
        <v>2116</v>
      </c>
      <c r="E2" s="11" t="s">
        <v>86</v>
      </c>
      <c r="F2" s="189">
        <v>3.306</v>
      </c>
      <c r="G2" s="161">
        <v>-200000</v>
      </c>
      <c r="H2" s="154">
        <v>-200.00518451300667</v>
      </c>
      <c r="I2" s="190">
        <v>1E-3</v>
      </c>
      <c r="J2" s="191">
        <v>-9.0000000000000002E-6</v>
      </c>
      <c r="K2" s="9" t="s">
        <v>2116</v>
      </c>
      <c r="L2" s="11" t="s">
        <v>34</v>
      </c>
      <c r="M2" s="192">
        <v>1</v>
      </c>
      <c r="N2" s="162">
        <v>664200</v>
      </c>
      <c r="O2" s="159">
        <v>664.2</v>
      </c>
      <c r="P2" s="190">
        <v>2.8E-5</v>
      </c>
      <c r="Q2" s="190">
        <v>1E-3</v>
      </c>
      <c r="R2" s="161">
        <v>2.9828600000000001</v>
      </c>
      <c r="S2" s="9" t="s">
        <v>30</v>
      </c>
      <c r="T2" s="21" t="s">
        <v>30</v>
      </c>
      <c r="U2" s="29" t="s">
        <v>1545</v>
      </c>
      <c r="V2" s="10" t="s">
        <v>2117</v>
      </c>
      <c r="W2" s="208" t="s">
        <v>3339</v>
      </c>
      <c r="X2" s="10" t="s">
        <v>2119</v>
      </c>
      <c r="Y2" s="10" t="s">
        <v>156</v>
      </c>
      <c r="Z2" s="1" t="s">
        <v>1746</v>
      </c>
      <c r="AA2" s="28" t="s">
        <v>2120</v>
      </c>
      <c r="AB2" s="10" t="s">
        <v>2121</v>
      </c>
      <c r="AC2" s="10" t="s">
        <v>2122</v>
      </c>
      <c r="AD2" s="10" t="s">
        <v>1654</v>
      </c>
      <c r="AE2" s="29" t="s">
        <v>2123</v>
      </c>
      <c r="AF2" s="10" t="s">
        <v>2121</v>
      </c>
      <c r="AG2" s="11" t="s">
        <v>2121</v>
      </c>
      <c r="AH2" s="39" t="s">
        <v>2121</v>
      </c>
      <c r="AI2" s="161">
        <v>3.3210000000000002</v>
      </c>
      <c r="AJ2" s="39" t="s">
        <v>2124</v>
      </c>
      <c r="AK2" s="29" t="s">
        <v>156</v>
      </c>
      <c r="AL2" s="39" t="s">
        <v>2125</v>
      </c>
      <c r="AM2" s="9" t="s">
        <v>2126</v>
      </c>
      <c r="AN2" s="171">
        <v>1E-3</v>
      </c>
      <c r="AO2" s="171">
        <v>0</v>
      </c>
    </row>
    <row r="3" spans="1:41">
      <c r="A3" s="11" t="s">
        <v>2113</v>
      </c>
      <c r="B3" s="11" t="s">
        <v>2127</v>
      </c>
      <c r="C3" s="11" t="s">
        <v>2115</v>
      </c>
      <c r="D3" s="2" t="s">
        <v>2128</v>
      </c>
      <c r="E3" s="11" t="s">
        <v>86</v>
      </c>
      <c r="F3" s="189">
        <v>3.306</v>
      </c>
      <c r="G3" s="161">
        <v>550000</v>
      </c>
      <c r="H3" s="154">
        <v>550.05677555958857</v>
      </c>
      <c r="I3" s="190">
        <v>1.2949999999999999E-3</v>
      </c>
      <c r="J3" s="191">
        <v>6.9999999999999999E-6</v>
      </c>
      <c r="K3" s="9" t="s">
        <v>2128</v>
      </c>
      <c r="L3" s="11" t="s">
        <v>34</v>
      </c>
      <c r="M3" s="192">
        <v>1</v>
      </c>
      <c r="N3" s="162">
        <v>-1854050</v>
      </c>
      <c r="O3" s="162">
        <v>-1854.05</v>
      </c>
      <c r="P3" s="190">
        <v>-2.3E-5</v>
      </c>
      <c r="Q3" s="190">
        <v>1.369E-3</v>
      </c>
      <c r="R3" s="161">
        <v>-35.5623</v>
      </c>
      <c r="S3" s="9" t="s">
        <v>30</v>
      </c>
      <c r="T3" s="21" t="s">
        <v>30</v>
      </c>
      <c r="U3" s="29" t="s">
        <v>1545</v>
      </c>
      <c r="V3" s="10" t="s">
        <v>2117</v>
      </c>
      <c r="W3" s="208" t="s">
        <v>3339</v>
      </c>
      <c r="X3" s="10" t="s">
        <v>2119</v>
      </c>
      <c r="Y3" s="10" t="s">
        <v>156</v>
      </c>
      <c r="Z3" s="1" t="s">
        <v>2129</v>
      </c>
      <c r="AA3" s="28" t="s">
        <v>2130</v>
      </c>
      <c r="AB3" s="10" t="s">
        <v>2121</v>
      </c>
      <c r="AC3" s="10" t="s">
        <v>2122</v>
      </c>
      <c r="AD3" s="10" t="s">
        <v>1654</v>
      </c>
      <c r="AE3" s="10" t="s">
        <v>2123</v>
      </c>
      <c r="AF3" s="10" t="s">
        <v>2121</v>
      </c>
      <c r="AG3" s="11" t="s">
        <v>2121</v>
      </c>
      <c r="AH3" t="s">
        <v>2121</v>
      </c>
      <c r="AI3" s="161">
        <v>3.371</v>
      </c>
      <c r="AJ3" s="10" t="s">
        <v>2124</v>
      </c>
      <c r="AK3" s="10" t="s">
        <v>156</v>
      </c>
      <c r="AL3" s="9" t="s">
        <v>2125</v>
      </c>
      <c r="AM3" s="9" t="s">
        <v>2126</v>
      </c>
      <c r="AN3" s="171">
        <v>1.6329999999999999E-3</v>
      </c>
      <c r="AO3" s="171">
        <v>0</v>
      </c>
    </row>
    <row r="4" spans="1:41">
      <c r="A4" s="11" t="s">
        <v>2113</v>
      </c>
      <c r="B4" s="11" t="s">
        <v>2127</v>
      </c>
      <c r="C4" s="11" t="s">
        <v>2115</v>
      </c>
      <c r="D4" s="2" t="s">
        <v>2131</v>
      </c>
      <c r="E4" s="11" t="s">
        <v>1245</v>
      </c>
      <c r="F4" s="189">
        <v>3.8807</v>
      </c>
      <c r="G4" s="161">
        <v>-125000</v>
      </c>
      <c r="H4" s="154">
        <v>-125.19530754760737</v>
      </c>
      <c r="I4" s="190">
        <v>-2.9500000000000001E-4</v>
      </c>
      <c r="J4" s="191">
        <v>-9.9999999999999995E-7</v>
      </c>
      <c r="K4" s="9" t="s">
        <v>2131</v>
      </c>
      <c r="L4" s="11" t="s">
        <v>34</v>
      </c>
      <c r="M4" s="192">
        <v>1</v>
      </c>
      <c r="N4" s="162">
        <v>499625</v>
      </c>
      <c r="O4" s="162">
        <v>499.625</v>
      </c>
      <c r="P4" s="190">
        <v>6.0000000000000002E-6</v>
      </c>
      <c r="Q4" s="190">
        <v>-3.6900000000000002E-4</v>
      </c>
      <c r="R4" s="161">
        <v>13.77957</v>
      </c>
      <c r="S4" s="9" t="s">
        <v>30</v>
      </c>
      <c r="T4" s="21" t="s">
        <v>30</v>
      </c>
      <c r="U4" s="29" t="s">
        <v>1545</v>
      </c>
      <c r="V4" s="10" t="s">
        <v>2117</v>
      </c>
      <c r="W4" s="208" t="s">
        <v>3339</v>
      </c>
      <c r="X4" s="10" t="s">
        <v>2132</v>
      </c>
      <c r="Y4" s="10" t="s">
        <v>156</v>
      </c>
      <c r="Z4" s="1" t="s">
        <v>2129</v>
      </c>
      <c r="AA4" s="28" t="s">
        <v>2130</v>
      </c>
      <c r="AB4" s="10" t="s">
        <v>2121</v>
      </c>
      <c r="AC4" s="10" t="s">
        <v>2122</v>
      </c>
      <c r="AD4" s="10" t="s">
        <v>1654</v>
      </c>
      <c r="AE4" s="10" t="s">
        <v>2123</v>
      </c>
      <c r="AF4" s="10" t="s">
        <v>2121</v>
      </c>
      <c r="AG4" s="11" t="s">
        <v>2121</v>
      </c>
      <c r="AH4" t="s">
        <v>2121</v>
      </c>
      <c r="AI4" s="161">
        <v>3.9969999999999999</v>
      </c>
      <c r="AJ4" s="10" t="s">
        <v>2124</v>
      </c>
      <c r="AK4" s="10" t="s">
        <v>156</v>
      </c>
      <c r="AL4" s="9" t="s">
        <v>2125</v>
      </c>
      <c r="AM4" s="9" t="s">
        <v>2126</v>
      </c>
      <c r="AN4" s="171">
        <v>-6.3299999999999999E-4</v>
      </c>
      <c r="AO4" s="171">
        <v>0</v>
      </c>
    </row>
    <row r="5" spans="1:41">
      <c r="A5" s="11" t="s">
        <v>2113</v>
      </c>
      <c r="B5" s="11" t="s">
        <v>2133</v>
      </c>
      <c r="C5" s="11" t="s">
        <v>2115</v>
      </c>
      <c r="D5" s="2" t="s">
        <v>2128</v>
      </c>
      <c r="E5" s="11" t="s">
        <v>86</v>
      </c>
      <c r="F5" s="189">
        <v>3.306</v>
      </c>
      <c r="G5" s="161">
        <v>830000</v>
      </c>
      <c r="H5" s="154">
        <v>830.08566243194196</v>
      </c>
      <c r="I5" s="190">
        <v>1.1529999999999999E-3</v>
      </c>
      <c r="J5" s="191">
        <v>7.9999999999999996E-6</v>
      </c>
      <c r="K5" s="9" t="s">
        <v>2128</v>
      </c>
      <c r="L5" s="11" t="s">
        <v>34</v>
      </c>
      <c r="M5" s="192">
        <v>1</v>
      </c>
      <c r="N5" s="162">
        <v>-2797930</v>
      </c>
      <c r="O5" s="162">
        <v>-2797.93</v>
      </c>
      <c r="P5" s="190">
        <v>-2.9E-5</v>
      </c>
      <c r="Q5" s="190">
        <v>1.186E-3</v>
      </c>
      <c r="R5" s="161">
        <v>-53.666800000000002</v>
      </c>
      <c r="S5" s="9" t="s">
        <v>30</v>
      </c>
      <c r="T5" s="21" t="s">
        <v>30</v>
      </c>
      <c r="U5" s="29" t="s">
        <v>1545</v>
      </c>
      <c r="V5" s="10" t="s">
        <v>2117</v>
      </c>
      <c r="W5" s="208" t="s">
        <v>3339</v>
      </c>
      <c r="X5" s="10" t="s">
        <v>2119</v>
      </c>
      <c r="Y5" s="10" t="s">
        <v>156</v>
      </c>
      <c r="Z5" s="1" t="s">
        <v>2129</v>
      </c>
      <c r="AA5" s="28" t="s">
        <v>2130</v>
      </c>
      <c r="AB5" s="10" t="s">
        <v>2121</v>
      </c>
      <c r="AC5" s="10" t="s">
        <v>2122</v>
      </c>
      <c r="AD5" s="10" t="s">
        <v>1654</v>
      </c>
      <c r="AE5" s="10" t="s">
        <v>2123</v>
      </c>
      <c r="AF5" s="10" t="s">
        <v>2121</v>
      </c>
      <c r="AG5" s="11" t="s">
        <v>2121</v>
      </c>
      <c r="AH5" t="s">
        <v>2121</v>
      </c>
      <c r="AI5" s="161">
        <v>3.371</v>
      </c>
      <c r="AJ5" s="10" t="s">
        <v>2124</v>
      </c>
      <c r="AK5" s="10" t="s">
        <v>156</v>
      </c>
      <c r="AL5" s="9" t="s">
        <v>2125</v>
      </c>
      <c r="AM5" s="9" t="s">
        <v>2126</v>
      </c>
      <c r="AN5" s="171">
        <v>1.292E-3</v>
      </c>
      <c r="AO5" s="171">
        <v>-9.9999999999999995E-7</v>
      </c>
    </row>
    <row r="6" spans="1:41">
      <c r="A6" s="11" t="s">
        <v>2113</v>
      </c>
      <c r="B6" s="11" t="s">
        <v>2133</v>
      </c>
      <c r="C6" s="11" t="s">
        <v>2115</v>
      </c>
      <c r="D6" s="2" t="s">
        <v>2131</v>
      </c>
      <c r="E6" s="11" t="s">
        <v>1245</v>
      </c>
      <c r="F6" s="189">
        <v>3.8807</v>
      </c>
      <c r="G6" s="161">
        <v>-110000</v>
      </c>
      <c r="H6" s="154">
        <v>-110.17187105419126</v>
      </c>
      <c r="I6" s="190">
        <v>-1.5300000000000001E-4</v>
      </c>
      <c r="J6" s="191">
        <v>-9.9999999999999995E-7</v>
      </c>
      <c r="K6" s="9" t="s">
        <v>2131</v>
      </c>
      <c r="L6" s="11" t="s">
        <v>34</v>
      </c>
      <c r="M6" s="192">
        <v>1</v>
      </c>
      <c r="N6" s="162">
        <v>439670</v>
      </c>
      <c r="O6" s="162">
        <v>439.67</v>
      </c>
      <c r="P6" s="190">
        <v>5.0000000000000004E-6</v>
      </c>
      <c r="Q6" s="190">
        <v>-1.8599999999999999E-4</v>
      </c>
      <c r="R6" s="161">
        <v>12.12602</v>
      </c>
      <c r="S6" s="9" t="s">
        <v>30</v>
      </c>
      <c r="T6" s="21" t="s">
        <v>30</v>
      </c>
      <c r="U6" s="29" t="s">
        <v>1545</v>
      </c>
      <c r="V6" s="10" t="s">
        <v>2117</v>
      </c>
      <c r="W6" s="208" t="s">
        <v>3339</v>
      </c>
      <c r="X6" s="10" t="s">
        <v>2132</v>
      </c>
      <c r="Y6" s="10" t="s">
        <v>156</v>
      </c>
      <c r="Z6" s="1" t="s">
        <v>2129</v>
      </c>
      <c r="AA6" s="28" t="s">
        <v>2130</v>
      </c>
      <c r="AB6" s="10" t="s">
        <v>2121</v>
      </c>
      <c r="AC6" s="10" t="s">
        <v>2122</v>
      </c>
      <c r="AD6" s="10" t="s">
        <v>1654</v>
      </c>
      <c r="AE6" s="10" t="s">
        <v>2123</v>
      </c>
      <c r="AF6" s="10" t="s">
        <v>2121</v>
      </c>
      <c r="AG6" s="11" t="s">
        <v>2121</v>
      </c>
      <c r="AH6" t="s">
        <v>2121</v>
      </c>
      <c r="AI6" s="161">
        <v>3.9969999999999999</v>
      </c>
      <c r="AJ6" s="10" t="s">
        <v>2124</v>
      </c>
      <c r="AK6" s="10" t="s">
        <v>156</v>
      </c>
      <c r="AL6" s="9" t="s">
        <v>2125</v>
      </c>
      <c r="AM6" s="9" t="s">
        <v>2126</v>
      </c>
      <c r="AN6" s="171">
        <v>-2.92E-4</v>
      </c>
      <c r="AO6" s="171">
        <v>0</v>
      </c>
    </row>
    <row r="7" spans="1:41">
      <c r="A7" s="11" t="s">
        <v>2113</v>
      </c>
      <c r="B7" s="11" t="s">
        <v>2134</v>
      </c>
      <c r="C7" s="11" t="s">
        <v>2115</v>
      </c>
      <c r="D7" s="2" t="s">
        <v>2131</v>
      </c>
      <c r="E7" s="11" t="s">
        <v>1245</v>
      </c>
      <c r="F7" s="189">
        <v>3.8807</v>
      </c>
      <c r="G7" s="161">
        <v>-2250000</v>
      </c>
      <c r="H7" s="154">
        <v>-2253.5155410106422</v>
      </c>
      <c r="I7" s="190">
        <v>3.1999999999999999E-5</v>
      </c>
      <c r="J7" s="191">
        <v>-9.9999999999999995E-7</v>
      </c>
      <c r="K7" s="9" t="s">
        <v>2131</v>
      </c>
      <c r="L7" s="11" t="s">
        <v>34</v>
      </c>
      <c r="M7" s="192">
        <v>1</v>
      </c>
      <c r="N7" s="162">
        <v>8993250</v>
      </c>
      <c r="O7" s="162">
        <v>8993.25</v>
      </c>
      <c r="P7" s="190">
        <v>3.9999999999999998E-6</v>
      </c>
      <c r="Q7" s="190">
        <v>3.8000000000000002E-5</v>
      </c>
      <c r="R7" s="161">
        <v>248.03224</v>
      </c>
      <c r="S7" s="9" t="s">
        <v>30</v>
      </c>
      <c r="T7" s="21" t="s">
        <v>30</v>
      </c>
      <c r="U7" s="29" t="s">
        <v>1545</v>
      </c>
      <c r="V7" s="10" t="s">
        <v>2117</v>
      </c>
      <c r="W7" s="208" t="s">
        <v>3339</v>
      </c>
      <c r="X7" s="10" t="s">
        <v>2132</v>
      </c>
      <c r="Y7" s="10" t="s">
        <v>156</v>
      </c>
      <c r="Z7" s="1" t="s">
        <v>2129</v>
      </c>
      <c r="AA7" s="28" t="s">
        <v>2130</v>
      </c>
      <c r="AB7" s="10" t="s">
        <v>2121</v>
      </c>
      <c r="AC7" s="10" t="s">
        <v>2122</v>
      </c>
      <c r="AD7" s="10" t="s">
        <v>1654</v>
      </c>
      <c r="AE7" s="10" t="s">
        <v>2123</v>
      </c>
      <c r="AF7" s="10" t="s">
        <v>2121</v>
      </c>
      <c r="AG7" s="11" t="s">
        <v>2121</v>
      </c>
      <c r="AH7" t="s">
        <v>2121</v>
      </c>
      <c r="AI7" s="161">
        <v>3.9969999999999999</v>
      </c>
      <c r="AJ7" s="10" t="s">
        <v>2124</v>
      </c>
      <c r="AK7" s="10" t="s">
        <v>156</v>
      </c>
      <c r="AL7" s="9" t="s">
        <v>2125</v>
      </c>
      <c r="AM7" s="9" t="s">
        <v>2126</v>
      </c>
      <c r="AN7" s="171">
        <v>5.7000000000000003E-5</v>
      </c>
      <c r="AO7" s="171">
        <v>0</v>
      </c>
    </row>
    <row r="8" spans="1:41">
      <c r="A8" s="11" t="s">
        <v>2113</v>
      </c>
      <c r="B8" s="11" t="s">
        <v>2134</v>
      </c>
      <c r="C8" s="11" t="s">
        <v>2115</v>
      </c>
      <c r="D8" s="2" t="s">
        <v>2128</v>
      </c>
      <c r="E8" s="11" t="s">
        <v>86</v>
      </c>
      <c r="F8" s="189">
        <v>3.306</v>
      </c>
      <c r="G8" s="161">
        <v>-15398500</v>
      </c>
      <c r="H8" s="154">
        <v>-15400.089216575921</v>
      </c>
      <c r="I8" s="190">
        <v>2.2100000000000001E-4</v>
      </c>
      <c r="J8" s="191">
        <v>-7.9999999999999996E-6</v>
      </c>
      <c r="K8" s="9" t="s">
        <v>2128</v>
      </c>
      <c r="L8" s="11" t="s">
        <v>34</v>
      </c>
      <c r="M8" s="192">
        <v>1</v>
      </c>
      <c r="N8" s="162">
        <v>51908343.5</v>
      </c>
      <c r="O8" s="162">
        <v>51908.343500000003</v>
      </c>
      <c r="P8" s="190">
        <v>2.4000000000000001E-5</v>
      </c>
      <c r="Q8" s="190">
        <v>2.1800000000000001E-4</v>
      </c>
      <c r="R8" s="161">
        <v>995.64855</v>
      </c>
      <c r="S8" s="9" t="s">
        <v>30</v>
      </c>
      <c r="T8" s="21" t="s">
        <v>30</v>
      </c>
      <c r="U8" s="29" t="s">
        <v>1545</v>
      </c>
      <c r="V8" s="10" t="s">
        <v>2117</v>
      </c>
      <c r="W8" s="208" t="s">
        <v>3339</v>
      </c>
      <c r="X8" s="10" t="s">
        <v>2119</v>
      </c>
      <c r="Y8" s="10" t="s">
        <v>156</v>
      </c>
      <c r="Z8" s="1" t="s">
        <v>2129</v>
      </c>
      <c r="AA8" s="28" t="s">
        <v>2130</v>
      </c>
      <c r="AB8" s="10" t="s">
        <v>2121</v>
      </c>
      <c r="AC8" s="10" t="s">
        <v>2122</v>
      </c>
      <c r="AD8" s="10" t="s">
        <v>1654</v>
      </c>
      <c r="AE8" s="10" t="s">
        <v>2123</v>
      </c>
      <c r="AF8" s="10" t="s">
        <v>2121</v>
      </c>
      <c r="AG8" s="11" t="s">
        <v>2121</v>
      </c>
      <c r="AH8" t="s">
        <v>2121</v>
      </c>
      <c r="AI8" s="161">
        <v>3.371</v>
      </c>
      <c r="AJ8" s="10" t="s">
        <v>2124</v>
      </c>
      <c r="AK8" s="10" t="s">
        <v>156</v>
      </c>
      <c r="AL8" s="9" t="s">
        <v>2125</v>
      </c>
      <c r="AM8" s="9" t="s">
        <v>2126</v>
      </c>
      <c r="AN8" s="171">
        <v>2.2699999999999999E-4</v>
      </c>
      <c r="AO8" s="171">
        <v>9.9999999999999995E-7</v>
      </c>
    </row>
    <row r="9" spans="1:41">
      <c r="A9" s="11" t="s">
        <v>2113</v>
      </c>
      <c r="B9" s="11" t="s">
        <v>2134</v>
      </c>
      <c r="C9" s="11" t="s">
        <v>2115</v>
      </c>
      <c r="D9" s="2" t="s">
        <v>2135</v>
      </c>
      <c r="E9" s="11" t="s">
        <v>86</v>
      </c>
      <c r="F9" s="189">
        <v>3.306</v>
      </c>
      <c r="G9" s="161">
        <v>-18338500</v>
      </c>
      <c r="H9" s="154">
        <v>-18340.239703569267</v>
      </c>
      <c r="I9" s="190">
        <v>2.63E-4</v>
      </c>
      <c r="J9" s="191">
        <v>-1.0000000000000001E-5</v>
      </c>
      <c r="K9" s="9" t="s">
        <v>2135</v>
      </c>
      <c r="L9" s="11" t="s">
        <v>34</v>
      </c>
      <c r="M9" s="192">
        <v>1</v>
      </c>
      <c r="N9" s="162">
        <v>61800745</v>
      </c>
      <c r="O9" s="162">
        <v>61800.745000000003</v>
      </c>
      <c r="P9" s="190">
        <v>2.8E-5</v>
      </c>
      <c r="Q9" s="190">
        <v>2.5999999999999998E-4</v>
      </c>
      <c r="R9" s="161">
        <v>1167.91254</v>
      </c>
      <c r="S9" s="9" t="s">
        <v>30</v>
      </c>
      <c r="T9" s="21" t="s">
        <v>30</v>
      </c>
      <c r="U9" s="29" t="s">
        <v>1545</v>
      </c>
      <c r="V9" s="10" t="s">
        <v>2117</v>
      </c>
      <c r="W9" s="208" t="s">
        <v>3339</v>
      </c>
      <c r="X9" s="10" t="s">
        <v>2119</v>
      </c>
      <c r="Y9" s="10" t="s">
        <v>156</v>
      </c>
      <c r="Z9" s="1" t="s">
        <v>2136</v>
      </c>
      <c r="AA9" s="28" t="s">
        <v>2137</v>
      </c>
      <c r="AB9" s="10" t="s">
        <v>2121</v>
      </c>
      <c r="AC9" s="10" t="s">
        <v>2122</v>
      </c>
      <c r="AD9" s="10" t="s">
        <v>1654</v>
      </c>
      <c r="AE9" s="10" t="s">
        <v>2123</v>
      </c>
      <c r="AF9" s="10" t="s">
        <v>2121</v>
      </c>
      <c r="AG9" s="11" t="s">
        <v>2121</v>
      </c>
      <c r="AH9" t="s">
        <v>2121</v>
      </c>
      <c r="AI9" s="161">
        <v>3.37</v>
      </c>
      <c r="AJ9" s="10" t="s">
        <v>2124</v>
      </c>
      <c r="AK9" s="10" t="s">
        <v>156</v>
      </c>
      <c r="AL9" s="9" t="s">
        <v>2125</v>
      </c>
      <c r="AM9" s="9" t="s">
        <v>2126</v>
      </c>
      <c r="AN9" s="171">
        <v>2.6699999999999998E-4</v>
      </c>
      <c r="AO9" s="171">
        <v>9.9999999999999995E-7</v>
      </c>
    </row>
    <row r="10" spans="1:41">
      <c r="A10" s="11" t="s">
        <v>2113</v>
      </c>
      <c r="B10" s="11" t="s">
        <v>2134</v>
      </c>
      <c r="C10" s="11" t="s">
        <v>2115</v>
      </c>
      <c r="D10" s="2" t="s">
        <v>2135</v>
      </c>
      <c r="E10" s="11" t="s">
        <v>86</v>
      </c>
      <c r="F10" s="189">
        <v>3.306</v>
      </c>
      <c r="G10" s="161">
        <v>-12750000</v>
      </c>
      <c r="H10" s="154">
        <v>-12751.209543254688</v>
      </c>
      <c r="I10" s="190">
        <v>1.83E-4</v>
      </c>
      <c r="J10" s="191">
        <v>-6.9999999999999999E-6</v>
      </c>
      <c r="K10" s="9" t="s">
        <v>2135</v>
      </c>
      <c r="L10" s="11" t="s">
        <v>34</v>
      </c>
      <c r="M10" s="192">
        <v>1</v>
      </c>
      <c r="N10" s="162">
        <v>42967500</v>
      </c>
      <c r="O10" s="162">
        <v>42967.5</v>
      </c>
      <c r="P10" s="190">
        <v>2.0000000000000002E-5</v>
      </c>
      <c r="Q10" s="190">
        <v>1.8100000000000001E-4</v>
      </c>
      <c r="R10" s="161">
        <v>812.00125000000003</v>
      </c>
      <c r="S10" s="9" t="s">
        <v>30</v>
      </c>
      <c r="T10" s="21" t="s">
        <v>30</v>
      </c>
      <c r="U10" s="29" t="s">
        <v>1545</v>
      </c>
      <c r="V10" s="10" t="s">
        <v>2117</v>
      </c>
      <c r="W10" s="208" t="s">
        <v>3339</v>
      </c>
      <c r="X10" s="10" t="s">
        <v>2119</v>
      </c>
      <c r="Y10" s="10" t="s">
        <v>156</v>
      </c>
      <c r="Z10" s="1" t="s">
        <v>2136</v>
      </c>
      <c r="AA10" s="28" t="s">
        <v>2137</v>
      </c>
      <c r="AB10" s="10" t="s">
        <v>2121</v>
      </c>
      <c r="AC10" s="10" t="s">
        <v>2122</v>
      </c>
      <c r="AD10" s="10" t="s">
        <v>1654</v>
      </c>
      <c r="AE10" s="10" t="s">
        <v>2123</v>
      </c>
      <c r="AF10" s="10" t="s">
        <v>2121</v>
      </c>
      <c r="AG10" s="11" t="s">
        <v>2121</v>
      </c>
      <c r="AH10" t="s">
        <v>2121</v>
      </c>
      <c r="AI10" s="161">
        <v>3.37</v>
      </c>
      <c r="AJ10" s="10" t="s">
        <v>2124</v>
      </c>
      <c r="AK10" s="10" t="s">
        <v>156</v>
      </c>
      <c r="AL10" s="9" t="s">
        <v>2125</v>
      </c>
      <c r="AM10" s="9" t="s">
        <v>2126</v>
      </c>
      <c r="AN10" s="171">
        <v>1.85E-4</v>
      </c>
      <c r="AO10" s="171">
        <v>0</v>
      </c>
    </row>
    <row r="11" spans="1:41">
      <c r="A11" s="11" t="s">
        <v>2113</v>
      </c>
      <c r="B11" s="11" t="s">
        <v>2134</v>
      </c>
      <c r="C11" s="11" t="s">
        <v>2115</v>
      </c>
      <c r="D11" s="2" t="s">
        <v>2128</v>
      </c>
      <c r="E11" s="11" t="s">
        <v>86</v>
      </c>
      <c r="F11" s="189">
        <v>3.306</v>
      </c>
      <c r="G11" s="161">
        <v>-12750000</v>
      </c>
      <c r="H11" s="154">
        <v>-12751.315874168178</v>
      </c>
      <c r="I11" s="190">
        <v>1.83E-4</v>
      </c>
      <c r="J11" s="191">
        <v>-6.9999999999999999E-6</v>
      </c>
      <c r="K11" s="9" t="s">
        <v>2128</v>
      </c>
      <c r="L11" s="11" t="s">
        <v>34</v>
      </c>
      <c r="M11" s="192">
        <v>1</v>
      </c>
      <c r="N11" s="162">
        <v>42980250</v>
      </c>
      <c r="O11" s="162">
        <v>42980.25</v>
      </c>
      <c r="P11" s="190">
        <v>2.0000000000000002E-5</v>
      </c>
      <c r="Q11" s="190">
        <v>1.8100000000000001E-4</v>
      </c>
      <c r="R11" s="161">
        <v>824.39972</v>
      </c>
      <c r="S11" s="9" t="s">
        <v>30</v>
      </c>
      <c r="T11" s="21" t="s">
        <v>30</v>
      </c>
      <c r="U11" s="29" t="s">
        <v>1545</v>
      </c>
      <c r="V11" s="10" t="s">
        <v>2117</v>
      </c>
      <c r="W11" s="208" t="s">
        <v>3339</v>
      </c>
      <c r="X11" s="10" t="s">
        <v>2119</v>
      </c>
      <c r="Y11" s="10" t="s">
        <v>156</v>
      </c>
      <c r="Z11" s="1" t="s">
        <v>2129</v>
      </c>
      <c r="AA11" s="28" t="s">
        <v>2130</v>
      </c>
      <c r="AB11" s="10" t="s">
        <v>2121</v>
      </c>
      <c r="AC11" s="10" t="s">
        <v>2122</v>
      </c>
      <c r="AD11" s="10" t="s">
        <v>1654</v>
      </c>
      <c r="AE11" s="10" t="s">
        <v>2123</v>
      </c>
      <c r="AF11" s="10" t="s">
        <v>2121</v>
      </c>
      <c r="AG11" s="11" t="s">
        <v>2121</v>
      </c>
      <c r="AH11" t="s">
        <v>2121</v>
      </c>
      <c r="AI11" s="161">
        <v>3.371</v>
      </c>
      <c r="AJ11" s="10" t="s">
        <v>2124</v>
      </c>
      <c r="AK11" s="10" t="s">
        <v>156</v>
      </c>
      <c r="AL11" s="9" t="s">
        <v>2125</v>
      </c>
      <c r="AM11" s="9" t="s">
        <v>2126</v>
      </c>
      <c r="AN11" s="171">
        <v>1.8799999999999999E-4</v>
      </c>
      <c r="AO11" s="171">
        <v>0</v>
      </c>
    </row>
    <row r="12" spans="1:41">
      <c r="A12" s="11" t="s">
        <v>2113</v>
      </c>
      <c r="B12" s="11" t="s">
        <v>2134</v>
      </c>
      <c r="C12" s="11" t="s">
        <v>2115</v>
      </c>
      <c r="D12" s="2" t="s">
        <v>2131</v>
      </c>
      <c r="E12" s="11" t="s">
        <v>1245</v>
      </c>
      <c r="F12" s="189">
        <v>3.8807</v>
      </c>
      <c r="G12" s="161">
        <v>-3070000</v>
      </c>
      <c r="H12" s="154">
        <v>-3074.7967608936533</v>
      </c>
      <c r="I12" s="190">
        <v>4.3999999999999999E-5</v>
      </c>
      <c r="J12" s="191">
        <v>-1.9999999999999999E-6</v>
      </c>
      <c r="K12" s="9" t="s">
        <v>2131</v>
      </c>
      <c r="L12" s="11" t="s">
        <v>34</v>
      </c>
      <c r="M12" s="192">
        <v>1</v>
      </c>
      <c r="N12" s="162">
        <v>12270790</v>
      </c>
      <c r="O12" s="162">
        <v>12270.79</v>
      </c>
      <c r="P12" s="190">
        <v>6.0000000000000002E-6</v>
      </c>
      <c r="Q12" s="190">
        <v>5.1999999999999997E-5</v>
      </c>
      <c r="R12" s="161">
        <v>338.42621000000003</v>
      </c>
      <c r="S12" s="9" t="s">
        <v>30</v>
      </c>
      <c r="T12" s="21" t="s">
        <v>30</v>
      </c>
      <c r="U12" s="29" t="s">
        <v>1545</v>
      </c>
      <c r="V12" s="10" t="s">
        <v>2117</v>
      </c>
      <c r="W12" s="208" t="s">
        <v>3339</v>
      </c>
      <c r="X12" s="10" t="s">
        <v>2132</v>
      </c>
      <c r="Y12" s="10" t="s">
        <v>156</v>
      </c>
      <c r="Z12" s="1" t="s">
        <v>2129</v>
      </c>
      <c r="AA12" s="28" t="s">
        <v>2130</v>
      </c>
      <c r="AB12" s="10" t="s">
        <v>2121</v>
      </c>
      <c r="AC12" s="10" t="s">
        <v>2122</v>
      </c>
      <c r="AD12" s="10" t="s">
        <v>1654</v>
      </c>
      <c r="AE12" s="10" t="s">
        <v>2123</v>
      </c>
      <c r="AF12" s="10" t="s">
        <v>2121</v>
      </c>
      <c r="AG12" s="11" t="s">
        <v>2121</v>
      </c>
      <c r="AH12" t="s">
        <v>2121</v>
      </c>
      <c r="AI12" s="161">
        <v>3.9969999999999999</v>
      </c>
      <c r="AJ12" s="10" t="s">
        <v>2124</v>
      </c>
      <c r="AK12" s="10" t="s">
        <v>156</v>
      </c>
      <c r="AL12" s="9" t="s">
        <v>2125</v>
      </c>
      <c r="AM12" s="9" t="s">
        <v>2126</v>
      </c>
      <c r="AN12" s="171">
        <v>7.7000000000000001E-5</v>
      </c>
      <c r="AO12" s="171">
        <v>0</v>
      </c>
    </row>
    <row r="13" spans="1:41">
      <c r="A13" s="11" t="s">
        <v>2113</v>
      </c>
      <c r="B13" s="11" t="s">
        <v>2134</v>
      </c>
      <c r="C13" s="11" t="s">
        <v>2115</v>
      </c>
      <c r="D13" s="2" t="s">
        <v>2138</v>
      </c>
      <c r="E13" s="11" t="s">
        <v>86</v>
      </c>
      <c r="F13" s="189">
        <v>3.306</v>
      </c>
      <c r="G13" s="161">
        <v>-5100000</v>
      </c>
      <c r="H13" s="154">
        <v>-5100.2540229885062</v>
      </c>
      <c r="I13" s="190">
        <v>7.2999999999999999E-5</v>
      </c>
      <c r="J13" s="191">
        <v>-3.0000000000000001E-6</v>
      </c>
      <c r="K13" s="9" t="s">
        <v>2138</v>
      </c>
      <c r="L13" s="11" t="s">
        <v>34</v>
      </c>
      <c r="M13" s="192">
        <v>1</v>
      </c>
      <c r="N13" s="162">
        <v>16855500</v>
      </c>
      <c r="O13" s="162">
        <v>16855.5</v>
      </c>
      <c r="P13" s="190">
        <v>7.9999999999999996E-6</v>
      </c>
      <c r="Q13" s="190">
        <v>7.1000000000000005E-5</v>
      </c>
      <c r="R13" s="161">
        <v>-5.9398</v>
      </c>
      <c r="S13" s="9" t="s">
        <v>30</v>
      </c>
      <c r="T13" s="21" t="s">
        <v>30</v>
      </c>
      <c r="U13" s="29" t="s">
        <v>1545</v>
      </c>
      <c r="V13" s="10" t="s">
        <v>2117</v>
      </c>
      <c r="W13" s="208" t="s">
        <v>3339</v>
      </c>
      <c r="X13" s="10" t="s">
        <v>2119</v>
      </c>
      <c r="Y13" s="10" t="s">
        <v>156</v>
      </c>
      <c r="Z13" s="1" t="s">
        <v>1566</v>
      </c>
      <c r="AA13" s="28" t="s">
        <v>2139</v>
      </c>
      <c r="AB13" s="10" t="s">
        <v>2121</v>
      </c>
      <c r="AC13" s="10" t="s">
        <v>2122</v>
      </c>
      <c r="AD13" s="10" t="s">
        <v>1654</v>
      </c>
      <c r="AE13" s="10" t="s">
        <v>2123</v>
      </c>
      <c r="AF13" s="10" t="s">
        <v>2121</v>
      </c>
      <c r="AG13" s="11" t="s">
        <v>2121</v>
      </c>
      <c r="AH13" t="s">
        <v>2121</v>
      </c>
      <c r="AI13" s="161">
        <v>3.3050000000000002</v>
      </c>
      <c r="AJ13" s="10" t="s">
        <v>2124</v>
      </c>
      <c r="AK13" s="10" t="s">
        <v>156</v>
      </c>
      <c r="AL13" s="9" t="s">
        <v>2125</v>
      </c>
      <c r="AM13" s="9" t="s">
        <v>2126</v>
      </c>
      <c r="AN13" s="171">
        <v>-9.9999999999999995E-7</v>
      </c>
      <c r="AO13" s="171">
        <v>0</v>
      </c>
    </row>
    <row r="14" spans="1:41">
      <c r="A14" s="11" t="s">
        <v>2113</v>
      </c>
      <c r="B14" s="11" t="s">
        <v>2140</v>
      </c>
      <c r="C14" s="11" t="s">
        <v>2115</v>
      </c>
      <c r="D14" s="2" t="s">
        <v>2131</v>
      </c>
      <c r="E14" s="11" t="s">
        <v>1245</v>
      </c>
      <c r="F14" s="189">
        <v>3.8807</v>
      </c>
      <c r="G14" s="161">
        <v>-120000</v>
      </c>
      <c r="H14" s="154">
        <v>-120.18749452418378</v>
      </c>
      <c r="I14" s="190">
        <v>-4.0289999999999996E-3</v>
      </c>
      <c r="J14" s="191">
        <v>-5.0000000000000004E-6</v>
      </c>
      <c r="K14" s="9" t="s">
        <v>2131</v>
      </c>
      <c r="L14" s="11" t="s">
        <v>34</v>
      </c>
      <c r="M14" s="192">
        <v>1</v>
      </c>
      <c r="N14" s="162">
        <v>479640</v>
      </c>
      <c r="O14" s="162">
        <v>479.64</v>
      </c>
      <c r="P14" s="190">
        <v>2.0000000000000002E-5</v>
      </c>
      <c r="Q14" s="190">
        <v>-1.8440999999999999E-2</v>
      </c>
      <c r="R14" s="161">
        <v>13.228389999999999</v>
      </c>
      <c r="S14" s="9" t="s">
        <v>30</v>
      </c>
      <c r="T14" s="21" t="s">
        <v>30</v>
      </c>
      <c r="U14" s="29" t="s">
        <v>1545</v>
      </c>
      <c r="V14" s="10" t="s">
        <v>2117</v>
      </c>
      <c r="W14" s="208" t="s">
        <v>3339</v>
      </c>
      <c r="X14" s="10" t="s">
        <v>2132</v>
      </c>
      <c r="Y14" s="10" t="s">
        <v>156</v>
      </c>
      <c r="Z14" s="1" t="s">
        <v>2129</v>
      </c>
      <c r="AA14" s="28" t="s">
        <v>2130</v>
      </c>
      <c r="AB14" s="10" t="s">
        <v>2121</v>
      </c>
      <c r="AC14" s="10" t="s">
        <v>2122</v>
      </c>
      <c r="AD14" s="10" t="s">
        <v>1654</v>
      </c>
      <c r="AE14" s="10" t="s">
        <v>2123</v>
      </c>
      <c r="AF14" s="10" t="s">
        <v>2121</v>
      </c>
      <c r="AG14" s="11" t="s">
        <v>2121</v>
      </c>
      <c r="AH14" t="s">
        <v>2121</v>
      </c>
      <c r="AI14" s="161">
        <v>3.9969999999999999</v>
      </c>
      <c r="AJ14" s="10" t="s">
        <v>2124</v>
      </c>
      <c r="AK14" s="10" t="s">
        <v>156</v>
      </c>
      <c r="AL14" s="9" t="s">
        <v>2125</v>
      </c>
      <c r="AM14" s="9" t="s">
        <v>2126</v>
      </c>
      <c r="AN14" s="171">
        <v>3.748E-3</v>
      </c>
      <c r="AO14" s="171">
        <v>9.9999999999999995E-7</v>
      </c>
    </row>
    <row r="15" spans="1:41">
      <c r="A15" s="11" t="s">
        <v>2113</v>
      </c>
      <c r="B15" s="11" t="s">
        <v>2140</v>
      </c>
      <c r="C15" s="11" t="s">
        <v>2115</v>
      </c>
      <c r="D15" s="2" t="s">
        <v>2128</v>
      </c>
      <c r="E15" s="11" t="s">
        <v>86</v>
      </c>
      <c r="F15" s="189">
        <v>3.306</v>
      </c>
      <c r="G15" s="161">
        <v>150000</v>
      </c>
      <c r="H15" s="154">
        <v>150.01548699334541</v>
      </c>
      <c r="I15" s="190">
        <v>5.0289999999999996E-3</v>
      </c>
      <c r="J15" s="191">
        <v>6.0000000000000002E-6</v>
      </c>
      <c r="K15" s="9" t="s">
        <v>2128</v>
      </c>
      <c r="L15" s="11" t="s">
        <v>34</v>
      </c>
      <c r="M15" s="192">
        <v>1</v>
      </c>
      <c r="N15" s="162">
        <v>-505650</v>
      </c>
      <c r="O15" s="162">
        <v>-505.65</v>
      </c>
      <c r="P15" s="190">
        <v>-2.0999999999999999E-5</v>
      </c>
      <c r="Q15" s="190">
        <v>1.9441E-2</v>
      </c>
      <c r="R15" s="161">
        <v>-9.6988000000000003</v>
      </c>
      <c r="S15" s="9" t="s">
        <v>30</v>
      </c>
      <c r="T15" s="21" t="s">
        <v>30</v>
      </c>
      <c r="U15" s="29" t="s">
        <v>1545</v>
      </c>
      <c r="V15" s="10" t="s">
        <v>2117</v>
      </c>
      <c r="W15" s="208" t="s">
        <v>3339</v>
      </c>
      <c r="X15" s="10" t="s">
        <v>2119</v>
      </c>
      <c r="Y15" s="10" t="s">
        <v>156</v>
      </c>
      <c r="Z15" s="1" t="s">
        <v>2129</v>
      </c>
      <c r="AA15" s="28" t="s">
        <v>2130</v>
      </c>
      <c r="AB15" s="10" t="s">
        <v>2121</v>
      </c>
      <c r="AC15" s="10" t="s">
        <v>2122</v>
      </c>
      <c r="AD15" s="10" t="s">
        <v>1654</v>
      </c>
      <c r="AE15" s="10" t="s">
        <v>2123</v>
      </c>
      <c r="AF15" s="10" t="s">
        <v>2121</v>
      </c>
      <c r="AG15" s="11" t="s">
        <v>2121</v>
      </c>
      <c r="AH15" t="s">
        <v>2121</v>
      </c>
      <c r="AI15" s="161">
        <v>3.371</v>
      </c>
      <c r="AJ15" s="10" t="s">
        <v>2124</v>
      </c>
      <c r="AK15" s="10" t="s">
        <v>156</v>
      </c>
      <c r="AL15" s="9" t="s">
        <v>2125</v>
      </c>
      <c r="AM15" s="9" t="s">
        <v>2126</v>
      </c>
      <c r="AN15" s="171">
        <v>-2.748E-3</v>
      </c>
      <c r="AO15" s="171">
        <v>0</v>
      </c>
    </row>
    <row r="16" spans="1:41">
      <c r="A16" s="11"/>
      <c r="B16" s="11"/>
      <c r="C16" s="11"/>
      <c r="D16" s="2"/>
      <c r="E16" s="11"/>
      <c r="F16" s="11"/>
      <c r="G16" s="11"/>
      <c r="H16" s="14"/>
      <c r="J16" s="12"/>
      <c r="L16" s="11"/>
      <c r="R16" s="13"/>
      <c r="T16" s="21"/>
      <c r="U16" s="29"/>
      <c r="V16" s="10"/>
      <c r="X16" s="10"/>
      <c r="Y16" s="10"/>
      <c r="Z16" s="1"/>
      <c r="AA16" s="28"/>
      <c r="AB16" s="10"/>
      <c r="AC16" s="10"/>
      <c r="AD16" s="10"/>
      <c r="AE16" s="10"/>
      <c r="AF16" s="10"/>
      <c r="AG16" s="11"/>
      <c r="AI16" s="11"/>
      <c r="AJ16" s="10"/>
      <c r="AK16" s="10"/>
      <c r="AN16" s="23"/>
      <c r="AO16" s="23"/>
    </row>
    <row r="17" spans="1:41">
      <c r="A17" s="11"/>
      <c r="B17" s="11"/>
      <c r="C17" s="11"/>
      <c r="D17" s="2"/>
      <c r="E17" s="11"/>
      <c r="F17" s="11"/>
      <c r="G17" s="11"/>
      <c r="H17" s="14"/>
      <c r="J17" s="12"/>
      <c r="L17" s="11"/>
      <c r="R17" s="13"/>
      <c r="T17" s="21"/>
      <c r="U17" s="29"/>
      <c r="V17" s="10"/>
      <c r="X17" s="10"/>
      <c r="Y17" s="10"/>
      <c r="Z17" s="1"/>
      <c r="AA17" s="28"/>
      <c r="AB17" s="10"/>
      <c r="AC17" s="10"/>
      <c r="AD17" s="10"/>
      <c r="AE17" s="10"/>
      <c r="AF17" s="10"/>
      <c r="AG17" s="11"/>
      <c r="AI17" s="11"/>
      <c r="AJ17" s="10"/>
      <c r="AK17" s="10"/>
      <c r="AN17" s="23"/>
      <c r="AO17" s="23"/>
    </row>
    <row r="18" spans="1:41">
      <c r="A18" s="11"/>
      <c r="B18" s="11"/>
      <c r="C18" s="11"/>
      <c r="D18" s="2"/>
      <c r="E18" s="11"/>
      <c r="F18" s="11"/>
      <c r="G18" s="11"/>
      <c r="H18" s="14"/>
      <c r="J18" s="12"/>
      <c r="L18" s="11"/>
      <c r="R18" s="13"/>
      <c r="T18" s="21"/>
      <c r="U18" s="29"/>
      <c r="V18" s="10"/>
      <c r="X18" s="10"/>
      <c r="Y18" s="10"/>
      <c r="Z18" s="1"/>
      <c r="AA18" s="28"/>
      <c r="AB18" s="10"/>
      <c r="AC18" s="10"/>
      <c r="AD18" s="10"/>
      <c r="AE18" s="10"/>
      <c r="AF18" s="10"/>
      <c r="AG18" s="11"/>
      <c r="AI18" s="11"/>
      <c r="AJ18" s="10"/>
      <c r="AK18" s="10"/>
      <c r="AN18" s="23"/>
      <c r="AO18" s="23"/>
    </row>
    <row r="19" spans="1:41">
      <c r="A19" s="11"/>
      <c r="B19" s="11"/>
      <c r="C19" s="11"/>
      <c r="D19" s="2"/>
      <c r="E19" s="11"/>
      <c r="F19" s="11"/>
      <c r="G19" s="11"/>
      <c r="H19" s="14"/>
      <c r="J19" s="12"/>
      <c r="L19" s="11"/>
      <c r="R19" s="13"/>
      <c r="T19" s="21"/>
      <c r="U19" s="29"/>
      <c r="V19" s="10"/>
      <c r="X19" s="10"/>
      <c r="Y19" s="10"/>
      <c r="Z19" s="1"/>
      <c r="AA19" s="28"/>
      <c r="AB19" s="10"/>
      <c r="AC19" s="10"/>
      <c r="AD19" s="10"/>
      <c r="AE19" s="10"/>
      <c r="AF19" s="10"/>
      <c r="AG19" s="11"/>
      <c r="AI19" s="11"/>
      <c r="AJ19" s="10"/>
      <c r="AK19" s="10"/>
      <c r="AN19" s="23"/>
      <c r="AO19" s="23"/>
    </row>
    <row r="20" spans="1:41">
      <c r="C20" s="11"/>
      <c r="E20" s="11"/>
      <c r="T20" s="21"/>
      <c r="U20" s="29"/>
      <c r="V20" s="10"/>
      <c r="Y20" s="10"/>
      <c r="AB20" s="10"/>
      <c r="AC20" s="10"/>
      <c r="AD20" s="10"/>
      <c r="AE20" s="10"/>
      <c r="AF20" s="10"/>
      <c r="AG20" s="11"/>
      <c r="AK20" s="10"/>
    </row>
    <row r="22" spans="1:41">
      <c r="C22" s="11"/>
      <c r="E22" s="11"/>
      <c r="T22" s="21"/>
      <c r="AE22" s="10"/>
      <c r="AF22" s="10"/>
    </row>
    <row r="23" spans="1:41">
      <c r="C23" s="11"/>
      <c r="E23" s="11"/>
      <c r="T23" s="21"/>
      <c r="AE23" s="10"/>
      <c r="AF23" s="10"/>
    </row>
    <row r="24" spans="1:41">
      <c r="C24" s="11"/>
      <c r="E24" s="11"/>
      <c r="T24" s="21"/>
      <c r="AE24" s="10"/>
      <c r="AF24" s="10"/>
    </row>
    <row r="25" spans="1:41">
      <c r="C25" s="11"/>
      <c r="E25" s="11"/>
      <c r="T25" s="21"/>
      <c r="AE25" s="10"/>
      <c r="AF25" s="10"/>
    </row>
    <row r="26" spans="1:41">
      <c r="C26" s="11"/>
      <c r="E26" s="11"/>
      <c r="T26" s="21"/>
      <c r="AE26" s="10"/>
      <c r="AF26" s="10"/>
    </row>
    <row r="27" spans="1:41">
      <c r="C27" s="11"/>
      <c r="E27" s="11"/>
      <c r="T27" s="21"/>
    </row>
    <row r="28" spans="1:41">
      <c r="C28" s="11"/>
      <c r="E28" s="11"/>
      <c r="T28" s="21"/>
    </row>
    <row r="29" spans="1:41">
      <c r="C29" s="11"/>
      <c r="E29" s="11"/>
      <c r="T29" s="21"/>
    </row>
    <row r="30" spans="1:41">
      <c r="C30" s="11"/>
      <c r="E30" s="11"/>
      <c r="T30" s="21"/>
    </row>
    <row r="31" spans="1:41">
      <c r="C31" s="11"/>
      <c r="E31" s="11"/>
      <c r="T31" s="21"/>
    </row>
    <row r="32" spans="1:41">
      <c r="C32" s="11"/>
      <c r="E32" s="11"/>
      <c r="T32" s="21"/>
    </row>
    <row r="33" spans="3:20">
      <c r="C33" s="11"/>
      <c r="T33" s="21"/>
    </row>
    <row r="34" spans="3:20">
      <c r="C34" s="11"/>
      <c r="T34" s="21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16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workbookViewId="0">
      <selection activeCell="C12" sqref="C12"/>
    </sheetView>
  </sheetViews>
  <sheetFormatPr defaultColWidth="0" defaultRowHeight="14.25"/>
  <cols>
    <col min="1" max="27" width="11.625" style="3" customWidth="1"/>
    <col min="28" max="28" width="11.625" style="5" customWidth="1"/>
    <col min="29" max="49" width="11.625" style="3" customWidth="1"/>
    <col min="50" max="50" width="11.625" style="5" customWidth="1"/>
    <col min="51" max="53" width="11.625" style="3" customWidth="1"/>
    <col min="54" max="54" width="9" style="3" hidden="1" customWidth="1"/>
    <col min="55" max="16384" width="9" style="3" hidden="1"/>
  </cols>
  <sheetData>
    <row r="1" spans="1:53" ht="51">
      <c r="A1" s="22" t="s">
        <v>0</v>
      </c>
      <c r="B1" s="22" t="s">
        <v>1</v>
      </c>
      <c r="C1" s="22" t="s">
        <v>2141</v>
      </c>
      <c r="D1" s="22" t="s">
        <v>2142</v>
      </c>
      <c r="E1" s="22" t="s">
        <v>2143</v>
      </c>
      <c r="F1" s="22" t="s">
        <v>2144</v>
      </c>
      <c r="G1" s="22" t="s">
        <v>5</v>
      </c>
      <c r="H1" s="22" t="s">
        <v>2145</v>
      </c>
      <c r="I1" s="22" t="s">
        <v>6</v>
      </c>
      <c r="J1" s="22" t="s">
        <v>7</v>
      </c>
      <c r="K1" s="22" t="s">
        <v>139</v>
      </c>
      <c r="L1" s="22" t="s">
        <v>140</v>
      </c>
      <c r="M1" s="22" t="s">
        <v>2146</v>
      </c>
      <c r="N1" s="22" t="s">
        <v>2147</v>
      </c>
      <c r="O1" s="178" t="s">
        <v>2148</v>
      </c>
      <c r="P1" s="22" t="s">
        <v>9</v>
      </c>
      <c r="Q1" s="22" t="s">
        <v>10</v>
      </c>
      <c r="R1" s="22" t="s">
        <v>2149</v>
      </c>
      <c r="S1" s="22" t="s">
        <v>11</v>
      </c>
      <c r="T1" s="22" t="s">
        <v>12</v>
      </c>
      <c r="U1" s="22" t="s">
        <v>2150</v>
      </c>
      <c r="V1" s="165" t="s">
        <v>14</v>
      </c>
      <c r="W1" s="22" t="s">
        <v>1547</v>
      </c>
      <c r="X1" s="22" t="s">
        <v>142</v>
      </c>
      <c r="Y1" s="186" t="s">
        <v>2151</v>
      </c>
      <c r="Z1" s="165" t="s">
        <v>15</v>
      </c>
      <c r="AA1" s="22" t="s">
        <v>13</v>
      </c>
      <c r="AB1" s="22" t="s">
        <v>143</v>
      </c>
      <c r="AC1" s="22" t="s">
        <v>2152</v>
      </c>
      <c r="AD1" s="188" t="s">
        <v>2153</v>
      </c>
      <c r="AE1" s="165" t="s">
        <v>2154</v>
      </c>
      <c r="AF1" s="178" t="s">
        <v>2155</v>
      </c>
      <c r="AG1" s="22" t="s">
        <v>2156</v>
      </c>
      <c r="AH1" s="22" t="s">
        <v>2157</v>
      </c>
      <c r="AI1" s="22" t="s">
        <v>2158</v>
      </c>
      <c r="AJ1" s="22" t="s">
        <v>2159</v>
      </c>
      <c r="AK1" s="22" t="s">
        <v>1552</v>
      </c>
      <c r="AL1" s="22" t="s">
        <v>1554</v>
      </c>
      <c r="AM1" s="22" t="s">
        <v>1553</v>
      </c>
      <c r="AN1" s="178" t="s">
        <v>1555</v>
      </c>
      <c r="AO1" s="178" t="s">
        <v>1556</v>
      </c>
      <c r="AP1" s="165" t="s">
        <v>2160</v>
      </c>
      <c r="AQ1" s="22" t="s">
        <v>2161</v>
      </c>
      <c r="AR1" s="169" t="s">
        <v>2162</v>
      </c>
      <c r="AS1" s="163" t="s">
        <v>18</v>
      </c>
      <c r="AT1" s="22" t="s">
        <v>20</v>
      </c>
      <c r="AU1" s="22" t="s">
        <v>2163</v>
      </c>
      <c r="AV1" s="22" t="s">
        <v>21</v>
      </c>
      <c r="AW1" s="22" t="s">
        <v>145</v>
      </c>
      <c r="AX1" s="22" t="s">
        <v>144</v>
      </c>
      <c r="AY1" s="22" t="s">
        <v>22</v>
      </c>
      <c r="AZ1" s="165" t="s">
        <v>24</v>
      </c>
      <c r="BA1" s="165" t="s">
        <v>25</v>
      </c>
    </row>
    <row r="2" spans="1:53">
      <c r="A2" s="3">
        <v>14076</v>
      </c>
      <c r="B2" s="3">
        <v>14077</v>
      </c>
      <c r="C2" s="24" t="s">
        <v>2164</v>
      </c>
      <c r="D2" s="24" t="s">
        <v>33</v>
      </c>
      <c r="E2" s="24" t="s">
        <v>2165</v>
      </c>
      <c r="F2" s="24" t="s">
        <v>2166</v>
      </c>
      <c r="G2" s="23" t="s">
        <v>2167</v>
      </c>
      <c r="H2" s="42"/>
      <c r="I2" s="21" t="s">
        <v>30</v>
      </c>
      <c r="J2" s="31" t="s">
        <v>30</v>
      </c>
      <c r="K2" s="23" t="s">
        <v>599</v>
      </c>
      <c r="L2" s="23" t="s">
        <v>156</v>
      </c>
      <c r="M2" s="24" t="s">
        <v>156</v>
      </c>
      <c r="N2" s="24"/>
      <c r="O2" s="179" t="s">
        <v>1992</v>
      </c>
      <c r="P2" s="23" t="s">
        <v>283</v>
      </c>
      <c r="Q2" s="23" t="s">
        <v>283</v>
      </c>
      <c r="R2" s="23" t="s">
        <v>2168</v>
      </c>
      <c r="S2" s="21" t="s">
        <v>34</v>
      </c>
      <c r="T2" s="157">
        <v>0.01</v>
      </c>
      <c r="U2" s="23" t="s">
        <v>2169</v>
      </c>
      <c r="V2" s="171">
        <v>5.8375000000000003E-2</v>
      </c>
      <c r="W2" s="24" t="s">
        <v>1560</v>
      </c>
      <c r="X2" s="24" t="s">
        <v>2170</v>
      </c>
      <c r="Y2" s="187">
        <v>5.8375000000000003E-2</v>
      </c>
      <c r="Z2" s="171">
        <v>8.2000000000000007E-3</v>
      </c>
      <c r="AA2" s="23" t="s">
        <v>2171</v>
      </c>
      <c r="AB2" s="21" t="s">
        <v>161</v>
      </c>
      <c r="AC2" s="24"/>
      <c r="AD2" s="24"/>
      <c r="AE2" s="171">
        <v>0</v>
      </c>
      <c r="AF2" s="23"/>
      <c r="AG2" s="24" t="s">
        <v>156</v>
      </c>
      <c r="AH2" s="24"/>
      <c r="AI2" s="42"/>
      <c r="AJ2" s="3" t="s">
        <v>156</v>
      </c>
      <c r="AK2" s="23" t="s">
        <v>131</v>
      </c>
      <c r="AL2" s="24"/>
      <c r="AM2" s="23"/>
      <c r="AN2" s="182" t="s">
        <v>1566</v>
      </c>
      <c r="AP2" s="166">
        <v>0</v>
      </c>
      <c r="AQ2" s="155">
        <v>58500</v>
      </c>
      <c r="AR2" s="173">
        <v>103.613</v>
      </c>
      <c r="AS2" s="172">
        <v>1</v>
      </c>
      <c r="AT2" s="157">
        <v>60.613999999999997</v>
      </c>
      <c r="AU2" s="160">
        <v>60.613999999999997</v>
      </c>
      <c r="AV2" s="30"/>
      <c r="AW2" s="40"/>
      <c r="AX2" s="31" t="s">
        <v>156</v>
      </c>
      <c r="AY2" s="23" t="s">
        <v>36</v>
      </c>
      <c r="AZ2" s="171">
        <v>1</v>
      </c>
      <c r="BA2" s="171">
        <v>2.8278948682879598E-3</v>
      </c>
    </row>
    <row r="3" spans="1:53">
      <c r="A3" s="3">
        <v>161</v>
      </c>
      <c r="B3" s="3">
        <v>9943</v>
      </c>
      <c r="C3" s="23" t="s">
        <v>2164</v>
      </c>
      <c r="D3" s="24" t="s">
        <v>33</v>
      </c>
      <c r="E3" s="23" t="s">
        <v>2172</v>
      </c>
      <c r="F3" s="23" t="s">
        <v>2173</v>
      </c>
      <c r="G3" s="23" t="s">
        <v>2167</v>
      </c>
      <c r="I3" s="21" t="s">
        <v>30</v>
      </c>
      <c r="J3" s="21" t="s">
        <v>30</v>
      </c>
      <c r="K3" s="23" t="s">
        <v>599</v>
      </c>
      <c r="L3" s="23" t="s">
        <v>156</v>
      </c>
      <c r="M3" s="24" t="s">
        <v>156</v>
      </c>
      <c r="N3" s="24"/>
      <c r="O3" s="179" t="s">
        <v>2174</v>
      </c>
      <c r="P3" s="23" t="s">
        <v>283</v>
      </c>
      <c r="Q3" s="23" t="s">
        <v>283</v>
      </c>
      <c r="R3" s="23" t="s">
        <v>2168</v>
      </c>
      <c r="S3" s="21" t="s">
        <v>34</v>
      </c>
      <c r="T3" s="157">
        <v>2.2200000000000002</v>
      </c>
      <c r="U3" s="23" t="s">
        <v>2169</v>
      </c>
      <c r="V3" s="171">
        <v>5.8083999999999997E-2</v>
      </c>
      <c r="W3" s="23" t="s">
        <v>1560</v>
      </c>
      <c r="X3" s="23" t="s">
        <v>2121</v>
      </c>
      <c r="Y3" s="187">
        <v>0</v>
      </c>
      <c r="Z3" s="171">
        <v>5.1200000000000002E-2</v>
      </c>
      <c r="AA3" s="23" t="s">
        <v>2171</v>
      </c>
      <c r="AB3" s="21" t="s">
        <v>161</v>
      </c>
      <c r="AC3" s="23"/>
      <c r="AD3" s="23"/>
      <c r="AE3" s="171">
        <v>0</v>
      </c>
      <c r="AF3" s="23"/>
      <c r="AG3" s="23" t="s">
        <v>156</v>
      </c>
      <c r="AH3" s="23" t="s">
        <v>2175</v>
      </c>
      <c r="AI3" s="42" t="s">
        <v>2176</v>
      </c>
      <c r="AJ3" s="3" t="s">
        <v>156</v>
      </c>
      <c r="AK3" s="23" t="s">
        <v>131</v>
      </c>
      <c r="AL3" s="24" t="s">
        <v>131</v>
      </c>
      <c r="AM3" s="23" t="s">
        <v>1564</v>
      </c>
      <c r="AN3" s="182" t="s">
        <v>1566</v>
      </c>
      <c r="AP3" s="166">
        <v>0</v>
      </c>
      <c r="AQ3" s="155">
        <v>16750964.199999999</v>
      </c>
      <c r="AR3" s="173">
        <v>101.87</v>
      </c>
      <c r="AS3" s="172">
        <v>1</v>
      </c>
      <c r="AT3" s="157">
        <v>17064.232</v>
      </c>
      <c r="AU3" s="157">
        <v>17064.232</v>
      </c>
      <c r="AV3" s="23"/>
      <c r="AW3" s="23"/>
      <c r="AX3" s="21" t="s">
        <v>156</v>
      </c>
      <c r="AY3" s="23" t="s">
        <v>36</v>
      </c>
      <c r="AZ3" s="171">
        <v>0.59326951219594803</v>
      </c>
      <c r="BA3" s="171">
        <v>8.7716758203551792E-3</v>
      </c>
    </row>
    <row r="4" spans="1:53">
      <c r="A4" s="3">
        <v>161</v>
      </c>
      <c r="B4" s="3">
        <v>9943</v>
      </c>
      <c r="C4" s="23" t="s">
        <v>2177</v>
      </c>
      <c r="D4" s="24" t="s">
        <v>149</v>
      </c>
      <c r="E4" s="23" t="s">
        <v>2178</v>
      </c>
      <c r="F4" s="23" t="s">
        <v>2179</v>
      </c>
      <c r="G4" s="23" t="s">
        <v>2180</v>
      </c>
      <c r="I4" s="21" t="s">
        <v>30</v>
      </c>
      <c r="J4" s="21" t="s">
        <v>30</v>
      </c>
      <c r="K4" s="23" t="s">
        <v>178</v>
      </c>
      <c r="L4" s="23" t="s">
        <v>156</v>
      </c>
      <c r="M4" s="24" t="s">
        <v>1654</v>
      </c>
      <c r="N4" s="24" t="s">
        <v>2181</v>
      </c>
      <c r="O4" s="179" t="s">
        <v>2182</v>
      </c>
      <c r="P4" s="23" t="s">
        <v>272</v>
      </c>
      <c r="Q4" s="23" t="s">
        <v>158</v>
      </c>
      <c r="R4" s="23" t="s">
        <v>2168</v>
      </c>
      <c r="S4" s="21" t="s">
        <v>34</v>
      </c>
      <c r="T4" s="157">
        <v>9.92</v>
      </c>
      <c r="U4" s="23" t="s">
        <v>2183</v>
      </c>
      <c r="V4" s="171">
        <v>0.03</v>
      </c>
      <c r="W4" s="23" t="s">
        <v>1560</v>
      </c>
      <c r="X4" s="23" t="s">
        <v>2121</v>
      </c>
      <c r="Y4" s="187">
        <v>0</v>
      </c>
      <c r="Z4" s="171">
        <v>3.4799999999999998E-2</v>
      </c>
      <c r="AA4" s="23" t="s">
        <v>2184</v>
      </c>
      <c r="AB4" s="21" t="s">
        <v>161</v>
      </c>
      <c r="AC4" s="23"/>
      <c r="AD4" s="23"/>
      <c r="AE4" s="171">
        <v>0</v>
      </c>
      <c r="AF4" s="23"/>
      <c r="AG4" s="23" t="s">
        <v>1654</v>
      </c>
      <c r="AH4" s="23" t="s">
        <v>2185</v>
      </c>
      <c r="AJ4" s="3" t="s">
        <v>1654</v>
      </c>
      <c r="AK4" s="23" t="s">
        <v>1563</v>
      </c>
      <c r="AL4" s="23" t="s">
        <v>1565</v>
      </c>
      <c r="AM4" s="23" t="s">
        <v>1647</v>
      </c>
      <c r="AN4" s="182" t="s">
        <v>1566</v>
      </c>
      <c r="AP4" s="166">
        <v>0</v>
      </c>
      <c r="AQ4" s="155">
        <v>626981.76</v>
      </c>
      <c r="AR4" s="173">
        <v>113.5</v>
      </c>
      <c r="AS4" s="172">
        <v>1</v>
      </c>
      <c r="AT4" s="157">
        <v>711.62400000000002</v>
      </c>
      <c r="AU4" s="160">
        <v>711.62400000000002</v>
      </c>
      <c r="AV4" s="30"/>
      <c r="AW4" s="30"/>
      <c r="AX4" s="21" t="s">
        <v>156</v>
      </c>
      <c r="AY4" s="23" t="s">
        <v>36</v>
      </c>
      <c r="AZ4" s="171">
        <v>2.47409322405568E-2</v>
      </c>
      <c r="BA4" s="171">
        <v>3.6580244331830701E-4</v>
      </c>
    </row>
    <row r="5" spans="1:53">
      <c r="A5" s="3">
        <v>161</v>
      </c>
      <c r="B5" s="3">
        <v>9943</v>
      </c>
      <c r="C5" s="23" t="s">
        <v>2177</v>
      </c>
      <c r="D5" s="24" t="s">
        <v>149</v>
      </c>
      <c r="E5" s="23" t="s">
        <v>2186</v>
      </c>
      <c r="F5" s="23" t="s">
        <v>2187</v>
      </c>
      <c r="G5" s="23" t="s">
        <v>2180</v>
      </c>
      <c r="I5" s="21" t="s">
        <v>30</v>
      </c>
      <c r="J5" s="21" t="s">
        <v>30</v>
      </c>
      <c r="K5" s="23" t="s">
        <v>178</v>
      </c>
      <c r="L5" s="23" t="s">
        <v>156</v>
      </c>
      <c r="M5" s="24" t="s">
        <v>1654</v>
      </c>
      <c r="N5" s="24" t="s">
        <v>2181</v>
      </c>
      <c r="O5" s="179" t="s">
        <v>2182</v>
      </c>
      <c r="P5" s="23" t="s">
        <v>272</v>
      </c>
      <c r="Q5" s="23" t="s">
        <v>158</v>
      </c>
      <c r="R5" s="23" t="s">
        <v>2168</v>
      </c>
      <c r="S5" s="21" t="s">
        <v>34</v>
      </c>
      <c r="T5" s="157">
        <v>10.25</v>
      </c>
      <c r="U5" s="23" t="s">
        <v>2183</v>
      </c>
      <c r="V5" s="171">
        <v>0.03</v>
      </c>
      <c r="W5" s="23" t="s">
        <v>1560</v>
      </c>
      <c r="X5" s="23" t="s">
        <v>2121</v>
      </c>
      <c r="Y5" s="187">
        <v>0</v>
      </c>
      <c r="Z5" s="171">
        <v>3.4799999999999998E-2</v>
      </c>
      <c r="AA5" s="23" t="s">
        <v>2184</v>
      </c>
      <c r="AB5" s="21" t="s">
        <v>161</v>
      </c>
      <c r="AC5" s="23"/>
      <c r="AD5" s="23"/>
      <c r="AE5" s="171">
        <v>0</v>
      </c>
      <c r="AF5" s="23"/>
      <c r="AG5" s="23" t="s">
        <v>1654</v>
      </c>
      <c r="AH5" s="23" t="s">
        <v>2185</v>
      </c>
      <c r="AJ5" s="3" t="s">
        <v>1654</v>
      </c>
      <c r="AK5" s="23" t="s">
        <v>1563</v>
      </c>
      <c r="AL5" s="23" t="s">
        <v>1565</v>
      </c>
      <c r="AM5" s="23" t="s">
        <v>1647</v>
      </c>
      <c r="AN5" s="182" t="s">
        <v>1566</v>
      </c>
      <c r="AP5" s="166">
        <v>0</v>
      </c>
      <c r="AQ5" s="155">
        <v>9680333.8499999996</v>
      </c>
      <c r="AR5" s="173">
        <v>113.5</v>
      </c>
      <c r="AS5" s="172">
        <v>1</v>
      </c>
      <c r="AT5" s="157">
        <v>10987.179</v>
      </c>
      <c r="AU5" s="160">
        <v>10987.179</v>
      </c>
      <c r="AV5" s="30"/>
      <c r="AW5" s="30"/>
      <c r="AX5" s="21" t="s">
        <v>156</v>
      </c>
      <c r="AY5" s="23" t="s">
        <v>36</v>
      </c>
      <c r="AZ5" s="171">
        <v>0.38198955556349601</v>
      </c>
      <c r="BA5" s="171">
        <v>5.64783539231973E-3</v>
      </c>
    </row>
    <row r="6" spans="1:53">
      <c r="C6" s="23"/>
      <c r="D6" s="24"/>
      <c r="E6" s="23"/>
      <c r="F6" s="23"/>
      <c r="G6" s="23"/>
      <c r="I6" s="21"/>
      <c r="J6" s="21"/>
      <c r="K6" s="23"/>
      <c r="L6" s="23"/>
      <c r="M6" s="24"/>
      <c r="N6" s="24"/>
      <c r="O6" s="23"/>
      <c r="P6" s="23"/>
      <c r="Q6" s="23"/>
      <c r="R6" s="23"/>
      <c r="S6" s="21"/>
      <c r="T6" s="23"/>
      <c r="U6" s="23"/>
      <c r="V6" s="23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4"/>
      <c r="E7" s="23"/>
      <c r="F7" s="23"/>
      <c r="G7" s="23"/>
      <c r="I7" s="21"/>
      <c r="J7" s="21"/>
      <c r="K7" s="23"/>
      <c r="L7" s="23"/>
      <c r="M7" s="24"/>
      <c r="N7" s="24"/>
      <c r="O7" s="23"/>
      <c r="P7" s="23"/>
      <c r="Q7" s="23"/>
      <c r="R7" s="23"/>
      <c r="S7" s="21"/>
      <c r="T7" s="23"/>
      <c r="U7" s="23"/>
      <c r="V7" s="23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4"/>
      <c r="E8" s="23"/>
      <c r="F8" s="23"/>
      <c r="G8" s="23"/>
      <c r="I8" s="21"/>
      <c r="J8" s="21"/>
      <c r="K8" s="23"/>
      <c r="L8" s="23"/>
      <c r="M8" s="24"/>
      <c r="N8" s="24"/>
      <c r="O8" s="23"/>
      <c r="P8" s="23"/>
      <c r="Q8" s="23"/>
      <c r="R8" s="23"/>
      <c r="S8" s="21"/>
      <c r="T8" s="23"/>
      <c r="U8" s="23"/>
      <c r="V8" s="23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4"/>
      <c r="E9" s="23"/>
      <c r="F9" s="23"/>
      <c r="G9" s="23"/>
      <c r="I9" s="21"/>
      <c r="J9" s="21"/>
      <c r="K9" s="23"/>
      <c r="L9" s="23"/>
      <c r="M9" s="24"/>
      <c r="N9" s="24"/>
      <c r="O9" s="23"/>
      <c r="P9" s="23"/>
      <c r="Q9" s="23"/>
      <c r="R9" s="23"/>
      <c r="S9" s="21"/>
      <c r="T9" s="23"/>
      <c r="U9" s="23"/>
      <c r="V9" s="23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4"/>
      <c r="E10" s="23"/>
      <c r="F10" s="23"/>
      <c r="G10" s="23"/>
      <c r="I10" s="21"/>
      <c r="J10" s="21"/>
      <c r="K10" s="23"/>
      <c r="L10" s="23"/>
      <c r="M10" s="24"/>
      <c r="N10" s="24"/>
      <c r="O10" s="23"/>
      <c r="P10" s="23"/>
      <c r="Q10" s="23"/>
      <c r="R10" s="23"/>
      <c r="S10" s="21"/>
      <c r="T10" s="23"/>
      <c r="U10" s="23"/>
      <c r="V10" s="23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4"/>
      <c r="E11" s="23"/>
      <c r="F11" s="23"/>
      <c r="G11" s="23"/>
      <c r="I11" s="21"/>
      <c r="J11" s="21"/>
      <c r="K11" s="23"/>
      <c r="L11" s="23"/>
      <c r="M11" s="24"/>
      <c r="N11" s="24"/>
      <c r="O11" s="23"/>
      <c r="P11" s="23"/>
      <c r="Q11" s="23"/>
      <c r="R11" s="23"/>
      <c r="S11" s="21"/>
      <c r="T11" s="23"/>
      <c r="U11" s="23"/>
      <c r="V11" s="23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4"/>
      <c r="E12" s="23"/>
      <c r="F12" s="23"/>
      <c r="G12" s="23"/>
      <c r="I12" s="21"/>
      <c r="J12" s="21"/>
      <c r="K12" s="23"/>
      <c r="L12" s="23"/>
      <c r="M12" s="24"/>
      <c r="N12" s="24"/>
      <c r="O12" s="23"/>
      <c r="P12" s="23"/>
      <c r="Q12" s="23"/>
      <c r="R12" s="23"/>
      <c r="S12" s="21"/>
      <c r="T12" s="23"/>
      <c r="U12" s="23"/>
      <c r="V12" s="23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4"/>
      <c r="E13" s="23"/>
      <c r="F13" s="23"/>
      <c r="G13" s="23"/>
      <c r="I13" s="21"/>
      <c r="J13" s="21"/>
      <c r="K13" s="23"/>
      <c r="L13" s="23"/>
      <c r="M13" s="24"/>
      <c r="N13" s="24"/>
      <c r="O13" s="23"/>
      <c r="P13" s="23"/>
      <c r="Q13" s="23"/>
      <c r="R13" s="23"/>
      <c r="S13" s="21"/>
      <c r="T13" s="23"/>
      <c r="U13" s="23"/>
      <c r="V13" s="23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4"/>
      <c r="E14" s="23"/>
      <c r="F14" s="23"/>
      <c r="G14" s="23"/>
      <c r="I14" s="21"/>
      <c r="J14" s="21"/>
      <c r="K14" s="23"/>
      <c r="L14" s="23"/>
      <c r="M14" s="24"/>
      <c r="N14" s="24"/>
      <c r="O14" s="23"/>
      <c r="P14" s="23"/>
      <c r="Q14" s="23"/>
      <c r="R14" s="23"/>
      <c r="S14" s="21"/>
      <c r="T14" s="23"/>
      <c r="U14" s="23"/>
      <c r="V14" s="23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4"/>
      <c r="E15" s="23"/>
      <c r="F15" s="23"/>
      <c r="G15" s="23"/>
      <c r="I15" s="21"/>
      <c r="J15" s="21"/>
      <c r="K15" s="23"/>
      <c r="L15" s="23"/>
      <c r="M15" s="24"/>
      <c r="N15" s="24"/>
      <c r="O15" s="23"/>
      <c r="P15" s="23"/>
      <c r="Q15" s="23"/>
      <c r="R15" s="23"/>
      <c r="S15" s="21"/>
      <c r="T15" s="23"/>
      <c r="U15" s="23"/>
      <c r="V15" s="23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4"/>
      <c r="E16" s="23"/>
      <c r="F16" s="23"/>
      <c r="G16" s="23"/>
      <c r="I16" s="21"/>
      <c r="J16" s="21"/>
      <c r="K16" s="23"/>
      <c r="L16" s="23"/>
      <c r="M16" s="24"/>
      <c r="N16" s="24"/>
      <c r="O16" s="23"/>
      <c r="P16" s="23"/>
      <c r="Q16" s="23"/>
      <c r="R16" s="23"/>
      <c r="S16" s="21"/>
      <c r="T16" s="23"/>
      <c r="U16" s="23"/>
      <c r="V16" s="23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4"/>
      <c r="E17" s="23"/>
      <c r="F17" s="23"/>
      <c r="G17" s="23"/>
      <c r="I17" s="21"/>
      <c r="J17" s="21"/>
      <c r="K17" s="23"/>
      <c r="L17" s="23"/>
      <c r="M17" s="24"/>
      <c r="N17" s="24"/>
      <c r="O17" s="23"/>
      <c r="P17" s="23"/>
      <c r="Q17" s="23"/>
      <c r="R17" s="23"/>
      <c r="S17" s="21"/>
      <c r="T17" s="23"/>
      <c r="U17" s="23"/>
      <c r="V17" s="23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4"/>
      <c r="E18" s="23"/>
      <c r="F18" s="23"/>
      <c r="G18" s="23"/>
      <c r="I18" s="21"/>
      <c r="J18" s="21"/>
      <c r="K18" s="23"/>
      <c r="L18" s="23"/>
      <c r="M18" s="24"/>
      <c r="N18" s="24"/>
      <c r="O18" s="23"/>
      <c r="P18" s="23"/>
      <c r="Q18" s="23"/>
      <c r="R18" s="23"/>
      <c r="S18" s="21"/>
      <c r="T18" s="23"/>
      <c r="U18" s="23"/>
      <c r="V18" s="23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4"/>
      <c r="E19" s="23"/>
      <c r="F19" s="23"/>
      <c r="G19" s="23"/>
      <c r="I19" s="21"/>
      <c r="J19" s="21"/>
      <c r="K19" s="23"/>
      <c r="L19" s="23"/>
      <c r="M19" s="24"/>
      <c r="N19" s="24"/>
      <c r="O19" s="23"/>
      <c r="P19" s="23"/>
      <c r="Q19" s="23"/>
      <c r="R19" s="23"/>
      <c r="S19" s="21"/>
      <c r="T19" s="23"/>
      <c r="U19" s="23"/>
      <c r="V19" s="23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4"/>
      <c r="G20" s="23"/>
      <c r="I20" s="21"/>
      <c r="J20" s="21"/>
      <c r="K20" s="23"/>
      <c r="L20" s="23"/>
      <c r="M20" s="24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 s="42" customFormat="1">
      <c r="D21" s="45"/>
      <c r="S21" s="31"/>
      <c r="AB21" s="45"/>
      <c r="AQ21" s="41"/>
      <c r="AX21" s="45"/>
    </row>
    <row r="22" spans="3:53">
      <c r="D22" s="5"/>
      <c r="S22" s="21"/>
    </row>
    <row r="23" spans="3:53">
      <c r="D23" s="5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31" width="9" style="3" hidden="1" customWidth="1"/>
    <col min="32" max="16384" width="9" style="3" hidden="1"/>
  </cols>
  <sheetData>
    <row r="1" spans="1:30" ht="51">
      <c r="A1" s="22" t="s">
        <v>0</v>
      </c>
      <c r="B1" s="22" t="s">
        <v>1</v>
      </c>
      <c r="C1" s="22" t="s">
        <v>2</v>
      </c>
      <c r="D1" s="22" t="s">
        <v>136</v>
      </c>
      <c r="E1" s="22" t="s">
        <v>137</v>
      </c>
      <c r="F1" s="22" t="s">
        <v>3</v>
      </c>
      <c r="G1" s="22" t="s">
        <v>4</v>
      </c>
      <c r="H1" s="22" t="s">
        <v>138</v>
      </c>
      <c r="I1" s="22" t="s">
        <v>5</v>
      </c>
      <c r="J1" s="22" t="s">
        <v>6</v>
      </c>
      <c r="K1" s="22" t="s">
        <v>7</v>
      </c>
      <c r="L1" s="22" t="s">
        <v>140</v>
      </c>
      <c r="M1" s="22" t="s">
        <v>1524</v>
      </c>
      <c r="N1" s="178" t="s">
        <v>1546</v>
      </c>
      <c r="O1" s="22" t="s">
        <v>9</v>
      </c>
      <c r="P1" s="22" t="s">
        <v>10</v>
      </c>
      <c r="Q1" s="22" t="s">
        <v>141</v>
      </c>
      <c r="R1" s="22" t="s">
        <v>11</v>
      </c>
      <c r="S1" s="22" t="s">
        <v>12</v>
      </c>
      <c r="T1" s="165" t="s">
        <v>14</v>
      </c>
      <c r="U1" s="165" t="s">
        <v>15</v>
      </c>
      <c r="V1" s="22" t="s">
        <v>1552</v>
      </c>
      <c r="W1" s="22" t="s">
        <v>1553</v>
      </c>
      <c r="X1" s="178" t="s">
        <v>1555</v>
      </c>
      <c r="Y1" s="22" t="s">
        <v>17</v>
      </c>
      <c r="Z1" s="163" t="s">
        <v>18</v>
      </c>
      <c r="AA1" s="169" t="s">
        <v>19</v>
      </c>
      <c r="AB1" s="22" t="s">
        <v>20</v>
      </c>
      <c r="AC1" s="165" t="s">
        <v>24</v>
      </c>
      <c r="AD1" s="165" t="s">
        <v>25</v>
      </c>
    </row>
    <row r="2" spans="1:30">
      <c r="A2" s="23">
        <v>161</v>
      </c>
      <c r="B2" s="23">
        <v>9943</v>
      </c>
      <c r="C2" s="23" t="s">
        <v>1705</v>
      </c>
      <c r="D2" s="23" t="s">
        <v>1706</v>
      </c>
      <c r="E2" s="21" t="s">
        <v>935</v>
      </c>
      <c r="F2" s="23" t="s">
        <v>2188</v>
      </c>
      <c r="G2" s="23" t="s">
        <v>2189</v>
      </c>
      <c r="H2" s="23" t="s">
        <v>152</v>
      </c>
      <c r="I2" s="23"/>
      <c r="J2" s="21" t="s">
        <v>81</v>
      </c>
      <c r="K2" s="21" t="s">
        <v>82</v>
      </c>
      <c r="L2" s="23" t="s">
        <v>156</v>
      </c>
      <c r="M2" s="24" t="s">
        <v>131</v>
      </c>
      <c r="N2" s="179" t="s">
        <v>2190</v>
      </c>
      <c r="O2" s="23" t="s">
        <v>283</v>
      </c>
      <c r="P2" s="23" t="s">
        <v>283</v>
      </c>
      <c r="Q2" s="23" t="s">
        <v>283</v>
      </c>
      <c r="R2" s="21" t="s">
        <v>86</v>
      </c>
      <c r="S2" s="157">
        <v>0</v>
      </c>
      <c r="T2" s="171">
        <v>0</v>
      </c>
      <c r="U2" s="171">
        <v>0</v>
      </c>
      <c r="V2" s="23" t="s">
        <v>131</v>
      </c>
      <c r="W2" s="23" t="s">
        <v>1564</v>
      </c>
      <c r="X2" s="182" t="s">
        <v>1639</v>
      </c>
      <c r="Y2" s="157">
        <v>45</v>
      </c>
      <c r="Z2" s="172">
        <v>3.306</v>
      </c>
      <c r="AA2" s="173">
        <v>0.03</v>
      </c>
      <c r="AB2" s="157">
        <v>0</v>
      </c>
      <c r="AC2" s="171">
        <v>1</v>
      </c>
      <c r="AD2" s="171">
        <v>2.3131742416384599E-11</v>
      </c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4"/>
      <c r="N3" s="23"/>
      <c r="O3" s="23"/>
      <c r="P3" s="23"/>
      <c r="Q3" s="23"/>
      <c r="R3" s="21"/>
      <c r="S3" s="23"/>
      <c r="T3" s="23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4"/>
      <c r="N4" s="23"/>
      <c r="O4" s="23"/>
      <c r="P4" s="23"/>
      <c r="Q4" s="23"/>
      <c r="R4" s="21"/>
      <c r="S4" s="23"/>
      <c r="T4" s="23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4"/>
      <c r="N5" s="23"/>
      <c r="O5" s="23"/>
      <c r="P5" s="23"/>
      <c r="Q5" s="23"/>
      <c r="R5" s="21"/>
      <c r="S5" s="23"/>
      <c r="T5" s="23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4"/>
      <c r="N6" s="23"/>
      <c r="O6" s="23"/>
      <c r="P6" s="23"/>
      <c r="Q6" s="23"/>
      <c r="R6" s="21"/>
      <c r="S6" s="23"/>
      <c r="T6" s="23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4"/>
      <c r="N7" s="23"/>
      <c r="O7" s="23"/>
      <c r="P7" s="23"/>
      <c r="Q7" s="23"/>
      <c r="R7" s="21"/>
      <c r="S7" s="23"/>
      <c r="T7" s="23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4"/>
      <c r="N8" s="23"/>
      <c r="O8" s="23"/>
      <c r="P8" s="23"/>
      <c r="Q8" s="23"/>
      <c r="R8" s="21"/>
      <c r="S8" s="23"/>
      <c r="T8" s="23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4"/>
      <c r="N9" s="23"/>
      <c r="O9" s="23"/>
      <c r="P9" s="23"/>
      <c r="Q9" s="23"/>
      <c r="R9" s="21"/>
      <c r="S9" s="23"/>
      <c r="T9" s="23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4"/>
      <c r="N10" s="23"/>
      <c r="O10" s="23"/>
      <c r="P10" s="23"/>
      <c r="Q10" s="23"/>
      <c r="R10" s="21"/>
      <c r="S10" s="23"/>
      <c r="T10" s="23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4"/>
      <c r="N11" s="23"/>
      <c r="O11" s="23"/>
      <c r="P11" s="23"/>
      <c r="Q11" s="23"/>
      <c r="R11" s="21"/>
      <c r="S11" s="23"/>
      <c r="T11" s="23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4"/>
      <c r="N12" s="23"/>
      <c r="O12" s="23"/>
      <c r="P12" s="23"/>
      <c r="Q12" s="23"/>
      <c r="R12" s="21"/>
      <c r="S12" s="23"/>
      <c r="T12" s="23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4"/>
      <c r="N13" s="23"/>
      <c r="O13" s="23"/>
      <c r="P13" s="23"/>
      <c r="Q13" s="23"/>
      <c r="R13" s="21"/>
      <c r="S13" s="23"/>
      <c r="T13" s="23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4"/>
      <c r="N14" s="23"/>
      <c r="O14" s="23"/>
      <c r="P14" s="23"/>
      <c r="Q14" s="23"/>
      <c r="R14" s="21"/>
      <c r="S14" s="23"/>
      <c r="T14" s="23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4"/>
      <c r="N15" s="23"/>
      <c r="O15" s="23"/>
      <c r="P15" s="23"/>
      <c r="Q15" s="23"/>
      <c r="R15" s="21"/>
      <c r="S15" s="23"/>
      <c r="T15" s="23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4"/>
      <c r="N16" s="23"/>
      <c r="O16" s="23"/>
      <c r="P16" s="23"/>
      <c r="Q16" s="23"/>
      <c r="R16" s="21"/>
      <c r="S16" s="23"/>
      <c r="T16" s="23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4"/>
      <c r="N17" s="23"/>
      <c r="O17" s="23"/>
      <c r="P17" s="23"/>
      <c r="Q17" s="23"/>
      <c r="R17" s="21"/>
      <c r="S17" s="23"/>
      <c r="T17" s="23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4"/>
      <c r="N18" s="23"/>
      <c r="O18" s="23"/>
      <c r="P18" s="23"/>
      <c r="Q18" s="23"/>
      <c r="R18" s="21"/>
      <c r="S18" s="23"/>
      <c r="T18" s="23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4"/>
      <c r="N19" s="23"/>
      <c r="O19" s="23"/>
      <c r="P19" s="23"/>
      <c r="Q19" s="23"/>
      <c r="R19" s="21"/>
      <c r="S19" s="23"/>
      <c r="T19" s="23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4"/>
      <c r="P20" s="23"/>
      <c r="Q20" s="23"/>
      <c r="V20" s="23"/>
      <c r="W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42" customWidth="1"/>
    <col min="4" max="4" width="11.625" style="3" customWidth="1"/>
    <col min="5" max="5" width="11.625" style="5" customWidth="1"/>
    <col min="6" max="22" width="11.625" style="3" customWidth="1"/>
    <col min="23" max="23" width="9" style="3" hidden="1" customWidth="1"/>
    <col min="24" max="16384" width="9" style="3" hidden="1"/>
  </cols>
  <sheetData>
    <row r="1" spans="1:22" ht="51">
      <c r="A1" s="22" t="s">
        <v>0</v>
      </c>
      <c r="B1" s="22" t="s">
        <v>1</v>
      </c>
      <c r="C1" s="22" t="s">
        <v>2191</v>
      </c>
      <c r="D1" s="22" t="s">
        <v>2192</v>
      </c>
      <c r="E1" s="22" t="s">
        <v>2193</v>
      </c>
      <c r="F1" s="22" t="s">
        <v>5</v>
      </c>
      <c r="G1" s="22" t="s">
        <v>2194</v>
      </c>
      <c r="H1" s="22" t="s">
        <v>6</v>
      </c>
      <c r="I1" s="22" t="s">
        <v>7</v>
      </c>
      <c r="J1" s="22" t="s">
        <v>140</v>
      </c>
      <c r="K1" s="22" t="s">
        <v>2195</v>
      </c>
      <c r="L1" s="22" t="s">
        <v>10</v>
      </c>
      <c r="M1" s="22" t="s">
        <v>11</v>
      </c>
      <c r="N1" s="22" t="s">
        <v>12</v>
      </c>
      <c r="O1" s="22" t="s">
        <v>14</v>
      </c>
      <c r="P1" s="22" t="s">
        <v>15</v>
      </c>
      <c r="Q1" s="22" t="s">
        <v>2196</v>
      </c>
      <c r="R1" s="22" t="s">
        <v>18</v>
      </c>
      <c r="S1" s="22" t="s">
        <v>2197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4"/>
      <c r="D2" s="42"/>
      <c r="E2" s="31"/>
      <c r="F2" s="23"/>
      <c r="G2" s="23"/>
      <c r="H2" s="31"/>
      <c r="I2" s="31"/>
      <c r="J2" s="23"/>
      <c r="K2" s="24"/>
      <c r="M2" s="21"/>
      <c r="N2" s="23"/>
      <c r="O2" s="24"/>
      <c r="P2" s="23"/>
      <c r="R2" s="23"/>
      <c r="S2" s="24"/>
      <c r="T2" s="23"/>
      <c r="U2" s="23"/>
      <c r="V2" s="23"/>
    </row>
    <row r="3" spans="1:22">
      <c r="A3" s="23"/>
      <c r="B3" s="23"/>
      <c r="C3" s="24"/>
      <c r="E3" s="21"/>
      <c r="F3" s="23"/>
      <c r="G3" s="23"/>
      <c r="H3" s="31"/>
      <c r="I3" s="31"/>
      <c r="J3" s="23"/>
      <c r="K3" s="23"/>
      <c r="M3" s="21"/>
      <c r="N3" s="23"/>
      <c r="O3" s="23"/>
      <c r="P3" s="23"/>
      <c r="R3" s="23"/>
      <c r="T3" s="23"/>
      <c r="U3" s="23"/>
      <c r="V3" s="23"/>
    </row>
    <row r="4" spans="1:22">
      <c r="A4" s="23"/>
      <c r="B4" s="23"/>
      <c r="C4" s="24"/>
      <c r="E4" s="21"/>
      <c r="F4" s="23"/>
      <c r="G4" s="23"/>
      <c r="H4" s="31"/>
      <c r="I4" s="31"/>
      <c r="J4" s="23"/>
      <c r="K4" s="23"/>
      <c r="M4" s="21"/>
      <c r="N4" s="23"/>
      <c r="O4" s="23"/>
      <c r="P4" s="23"/>
      <c r="R4" s="23"/>
      <c r="T4" s="23"/>
      <c r="U4" s="23"/>
      <c r="V4" s="23"/>
    </row>
    <row r="5" spans="1:22">
      <c r="A5" s="23"/>
      <c r="B5" s="23"/>
      <c r="C5" s="24"/>
      <c r="E5" s="21"/>
      <c r="F5" s="23"/>
      <c r="G5" s="23"/>
      <c r="H5" s="31"/>
      <c r="I5" s="31"/>
      <c r="J5" s="23"/>
      <c r="K5" s="23"/>
      <c r="M5" s="21"/>
      <c r="N5" s="23"/>
      <c r="O5" s="23"/>
      <c r="P5" s="23"/>
      <c r="R5" s="23"/>
      <c r="T5" s="23"/>
      <c r="U5" s="23"/>
      <c r="V5" s="23"/>
    </row>
    <row r="6" spans="1:22">
      <c r="A6" s="23"/>
      <c r="B6" s="23"/>
      <c r="C6" s="24"/>
      <c r="E6" s="21"/>
      <c r="F6" s="23"/>
      <c r="G6" s="23"/>
      <c r="H6" s="31"/>
      <c r="I6" s="31"/>
      <c r="J6" s="23"/>
      <c r="K6" s="23"/>
      <c r="M6" s="21"/>
      <c r="N6" s="23"/>
      <c r="O6" s="23"/>
      <c r="P6" s="23"/>
      <c r="R6" s="23"/>
      <c r="T6" s="23"/>
      <c r="U6" s="23"/>
      <c r="V6" s="23"/>
    </row>
    <row r="7" spans="1:22">
      <c r="A7" s="23"/>
      <c r="B7" s="23"/>
      <c r="C7" s="24"/>
      <c r="E7" s="21"/>
      <c r="F7" s="23"/>
      <c r="G7" s="23"/>
      <c r="H7" s="31"/>
      <c r="I7" s="31"/>
      <c r="J7" s="23"/>
      <c r="K7" s="23"/>
      <c r="M7" s="21"/>
      <c r="N7" s="23"/>
      <c r="O7" s="23"/>
      <c r="P7" s="23"/>
      <c r="R7" s="23"/>
      <c r="S7" s="23"/>
      <c r="T7" s="23"/>
      <c r="U7" s="23"/>
      <c r="V7" s="23"/>
    </row>
    <row r="8" spans="1:22">
      <c r="A8" s="23"/>
      <c r="B8" s="23"/>
      <c r="C8" s="24"/>
      <c r="E8" s="21"/>
      <c r="F8" s="23"/>
      <c r="G8" s="23"/>
      <c r="H8" s="31"/>
      <c r="I8" s="31"/>
      <c r="J8" s="23"/>
      <c r="K8" s="23"/>
      <c r="M8" s="21"/>
      <c r="N8" s="23"/>
      <c r="O8" s="23"/>
      <c r="P8" s="23"/>
      <c r="R8" s="23"/>
      <c r="S8" s="23"/>
      <c r="T8" s="23"/>
      <c r="U8" s="23"/>
      <c r="V8" s="23"/>
    </row>
    <row r="9" spans="1:22">
      <c r="A9" s="23"/>
      <c r="B9" s="23"/>
      <c r="C9" s="24"/>
      <c r="E9" s="21"/>
      <c r="F9" s="23"/>
      <c r="G9" s="23"/>
      <c r="H9" s="31"/>
      <c r="I9" s="31"/>
      <c r="J9" s="23"/>
      <c r="K9" s="23"/>
      <c r="M9" s="21"/>
      <c r="N9" s="23"/>
      <c r="O9" s="23"/>
      <c r="P9" s="23"/>
      <c r="R9" s="23"/>
      <c r="S9" s="23"/>
      <c r="T9" s="23"/>
      <c r="U9" s="23"/>
      <c r="V9" s="23"/>
    </row>
    <row r="10" spans="1:22">
      <c r="A10" s="23"/>
      <c r="B10" s="23"/>
      <c r="C10" s="24"/>
      <c r="E10" s="21"/>
      <c r="F10" s="23"/>
      <c r="G10" s="23"/>
      <c r="H10" s="31"/>
      <c r="I10" s="31"/>
      <c r="J10" s="23"/>
      <c r="K10" s="23"/>
      <c r="M10" s="21"/>
      <c r="N10" s="23"/>
      <c r="O10" s="23"/>
      <c r="P10" s="23"/>
      <c r="R10" s="23"/>
      <c r="S10" s="23"/>
      <c r="T10" s="23"/>
      <c r="U10" s="23"/>
      <c r="V10" s="23"/>
    </row>
    <row r="11" spans="1:22">
      <c r="A11" s="23"/>
      <c r="B11" s="23"/>
      <c r="C11" s="24"/>
      <c r="E11" s="21"/>
      <c r="F11" s="23"/>
      <c r="G11" s="23"/>
      <c r="H11" s="31"/>
      <c r="I11" s="31"/>
      <c r="J11" s="23"/>
      <c r="K11" s="23"/>
      <c r="M11" s="21"/>
      <c r="N11" s="23"/>
      <c r="O11" s="23"/>
      <c r="P11" s="23"/>
      <c r="R11" s="23"/>
      <c r="S11" s="23"/>
      <c r="T11" s="23"/>
      <c r="U11" s="23"/>
      <c r="V11" s="23"/>
    </row>
    <row r="12" spans="1:22">
      <c r="A12" s="23"/>
      <c r="B12" s="23"/>
      <c r="C12" s="24"/>
      <c r="E12" s="21"/>
      <c r="F12" s="23"/>
      <c r="G12" s="23"/>
      <c r="H12" s="31"/>
      <c r="I12" s="31"/>
      <c r="J12" s="23"/>
      <c r="K12" s="23"/>
      <c r="M12" s="21"/>
      <c r="N12" s="23"/>
      <c r="O12" s="23"/>
      <c r="P12" s="23"/>
      <c r="R12" s="23"/>
      <c r="S12" s="23"/>
      <c r="T12" s="23"/>
      <c r="U12" s="23"/>
      <c r="V12" s="23"/>
    </row>
    <row r="13" spans="1:22">
      <c r="A13" s="23"/>
      <c r="B13" s="23"/>
      <c r="C13" s="24"/>
      <c r="E13" s="21"/>
      <c r="F13" s="23"/>
      <c r="G13" s="23"/>
      <c r="H13" s="31"/>
      <c r="I13" s="31"/>
      <c r="J13" s="23"/>
      <c r="K13" s="23"/>
      <c r="M13" s="21"/>
      <c r="N13" s="23"/>
      <c r="O13" s="23"/>
      <c r="P13" s="23"/>
      <c r="R13" s="23"/>
      <c r="S13" s="23"/>
      <c r="T13" s="23"/>
      <c r="U13" s="23"/>
      <c r="V13" s="23"/>
    </row>
    <row r="14" spans="1:22">
      <c r="A14" s="23"/>
      <c r="B14" s="23"/>
      <c r="C14" s="24"/>
      <c r="E14" s="21"/>
      <c r="F14" s="23"/>
      <c r="G14" s="23"/>
      <c r="H14" s="31"/>
      <c r="I14" s="31"/>
      <c r="J14" s="23"/>
      <c r="K14" s="23"/>
      <c r="M14" s="21"/>
      <c r="N14" s="23"/>
      <c r="O14" s="23"/>
      <c r="P14" s="23"/>
      <c r="R14" s="23"/>
      <c r="S14" s="23"/>
      <c r="T14" s="23"/>
      <c r="U14" s="23"/>
      <c r="V14" s="23"/>
    </row>
    <row r="15" spans="1:22">
      <c r="A15" s="23"/>
      <c r="B15" s="23"/>
      <c r="C15" s="24"/>
      <c r="E15" s="21"/>
      <c r="F15" s="23"/>
      <c r="G15" s="23"/>
      <c r="H15" s="31"/>
      <c r="I15" s="31"/>
      <c r="J15" s="23"/>
      <c r="K15" s="23"/>
      <c r="M15" s="21"/>
      <c r="N15" s="23"/>
      <c r="O15" s="23"/>
      <c r="P15" s="23"/>
      <c r="R15" s="23"/>
      <c r="S15" s="23"/>
      <c r="T15" s="23"/>
      <c r="U15" s="23"/>
      <c r="V15" s="23"/>
    </row>
    <row r="16" spans="1:22">
      <c r="A16" s="23"/>
      <c r="B16" s="23"/>
      <c r="C16" s="24"/>
      <c r="E16" s="21"/>
      <c r="F16" s="23"/>
      <c r="G16" s="23"/>
      <c r="H16" s="31"/>
      <c r="I16" s="31"/>
      <c r="J16" s="23"/>
      <c r="K16" s="23"/>
      <c r="M16" s="21"/>
      <c r="N16" s="23"/>
      <c r="O16" s="23"/>
      <c r="P16" s="23"/>
      <c r="R16" s="23"/>
      <c r="S16" s="23"/>
      <c r="T16" s="23"/>
      <c r="U16" s="23"/>
      <c r="V16" s="23"/>
    </row>
    <row r="17" spans="1:22">
      <c r="A17" s="23"/>
      <c r="B17" s="23"/>
      <c r="C17" s="24"/>
      <c r="E17" s="21"/>
      <c r="F17" s="23"/>
      <c r="G17" s="23"/>
      <c r="H17" s="31"/>
      <c r="I17" s="31"/>
      <c r="J17" s="23"/>
      <c r="K17" s="23"/>
      <c r="M17" s="21"/>
      <c r="N17" s="23"/>
      <c r="O17" s="23"/>
      <c r="P17" s="23"/>
      <c r="R17" s="23"/>
      <c r="S17" s="23"/>
      <c r="T17" s="23"/>
      <c r="U17" s="23"/>
      <c r="V17" s="23"/>
    </row>
    <row r="18" spans="1:22">
      <c r="A18" s="23"/>
      <c r="B18" s="23"/>
      <c r="C18" s="24"/>
      <c r="E18" s="21"/>
      <c r="F18" s="23"/>
      <c r="G18" s="23"/>
      <c r="H18" s="31"/>
      <c r="I18" s="31"/>
      <c r="J18" s="23"/>
      <c r="K18" s="23"/>
      <c r="M18" s="21"/>
      <c r="N18" s="23"/>
      <c r="O18" s="23"/>
      <c r="P18" s="23"/>
      <c r="R18" s="23"/>
      <c r="S18" s="23"/>
      <c r="T18" s="23"/>
      <c r="U18" s="23"/>
      <c r="V18" s="23"/>
    </row>
    <row r="19" spans="1:22">
      <c r="A19" s="23"/>
      <c r="B19" s="23"/>
      <c r="C19" s="24"/>
      <c r="E19" s="21"/>
      <c r="F19" s="23"/>
      <c r="G19" s="23"/>
      <c r="H19" s="31"/>
      <c r="I19" s="31"/>
      <c r="J19" s="23"/>
      <c r="K19" s="23"/>
      <c r="M19" s="21"/>
      <c r="N19" s="23"/>
      <c r="O19" s="23"/>
      <c r="P19" s="23"/>
      <c r="R19" s="23"/>
      <c r="S19" s="23"/>
      <c r="T19" s="23"/>
      <c r="U19" s="23"/>
      <c r="V19" s="23"/>
    </row>
    <row r="20" spans="1:22">
      <c r="E20" s="21"/>
      <c r="F20" s="23"/>
      <c r="H20" s="31"/>
      <c r="I20" s="31"/>
      <c r="J20" s="23"/>
    </row>
    <row r="21" spans="1:22" s="42" customFormat="1">
      <c r="E21" s="45"/>
      <c r="L21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F14" sqref="F14"/>
    </sheetView>
  </sheetViews>
  <sheetFormatPr defaultColWidth="0" defaultRowHeight="14.25"/>
  <cols>
    <col min="1" max="24" width="11.625" style="3" customWidth="1"/>
    <col min="25" max="25" width="9" style="3" hidden="1" customWidth="1"/>
    <col min="26" max="16384" width="9" style="3" hidden="1"/>
  </cols>
  <sheetData>
    <row r="1" spans="1:24" ht="51">
      <c r="A1" s="22" t="s">
        <v>0</v>
      </c>
      <c r="B1" s="22" t="s">
        <v>1</v>
      </c>
      <c r="C1" s="22" t="s">
        <v>2198</v>
      </c>
      <c r="D1" s="22" t="s">
        <v>5</v>
      </c>
      <c r="E1" s="22" t="s">
        <v>2199</v>
      </c>
      <c r="F1" s="22" t="s">
        <v>140</v>
      </c>
      <c r="G1" s="178" t="s">
        <v>1546</v>
      </c>
      <c r="H1" s="22" t="s">
        <v>2200</v>
      </c>
      <c r="I1" s="22" t="s">
        <v>2201</v>
      </c>
      <c r="J1" s="22" t="s">
        <v>2202</v>
      </c>
      <c r="K1" s="188" t="s">
        <v>2203</v>
      </c>
      <c r="L1" s="22" t="s">
        <v>2204</v>
      </c>
      <c r="M1" s="22" t="s">
        <v>1552</v>
      </c>
      <c r="N1" s="22" t="s">
        <v>1554</v>
      </c>
      <c r="O1" s="22" t="s">
        <v>1553</v>
      </c>
      <c r="P1" s="178" t="s">
        <v>1555</v>
      </c>
      <c r="Q1" s="22" t="s">
        <v>11</v>
      </c>
      <c r="R1" s="22" t="s">
        <v>2163</v>
      </c>
      <c r="S1" s="22" t="s">
        <v>20</v>
      </c>
      <c r="T1" s="22" t="s">
        <v>21</v>
      </c>
      <c r="U1" s="22" t="s">
        <v>145</v>
      </c>
      <c r="V1" s="22" t="s">
        <v>22</v>
      </c>
      <c r="W1" s="165" t="s">
        <v>24</v>
      </c>
      <c r="X1" s="165" t="s">
        <v>25</v>
      </c>
    </row>
    <row r="2" spans="1:24">
      <c r="A2" s="23">
        <v>161</v>
      </c>
      <c r="B2" s="23">
        <v>9943</v>
      </c>
      <c r="C2" s="23" t="s">
        <v>2205</v>
      </c>
      <c r="D2" s="23" t="s">
        <v>2206</v>
      </c>
      <c r="E2" s="23" t="s">
        <v>30</v>
      </c>
      <c r="F2" s="23" t="s">
        <v>156</v>
      </c>
      <c r="G2" s="179" t="s">
        <v>1652</v>
      </c>
      <c r="H2" s="23" t="s">
        <v>131</v>
      </c>
      <c r="I2" s="23" t="s">
        <v>131</v>
      </c>
      <c r="J2" s="23" t="s">
        <v>2207</v>
      </c>
      <c r="K2" s="23"/>
      <c r="L2" s="24" t="s">
        <v>2208</v>
      </c>
      <c r="M2" s="24" t="s">
        <v>1774</v>
      </c>
      <c r="N2" s="24" t="s">
        <v>2209</v>
      </c>
      <c r="O2" s="24" t="s">
        <v>1564</v>
      </c>
      <c r="P2" s="179" t="s">
        <v>2210</v>
      </c>
      <c r="Q2" s="21" t="s">
        <v>34</v>
      </c>
      <c r="R2" s="157">
        <v>567.50400000000002</v>
      </c>
      <c r="S2" s="157">
        <v>567.50400000000002</v>
      </c>
      <c r="T2" s="24"/>
      <c r="U2" s="24"/>
      <c r="V2" s="23" t="s">
        <v>36</v>
      </c>
      <c r="W2" s="171">
        <v>1</v>
      </c>
      <c r="X2" s="171">
        <v>2.9171902988724097E-4</v>
      </c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4"/>
      <c r="M3" s="23"/>
      <c r="N3" s="24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4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4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4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4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4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4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4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4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4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4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4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4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4"/>
      <c r="M20" s="23"/>
      <c r="O20" s="23"/>
      <c r="V20" s="23"/>
    </row>
    <row r="21" spans="1:24" s="42" customFormat="1">
      <c r="D21" s="23"/>
      <c r="E21" s="24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9" style="3" hidden="1" customWidth="1"/>
    <col min="25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136</v>
      </c>
      <c r="E1" s="22" t="s">
        <v>137</v>
      </c>
      <c r="F1" s="22" t="s">
        <v>3</v>
      </c>
      <c r="G1" s="22" t="s">
        <v>4</v>
      </c>
      <c r="H1" s="22" t="s">
        <v>138</v>
      </c>
      <c r="I1" s="22" t="s">
        <v>5</v>
      </c>
      <c r="J1" s="22" t="s">
        <v>6</v>
      </c>
      <c r="K1" s="22" t="s">
        <v>7</v>
      </c>
      <c r="L1" s="22" t="s">
        <v>139</v>
      </c>
      <c r="M1" s="22" t="s">
        <v>140</v>
      </c>
      <c r="N1" s="22" t="s">
        <v>11</v>
      </c>
      <c r="O1" s="22" t="s">
        <v>1552</v>
      </c>
      <c r="P1" s="22" t="s">
        <v>1553</v>
      </c>
      <c r="Q1" s="22" t="s">
        <v>1555</v>
      </c>
      <c r="R1" s="22" t="s">
        <v>1556</v>
      </c>
      <c r="S1" s="22" t="s">
        <v>2211</v>
      </c>
      <c r="T1" s="22" t="s">
        <v>2212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4"/>
      <c r="M2" s="23"/>
      <c r="N2" s="21"/>
      <c r="O2" s="23"/>
      <c r="P2" s="23"/>
      <c r="Q2" s="23"/>
      <c r="R2" s="23"/>
      <c r="S2" s="23"/>
      <c r="T2" s="24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4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2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9"/>
      <c r="E20" s="21"/>
      <c r="H20" s="23"/>
      <c r="I20" s="23"/>
      <c r="J20" s="21"/>
      <c r="K20" s="21"/>
      <c r="L20" s="24"/>
      <c r="M20" s="23"/>
      <c r="O20" s="23"/>
      <c r="P20" s="23"/>
    </row>
    <row r="22" spans="1:23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6"/>
  <sheetViews>
    <sheetView rightToLeft="1" workbookViewId="0">
      <selection activeCell="A2" sqref="A2"/>
    </sheetView>
  </sheetViews>
  <sheetFormatPr defaultColWidth="0" defaultRowHeight="14.25"/>
  <cols>
    <col min="1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2213</v>
      </c>
      <c r="D1" s="22" t="s">
        <v>2214</v>
      </c>
      <c r="E1" s="22" t="s">
        <v>5</v>
      </c>
      <c r="F1" s="22" t="s">
        <v>6</v>
      </c>
      <c r="G1" s="22" t="s">
        <v>7</v>
      </c>
      <c r="H1" s="22" t="s">
        <v>140</v>
      </c>
      <c r="I1" s="178" t="s">
        <v>2215</v>
      </c>
      <c r="J1" s="22" t="s">
        <v>11</v>
      </c>
      <c r="K1" s="178" t="s">
        <v>1555</v>
      </c>
      <c r="L1" s="22" t="s">
        <v>2196</v>
      </c>
      <c r="M1" s="163" t="s">
        <v>18</v>
      </c>
      <c r="N1" s="22" t="s">
        <v>20</v>
      </c>
      <c r="O1" s="22" t="s">
        <v>21</v>
      </c>
      <c r="P1" s="22" t="s">
        <v>22</v>
      </c>
      <c r="Q1" s="165" t="s">
        <v>24</v>
      </c>
      <c r="R1" s="165" t="s">
        <v>25</v>
      </c>
    </row>
    <row r="2" spans="1:18">
      <c r="A2" s="23">
        <v>14076</v>
      </c>
      <c r="B2" s="23">
        <v>14077</v>
      </c>
      <c r="C2" s="40" t="s">
        <v>2216</v>
      </c>
      <c r="D2" s="40" t="s">
        <v>2217</v>
      </c>
      <c r="E2" s="40" t="s">
        <v>2218</v>
      </c>
      <c r="F2" s="21" t="s">
        <v>30</v>
      </c>
      <c r="G2" s="21" t="s">
        <v>30</v>
      </c>
      <c r="H2" s="23" t="s">
        <v>156</v>
      </c>
      <c r="I2" s="23"/>
      <c r="J2" s="21" t="s">
        <v>34</v>
      </c>
      <c r="K2" s="179" t="s">
        <v>1566</v>
      </c>
      <c r="L2" s="155">
        <v>-6.649</v>
      </c>
      <c r="M2" s="172">
        <v>1</v>
      </c>
      <c r="N2" s="157">
        <v>-6.649</v>
      </c>
      <c r="O2" s="23"/>
      <c r="P2" s="21" t="s">
        <v>36</v>
      </c>
      <c r="Q2" s="171">
        <v>0.62382857759368804</v>
      </c>
      <c r="R2" s="171">
        <v>-3.1022434134620201E-4</v>
      </c>
    </row>
    <row r="3" spans="1:18">
      <c r="A3" s="23">
        <v>14076</v>
      </c>
      <c r="B3" s="23">
        <v>14077</v>
      </c>
      <c r="C3" s="30" t="s">
        <v>2219</v>
      </c>
      <c r="D3" s="23" t="s">
        <v>2220</v>
      </c>
      <c r="E3" s="40" t="s">
        <v>2221</v>
      </c>
      <c r="F3" s="21" t="s">
        <v>30</v>
      </c>
      <c r="G3" s="21" t="s">
        <v>30</v>
      </c>
      <c r="H3" s="23" t="s">
        <v>156</v>
      </c>
      <c r="I3" s="23"/>
      <c r="J3" s="21" t="s">
        <v>34</v>
      </c>
      <c r="K3" s="179" t="s">
        <v>1566</v>
      </c>
      <c r="L3" s="155">
        <v>-4.01</v>
      </c>
      <c r="M3" s="172">
        <v>1</v>
      </c>
      <c r="N3" s="157">
        <v>-4.01</v>
      </c>
      <c r="O3" s="23"/>
      <c r="P3" s="21" t="s">
        <v>36</v>
      </c>
      <c r="Q3" s="171">
        <v>0.37617142240631202</v>
      </c>
      <c r="R3" s="171">
        <v>-1.8706666533201E-4</v>
      </c>
    </row>
    <row r="4" spans="1:18">
      <c r="A4" s="23">
        <v>14076</v>
      </c>
      <c r="B4" s="23">
        <v>14078</v>
      </c>
      <c r="C4" s="30" t="s">
        <v>2216</v>
      </c>
      <c r="D4" s="23" t="s">
        <v>2217</v>
      </c>
      <c r="E4" s="40" t="s">
        <v>2218</v>
      </c>
      <c r="F4" s="21" t="s">
        <v>30</v>
      </c>
      <c r="G4" s="21" t="s">
        <v>30</v>
      </c>
      <c r="H4" s="23" t="s">
        <v>156</v>
      </c>
      <c r="I4" s="23"/>
      <c r="J4" s="21" t="s">
        <v>34</v>
      </c>
      <c r="K4" s="179" t="s">
        <v>1566</v>
      </c>
      <c r="L4" s="155">
        <v>-0.73699999999999999</v>
      </c>
      <c r="M4" s="172">
        <v>1</v>
      </c>
      <c r="N4" s="157">
        <v>-0.73699999999999999</v>
      </c>
      <c r="O4" s="23"/>
      <c r="P4" s="21" t="s">
        <v>36</v>
      </c>
      <c r="Q4" s="171">
        <v>1.0003255517423799</v>
      </c>
      <c r="R4" s="171">
        <v>-3.1538223686464401E-4</v>
      </c>
    </row>
    <row r="5" spans="1:18">
      <c r="A5" s="23">
        <v>14076</v>
      </c>
      <c r="B5" s="23">
        <v>14078</v>
      </c>
      <c r="C5" s="30" t="s">
        <v>2222</v>
      </c>
      <c r="D5" s="23" t="s">
        <v>2223</v>
      </c>
      <c r="E5" s="40" t="s">
        <v>2218</v>
      </c>
      <c r="F5" s="21" t="s">
        <v>30</v>
      </c>
      <c r="G5" s="21" t="s">
        <v>30</v>
      </c>
      <c r="H5" s="23" t="s">
        <v>156</v>
      </c>
      <c r="I5" s="23"/>
      <c r="J5" s="21" t="s">
        <v>34</v>
      </c>
      <c r="K5" s="179" t="s">
        <v>1566</v>
      </c>
      <c r="L5" s="155">
        <v>0</v>
      </c>
      <c r="M5" s="172">
        <v>1</v>
      </c>
      <c r="N5" s="157">
        <v>0</v>
      </c>
      <c r="O5" s="23"/>
      <c r="P5" s="21" t="s">
        <v>36</v>
      </c>
      <c r="Q5" s="171">
        <v>2.3059915085253899E-4</v>
      </c>
      <c r="R5" s="171">
        <v>-7.2703207359128797E-8</v>
      </c>
    </row>
    <row r="6" spans="1:18">
      <c r="A6" s="23">
        <v>14076</v>
      </c>
      <c r="B6" s="23">
        <v>14078</v>
      </c>
      <c r="C6" s="30" t="s">
        <v>2219</v>
      </c>
      <c r="D6" s="23" t="s">
        <v>2220</v>
      </c>
      <c r="E6" s="40" t="s">
        <v>2221</v>
      </c>
      <c r="F6" s="21" t="s">
        <v>30</v>
      </c>
      <c r="G6" s="21" t="s">
        <v>30</v>
      </c>
      <c r="H6" s="23" t="s">
        <v>156</v>
      </c>
      <c r="I6" s="23"/>
      <c r="J6" s="21" t="s">
        <v>34</v>
      </c>
      <c r="K6" s="179" t="s">
        <v>1566</v>
      </c>
      <c r="L6" s="155">
        <v>0</v>
      </c>
      <c r="M6" s="172">
        <v>1</v>
      </c>
      <c r="N6" s="157">
        <v>0</v>
      </c>
      <c r="O6" s="23"/>
      <c r="P6" s="21" t="s">
        <v>36</v>
      </c>
      <c r="Q6" s="171">
        <v>-5.5615089323259297E-4</v>
      </c>
      <c r="R6" s="171">
        <v>1.75343029513193E-7</v>
      </c>
    </row>
    <row r="7" spans="1:18">
      <c r="A7" s="23">
        <v>14076</v>
      </c>
      <c r="B7" s="23">
        <v>14079</v>
      </c>
      <c r="C7" s="30" t="s">
        <v>2216</v>
      </c>
      <c r="D7" s="23" t="s">
        <v>2217</v>
      </c>
      <c r="E7" s="40" t="s">
        <v>2218</v>
      </c>
      <c r="F7" s="21" t="s">
        <v>30</v>
      </c>
      <c r="G7" s="21" t="s">
        <v>30</v>
      </c>
      <c r="H7" s="23" t="s">
        <v>156</v>
      </c>
      <c r="I7" s="23"/>
      <c r="J7" s="21" t="s">
        <v>34</v>
      </c>
      <c r="K7" s="179" t="s">
        <v>1566</v>
      </c>
      <c r="L7" s="155">
        <v>-2.9249999999999998</v>
      </c>
      <c r="M7" s="172">
        <v>1</v>
      </c>
      <c r="N7" s="157">
        <v>-2.9249999999999998</v>
      </c>
      <c r="O7" s="23"/>
      <c r="P7" s="21" t="s">
        <v>36</v>
      </c>
      <c r="Q7" s="171">
        <v>0.99398128795679797</v>
      </c>
      <c r="R7" s="171">
        <v>-3.0743306219473598E-4</v>
      </c>
    </row>
    <row r="8" spans="1:18">
      <c r="A8" s="23">
        <v>14076</v>
      </c>
      <c r="B8" s="23">
        <v>14079</v>
      </c>
      <c r="C8" s="30" t="s">
        <v>2219</v>
      </c>
      <c r="D8" s="23" t="s">
        <v>2220</v>
      </c>
      <c r="E8" s="40" t="s">
        <v>2221</v>
      </c>
      <c r="F8" s="21" t="s">
        <v>30</v>
      </c>
      <c r="G8" s="21" t="s">
        <v>30</v>
      </c>
      <c r="H8" s="23" t="s">
        <v>156</v>
      </c>
      <c r="I8" s="23"/>
      <c r="J8" s="21" t="s">
        <v>34</v>
      </c>
      <c r="K8" s="179" t="s">
        <v>1566</v>
      </c>
      <c r="L8" s="155">
        <v>-1.7999999999999999E-2</v>
      </c>
      <c r="M8" s="172">
        <v>1</v>
      </c>
      <c r="N8" s="157">
        <v>-1.7999999999999999E-2</v>
      </c>
      <c r="O8" s="23"/>
      <c r="P8" s="21" t="s">
        <v>36</v>
      </c>
      <c r="Q8" s="171">
        <v>6.0187120432015004E-3</v>
      </c>
      <c r="R8" s="171">
        <v>-1.8615552388449001E-6</v>
      </c>
    </row>
    <row r="9" spans="1:18">
      <c r="A9" s="23">
        <v>14076</v>
      </c>
      <c r="B9" s="23">
        <v>15394</v>
      </c>
      <c r="C9" s="30" t="s">
        <v>2216</v>
      </c>
      <c r="D9" s="23" t="s">
        <v>2217</v>
      </c>
      <c r="E9" s="40" t="s">
        <v>2218</v>
      </c>
      <c r="F9" s="21" t="s">
        <v>30</v>
      </c>
      <c r="G9" s="21" t="s">
        <v>30</v>
      </c>
      <c r="H9" s="23" t="s">
        <v>156</v>
      </c>
      <c r="I9" s="23"/>
      <c r="J9" s="21" t="s">
        <v>34</v>
      </c>
      <c r="K9" s="179" t="s">
        <v>1566</v>
      </c>
      <c r="L9" s="155">
        <v>-2.0419999999999998</v>
      </c>
      <c r="M9" s="172">
        <v>1</v>
      </c>
      <c r="N9" s="157">
        <v>-2.0419999999999998</v>
      </c>
      <c r="O9" s="23"/>
      <c r="P9" s="21" t="s">
        <v>36</v>
      </c>
      <c r="Q9" s="171">
        <v>0.99972096028824298</v>
      </c>
      <c r="R9" s="171">
        <v>-3.06165454420231E-4</v>
      </c>
    </row>
    <row r="10" spans="1:18">
      <c r="A10" s="23">
        <v>14076</v>
      </c>
      <c r="B10" s="23">
        <v>15394</v>
      </c>
      <c r="C10" s="30" t="s">
        <v>2219</v>
      </c>
      <c r="D10" s="23" t="s">
        <v>2220</v>
      </c>
      <c r="E10" s="40" t="s">
        <v>2221</v>
      </c>
      <c r="F10" s="21" t="s">
        <v>30</v>
      </c>
      <c r="G10" s="21" t="s">
        <v>30</v>
      </c>
      <c r="H10" s="23" t="s">
        <v>156</v>
      </c>
      <c r="I10" s="23"/>
      <c r="J10" s="21" t="s">
        <v>34</v>
      </c>
      <c r="K10" s="179" t="s">
        <v>1566</v>
      </c>
      <c r="L10" s="155">
        <v>-1E-3</v>
      </c>
      <c r="M10" s="172">
        <v>1</v>
      </c>
      <c r="N10" s="157">
        <v>-1E-3</v>
      </c>
      <c r="O10" s="23"/>
      <c r="P10" s="21" t="s">
        <v>36</v>
      </c>
      <c r="Q10" s="171">
        <v>2.7903971175687303E-4</v>
      </c>
      <c r="R10" s="171">
        <v>-8.5456165815210195E-8</v>
      </c>
    </row>
    <row r="11" spans="1:18">
      <c r="A11" s="23">
        <v>161</v>
      </c>
      <c r="B11" s="23">
        <v>1434</v>
      </c>
      <c r="C11" s="30" t="s">
        <v>2216</v>
      </c>
      <c r="D11" s="23" t="s">
        <v>2217</v>
      </c>
      <c r="E11" s="40" t="s">
        <v>2218</v>
      </c>
      <c r="F11" s="21" t="s">
        <v>30</v>
      </c>
      <c r="G11" s="21" t="s">
        <v>30</v>
      </c>
      <c r="H11" s="23" t="s">
        <v>156</v>
      </c>
      <c r="I11" s="23"/>
      <c r="J11" s="21" t="s">
        <v>34</v>
      </c>
      <c r="K11" s="179" t="s">
        <v>1566</v>
      </c>
      <c r="L11" s="155">
        <v>-6.9279999999999999</v>
      </c>
      <c r="M11" s="172">
        <v>1</v>
      </c>
      <c r="N11" s="157">
        <v>-6.9279999999999999</v>
      </c>
      <c r="O11" s="23"/>
      <c r="P11" s="21" t="s">
        <v>36</v>
      </c>
      <c r="Q11" s="171">
        <v>0.99978351948252497</v>
      </c>
      <c r="R11" s="171">
        <v>-3.0231432055703603E-4</v>
      </c>
    </row>
    <row r="12" spans="1:18">
      <c r="A12" s="23">
        <v>161</v>
      </c>
      <c r="B12" s="23">
        <v>1434</v>
      </c>
      <c r="C12" s="30" t="s">
        <v>2219</v>
      </c>
      <c r="D12" s="23" t="s">
        <v>2220</v>
      </c>
      <c r="E12" s="40" t="s">
        <v>2221</v>
      </c>
      <c r="F12" s="21" t="s">
        <v>30</v>
      </c>
      <c r="G12" s="21" t="s">
        <v>30</v>
      </c>
      <c r="H12" s="23" t="s">
        <v>156</v>
      </c>
      <c r="I12" s="23"/>
      <c r="J12" s="21" t="s">
        <v>34</v>
      </c>
      <c r="K12" s="179" t="s">
        <v>1566</v>
      </c>
      <c r="L12" s="155">
        <v>-2E-3</v>
      </c>
      <c r="M12" s="172">
        <v>1</v>
      </c>
      <c r="N12" s="157">
        <v>-2E-3</v>
      </c>
      <c r="O12" s="23"/>
      <c r="P12" s="21" t="s">
        <v>36</v>
      </c>
      <c r="Q12" s="171">
        <v>2.1648051747502899E-4</v>
      </c>
      <c r="R12" s="171">
        <v>-6.5459331224196003E-8</v>
      </c>
    </row>
    <row r="13" spans="1:18">
      <c r="A13" s="23">
        <v>161</v>
      </c>
      <c r="B13" s="23">
        <v>9938</v>
      </c>
      <c r="C13" s="30" t="s">
        <v>2216</v>
      </c>
      <c r="D13" s="23" t="s">
        <v>2217</v>
      </c>
      <c r="E13" s="40" t="s">
        <v>2218</v>
      </c>
      <c r="F13" s="21" t="s">
        <v>30</v>
      </c>
      <c r="G13" s="21" t="s">
        <v>30</v>
      </c>
      <c r="H13" s="23" t="s">
        <v>156</v>
      </c>
      <c r="I13" s="23"/>
      <c r="J13" s="21" t="s">
        <v>34</v>
      </c>
      <c r="K13" s="179" t="s">
        <v>1566</v>
      </c>
      <c r="L13" s="155">
        <v>-26.555</v>
      </c>
      <c r="M13" s="172">
        <v>1</v>
      </c>
      <c r="N13" s="157">
        <v>-26.555</v>
      </c>
      <c r="O13" s="23"/>
      <c r="P13" s="21" t="s">
        <v>36</v>
      </c>
      <c r="Q13" s="171">
        <v>0.494810873640669</v>
      </c>
      <c r="R13" s="171">
        <v>-3.1725902651252202E-4</v>
      </c>
    </row>
    <row r="14" spans="1:18">
      <c r="A14" s="23">
        <v>161</v>
      </c>
      <c r="B14" s="23">
        <v>9938</v>
      </c>
      <c r="C14" s="30" t="s">
        <v>2222</v>
      </c>
      <c r="D14" s="23" t="s">
        <v>2223</v>
      </c>
      <c r="E14" s="40" t="s">
        <v>2218</v>
      </c>
      <c r="F14" s="21" t="s">
        <v>30</v>
      </c>
      <c r="G14" s="21" t="s">
        <v>30</v>
      </c>
      <c r="H14" s="23" t="s">
        <v>156</v>
      </c>
      <c r="I14" s="23"/>
      <c r="J14" s="21" t="s">
        <v>34</v>
      </c>
      <c r="K14" s="179" t="s">
        <v>1566</v>
      </c>
      <c r="L14" s="155">
        <v>0.70499999999999996</v>
      </c>
      <c r="M14" s="172">
        <v>1</v>
      </c>
      <c r="N14" s="157">
        <v>0.70499999999999996</v>
      </c>
      <c r="O14" s="23"/>
      <c r="P14" s="21" t="s">
        <v>36</v>
      </c>
      <c r="Q14" s="171">
        <v>-1.3132644008807599E-2</v>
      </c>
      <c r="R14" s="171">
        <v>8.4202875800087794E-6</v>
      </c>
    </row>
    <row r="15" spans="1:18">
      <c r="A15" s="23">
        <v>161</v>
      </c>
      <c r="B15" s="23">
        <v>9938</v>
      </c>
      <c r="C15" s="30" t="s">
        <v>2219</v>
      </c>
      <c r="D15" s="23" t="s">
        <v>2220</v>
      </c>
      <c r="E15" s="40" t="s">
        <v>2221</v>
      </c>
      <c r="F15" s="21" t="s">
        <v>30</v>
      </c>
      <c r="G15" s="21" t="s">
        <v>30</v>
      </c>
      <c r="H15" s="23" t="s">
        <v>156</v>
      </c>
      <c r="I15" s="23"/>
      <c r="J15" s="21" t="s">
        <v>34</v>
      </c>
      <c r="K15" s="179" t="s">
        <v>1566</v>
      </c>
      <c r="L15" s="155">
        <v>-27.817</v>
      </c>
      <c r="M15" s="172">
        <v>1</v>
      </c>
      <c r="N15" s="157">
        <v>-27.817</v>
      </c>
      <c r="O15" s="23"/>
      <c r="P15" s="21" t="s">
        <v>36</v>
      </c>
      <c r="Q15" s="171">
        <v>0.51832177036813798</v>
      </c>
      <c r="R15" s="171">
        <v>-3.32333562270623E-4</v>
      </c>
    </row>
    <row r="16" spans="1:18">
      <c r="A16" s="23">
        <v>161</v>
      </c>
      <c r="B16" s="23">
        <v>9942</v>
      </c>
      <c r="C16" s="30" t="s">
        <v>2216</v>
      </c>
      <c r="D16" s="23" t="s">
        <v>2217</v>
      </c>
      <c r="E16" s="40" t="s">
        <v>2218</v>
      </c>
      <c r="F16" s="21" t="s">
        <v>30</v>
      </c>
      <c r="G16" s="21" t="s">
        <v>30</v>
      </c>
      <c r="H16" s="23" t="s">
        <v>156</v>
      </c>
      <c r="I16" s="23"/>
      <c r="J16" s="21" t="s">
        <v>34</v>
      </c>
      <c r="K16" s="179" t="s">
        <v>1566</v>
      </c>
      <c r="L16" s="155">
        <v>-31.065999999999999</v>
      </c>
      <c r="M16" s="172">
        <v>1</v>
      </c>
      <c r="N16" s="157">
        <v>-31.065999999999999</v>
      </c>
      <c r="O16" s="23"/>
      <c r="P16" s="21" t="s">
        <v>36</v>
      </c>
      <c r="Q16" s="171">
        <v>1.0344557979204101</v>
      </c>
      <c r="R16" s="171">
        <v>-3.144072234946E-4</v>
      </c>
    </row>
    <row r="17" spans="1:18">
      <c r="A17" s="23">
        <v>161</v>
      </c>
      <c r="B17" s="23">
        <v>9942</v>
      </c>
      <c r="C17" s="30" t="s">
        <v>2222</v>
      </c>
      <c r="D17" s="23" t="s">
        <v>2223</v>
      </c>
      <c r="E17" s="40" t="s">
        <v>2218</v>
      </c>
      <c r="F17" s="21" t="s">
        <v>30</v>
      </c>
      <c r="G17" s="21" t="s">
        <v>30</v>
      </c>
      <c r="H17" s="23" t="s">
        <v>156</v>
      </c>
      <c r="I17" s="23"/>
      <c r="J17" s="21" t="s">
        <v>34</v>
      </c>
      <c r="K17" s="179" t="s">
        <v>1566</v>
      </c>
      <c r="L17" s="155">
        <v>1.034</v>
      </c>
      <c r="M17" s="172">
        <v>1</v>
      </c>
      <c r="N17" s="157">
        <v>1.034</v>
      </c>
      <c r="O17" s="23"/>
      <c r="P17" s="21" t="s">
        <v>36</v>
      </c>
      <c r="Q17" s="171">
        <v>-3.4433487596458902E-2</v>
      </c>
      <c r="R17" s="171">
        <v>1.0465538742402E-5</v>
      </c>
    </row>
    <row r="18" spans="1:18">
      <c r="A18" s="23">
        <v>161</v>
      </c>
      <c r="B18" s="23">
        <v>9942</v>
      </c>
      <c r="C18" s="30" t="s">
        <v>2219</v>
      </c>
      <c r="D18" s="23" t="s">
        <v>2220</v>
      </c>
      <c r="E18" s="40" t="s">
        <v>2221</v>
      </c>
      <c r="F18" s="21" t="s">
        <v>30</v>
      </c>
      <c r="G18" s="21" t="s">
        <v>30</v>
      </c>
      <c r="H18" s="23" t="s">
        <v>156</v>
      </c>
      <c r="I18" s="23"/>
      <c r="J18" s="21" t="s">
        <v>34</v>
      </c>
      <c r="K18" s="179" t="s">
        <v>1566</v>
      </c>
      <c r="L18" s="155">
        <v>1E-3</v>
      </c>
      <c r="M18" s="172">
        <v>1</v>
      </c>
      <c r="N18" s="157">
        <v>1E-3</v>
      </c>
      <c r="O18" s="23"/>
      <c r="P18" s="21" t="s">
        <v>36</v>
      </c>
      <c r="Q18" s="171">
        <v>-2.2310323952563601E-5</v>
      </c>
      <c r="R18" s="171">
        <v>6.7808861657424603E-9</v>
      </c>
    </row>
    <row r="19" spans="1:18">
      <c r="A19" s="23">
        <v>161</v>
      </c>
      <c r="B19" s="23">
        <v>9943</v>
      </c>
      <c r="C19" s="30" t="s">
        <v>2216</v>
      </c>
      <c r="D19" s="23" t="s">
        <v>2217</v>
      </c>
      <c r="E19" s="40" t="s">
        <v>2218</v>
      </c>
      <c r="F19" s="21" t="s">
        <v>30</v>
      </c>
      <c r="G19" s="21" t="s">
        <v>30</v>
      </c>
      <c r="H19" s="23" t="s">
        <v>156</v>
      </c>
      <c r="I19" s="23"/>
      <c r="J19" s="21" t="s">
        <v>34</v>
      </c>
      <c r="K19" s="179" t="s">
        <v>1566</v>
      </c>
      <c r="L19" s="155">
        <v>-613.83600000000001</v>
      </c>
      <c r="M19" s="172">
        <v>1</v>
      </c>
      <c r="N19" s="157">
        <v>-613.83600000000001</v>
      </c>
      <c r="O19" s="23"/>
      <c r="P19" s="21" t="s">
        <v>36</v>
      </c>
      <c r="Q19" s="171">
        <v>1.0412905858347801</v>
      </c>
      <c r="R19" s="171">
        <v>-3.1553547195341898E-4</v>
      </c>
    </row>
    <row r="20" spans="1:18">
      <c r="A20" s="3">
        <v>161</v>
      </c>
      <c r="B20" s="3">
        <v>9943</v>
      </c>
      <c r="C20" s="3" t="s">
        <v>2222</v>
      </c>
      <c r="D20" s="3" t="s">
        <v>2223</v>
      </c>
      <c r="E20" s="40" t="s">
        <v>2218</v>
      </c>
      <c r="F20" s="21" t="s">
        <v>30</v>
      </c>
      <c r="G20" s="21" t="s">
        <v>30</v>
      </c>
      <c r="H20" s="23" t="s">
        <v>156</v>
      </c>
      <c r="J20" s="3" t="s">
        <v>34</v>
      </c>
      <c r="K20" s="182" t="s">
        <v>1566</v>
      </c>
      <c r="L20" s="155">
        <v>99.016000000000005</v>
      </c>
      <c r="M20" s="164">
        <v>1</v>
      </c>
      <c r="N20" s="155">
        <v>99.016000000000005</v>
      </c>
      <c r="P20" s="21" t="s">
        <v>36</v>
      </c>
      <c r="Q20" s="166">
        <v>-0.16796687756964501</v>
      </c>
      <c r="R20" s="166">
        <v>5.0897903723955903E-5</v>
      </c>
    </row>
    <row r="21" spans="1:18" s="42" customFormat="1">
      <c r="A21" s="42">
        <v>161</v>
      </c>
      <c r="B21" s="42">
        <v>9943</v>
      </c>
      <c r="C21" s="42" t="s">
        <v>2219</v>
      </c>
      <c r="D21" s="42" t="s">
        <v>2220</v>
      </c>
      <c r="E21" s="42" t="s">
        <v>2221</v>
      </c>
      <c r="F21" s="42" t="s">
        <v>30</v>
      </c>
      <c r="G21" s="42" t="s">
        <v>30</v>
      </c>
      <c r="H21" s="42" t="s">
        <v>156</v>
      </c>
      <c r="J21" s="42" t="s">
        <v>34</v>
      </c>
      <c r="K21" s="182" t="s">
        <v>1566</v>
      </c>
      <c r="L21" s="155">
        <v>-74.674999999999997</v>
      </c>
      <c r="M21" s="164">
        <v>1</v>
      </c>
      <c r="N21" s="155">
        <v>-74.674999999999997</v>
      </c>
      <c r="P21" s="42" t="s">
        <v>36</v>
      </c>
      <c r="Q21" s="166">
        <v>0.126676291734868</v>
      </c>
      <c r="R21" s="166">
        <v>-3.83858877066742E-5</v>
      </c>
    </row>
    <row r="22" spans="1:18">
      <c r="A22" s="3">
        <v>161</v>
      </c>
      <c r="B22" s="3">
        <v>12468</v>
      </c>
      <c r="C22" s="3" t="s">
        <v>2216</v>
      </c>
      <c r="D22" s="3" t="s">
        <v>2217</v>
      </c>
      <c r="E22" s="3" t="s">
        <v>2218</v>
      </c>
      <c r="F22" s="3" t="s">
        <v>30</v>
      </c>
      <c r="G22" s="3" t="s">
        <v>30</v>
      </c>
      <c r="H22" s="3" t="s">
        <v>156</v>
      </c>
      <c r="J22" s="3" t="s">
        <v>34</v>
      </c>
      <c r="K22" s="182" t="s">
        <v>1566</v>
      </c>
      <c r="L22" s="155">
        <v>-7.532</v>
      </c>
      <c r="M22" s="164">
        <v>1</v>
      </c>
      <c r="N22" s="155">
        <v>-7.532</v>
      </c>
      <c r="P22" s="3" t="s">
        <v>36</v>
      </c>
      <c r="Q22" s="166">
        <v>1.02703705168363</v>
      </c>
      <c r="R22" s="166">
        <v>-3.1668514550974101E-4</v>
      </c>
    </row>
    <row r="23" spans="1:18">
      <c r="A23" s="3">
        <v>161</v>
      </c>
      <c r="B23" s="3">
        <v>12468</v>
      </c>
      <c r="C23" s="3" t="s">
        <v>2222</v>
      </c>
      <c r="D23" s="3" t="s">
        <v>2223</v>
      </c>
      <c r="E23" s="3" t="s">
        <v>2218</v>
      </c>
      <c r="F23" s="3" t="s">
        <v>30</v>
      </c>
      <c r="G23" s="3" t="s">
        <v>30</v>
      </c>
      <c r="H23" s="3" t="s">
        <v>156</v>
      </c>
      <c r="J23" s="3" t="s">
        <v>34</v>
      </c>
      <c r="K23" s="182" t="s">
        <v>1566</v>
      </c>
      <c r="L23" s="155">
        <v>0.19700000000000001</v>
      </c>
      <c r="M23" s="164">
        <v>1</v>
      </c>
      <c r="N23" s="155">
        <v>0.19700000000000001</v>
      </c>
      <c r="P23" s="3" t="s">
        <v>36</v>
      </c>
      <c r="Q23" s="166">
        <v>-2.6878868499318899E-2</v>
      </c>
      <c r="R23" s="166">
        <v>8.2880538417674204E-6</v>
      </c>
    </row>
    <row r="24" spans="1:18">
      <c r="A24" s="3">
        <v>161</v>
      </c>
      <c r="B24" s="3">
        <v>12468</v>
      </c>
      <c r="C24" s="3" t="s">
        <v>2219</v>
      </c>
      <c r="D24" s="3" t="s">
        <v>2220</v>
      </c>
      <c r="E24" s="3" t="s">
        <v>2221</v>
      </c>
      <c r="F24" s="3" t="s">
        <v>30</v>
      </c>
      <c r="G24" s="3" t="s">
        <v>30</v>
      </c>
      <c r="H24" s="3" t="s">
        <v>156</v>
      </c>
      <c r="J24" s="3" t="s">
        <v>34</v>
      </c>
      <c r="K24" s="182" t="s">
        <v>1566</v>
      </c>
      <c r="L24" s="155">
        <v>1E-3</v>
      </c>
      <c r="M24" s="164">
        <v>1</v>
      </c>
      <c r="N24" s="155">
        <v>1E-3</v>
      </c>
      <c r="P24" s="3" t="s">
        <v>36</v>
      </c>
      <c r="Q24" s="166">
        <v>-1.58183184309319E-4</v>
      </c>
      <c r="R24" s="166">
        <v>4.8775518524936398E-8</v>
      </c>
    </row>
    <row r="25" spans="1:18">
      <c r="A25" s="3">
        <v>161</v>
      </c>
      <c r="B25" s="3">
        <v>15391</v>
      </c>
      <c r="C25" s="3" t="s">
        <v>2216</v>
      </c>
      <c r="D25" s="3" t="s">
        <v>2217</v>
      </c>
      <c r="E25" s="3" t="s">
        <v>2218</v>
      </c>
      <c r="F25" s="3" t="s">
        <v>30</v>
      </c>
      <c r="G25" s="3" t="s">
        <v>30</v>
      </c>
      <c r="H25" s="3" t="s">
        <v>156</v>
      </c>
      <c r="J25" s="3" t="s">
        <v>34</v>
      </c>
      <c r="K25" s="182" t="s">
        <v>1566</v>
      </c>
      <c r="L25" s="155">
        <v>-3.6219999999999999</v>
      </c>
      <c r="M25" s="164">
        <v>1</v>
      </c>
      <c r="N25" s="155">
        <v>-3.6219999999999999</v>
      </c>
      <c r="P25" s="3" t="s">
        <v>36</v>
      </c>
      <c r="Q25" s="166">
        <v>1.0001076967260201</v>
      </c>
      <c r="R25" s="166">
        <v>-3.1634369546769398E-4</v>
      </c>
    </row>
    <row r="26" spans="1:18">
      <c r="A26" s="3">
        <v>161</v>
      </c>
      <c r="B26" s="3">
        <v>15391</v>
      </c>
      <c r="C26" s="3" t="s">
        <v>2219</v>
      </c>
      <c r="D26" s="3" t="s">
        <v>2220</v>
      </c>
      <c r="E26" s="3" t="s">
        <v>2221</v>
      </c>
      <c r="F26" s="3" t="s">
        <v>30</v>
      </c>
      <c r="G26" s="3" t="s">
        <v>30</v>
      </c>
      <c r="H26" s="3" t="s">
        <v>156</v>
      </c>
      <c r="J26" s="3" t="s">
        <v>34</v>
      </c>
      <c r="K26" s="182" t="s">
        <v>1566</v>
      </c>
      <c r="L26" s="155">
        <v>0</v>
      </c>
      <c r="M26" s="164">
        <v>1</v>
      </c>
      <c r="N26" s="155">
        <v>0</v>
      </c>
      <c r="P26" s="3" t="s">
        <v>36</v>
      </c>
      <c r="Q26" s="166">
        <v>-1.0769672601952899E-4</v>
      </c>
      <c r="R26" s="166">
        <v>3.4065511554725002E-8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3" customWidth="1"/>
    <col min="21" max="21" width="11.625" style="3" hidden="1" customWidth="1"/>
    <col min="22" max="16384" width="11.625" style="3" hidden="1"/>
  </cols>
  <sheetData>
    <row r="1" spans="1:20" ht="63.75">
      <c r="A1" s="22" t="s">
        <v>0</v>
      </c>
      <c r="B1" s="22" t="s">
        <v>1</v>
      </c>
      <c r="C1" s="22" t="s">
        <v>2141</v>
      </c>
      <c r="D1" s="22" t="s">
        <v>2142</v>
      </c>
      <c r="E1" s="22" t="s">
        <v>2143</v>
      </c>
      <c r="F1" s="22" t="s">
        <v>2144</v>
      </c>
      <c r="G1" s="22" t="s">
        <v>2224</v>
      </c>
      <c r="H1" s="22" t="s">
        <v>6</v>
      </c>
      <c r="I1" s="22" t="s">
        <v>7</v>
      </c>
      <c r="J1" s="22" t="s">
        <v>140</v>
      </c>
      <c r="K1" s="22" t="s">
        <v>9</v>
      </c>
      <c r="L1" s="22" t="s">
        <v>10</v>
      </c>
      <c r="M1" s="22" t="s">
        <v>2149</v>
      </c>
      <c r="N1" s="22" t="s">
        <v>11</v>
      </c>
      <c r="O1" s="22" t="s">
        <v>18</v>
      </c>
      <c r="P1" s="22" t="s">
        <v>14</v>
      </c>
      <c r="Q1" s="22" t="s">
        <v>2150</v>
      </c>
      <c r="R1" s="22" t="s">
        <v>2225</v>
      </c>
      <c r="S1" s="22" t="s">
        <v>2226</v>
      </c>
      <c r="T1" s="22" t="s">
        <v>2227</v>
      </c>
    </row>
    <row r="2" spans="1:20" ht="14.1" customHeight="1">
      <c r="A2" s="6"/>
      <c r="B2" s="6"/>
      <c r="C2" s="44"/>
      <c r="D2" s="24"/>
      <c r="E2" s="44"/>
      <c r="F2" s="44"/>
      <c r="G2" s="31"/>
      <c r="H2" s="21"/>
      <c r="I2" s="31"/>
      <c r="J2" s="23"/>
      <c r="K2" s="23"/>
      <c r="L2" s="23"/>
      <c r="M2" s="23"/>
      <c r="N2" s="6"/>
      <c r="O2" s="6"/>
      <c r="Q2" s="24"/>
      <c r="R2" s="31"/>
      <c r="S2" s="31"/>
      <c r="T2" s="31"/>
    </row>
    <row r="3" spans="1:20" ht="14.1" customHeight="1">
      <c r="A3" s="6"/>
      <c r="B3" s="6"/>
      <c r="C3" s="6"/>
      <c r="D3" s="24"/>
      <c r="E3" s="6"/>
      <c r="F3" s="6"/>
      <c r="H3" s="21"/>
      <c r="I3" s="21"/>
      <c r="J3" s="23"/>
      <c r="K3" s="23"/>
      <c r="L3" s="23"/>
      <c r="M3" s="23"/>
      <c r="N3" s="6"/>
      <c r="O3" s="6"/>
      <c r="P3" s="6"/>
      <c r="Q3" s="23"/>
      <c r="R3" s="6"/>
      <c r="S3" s="6"/>
      <c r="T3" s="6"/>
    </row>
    <row r="4" spans="1:20" ht="14.1" customHeight="1">
      <c r="A4" s="6"/>
      <c r="B4" s="6"/>
      <c r="C4" s="6"/>
      <c r="D4" s="24"/>
      <c r="E4" s="6"/>
      <c r="F4" s="6"/>
      <c r="H4" s="21"/>
      <c r="I4" s="21"/>
      <c r="J4" s="23"/>
      <c r="K4" s="23"/>
      <c r="L4" s="23"/>
      <c r="M4" s="23"/>
      <c r="N4" s="6"/>
      <c r="O4" s="6"/>
      <c r="P4" s="6"/>
      <c r="Q4" s="23"/>
      <c r="R4" s="6"/>
      <c r="S4" s="6"/>
      <c r="T4" s="6"/>
    </row>
    <row r="5" spans="1:20" ht="14.1" customHeight="1">
      <c r="A5" s="6"/>
      <c r="B5" s="6"/>
      <c r="C5" s="6"/>
      <c r="D5" s="24"/>
      <c r="E5" s="6"/>
      <c r="F5" s="6"/>
      <c r="H5" s="21"/>
      <c r="I5" s="21"/>
      <c r="J5" s="23"/>
      <c r="K5" s="23"/>
      <c r="L5" s="23"/>
      <c r="M5" s="23"/>
      <c r="N5" s="6"/>
      <c r="O5" s="43"/>
      <c r="P5" s="6"/>
      <c r="Q5" s="23"/>
      <c r="R5" s="6"/>
      <c r="S5" s="6"/>
      <c r="T5" s="6"/>
    </row>
    <row r="6" spans="1:20" ht="14.1" customHeight="1">
      <c r="A6" s="6"/>
      <c r="B6" s="6"/>
      <c r="C6" s="6"/>
      <c r="D6" s="24"/>
      <c r="E6" s="6"/>
      <c r="F6" s="6"/>
      <c r="H6" s="21"/>
      <c r="I6" s="21"/>
      <c r="J6" s="23"/>
      <c r="K6" s="23"/>
      <c r="L6" s="23"/>
      <c r="M6" s="23"/>
      <c r="N6" s="6"/>
      <c r="O6" s="43"/>
      <c r="P6" s="6"/>
      <c r="Q6" s="23"/>
      <c r="R6" s="6"/>
      <c r="S6" s="6"/>
      <c r="T6" s="6"/>
    </row>
    <row r="7" spans="1:20" ht="14.1" customHeight="1">
      <c r="A7" s="6"/>
      <c r="B7" s="6"/>
      <c r="C7" s="6"/>
      <c r="D7" s="24"/>
      <c r="E7" s="6"/>
      <c r="F7" s="6"/>
      <c r="H7" s="21"/>
      <c r="I7" s="21"/>
      <c r="J7" s="23"/>
      <c r="K7" s="23"/>
      <c r="L7" s="23"/>
      <c r="M7" s="23"/>
      <c r="N7" s="6"/>
      <c r="O7" s="6"/>
      <c r="P7" s="6"/>
      <c r="Q7" s="23"/>
      <c r="R7" s="6"/>
      <c r="S7" s="6"/>
      <c r="T7" s="6"/>
    </row>
    <row r="8" spans="1:20" ht="14.1" customHeight="1">
      <c r="A8" s="6"/>
      <c r="B8" s="6"/>
      <c r="C8" s="6"/>
      <c r="D8" s="24"/>
      <c r="E8" s="6"/>
      <c r="F8" s="6"/>
      <c r="H8" s="21"/>
      <c r="I8" s="21"/>
      <c r="J8" s="23"/>
      <c r="K8" s="23"/>
      <c r="L8" s="23"/>
      <c r="M8" s="23"/>
      <c r="N8" s="43"/>
      <c r="O8" s="6"/>
      <c r="P8" s="6"/>
      <c r="Q8" s="23"/>
      <c r="R8" s="6"/>
      <c r="S8" s="6"/>
      <c r="T8" s="6"/>
    </row>
    <row r="9" spans="1:20" ht="14.1" customHeight="1">
      <c r="A9" s="6"/>
      <c r="B9" s="6"/>
      <c r="C9" s="6"/>
      <c r="D9" s="24"/>
      <c r="E9" s="6"/>
      <c r="F9" s="6"/>
      <c r="H9" s="21"/>
      <c r="I9" s="21"/>
      <c r="J9" s="23"/>
      <c r="K9" s="23"/>
      <c r="L9" s="23"/>
      <c r="M9" s="23"/>
      <c r="N9" s="6"/>
      <c r="O9" s="6"/>
      <c r="P9" s="6"/>
      <c r="Q9" s="23"/>
      <c r="R9" s="6"/>
      <c r="S9" s="6"/>
      <c r="T9" s="6"/>
    </row>
    <row r="10" spans="1:20" ht="13.7" customHeight="1">
      <c r="A10" s="6"/>
      <c r="B10" s="6"/>
      <c r="C10" s="6"/>
      <c r="D10" s="24"/>
      <c r="E10" s="6"/>
      <c r="F10" s="6"/>
      <c r="H10" s="21"/>
      <c r="I10" s="21"/>
      <c r="J10" s="23"/>
      <c r="K10" s="23"/>
      <c r="L10" s="23"/>
      <c r="M10" s="23"/>
      <c r="N10" s="6"/>
      <c r="O10" s="6"/>
      <c r="P10" s="6"/>
      <c r="Q10" s="23"/>
      <c r="R10" s="6"/>
      <c r="S10" s="6"/>
      <c r="T10" s="6"/>
    </row>
    <row r="11" spans="1:20" ht="13.7" customHeight="1">
      <c r="A11" s="6"/>
      <c r="B11" s="6"/>
      <c r="C11" s="6"/>
      <c r="D11" s="24"/>
      <c r="E11" s="6"/>
      <c r="F11" s="6"/>
      <c r="H11" s="21"/>
      <c r="I11" s="21"/>
      <c r="J11" s="23"/>
      <c r="K11" s="23"/>
      <c r="L11" s="23"/>
      <c r="M11" s="23"/>
      <c r="N11" s="6"/>
      <c r="O11" s="6"/>
      <c r="P11" s="6"/>
      <c r="Q11" s="23"/>
      <c r="R11" s="6"/>
      <c r="S11" s="6"/>
      <c r="T11" s="6"/>
    </row>
    <row r="12" spans="1:20" ht="14.1" customHeight="1">
      <c r="A12" s="6"/>
      <c r="B12" s="6"/>
      <c r="C12" s="6"/>
      <c r="D12" s="24"/>
      <c r="E12" s="6"/>
      <c r="F12" s="6"/>
      <c r="H12" s="21"/>
      <c r="I12" s="21"/>
      <c r="J12" s="23"/>
      <c r="K12" s="23"/>
      <c r="L12" s="23"/>
      <c r="M12" s="23"/>
      <c r="N12" s="6"/>
      <c r="O12" s="6"/>
      <c r="P12" s="6"/>
      <c r="Q12" s="23"/>
      <c r="R12" s="6"/>
      <c r="S12" s="6"/>
      <c r="T12" s="6"/>
    </row>
    <row r="13" spans="1:20" ht="14.1" customHeight="1">
      <c r="A13" s="6"/>
      <c r="B13" s="6"/>
      <c r="C13" s="6"/>
      <c r="D13" s="24"/>
      <c r="E13" s="6"/>
      <c r="F13" s="6"/>
      <c r="H13" s="21"/>
      <c r="I13" s="21"/>
      <c r="J13" s="23"/>
      <c r="K13" s="23"/>
      <c r="L13" s="23"/>
      <c r="M13" s="23"/>
      <c r="N13" s="6"/>
      <c r="O13" s="6"/>
      <c r="P13" s="6"/>
      <c r="Q13" s="23"/>
      <c r="R13" s="6"/>
      <c r="S13" s="6"/>
      <c r="T13" s="6"/>
    </row>
    <row r="14" spans="1:20" ht="14.1" customHeight="1">
      <c r="A14" s="6"/>
      <c r="B14" s="6"/>
      <c r="C14" s="6"/>
      <c r="D14" s="24"/>
      <c r="E14" s="6"/>
      <c r="F14" s="6"/>
      <c r="H14" s="21"/>
      <c r="I14" s="21"/>
      <c r="J14" s="23"/>
      <c r="K14" s="23"/>
      <c r="L14" s="23"/>
      <c r="M14" s="23"/>
      <c r="N14" s="6"/>
      <c r="O14" s="6"/>
      <c r="P14" s="6"/>
      <c r="Q14" s="23"/>
      <c r="R14" s="6"/>
      <c r="S14" s="6"/>
      <c r="T14" s="6"/>
    </row>
    <row r="15" spans="1:20" ht="14.1" customHeight="1">
      <c r="A15" s="6"/>
      <c r="B15" s="6"/>
      <c r="C15" s="6"/>
      <c r="D15" s="24"/>
      <c r="E15" s="6"/>
      <c r="F15" s="6"/>
      <c r="H15" s="21"/>
      <c r="I15" s="21"/>
      <c r="J15" s="23"/>
      <c r="K15" s="23"/>
      <c r="L15" s="23"/>
      <c r="M15" s="23"/>
      <c r="N15" s="6"/>
      <c r="O15" s="6"/>
      <c r="P15" s="6"/>
      <c r="Q15" s="23"/>
      <c r="R15" s="6"/>
      <c r="S15" s="6"/>
      <c r="T15" s="6"/>
    </row>
    <row r="16" spans="1:20" ht="14.1" customHeight="1">
      <c r="A16" s="6"/>
      <c r="B16" s="6"/>
      <c r="C16" s="6"/>
      <c r="D16" s="24"/>
      <c r="E16" s="6"/>
      <c r="F16" s="6"/>
      <c r="H16" s="21"/>
      <c r="I16" s="21"/>
      <c r="J16" s="23"/>
      <c r="K16" s="23"/>
      <c r="L16" s="23"/>
      <c r="M16" s="23"/>
      <c r="N16" s="6"/>
      <c r="O16" s="6"/>
      <c r="P16" s="6"/>
      <c r="Q16" s="23"/>
      <c r="R16" s="6"/>
      <c r="S16" s="6"/>
      <c r="T16" s="6"/>
    </row>
    <row r="17" spans="1:20" ht="14.1" customHeight="1">
      <c r="A17" s="6"/>
      <c r="B17" s="6"/>
      <c r="C17" s="6"/>
      <c r="D17" s="24"/>
      <c r="E17" s="6"/>
      <c r="F17" s="6"/>
      <c r="H17" s="21"/>
      <c r="I17" s="21"/>
      <c r="J17" s="23"/>
      <c r="K17" s="23"/>
      <c r="L17" s="23"/>
      <c r="M17" s="23"/>
      <c r="N17" s="6"/>
      <c r="O17" s="6"/>
      <c r="P17" s="6"/>
      <c r="Q17" s="23"/>
      <c r="R17" s="6"/>
      <c r="S17" s="6"/>
      <c r="T17" s="6"/>
    </row>
    <row r="18" spans="1:20" ht="14.1" customHeight="1">
      <c r="D18" s="24"/>
      <c r="H18" s="21"/>
      <c r="I18" s="21"/>
      <c r="J18" s="23"/>
      <c r="K18" s="23"/>
      <c r="L18" s="23"/>
      <c r="M18" s="23"/>
      <c r="Q18" s="23"/>
    </row>
    <row r="19" spans="1:20" ht="14.1" customHeight="1">
      <c r="D19" s="24"/>
      <c r="H19" s="21"/>
      <c r="I19" s="21"/>
      <c r="J19" s="23"/>
      <c r="K19" s="23"/>
      <c r="L19" s="23"/>
      <c r="M19" s="23"/>
      <c r="Q19" s="23"/>
    </row>
    <row r="20" spans="1:20" ht="14.1" customHeight="1">
      <c r="D20" s="24"/>
      <c r="H20" s="21"/>
      <c r="I20" s="21"/>
      <c r="J20" s="23"/>
      <c r="L20" s="23"/>
      <c r="M20" s="23"/>
      <c r="Q20" s="23"/>
    </row>
    <row r="21" spans="1:20" s="42" customFormat="1" ht="14.1" customHeight="1">
      <c r="D21" s="45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71"/>
  <sheetViews>
    <sheetView rightToLeft="1" workbookViewId="0">
      <selection activeCell="F14" sqref="F14"/>
    </sheetView>
  </sheetViews>
  <sheetFormatPr defaultColWidth="0" defaultRowHeight="14.1" customHeight="1"/>
  <cols>
    <col min="1" max="8" width="11.625" style="3" customWidth="1"/>
    <col min="9" max="9" width="12.625" style="3" customWidth="1"/>
    <col min="10" max="17" width="11.625" style="3" customWidth="1"/>
    <col min="18" max="18" width="11.625" style="3" hidden="1" customWidth="1"/>
    <col min="19" max="16384" width="11.625" style="3" hidden="1"/>
  </cols>
  <sheetData>
    <row r="1" spans="1:17" ht="76.5">
      <c r="A1" s="22" t="s">
        <v>0</v>
      </c>
      <c r="B1" s="22" t="s">
        <v>1</v>
      </c>
      <c r="C1" s="22" t="s">
        <v>5</v>
      </c>
      <c r="D1" s="22" t="s">
        <v>1723</v>
      </c>
      <c r="E1" s="22" t="s">
        <v>1724</v>
      </c>
      <c r="F1" s="22" t="s">
        <v>1725</v>
      </c>
      <c r="G1" s="22" t="s">
        <v>1726</v>
      </c>
      <c r="H1" s="22" t="s">
        <v>1727</v>
      </c>
      <c r="I1" s="22" t="s">
        <v>1728</v>
      </c>
      <c r="J1" s="22" t="s">
        <v>11</v>
      </c>
      <c r="K1" s="22" t="s">
        <v>2228</v>
      </c>
      <c r="L1" s="22" t="s">
        <v>2229</v>
      </c>
      <c r="M1" s="22" t="s">
        <v>2230</v>
      </c>
      <c r="N1" s="22" t="s">
        <v>2231</v>
      </c>
      <c r="O1" s="22" t="s">
        <v>2232</v>
      </c>
      <c r="P1" s="22" t="s">
        <v>2233</v>
      </c>
      <c r="Q1" s="22" t="s">
        <v>2234</v>
      </c>
    </row>
    <row r="2" spans="1:17" s="206" customFormat="1" ht="14.25">
      <c r="A2" s="201" t="s">
        <v>2113</v>
      </c>
      <c r="B2" s="201" t="s">
        <v>2134</v>
      </c>
      <c r="C2" s="202" t="s">
        <v>2743</v>
      </c>
      <c r="D2" s="202" t="s">
        <v>3127</v>
      </c>
      <c r="E2" s="203" t="s">
        <v>1971</v>
      </c>
      <c r="F2" s="203" t="s">
        <v>3128</v>
      </c>
      <c r="G2" s="202" t="s">
        <v>3129</v>
      </c>
      <c r="H2" s="203">
        <v>27970058</v>
      </c>
      <c r="I2" s="203" t="s">
        <v>33</v>
      </c>
      <c r="J2" s="202" t="s">
        <v>86</v>
      </c>
      <c r="K2" s="204">
        <v>45951</v>
      </c>
      <c r="L2" s="205">
        <v>2000</v>
      </c>
      <c r="M2" s="205">
        <v>6612</v>
      </c>
      <c r="N2" s="205">
        <v>2000</v>
      </c>
      <c r="O2" s="205">
        <v>6612</v>
      </c>
      <c r="P2" s="202" t="s">
        <v>3130</v>
      </c>
      <c r="Q2" s="204">
        <v>48873</v>
      </c>
    </row>
    <row r="3" spans="1:17" s="206" customFormat="1" ht="14.25">
      <c r="A3" s="201" t="s">
        <v>2113</v>
      </c>
      <c r="B3" s="201" t="s">
        <v>2134</v>
      </c>
      <c r="C3" s="202" t="s">
        <v>2743</v>
      </c>
      <c r="D3" s="202" t="s">
        <v>3131</v>
      </c>
      <c r="E3" s="203" t="s">
        <v>3132</v>
      </c>
      <c r="F3" s="203" t="s">
        <v>3128</v>
      </c>
      <c r="G3" s="202" t="s">
        <v>3131</v>
      </c>
      <c r="H3" s="203" t="s">
        <v>3133</v>
      </c>
      <c r="I3" s="203" t="s">
        <v>33</v>
      </c>
      <c r="J3" s="202" t="s">
        <v>86</v>
      </c>
      <c r="K3" s="204">
        <v>45917</v>
      </c>
      <c r="L3" s="205">
        <v>2500</v>
      </c>
      <c r="M3" s="205">
        <v>8265</v>
      </c>
      <c r="N3" s="205">
        <v>2092.5</v>
      </c>
      <c r="O3" s="205">
        <v>6917.8050000000003</v>
      </c>
      <c r="P3" s="202" t="s">
        <v>3134</v>
      </c>
      <c r="Q3" s="204">
        <v>49571</v>
      </c>
    </row>
    <row r="4" spans="1:17" s="206" customFormat="1" ht="14.25">
      <c r="A4" s="201" t="s">
        <v>2113</v>
      </c>
      <c r="B4" s="201" t="s">
        <v>2134</v>
      </c>
      <c r="C4" s="202" t="s">
        <v>3135</v>
      </c>
      <c r="D4" s="202" t="s">
        <v>3136</v>
      </c>
      <c r="E4" s="203" t="s">
        <v>3137</v>
      </c>
      <c r="F4" s="203" t="s">
        <v>3128</v>
      </c>
      <c r="G4" s="202" t="s">
        <v>1876</v>
      </c>
      <c r="H4" s="203" t="s">
        <v>3138</v>
      </c>
      <c r="I4" s="203" t="s">
        <v>33</v>
      </c>
      <c r="J4" s="202" t="s">
        <v>86</v>
      </c>
      <c r="K4" s="204">
        <v>45716</v>
      </c>
      <c r="L4" s="205">
        <v>1000</v>
      </c>
      <c r="M4" s="205">
        <v>3306</v>
      </c>
      <c r="N4" s="205">
        <v>768.14349000000004</v>
      </c>
      <c r="O4" s="205">
        <v>2539.4823779399999</v>
      </c>
      <c r="P4" s="202" t="s">
        <v>3139</v>
      </c>
      <c r="Q4" s="204">
        <v>49096</v>
      </c>
    </row>
    <row r="5" spans="1:17" s="206" customFormat="1" ht="14.25">
      <c r="A5" s="201" t="s">
        <v>2113</v>
      </c>
      <c r="B5" s="201" t="s">
        <v>2134</v>
      </c>
      <c r="C5" s="203" t="s">
        <v>2448</v>
      </c>
      <c r="D5" s="202" t="s">
        <v>1888</v>
      </c>
      <c r="E5" s="203" t="s">
        <v>3140</v>
      </c>
      <c r="F5" s="203" t="s">
        <v>3128</v>
      </c>
      <c r="G5" s="202" t="s">
        <v>3141</v>
      </c>
      <c r="H5" s="203" t="s">
        <v>3142</v>
      </c>
      <c r="I5" s="203" t="s">
        <v>33</v>
      </c>
      <c r="J5" s="202" t="s">
        <v>1245</v>
      </c>
      <c r="K5" s="204">
        <v>44421</v>
      </c>
      <c r="L5" s="205">
        <v>1250</v>
      </c>
      <c r="M5" s="205">
        <v>4850.875</v>
      </c>
      <c r="N5" s="205">
        <v>225.94444000000001</v>
      </c>
      <c r="O5" s="205">
        <v>876.82258830800015</v>
      </c>
      <c r="P5" s="202" t="s">
        <v>3143</v>
      </c>
      <c r="Q5" s="204">
        <v>48061</v>
      </c>
    </row>
    <row r="6" spans="1:17" s="206" customFormat="1" ht="14.25">
      <c r="A6" s="201" t="s">
        <v>2113</v>
      </c>
      <c r="B6" s="201" t="s">
        <v>2134</v>
      </c>
      <c r="C6" s="203" t="s">
        <v>3144</v>
      </c>
      <c r="D6" s="202" t="s">
        <v>3145</v>
      </c>
      <c r="E6" s="203" t="s">
        <v>1894</v>
      </c>
      <c r="F6" s="203" t="s">
        <v>3128</v>
      </c>
      <c r="G6" s="202" t="s">
        <v>1895</v>
      </c>
      <c r="H6" s="203" t="s">
        <v>3146</v>
      </c>
      <c r="I6" s="203" t="s">
        <v>33</v>
      </c>
      <c r="J6" s="202" t="s">
        <v>86</v>
      </c>
      <c r="K6" s="204">
        <v>45463</v>
      </c>
      <c r="L6" s="205">
        <v>1600</v>
      </c>
      <c r="M6" s="205">
        <v>5289.6</v>
      </c>
      <c r="N6" s="205">
        <v>79.959999999999994</v>
      </c>
      <c r="O6" s="205">
        <v>264.34775999999999</v>
      </c>
      <c r="P6" s="202" t="s">
        <v>3147</v>
      </c>
      <c r="Q6" s="204">
        <v>47757</v>
      </c>
    </row>
    <row r="7" spans="1:17" s="206" customFormat="1" ht="14.25">
      <c r="A7" s="201" t="s">
        <v>2113</v>
      </c>
      <c r="B7" s="201" t="s">
        <v>2134</v>
      </c>
      <c r="C7" s="202" t="s">
        <v>3148</v>
      </c>
      <c r="D7" s="202" t="s">
        <v>1898</v>
      </c>
      <c r="E7" s="203" t="s">
        <v>1899</v>
      </c>
      <c r="F7" s="203" t="s">
        <v>3128</v>
      </c>
      <c r="G7" s="202" t="s">
        <v>3149</v>
      </c>
      <c r="H7" s="203" t="s">
        <v>3150</v>
      </c>
      <c r="I7" s="203" t="s">
        <v>33</v>
      </c>
      <c r="J7" s="202" t="s">
        <v>86</v>
      </c>
      <c r="K7" s="204">
        <v>44392</v>
      </c>
      <c r="L7" s="205">
        <v>1500</v>
      </c>
      <c r="M7" s="205">
        <v>4959</v>
      </c>
      <c r="N7" s="205">
        <v>96</v>
      </c>
      <c r="O7" s="205">
        <v>317.37599999999998</v>
      </c>
      <c r="P7" s="202" t="s">
        <v>3151</v>
      </c>
      <c r="Q7" s="204">
        <v>48030</v>
      </c>
    </row>
    <row r="8" spans="1:17" s="206" customFormat="1" ht="14.25">
      <c r="A8" s="201" t="s">
        <v>2113</v>
      </c>
      <c r="B8" s="201" t="s">
        <v>2134</v>
      </c>
      <c r="C8" s="202" t="s">
        <v>3135</v>
      </c>
      <c r="D8" s="203" t="s">
        <v>2040</v>
      </c>
      <c r="E8" s="203" t="s">
        <v>3152</v>
      </c>
      <c r="F8" s="203" t="s">
        <v>3128</v>
      </c>
      <c r="G8" s="202" t="s">
        <v>3153</v>
      </c>
      <c r="H8" s="203" t="s">
        <v>3154</v>
      </c>
      <c r="I8" s="203" t="s">
        <v>33</v>
      </c>
      <c r="J8" s="202" t="s">
        <v>86</v>
      </c>
      <c r="K8" s="204">
        <v>45595</v>
      </c>
      <c r="L8" s="205">
        <v>2700</v>
      </c>
      <c r="M8" s="205">
        <v>8926.2000000000007</v>
      </c>
      <c r="N8" s="205">
        <v>2505.6140800000003</v>
      </c>
      <c r="O8" s="205">
        <v>8283.5601484800009</v>
      </c>
      <c r="P8" s="202" t="s">
        <v>3155</v>
      </c>
      <c r="Q8" s="204">
        <v>49218</v>
      </c>
    </row>
    <row r="9" spans="1:17" s="206" customFormat="1" ht="14.25">
      <c r="A9" s="201" t="s">
        <v>2113</v>
      </c>
      <c r="B9" s="201" t="s">
        <v>2134</v>
      </c>
      <c r="C9" s="203" t="s">
        <v>3156</v>
      </c>
      <c r="D9" s="202" t="s">
        <v>3157</v>
      </c>
      <c r="E9" s="203" t="s">
        <v>3158</v>
      </c>
      <c r="F9" s="203" t="s">
        <v>3128</v>
      </c>
      <c r="G9" s="202" t="s">
        <v>1918</v>
      </c>
      <c r="H9" s="203" t="s">
        <v>3159</v>
      </c>
      <c r="I9" s="203" t="s">
        <v>33</v>
      </c>
      <c r="J9" s="202" t="s">
        <v>86</v>
      </c>
      <c r="K9" s="204">
        <v>45531</v>
      </c>
      <c r="L9" s="205">
        <v>1900</v>
      </c>
      <c r="M9" s="205">
        <v>6281.4</v>
      </c>
      <c r="N9" s="205">
        <v>0</v>
      </c>
      <c r="O9" s="205">
        <v>0</v>
      </c>
      <c r="P9" s="202" t="s">
        <v>3160</v>
      </c>
      <c r="Q9" s="202"/>
    </row>
    <row r="10" spans="1:17" s="206" customFormat="1" ht="14.25">
      <c r="A10" s="201" t="s">
        <v>2113</v>
      </c>
      <c r="B10" s="201" t="s">
        <v>2134</v>
      </c>
      <c r="C10" s="202" t="s">
        <v>3135</v>
      </c>
      <c r="D10" s="203" t="s">
        <v>1790</v>
      </c>
      <c r="E10" s="203" t="s">
        <v>3161</v>
      </c>
      <c r="F10" s="203" t="s">
        <v>3128</v>
      </c>
      <c r="G10" s="202" t="s">
        <v>3162</v>
      </c>
      <c r="H10" s="203" t="s">
        <v>3163</v>
      </c>
      <c r="I10" s="203" t="s">
        <v>33</v>
      </c>
      <c r="J10" s="202" t="s">
        <v>86</v>
      </c>
      <c r="K10" s="204">
        <v>45224</v>
      </c>
      <c r="L10" s="205">
        <v>2600</v>
      </c>
      <c r="M10" s="205">
        <v>8595.6</v>
      </c>
      <c r="N10" s="205">
        <v>1469</v>
      </c>
      <c r="O10" s="205">
        <v>4856.5140000000001</v>
      </c>
      <c r="P10" s="202" t="s">
        <v>3164</v>
      </c>
      <c r="Q10" s="204">
        <v>48853</v>
      </c>
    </row>
    <row r="11" spans="1:17" s="206" customFormat="1" ht="14.25">
      <c r="A11" s="201" t="s">
        <v>2113</v>
      </c>
      <c r="B11" s="201" t="s">
        <v>2134</v>
      </c>
      <c r="C11" s="202" t="s">
        <v>3135</v>
      </c>
      <c r="D11" s="203" t="s">
        <v>3165</v>
      </c>
      <c r="E11" s="203" t="s">
        <v>3166</v>
      </c>
      <c r="F11" s="203" t="s">
        <v>3167</v>
      </c>
      <c r="G11" s="203" t="s">
        <v>3168</v>
      </c>
      <c r="H11" s="203" t="s">
        <v>3169</v>
      </c>
      <c r="I11" s="203" t="s">
        <v>33</v>
      </c>
      <c r="J11" s="202" t="s">
        <v>86</v>
      </c>
      <c r="K11" s="204">
        <v>45600</v>
      </c>
      <c r="L11" s="205">
        <v>2000</v>
      </c>
      <c r="M11" s="205">
        <v>6612</v>
      </c>
      <c r="N11" s="205">
        <v>1392.662</v>
      </c>
      <c r="O11" s="205">
        <v>4604.1405719999993</v>
      </c>
      <c r="P11" s="202" t="s">
        <v>3170</v>
      </c>
      <c r="Q11" s="204">
        <v>49218</v>
      </c>
    </row>
    <row r="12" spans="1:17" s="206" customFormat="1" ht="14.25">
      <c r="A12" s="201" t="s">
        <v>2113</v>
      </c>
      <c r="B12" s="201" t="s">
        <v>2134</v>
      </c>
      <c r="C12" s="203" t="s">
        <v>3156</v>
      </c>
      <c r="D12" s="202" t="s">
        <v>1879</v>
      </c>
      <c r="E12" s="202" t="s">
        <v>1880</v>
      </c>
      <c r="F12" s="203" t="s">
        <v>3128</v>
      </c>
      <c r="G12" s="202" t="s">
        <v>1879</v>
      </c>
      <c r="H12" s="203" t="s">
        <v>3171</v>
      </c>
      <c r="I12" s="203" t="s">
        <v>33</v>
      </c>
      <c r="J12" s="202" t="s">
        <v>1245</v>
      </c>
      <c r="K12" s="204">
        <v>45643</v>
      </c>
      <c r="L12" s="205">
        <v>2250</v>
      </c>
      <c r="M12" s="205">
        <v>8731.5750000000007</v>
      </c>
      <c r="N12" s="205">
        <v>1687.5</v>
      </c>
      <c r="O12" s="205">
        <v>6548.6812499999996</v>
      </c>
      <c r="P12" s="202" t="s">
        <v>3172</v>
      </c>
      <c r="Q12" s="204">
        <v>47818</v>
      </c>
    </row>
    <row r="13" spans="1:17" s="206" customFormat="1" ht="14.25">
      <c r="A13" s="201" t="s">
        <v>2113</v>
      </c>
      <c r="B13" s="201" t="s">
        <v>2134</v>
      </c>
      <c r="C13" s="203" t="s">
        <v>3156</v>
      </c>
      <c r="D13" s="202" t="s">
        <v>1869</v>
      </c>
      <c r="E13" s="203" t="s">
        <v>1870</v>
      </c>
      <c r="F13" s="203" t="s">
        <v>3128</v>
      </c>
      <c r="G13" s="202" t="s">
        <v>1871</v>
      </c>
      <c r="H13" s="203" t="s">
        <v>3173</v>
      </c>
      <c r="I13" s="203" t="s">
        <v>33</v>
      </c>
      <c r="J13" s="202" t="s">
        <v>1245</v>
      </c>
      <c r="K13" s="204">
        <v>44438</v>
      </c>
      <c r="L13" s="205">
        <v>1000</v>
      </c>
      <c r="M13" s="205">
        <v>3880.7</v>
      </c>
      <c r="N13" s="205">
        <v>247.14363</v>
      </c>
      <c r="O13" s="205">
        <v>959.09028494100005</v>
      </c>
      <c r="P13" s="202" t="s">
        <v>3174</v>
      </c>
      <c r="Q13" s="204">
        <v>46966</v>
      </c>
    </row>
    <row r="14" spans="1:17" s="206" customFormat="1" ht="14.25">
      <c r="A14" s="201" t="s">
        <v>2113</v>
      </c>
      <c r="B14" s="201" t="s">
        <v>2134</v>
      </c>
      <c r="C14" s="203" t="s">
        <v>3156</v>
      </c>
      <c r="D14" s="202" t="s">
        <v>2003</v>
      </c>
      <c r="E14" s="203" t="s">
        <v>3175</v>
      </c>
      <c r="F14" s="203" t="s">
        <v>3128</v>
      </c>
      <c r="G14" s="202" t="s">
        <v>3176</v>
      </c>
      <c r="H14" s="203" t="s">
        <v>3177</v>
      </c>
      <c r="I14" s="203" t="s">
        <v>33</v>
      </c>
      <c r="J14" s="202" t="s">
        <v>86</v>
      </c>
      <c r="K14" s="204">
        <v>45061</v>
      </c>
      <c r="L14" s="205">
        <v>1250</v>
      </c>
      <c r="M14" s="205">
        <v>4132.5</v>
      </c>
      <c r="N14" s="205">
        <v>125</v>
      </c>
      <c r="O14" s="205">
        <v>413.25</v>
      </c>
      <c r="P14" s="202" t="s">
        <v>3178</v>
      </c>
      <c r="Q14" s="204">
        <v>47453</v>
      </c>
    </row>
    <row r="15" spans="1:17" s="206" customFormat="1" ht="14.25">
      <c r="A15" s="201" t="s">
        <v>2113</v>
      </c>
      <c r="B15" s="201" t="s">
        <v>2134</v>
      </c>
      <c r="C15" s="203" t="s">
        <v>3156</v>
      </c>
      <c r="D15" s="203" t="s">
        <v>3179</v>
      </c>
      <c r="E15" s="203" t="s">
        <v>3180</v>
      </c>
      <c r="F15" s="203" t="s">
        <v>3128</v>
      </c>
      <c r="G15" s="202" t="s">
        <v>1749</v>
      </c>
      <c r="H15" s="203" t="s">
        <v>3181</v>
      </c>
      <c r="I15" s="203" t="s">
        <v>33</v>
      </c>
      <c r="J15" s="202" t="s">
        <v>34</v>
      </c>
      <c r="K15" s="204">
        <v>45046</v>
      </c>
      <c r="L15" s="205">
        <v>10500</v>
      </c>
      <c r="M15" s="205">
        <v>10500</v>
      </c>
      <c r="N15" s="205">
        <v>5146.5029999999997</v>
      </c>
      <c r="O15" s="205">
        <v>5146.5029999999997</v>
      </c>
      <c r="P15" s="202" t="s">
        <v>3182</v>
      </c>
      <c r="Q15" s="204">
        <v>47574</v>
      </c>
    </row>
    <row r="16" spans="1:17" s="206" customFormat="1" ht="14.25">
      <c r="A16" s="201" t="s">
        <v>2113</v>
      </c>
      <c r="B16" s="201" t="s">
        <v>2134</v>
      </c>
      <c r="C16" s="203" t="s">
        <v>3156</v>
      </c>
      <c r="D16" s="202" t="s">
        <v>3183</v>
      </c>
      <c r="E16" s="203" t="s">
        <v>3184</v>
      </c>
      <c r="F16" s="203" t="s">
        <v>3128</v>
      </c>
      <c r="G16" s="202" t="s">
        <v>1905</v>
      </c>
      <c r="H16" s="203" t="s">
        <v>3185</v>
      </c>
      <c r="I16" s="203" t="s">
        <v>33</v>
      </c>
      <c r="J16" s="202" t="s">
        <v>86</v>
      </c>
      <c r="K16" s="204">
        <v>45392</v>
      </c>
      <c r="L16" s="205">
        <v>2400</v>
      </c>
      <c r="M16" s="205">
        <v>7934.4</v>
      </c>
      <c r="N16" s="205">
        <v>1613.453</v>
      </c>
      <c r="O16" s="205">
        <v>5334.0756179999998</v>
      </c>
      <c r="P16" s="202" t="s">
        <v>3186</v>
      </c>
      <c r="Q16" s="204">
        <v>47574</v>
      </c>
    </row>
    <row r="17" spans="1:17" s="206" customFormat="1" ht="14.25">
      <c r="A17" s="201" t="s">
        <v>2113</v>
      </c>
      <c r="B17" s="201" t="s">
        <v>2134</v>
      </c>
      <c r="C17" s="203" t="s">
        <v>3156</v>
      </c>
      <c r="D17" s="202" t="s">
        <v>1801</v>
      </c>
      <c r="E17" s="203" t="s">
        <v>3187</v>
      </c>
      <c r="F17" s="203" t="s">
        <v>3128</v>
      </c>
      <c r="G17" s="202" t="s">
        <v>1910</v>
      </c>
      <c r="H17" s="203" t="s">
        <v>3188</v>
      </c>
      <c r="I17" s="203" t="s">
        <v>33</v>
      </c>
      <c r="J17" s="202" t="s">
        <v>34</v>
      </c>
      <c r="K17" s="204">
        <v>45040</v>
      </c>
      <c r="L17" s="205">
        <v>5000</v>
      </c>
      <c r="M17" s="205">
        <v>5000</v>
      </c>
      <c r="N17" s="205">
        <v>2650</v>
      </c>
      <c r="O17" s="205">
        <v>2650</v>
      </c>
      <c r="P17" s="202" t="s">
        <v>3189</v>
      </c>
      <c r="Q17" s="204">
        <v>47939</v>
      </c>
    </row>
    <row r="18" spans="1:17" s="206" customFormat="1" ht="14.25">
      <c r="A18" s="201" t="s">
        <v>2113</v>
      </c>
      <c r="B18" s="201" t="s">
        <v>2134</v>
      </c>
      <c r="C18" s="203" t="s">
        <v>3156</v>
      </c>
      <c r="D18" s="203" t="s">
        <v>1911</v>
      </c>
      <c r="E18" s="203" t="s">
        <v>3190</v>
      </c>
      <c r="F18" s="203" t="s">
        <v>3167</v>
      </c>
      <c r="G18" s="202" t="s">
        <v>3191</v>
      </c>
      <c r="H18" s="203" t="s">
        <v>3192</v>
      </c>
      <c r="I18" s="203" t="s">
        <v>33</v>
      </c>
      <c r="J18" s="202" t="s">
        <v>86</v>
      </c>
      <c r="K18" s="204">
        <v>45137</v>
      </c>
      <c r="L18" s="205">
        <v>2500</v>
      </c>
      <c r="M18" s="205">
        <v>8265</v>
      </c>
      <c r="N18" s="205">
        <v>0</v>
      </c>
      <c r="O18" s="205">
        <v>0</v>
      </c>
      <c r="P18" s="202" t="s">
        <v>3160</v>
      </c>
      <c r="Q18" s="202"/>
    </row>
    <row r="19" spans="1:17" s="206" customFormat="1" ht="14.25">
      <c r="A19" s="201" t="s">
        <v>2113</v>
      </c>
      <c r="B19" s="201" t="s">
        <v>2134</v>
      </c>
      <c r="C19" s="203" t="s">
        <v>3156</v>
      </c>
      <c r="D19" s="202" t="s">
        <v>3193</v>
      </c>
      <c r="E19" s="203" t="s">
        <v>3194</v>
      </c>
      <c r="F19" s="203" t="s">
        <v>3128</v>
      </c>
      <c r="G19" s="202" t="s">
        <v>1924</v>
      </c>
      <c r="H19" s="203" t="s">
        <v>3195</v>
      </c>
      <c r="I19" s="203" t="s">
        <v>33</v>
      </c>
      <c r="J19" s="202" t="s">
        <v>86</v>
      </c>
      <c r="K19" s="204">
        <v>45705</v>
      </c>
      <c r="L19" s="205">
        <v>2500</v>
      </c>
      <c r="M19" s="205">
        <v>8265</v>
      </c>
      <c r="N19" s="205">
        <v>1125</v>
      </c>
      <c r="O19" s="205">
        <v>3719.25</v>
      </c>
      <c r="P19" s="202" t="s">
        <v>3196</v>
      </c>
      <c r="Q19" s="204">
        <v>48245</v>
      </c>
    </row>
    <row r="20" spans="1:17" s="206" customFormat="1" ht="14.25">
      <c r="A20" s="201" t="s">
        <v>2113</v>
      </c>
      <c r="B20" s="201" t="s">
        <v>2134</v>
      </c>
      <c r="C20" s="203" t="s">
        <v>3197</v>
      </c>
      <c r="D20" s="203" t="s">
        <v>1761</v>
      </c>
      <c r="E20" s="203" t="s">
        <v>3198</v>
      </c>
      <c r="F20" s="203" t="s">
        <v>3167</v>
      </c>
      <c r="G20" s="203" t="s">
        <v>3199</v>
      </c>
      <c r="H20" s="203" t="s">
        <v>3200</v>
      </c>
      <c r="I20" s="203" t="s">
        <v>33</v>
      </c>
      <c r="J20" s="202" t="s">
        <v>34</v>
      </c>
      <c r="K20" s="204">
        <v>44771</v>
      </c>
      <c r="L20" s="205">
        <v>2000</v>
      </c>
      <c r="M20" s="205">
        <v>2000</v>
      </c>
      <c r="N20" s="205">
        <v>0</v>
      </c>
      <c r="O20" s="205">
        <v>0</v>
      </c>
      <c r="P20" s="202" t="s">
        <v>3160</v>
      </c>
      <c r="Q20" s="202"/>
    </row>
    <row r="21" spans="1:17" s="206" customFormat="1" ht="14.25">
      <c r="A21" s="201" t="s">
        <v>2113</v>
      </c>
      <c r="B21" s="201" t="s">
        <v>2134</v>
      </c>
      <c r="C21" s="203" t="s">
        <v>3197</v>
      </c>
      <c r="D21" s="203" t="s">
        <v>1761</v>
      </c>
      <c r="E21" s="203" t="s">
        <v>3198</v>
      </c>
      <c r="F21" s="203" t="s">
        <v>3167</v>
      </c>
      <c r="G21" s="203" t="s">
        <v>3201</v>
      </c>
      <c r="H21" s="203" t="s">
        <v>3202</v>
      </c>
      <c r="I21" s="203" t="s">
        <v>33</v>
      </c>
      <c r="J21" s="202" t="s">
        <v>34</v>
      </c>
      <c r="K21" s="204">
        <v>44771</v>
      </c>
      <c r="L21" s="205">
        <v>2000</v>
      </c>
      <c r="M21" s="205">
        <v>2000</v>
      </c>
      <c r="N21" s="205">
        <v>0</v>
      </c>
      <c r="O21" s="205">
        <v>0</v>
      </c>
      <c r="P21" s="202" t="s">
        <v>3160</v>
      </c>
      <c r="Q21" s="202"/>
    </row>
    <row r="22" spans="1:17" s="206" customFormat="1" ht="14.25">
      <c r="A22" s="201" t="s">
        <v>2113</v>
      </c>
      <c r="B22" s="201" t="s">
        <v>2134</v>
      </c>
      <c r="C22" s="203" t="s">
        <v>3144</v>
      </c>
      <c r="D22" s="202" t="s">
        <v>1938</v>
      </c>
      <c r="E22" s="203" t="s">
        <v>1939</v>
      </c>
      <c r="F22" s="203" t="s">
        <v>3128</v>
      </c>
      <c r="G22" s="202" t="s">
        <v>1943</v>
      </c>
      <c r="H22" s="203" t="s">
        <v>3203</v>
      </c>
      <c r="I22" s="203" t="s">
        <v>33</v>
      </c>
      <c r="J22" s="202" t="s">
        <v>86</v>
      </c>
      <c r="K22" s="204">
        <v>42157</v>
      </c>
      <c r="L22" s="205">
        <v>1500</v>
      </c>
      <c r="M22" s="205">
        <v>4959</v>
      </c>
      <c r="N22" s="205">
        <v>0</v>
      </c>
      <c r="O22" s="205">
        <v>0</v>
      </c>
      <c r="P22" s="202" t="s">
        <v>3160</v>
      </c>
      <c r="Q22" s="204">
        <v>45544</v>
      </c>
    </row>
    <row r="23" spans="1:17" s="206" customFormat="1" ht="14.25">
      <c r="A23" s="201" t="s">
        <v>2113</v>
      </c>
      <c r="B23" s="201" t="s">
        <v>2134</v>
      </c>
      <c r="C23" s="203" t="s">
        <v>3144</v>
      </c>
      <c r="D23" s="202" t="s">
        <v>1938</v>
      </c>
      <c r="E23" s="203" t="s">
        <v>1939</v>
      </c>
      <c r="F23" s="203" t="s">
        <v>3128</v>
      </c>
      <c r="G23" s="202" t="s">
        <v>3204</v>
      </c>
      <c r="H23" s="203" t="s">
        <v>3205</v>
      </c>
      <c r="I23" s="203" t="s">
        <v>33</v>
      </c>
      <c r="J23" s="202" t="s">
        <v>86</v>
      </c>
      <c r="K23" s="204">
        <v>42745</v>
      </c>
      <c r="L23" s="205">
        <v>1250</v>
      </c>
      <c r="M23" s="205">
        <v>4132.5</v>
      </c>
      <c r="N23" s="205">
        <v>0</v>
      </c>
      <c r="O23" s="205">
        <v>0</v>
      </c>
      <c r="P23" s="202" t="s">
        <v>3160</v>
      </c>
      <c r="Q23" s="204">
        <v>46020</v>
      </c>
    </row>
    <row r="24" spans="1:17" s="206" customFormat="1" ht="14.25">
      <c r="A24" s="201" t="s">
        <v>2113</v>
      </c>
      <c r="B24" s="201" t="s">
        <v>2134</v>
      </c>
      <c r="C24" s="202" t="s">
        <v>3135</v>
      </c>
      <c r="D24" s="202" t="s">
        <v>1947</v>
      </c>
      <c r="E24" s="203" t="s">
        <v>3206</v>
      </c>
      <c r="F24" s="203" t="s">
        <v>3128</v>
      </c>
      <c r="G24" s="202" t="s">
        <v>1947</v>
      </c>
      <c r="H24" s="203" t="s">
        <v>3207</v>
      </c>
      <c r="I24" s="203" t="s">
        <v>33</v>
      </c>
      <c r="J24" s="202" t="s">
        <v>86</v>
      </c>
      <c r="K24" s="204">
        <v>42355</v>
      </c>
      <c r="L24" s="205">
        <v>2050</v>
      </c>
      <c r="M24" s="205">
        <v>6777.3</v>
      </c>
      <c r="N24" s="205">
        <v>520.43380000000025</v>
      </c>
      <c r="O24" s="205">
        <v>1720.554142800001</v>
      </c>
      <c r="P24" s="202" t="s">
        <v>3208</v>
      </c>
      <c r="Q24" s="204">
        <v>46351</v>
      </c>
    </row>
    <row r="25" spans="1:17" s="206" customFormat="1" ht="14.25">
      <c r="A25" s="201" t="s">
        <v>2113</v>
      </c>
      <c r="B25" s="201" t="s">
        <v>2134</v>
      </c>
      <c r="C25" s="202" t="s">
        <v>3135</v>
      </c>
      <c r="D25" s="202" t="s">
        <v>3209</v>
      </c>
      <c r="E25" s="203" t="s">
        <v>3210</v>
      </c>
      <c r="F25" s="203" t="s">
        <v>3128</v>
      </c>
      <c r="G25" s="202" t="s">
        <v>1955</v>
      </c>
      <c r="H25" s="203" t="s">
        <v>3211</v>
      </c>
      <c r="I25" s="203" t="s">
        <v>33</v>
      </c>
      <c r="J25" s="202" t="s">
        <v>86</v>
      </c>
      <c r="K25" s="204">
        <v>45685</v>
      </c>
      <c r="L25" s="205">
        <v>1000</v>
      </c>
      <c r="M25" s="205">
        <v>3306</v>
      </c>
      <c r="N25" s="205">
        <v>562.19899999999996</v>
      </c>
      <c r="O25" s="205">
        <v>1858.6298939999999</v>
      </c>
      <c r="P25" s="202" t="s">
        <v>3212</v>
      </c>
      <c r="Q25" s="204">
        <v>49310</v>
      </c>
    </row>
    <row r="26" spans="1:17" s="206" customFormat="1" ht="14.25">
      <c r="A26" s="201" t="s">
        <v>2113</v>
      </c>
      <c r="B26" s="201" t="s">
        <v>2134</v>
      </c>
      <c r="C26" s="203" t="s">
        <v>3144</v>
      </c>
      <c r="D26" s="202" t="s">
        <v>3213</v>
      </c>
      <c r="E26" s="203" t="s">
        <v>3214</v>
      </c>
      <c r="F26" s="203" t="s">
        <v>3128</v>
      </c>
      <c r="G26" s="202" t="s">
        <v>3213</v>
      </c>
      <c r="H26" s="203" t="s">
        <v>3215</v>
      </c>
      <c r="I26" s="203" t="s">
        <v>33</v>
      </c>
      <c r="J26" s="202" t="s">
        <v>86</v>
      </c>
      <c r="K26" s="204">
        <v>42542</v>
      </c>
      <c r="L26" s="205">
        <v>4000</v>
      </c>
      <c r="M26" s="205">
        <v>13224</v>
      </c>
      <c r="N26" s="205">
        <v>0</v>
      </c>
      <c r="O26" s="205">
        <v>0</v>
      </c>
      <c r="P26" s="202" t="s">
        <v>3160</v>
      </c>
      <c r="Q26" s="204">
        <v>45809</v>
      </c>
    </row>
    <row r="27" spans="1:17" s="206" customFormat="1" ht="14.25">
      <c r="A27" s="201" t="s">
        <v>2113</v>
      </c>
      <c r="B27" s="201" t="s">
        <v>2134</v>
      </c>
      <c r="C27" s="202" t="s">
        <v>2743</v>
      </c>
      <c r="D27" s="202" t="s">
        <v>3127</v>
      </c>
      <c r="E27" s="203" t="s">
        <v>1971</v>
      </c>
      <c r="F27" s="203" t="s">
        <v>3128</v>
      </c>
      <c r="G27" s="202" t="s">
        <v>1972</v>
      </c>
      <c r="H27" s="203" t="s">
        <v>3216</v>
      </c>
      <c r="I27" s="203" t="s">
        <v>33</v>
      </c>
      <c r="J27" s="202" t="s">
        <v>86</v>
      </c>
      <c r="K27" s="204">
        <v>45062</v>
      </c>
      <c r="L27" s="205">
        <v>1500</v>
      </c>
      <c r="M27" s="205">
        <v>4959</v>
      </c>
      <c r="N27" s="205">
        <v>717.78203000000008</v>
      </c>
      <c r="O27" s="205">
        <v>2372.98739118</v>
      </c>
      <c r="P27" s="202" t="s">
        <v>3217</v>
      </c>
      <c r="Q27" s="204">
        <v>48700</v>
      </c>
    </row>
    <row r="28" spans="1:17" s="206" customFormat="1" ht="14.25">
      <c r="A28" s="201" t="s">
        <v>2113</v>
      </c>
      <c r="B28" s="201" t="s">
        <v>2134</v>
      </c>
      <c r="C28" s="203" t="s">
        <v>3144</v>
      </c>
      <c r="D28" s="203" t="s">
        <v>1975</v>
      </c>
      <c r="E28" s="203" t="s">
        <v>3218</v>
      </c>
      <c r="F28" s="203" t="s">
        <v>3128</v>
      </c>
      <c r="G28" s="202" t="s">
        <v>3219</v>
      </c>
      <c r="H28" s="203" t="s">
        <v>3220</v>
      </c>
      <c r="I28" s="203" t="s">
        <v>33</v>
      </c>
      <c r="J28" s="202" t="s">
        <v>86</v>
      </c>
      <c r="K28" s="204">
        <v>39349</v>
      </c>
      <c r="L28" s="205">
        <v>1500</v>
      </c>
      <c r="M28" s="205">
        <v>4959</v>
      </c>
      <c r="N28" s="205">
        <v>92.412000000000006</v>
      </c>
      <c r="O28" s="205">
        <v>305.514072</v>
      </c>
      <c r="P28" s="202" t="s">
        <v>3221</v>
      </c>
      <c r="Q28" s="204">
        <v>45736</v>
      </c>
    </row>
    <row r="29" spans="1:17" s="206" customFormat="1" ht="14.25">
      <c r="A29" s="201" t="s">
        <v>2113</v>
      </c>
      <c r="B29" s="201" t="s">
        <v>2134</v>
      </c>
      <c r="C29" s="203" t="s">
        <v>2448</v>
      </c>
      <c r="D29" s="202" t="s">
        <v>1987</v>
      </c>
      <c r="E29" s="202" t="s">
        <v>1988</v>
      </c>
      <c r="F29" s="203" t="s">
        <v>3128</v>
      </c>
      <c r="G29" s="202" t="s">
        <v>1989</v>
      </c>
      <c r="H29" s="203" t="s">
        <v>3222</v>
      </c>
      <c r="I29" s="203" t="s">
        <v>33</v>
      </c>
      <c r="J29" s="202" t="s">
        <v>86</v>
      </c>
      <c r="K29" s="204">
        <v>45083</v>
      </c>
      <c r="L29" s="205">
        <v>850</v>
      </c>
      <c r="M29" s="205">
        <v>2810.1</v>
      </c>
      <c r="N29" s="205">
        <v>158.97200000000001</v>
      </c>
      <c r="O29" s="205">
        <v>525.56143200000008</v>
      </c>
      <c r="P29" s="202" t="s">
        <v>3223</v>
      </c>
      <c r="Q29" s="204">
        <v>46934</v>
      </c>
    </row>
    <row r="30" spans="1:17" s="206" customFormat="1" ht="14.25">
      <c r="A30" s="201" t="s">
        <v>2113</v>
      </c>
      <c r="B30" s="201" t="s">
        <v>2134</v>
      </c>
      <c r="C30" s="202" t="s">
        <v>2743</v>
      </c>
      <c r="D30" s="202" t="s">
        <v>1995</v>
      </c>
      <c r="E30" s="203" t="s">
        <v>3224</v>
      </c>
      <c r="F30" s="203" t="s">
        <v>3128</v>
      </c>
      <c r="G30" s="202" t="s">
        <v>1995</v>
      </c>
      <c r="H30" s="203" t="s">
        <v>3225</v>
      </c>
      <c r="I30" s="203" t="s">
        <v>33</v>
      </c>
      <c r="J30" s="202" t="s">
        <v>86</v>
      </c>
      <c r="K30" s="204">
        <v>44635</v>
      </c>
      <c r="L30" s="205">
        <v>3000</v>
      </c>
      <c r="M30" s="205">
        <v>9918</v>
      </c>
      <c r="N30" s="205">
        <v>899.85900000000004</v>
      </c>
      <c r="O30" s="205">
        <v>2974.9338539999999</v>
      </c>
      <c r="P30" s="202" t="s">
        <v>3226</v>
      </c>
      <c r="Q30" s="204">
        <v>46813</v>
      </c>
    </row>
    <row r="31" spans="1:17" s="206" customFormat="1" ht="14.25">
      <c r="A31" s="201" t="s">
        <v>2113</v>
      </c>
      <c r="B31" s="201" t="s">
        <v>2134</v>
      </c>
      <c r="C31" s="202" t="s">
        <v>3135</v>
      </c>
      <c r="D31" s="202" t="s">
        <v>1838</v>
      </c>
      <c r="E31" s="203" t="s">
        <v>1839</v>
      </c>
      <c r="F31" s="203" t="s">
        <v>3167</v>
      </c>
      <c r="G31" s="202" t="s">
        <v>3227</v>
      </c>
      <c r="H31" s="203" t="s">
        <v>3228</v>
      </c>
      <c r="I31" s="203" t="s">
        <v>33</v>
      </c>
      <c r="J31" s="202" t="s">
        <v>86</v>
      </c>
      <c r="K31" s="204">
        <v>42575</v>
      </c>
      <c r="L31" s="205">
        <v>1675</v>
      </c>
      <c r="M31" s="205">
        <v>5537.55</v>
      </c>
      <c r="N31" s="205">
        <v>179.685</v>
      </c>
      <c r="O31" s="205">
        <v>594.03860999999995</v>
      </c>
      <c r="P31" s="202" t="s">
        <v>3229</v>
      </c>
      <c r="Q31" s="204">
        <v>46949</v>
      </c>
    </row>
    <row r="32" spans="1:17" s="206" customFormat="1" ht="14.25">
      <c r="A32" s="201" t="s">
        <v>2113</v>
      </c>
      <c r="B32" s="201" t="s">
        <v>2134</v>
      </c>
      <c r="C32" s="202" t="s">
        <v>3135</v>
      </c>
      <c r="D32" s="202" t="s">
        <v>2008</v>
      </c>
      <c r="E32" s="203" t="s">
        <v>1928</v>
      </c>
      <c r="F32" s="203" t="s">
        <v>3128</v>
      </c>
      <c r="G32" s="202" t="s">
        <v>3230</v>
      </c>
      <c r="H32" s="203" t="s">
        <v>3231</v>
      </c>
      <c r="I32" s="203" t="s">
        <v>33</v>
      </c>
      <c r="J32" s="202" t="s">
        <v>86</v>
      </c>
      <c r="K32" s="204">
        <v>43614</v>
      </c>
      <c r="L32" s="205">
        <v>2700</v>
      </c>
      <c r="M32" s="205">
        <v>8926.2000000000007</v>
      </c>
      <c r="N32" s="205">
        <v>577.61900000000003</v>
      </c>
      <c r="O32" s="205">
        <v>1909.608414</v>
      </c>
      <c r="P32" s="202" t="s">
        <v>3232</v>
      </c>
      <c r="Q32" s="204">
        <v>46188</v>
      </c>
    </row>
    <row r="33" spans="1:17" s="206" customFormat="1" ht="14.25">
      <c r="A33" s="201" t="s">
        <v>2113</v>
      </c>
      <c r="B33" s="201" t="s">
        <v>2134</v>
      </c>
      <c r="C33" s="202" t="s">
        <v>3148</v>
      </c>
      <c r="D33" s="202" t="s">
        <v>3233</v>
      </c>
      <c r="E33" s="203" t="s">
        <v>3234</v>
      </c>
      <c r="F33" s="203" t="s">
        <v>3128</v>
      </c>
      <c r="G33" s="202" t="s">
        <v>3233</v>
      </c>
      <c r="H33" s="203" t="s">
        <v>3235</v>
      </c>
      <c r="I33" s="203" t="s">
        <v>33</v>
      </c>
      <c r="J33" s="202" t="s">
        <v>86</v>
      </c>
      <c r="K33" s="204">
        <v>44398</v>
      </c>
      <c r="L33" s="205">
        <v>300</v>
      </c>
      <c r="M33" s="205">
        <v>991.8</v>
      </c>
      <c r="N33" s="205">
        <v>60</v>
      </c>
      <c r="O33" s="205">
        <v>198.36</v>
      </c>
      <c r="P33" s="202" t="s">
        <v>3236</v>
      </c>
      <c r="Q33" s="204">
        <v>46948</v>
      </c>
    </row>
    <row r="34" spans="1:17" s="206" customFormat="1" ht="14.25">
      <c r="A34" s="201" t="s">
        <v>2113</v>
      </c>
      <c r="B34" s="201" t="s">
        <v>2134</v>
      </c>
      <c r="C34" s="202" t="s">
        <v>3135</v>
      </c>
      <c r="D34" s="202" t="s">
        <v>2017</v>
      </c>
      <c r="E34" s="203" t="s">
        <v>3237</v>
      </c>
      <c r="F34" s="203" t="s">
        <v>3128</v>
      </c>
      <c r="G34" s="202" t="s">
        <v>3238</v>
      </c>
      <c r="H34" s="203" t="s">
        <v>3239</v>
      </c>
      <c r="I34" s="203" t="s">
        <v>33</v>
      </c>
      <c r="J34" s="202" t="s">
        <v>86</v>
      </c>
      <c r="K34" s="204">
        <v>43843</v>
      </c>
      <c r="L34" s="205">
        <v>2700</v>
      </c>
      <c r="M34" s="205">
        <v>8926.2000000000007</v>
      </c>
      <c r="N34" s="205">
        <v>513</v>
      </c>
      <c r="O34" s="205">
        <v>1695.9780000000001</v>
      </c>
      <c r="P34" s="202" t="s">
        <v>3240</v>
      </c>
      <c r="Q34" s="204">
        <v>47484</v>
      </c>
    </row>
    <row r="35" spans="1:17" s="206" customFormat="1" ht="14.25">
      <c r="A35" s="201" t="s">
        <v>2113</v>
      </c>
      <c r="B35" s="201" t="s">
        <v>2134</v>
      </c>
      <c r="C35" s="202" t="s">
        <v>3135</v>
      </c>
      <c r="D35" s="202" t="s">
        <v>2017</v>
      </c>
      <c r="E35" s="203" t="s">
        <v>3237</v>
      </c>
      <c r="F35" s="203" t="s">
        <v>3128</v>
      </c>
      <c r="G35" s="202" t="s">
        <v>3241</v>
      </c>
      <c r="H35" s="203" t="s">
        <v>3242</v>
      </c>
      <c r="I35" s="203" t="s">
        <v>33</v>
      </c>
      <c r="J35" s="202" t="s">
        <v>86</v>
      </c>
      <c r="K35" s="204">
        <v>45099</v>
      </c>
      <c r="L35" s="205">
        <v>1000</v>
      </c>
      <c r="M35" s="205">
        <v>3306</v>
      </c>
      <c r="N35" s="205">
        <v>590</v>
      </c>
      <c r="O35" s="205">
        <v>1950.54</v>
      </c>
      <c r="P35" s="202" t="s">
        <v>3243</v>
      </c>
      <c r="Q35" s="204">
        <v>48731</v>
      </c>
    </row>
    <row r="36" spans="1:17" s="206" customFormat="1" ht="14.25">
      <c r="A36" s="201" t="s">
        <v>2113</v>
      </c>
      <c r="B36" s="201" t="s">
        <v>2134</v>
      </c>
      <c r="C36" s="203" t="s">
        <v>3156</v>
      </c>
      <c r="D36" s="202" t="s">
        <v>3244</v>
      </c>
      <c r="E36" s="203" t="s">
        <v>3245</v>
      </c>
      <c r="F36" s="203" t="s">
        <v>3128</v>
      </c>
      <c r="G36" s="202" t="s">
        <v>3244</v>
      </c>
      <c r="H36" s="203" t="s">
        <v>3246</v>
      </c>
      <c r="I36" s="203" t="s">
        <v>33</v>
      </c>
      <c r="J36" s="202" t="s">
        <v>86</v>
      </c>
      <c r="K36" s="204">
        <v>44887</v>
      </c>
      <c r="L36" s="205">
        <v>850</v>
      </c>
      <c r="M36" s="205">
        <v>2810.1</v>
      </c>
      <c r="N36" s="205">
        <v>403.14522999999997</v>
      </c>
      <c r="O36" s="205">
        <v>1332.79813038</v>
      </c>
      <c r="P36" s="202" t="s">
        <v>3247</v>
      </c>
      <c r="Q36" s="204">
        <v>46608</v>
      </c>
    </row>
    <row r="37" spans="1:17" s="206" customFormat="1" ht="14.25">
      <c r="A37" s="201" t="s">
        <v>2113</v>
      </c>
      <c r="B37" s="201" t="s">
        <v>2134</v>
      </c>
      <c r="C37" s="202" t="s">
        <v>3135</v>
      </c>
      <c r="D37" s="203" t="s">
        <v>2040</v>
      </c>
      <c r="E37" s="203" t="s">
        <v>3152</v>
      </c>
      <c r="F37" s="203" t="s">
        <v>3128</v>
      </c>
      <c r="G37" s="202" t="s">
        <v>3248</v>
      </c>
      <c r="H37" s="203" t="s">
        <v>3249</v>
      </c>
      <c r="I37" s="203" t="s">
        <v>33</v>
      </c>
      <c r="J37" s="202" t="s">
        <v>86</v>
      </c>
      <c r="K37" s="204">
        <v>45107</v>
      </c>
      <c r="L37" s="205">
        <v>1500</v>
      </c>
      <c r="M37" s="205">
        <v>4959</v>
      </c>
      <c r="N37" s="205">
        <v>456.76799999999997</v>
      </c>
      <c r="O37" s="205">
        <v>1510.075008</v>
      </c>
      <c r="P37" s="202" t="s">
        <v>3250</v>
      </c>
      <c r="Q37" s="204">
        <v>48700</v>
      </c>
    </row>
    <row r="38" spans="1:17" s="206" customFormat="1" ht="14.25">
      <c r="A38" s="201" t="s">
        <v>2113</v>
      </c>
      <c r="B38" s="201" t="s">
        <v>2134</v>
      </c>
      <c r="C38" s="202" t="s">
        <v>2743</v>
      </c>
      <c r="D38" s="202" t="s">
        <v>2038</v>
      </c>
      <c r="E38" s="203" t="s">
        <v>3251</v>
      </c>
      <c r="F38" s="203" t="s">
        <v>3128</v>
      </c>
      <c r="G38" s="202" t="s">
        <v>2038</v>
      </c>
      <c r="H38" s="203" t="s">
        <v>3252</v>
      </c>
      <c r="I38" s="203" t="s">
        <v>33</v>
      </c>
      <c r="J38" s="202" t="s">
        <v>86</v>
      </c>
      <c r="K38" s="204">
        <v>44378</v>
      </c>
      <c r="L38" s="205">
        <v>510</v>
      </c>
      <c r="M38" s="205">
        <v>1686.06</v>
      </c>
      <c r="N38" s="205">
        <v>0</v>
      </c>
      <c r="O38" s="205">
        <v>0</v>
      </c>
      <c r="P38" s="202" t="s">
        <v>3160</v>
      </c>
      <c r="Q38" s="202"/>
    </row>
    <row r="39" spans="1:17" s="206" customFormat="1" ht="14.25">
      <c r="A39" s="201" t="s">
        <v>2113</v>
      </c>
      <c r="B39" s="201" t="s">
        <v>2134</v>
      </c>
      <c r="C39" s="203" t="s">
        <v>2448</v>
      </c>
      <c r="D39" s="203" t="s">
        <v>2040</v>
      </c>
      <c r="E39" s="203" t="s">
        <v>3152</v>
      </c>
      <c r="F39" s="203" t="s">
        <v>3128</v>
      </c>
      <c r="G39" s="202" t="s">
        <v>3253</v>
      </c>
      <c r="H39" s="203" t="s">
        <v>3254</v>
      </c>
      <c r="I39" s="203" t="s">
        <v>33</v>
      </c>
      <c r="J39" s="202" t="s">
        <v>86</v>
      </c>
      <c r="K39" s="204">
        <v>43230</v>
      </c>
      <c r="L39" s="205">
        <v>4350</v>
      </c>
      <c r="M39" s="205">
        <v>14381.1</v>
      </c>
      <c r="N39" s="205">
        <v>650.32500000000005</v>
      </c>
      <c r="O39" s="205">
        <v>2149.9744500000002</v>
      </c>
      <c r="P39" s="202" t="s">
        <v>3255</v>
      </c>
      <c r="Q39" s="204">
        <v>47969</v>
      </c>
    </row>
    <row r="40" spans="1:17" s="206" customFormat="1" ht="14.25">
      <c r="A40" s="201" t="s">
        <v>2113</v>
      </c>
      <c r="B40" s="201" t="s">
        <v>2134</v>
      </c>
      <c r="C40" s="202" t="s">
        <v>3148</v>
      </c>
      <c r="D40" s="202" t="s">
        <v>3256</v>
      </c>
      <c r="E40" s="203" t="s">
        <v>3257</v>
      </c>
      <c r="F40" s="203" t="s">
        <v>3128</v>
      </c>
      <c r="G40" s="202" t="s">
        <v>3256</v>
      </c>
      <c r="H40" s="203" t="s">
        <v>3258</v>
      </c>
      <c r="I40" s="203" t="s">
        <v>33</v>
      </c>
      <c r="J40" s="202" t="s">
        <v>86</v>
      </c>
      <c r="K40" s="204">
        <v>44389</v>
      </c>
      <c r="L40" s="205">
        <v>300</v>
      </c>
      <c r="M40" s="205">
        <v>991.8</v>
      </c>
      <c r="N40" s="205">
        <v>74.924999999999997</v>
      </c>
      <c r="O40" s="205">
        <v>247.70205000000001</v>
      </c>
      <c r="P40" s="202" t="s">
        <v>3259</v>
      </c>
      <c r="Q40" s="204">
        <v>45914</v>
      </c>
    </row>
    <row r="41" spans="1:17" s="206" customFormat="1" ht="14.25">
      <c r="A41" s="201" t="s">
        <v>2113</v>
      </c>
      <c r="B41" s="201" t="s">
        <v>2134</v>
      </c>
      <c r="C41" s="202" t="s">
        <v>2743</v>
      </c>
      <c r="D41" s="202" t="s">
        <v>3260</v>
      </c>
      <c r="E41" s="203" t="s">
        <v>2054</v>
      </c>
      <c r="F41" s="203" t="s">
        <v>33</v>
      </c>
      <c r="G41" s="202" t="s">
        <v>3261</v>
      </c>
      <c r="H41" s="203" t="s">
        <v>3262</v>
      </c>
      <c r="I41" s="203" t="s">
        <v>33</v>
      </c>
      <c r="J41" s="202" t="s">
        <v>1226</v>
      </c>
      <c r="K41" s="204">
        <v>44949</v>
      </c>
      <c r="L41" s="205">
        <v>600</v>
      </c>
      <c r="M41" s="205">
        <v>2664.54</v>
      </c>
      <c r="N41" s="205">
        <v>482.07900000000001</v>
      </c>
      <c r="O41" s="205">
        <v>2140.8646311000002</v>
      </c>
      <c r="P41" s="202" t="s">
        <v>3263</v>
      </c>
      <c r="Q41" s="204">
        <v>48580</v>
      </c>
    </row>
    <row r="42" spans="1:17" s="206" customFormat="1" ht="14.25">
      <c r="A42" s="201" t="s">
        <v>2113</v>
      </c>
      <c r="B42" s="201" t="s">
        <v>2134</v>
      </c>
      <c r="C42" s="202" t="s">
        <v>3148</v>
      </c>
      <c r="D42" s="202" t="s">
        <v>3264</v>
      </c>
      <c r="E42" s="202" t="s">
        <v>3265</v>
      </c>
      <c r="F42" s="203" t="s">
        <v>3128</v>
      </c>
      <c r="G42" s="202" t="s">
        <v>2060</v>
      </c>
      <c r="H42" s="203" t="s">
        <v>3266</v>
      </c>
      <c r="I42" s="203" t="s">
        <v>33</v>
      </c>
      <c r="J42" s="202" t="s">
        <v>1245</v>
      </c>
      <c r="K42" s="204">
        <v>44507</v>
      </c>
      <c r="L42" s="205">
        <v>200</v>
      </c>
      <c r="M42" s="205">
        <v>776.14</v>
      </c>
      <c r="N42" s="205">
        <v>34.97</v>
      </c>
      <c r="O42" s="205">
        <v>135.708079</v>
      </c>
      <c r="P42" s="202" t="s">
        <v>3267</v>
      </c>
      <c r="Q42" s="204">
        <v>47066</v>
      </c>
    </row>
    <row r="43" spans="1:17" s="206" customFormat="1" ht="14.25">
      <c r="A43" s="201" t="s">
        <v>2113</v>
      </c>
      <c r="B43" s="201" t="s">
        <v>2134</v>
      </c>
      <c r="C43" s="202" t="s">
        <v>3148</v>
      </c>
      <c r="D43" s="202" t="s">
        <v>3268</v>
      </c>
      <c r="E43" s="203" t="s">
        <v>3269</v>
      </c>
      <c r="F43" s="203" t="s">
        <v>3128</v>
      </c>
      <c r="G43" s="202" t="s">
        <v>3268</v>
      </c>
      <c r="H43" s="203" t="s">
        <v>3270</v>
      </c>
      <c r="I43" s="203" t="s">
        <v>33</v>
      </c>
      <c r="J43" s="202" t="s">
        <v>86</v>
      </c>
      <c r="K43" s="204">
        <v>44426</v>
      </c>
      <c r="L43" s="205">
        <v>300</v>
      </c>
      <c r="M43" s="205">
        <v>991.8</v>
      </c>
      <c r="N43" s="205">
        <v>36</v>
      </c>
      <c r="O43" s="205">
        <v>119.01600000000001</v>
      </c>
      <c r="P43" s="202" t="s">
        <v>3271</v>
      </c>
      <c r="Q43" s="204">
        <v>46023</v>
      </c>
    </row>
    <row r="44" spans="1:17" s="206" customFormat="1" ht="14.25">
      <c r="A44" s="201" t="s">
        <v>2113</v>
      </c>
      <c r="B44" s="201" t="s">
        <v>2134</v>
      </c>
      <c r="C44" s="202" t="s">
        <v>3148</v>
      </c>
      <c r="D44" s="202" t="s">
        <v>1817</v>
      </c>
      <c r="E44" s="203" t="s">
        <v>3272</v>
      </c>
      <c r="F44" s="203" t="s">
        <v>3128</v>
      </c>
      <c r="G44" s="202" t="s">
        <v>2062</v>
      </c>
      <c r="H44" s="203" t="s">
        <v>3273</v>
      </c>
      <c r="I44" s="203" t="s">
        <v>33</v>
      </c>
      <c r="J44" s="202" t="s">
        <v>86</v>
      </c>
      <c r="K44" s="204">
        <v>43840</v>
      </c>
      <c r="L44" s="205">
        <v>250</v>
      </c>
      <c r="M44" s="205">
        <v>826.5</v>
      </c>
      <c r="N44" s="205">
        <v>53.75</v>
      </c>
      <c r="O44" s="205">
        <v>177.69749999999999</v>
      </c>
      <c r="P44" s="202" t="s">
        <v>3274</v>
      </c>
      <c r="Q44" s="204">
        <v>47484</v>
      </c>
    </row>
    <row r="45" spans="1:17" s="206" customFormat="1" ht="14.25">
      <c r="A45" s="201" t="s">
        <v>2113</v>
      </c>
      <c r="B45" s="201" t="s">
        <v>2134</v>
      </c>
      <c r="C45" s="202" t="s">
        <v>3148</v>
      </c>
      <c r="D45" s="202" t="s">
        <v>1817</v>
      </c>
      <c r="E45" s="203" t="s">
        <v>3272</v>
      </c>
      <c r="F45" s="203" t="s">
        <v>3128</v>
      </c>
      <c r="G45" s="202" t="s">
        <v>3275</v>
      </c>
      <c r="H45" s="203" t="s">
        <v>3276</v>
      </c>
      <c r="I45" s="203" t="s">
        <v>33</v>
      </c>
      <c r="J45" s="202" t="s">
        <v>86</v>
      </c>
      <c r="K45" s="204">
        <v>42506</v>
      </c>
      <c r="L45" s="205">
        <v>1500</v>
      </c>
      <c r="M45" s="205">
        <v>4959</v>
      </c>
      <c r="N45" s="205">
        <v>105</v>
      </c>
      <c r="O45" s="205">
        <v>347.13</v>
      </c>
      <c r="P45" s="202" t="s">
        <v>3277</v>
      </c>
      <c r="Q45" s="204">
        <v>46296</v>
      </c>
    </row>
    <row r="46" spans="1:17" s="206" customFormat="1" ht="14.25">
      <c r="A46" s="201" t="s">
        <v>2113</v>
      </c>
      <c r="B46" s="201" t="s">
        <v>2134</v>
      </c>
      <c r="C46" s="202" t="s">
        <v>3148</v>
      </c>
      <c r="D46" s="202" t="s">
        <v>1817</v>
      </c>
      <c r="E46" s="203" t="s">
        <v>3272</v>
      </c>
      <c r="F46" s="203" t="s">
        <v>3128</v>
      </c>
      <c r="G46" s="202" t="s">
        <v>3278</v>
      </c>
      <c r="H46" s="203" t="s">
        <v>3279</v>
      </c>
      <c r="I46" s="203" t="s">
        <v>33</v>
      </c>
      <c r="J46" s="202" t="s">
        <v>86</v>
      </c>
      <c r="K46" s="204">
        <v>43250</v>
      </c>
      <c r="L46" s="205">
        <v>375</v>
      </c>
      <c r="M46" s="205">
        <v>1239.75</v>
      </c>
      <c r="N46" s="205">
        <v>37.5</v>
      </c>
      <c r="O46" s="205">
        <v>123.97499999999999</v>
      </c>
      <c r="P46" s="202" t="s">
        <v>3178</v>
      </c>
      <c r="Q46" s="204">
        <v>46874</v>
      </c>
    </row>
    <row r="47" spans="1:17" s="206" customFormat="1" ht="14.25">
      <c r="A47" s="201" t="s">
        <v>2113</v>
      </c>
      <c r="B47" s="201" t="s">
        <v>2134</v>
      </c>
      <c r="C47" s="203" t="s">
        <v>3156</v>
      </c>
      <c r="D47" s="202" t="s">
        <v>1922</v>
      </c>
      <c r="E47" s="203" t="s">
        <v>1923</v>
      </c>
      <c r="F47" s="203" t="s">
        <v>3128</v>
      </c>
      <c r="G47" s="202" t="s">
        <v>3280</v>
      </c>
      <c r="H47" s="203" t="s">
        <v>3281</v>
      </c>
      <c r="I47" s="203" t="s">
        <v>33</v>
      </c>
      <c r="J47" s="202" t="s">
        <v>86</v>
      </c>
      <c r="K47" s="204">
        <v>44857</v>
      </c>
      <c r="L47" s="205">
        <v>192.602</v>
      </c>
      <c r="M47" s="205">
        <v>636.74221200000011</v>
      </c>
      <c r="N47" s="205">
        <v>66.766000000000005</v>
      </c>
      <c r="O47" s="205">
        <v>220.728396</v>
      </c>
      <c r="P47" s="202" t="s">
        <v>3282</v>
      </c>
      <c r="Q47" s="204">
        <v>47757</v>
      </c>
    </row>
    <row r="48" spans="1:17" s="206" customFormat="1" ht="14.25">
      <c r="A48" s="201" t="s">
        <v>2113</v>
      </c>
      <c r="B48" s="201" t="s">
        <v>2134</v>
      </c>
      <c r="C48" s="203" t="s">
        <v>3144</v>
      </c>
      <c r="D48" s="202" t="s">
        <v>2003</v>
      </c>
      <c r="E48" s="203" t="s">
        <v>2004</v>
      </c>
      <c r="F48" s="203" t="s">
        <v>3167</v>
      </c>
      <c r="G48" s="202" t="s">
        <v>3283</v>
      </c>
      <c r="H48" s="203" t="s">
        <v>3284</v>
      </c>
      <c r="I48" s="203" t="s">
        <v>33</v>
      </c>
      <c r="J48" s="202" t="s">
        <v>86</v>
      </c>
      <c r="K48" s="204">
        <v>43599</v>
      </c>
      <c r="L48" s="205">
        <v>2700</v>
      </c>
      <c r="M48" s="205">
        <v>8926.2000000000007</v>
      </c>
      <c r="N48" s="205">
        <v>0</v>
      </c>
      <c r="O48" s="205">
        <v>0</v>
      </c>
      <c r="P48" s="202" t="s">
        <v>3160</v>
      </c>
      <c r="Q48" s="204">
        <v>45962</v>
      </c>
    </row>
    <row r="49" spans="1:17" s="206" customFormat="1" ht="14.25">
      <c r="A49" s="201" t="s">
        <v>2113</v>
      </c>
      <c r="B49" s="201" t="s">
        <v>2134</v>
      </c>
      <c r="C49" s="203" t="s">
        <v>2448</v>
      </c>
      <c r="D49" s="203" t="s">
        <v>1854</v>
      </c>
      <c r="E49" s="203" t="s">
        <v>3285</v>
      </c>
      <c r="F49" s="203" t="s">
        <v>3167</v>
      </c>
      <c r="G49" s="203" t="s">
        <v>3286</v>
      </c>
      <c r="H49" s="203" t="s">
        <v>3287</v>
      </c>
      <c r="I49" s="203" t="s">
        <v>33</v>
      </c>
      <c r="J49" s="202" t="s">
        <v>34</v>
      </c>
      <c r="K49" s="204">
        <v>42304</v>
      </c>
      <c r="L49" s="205">
        <v>7439.5320000000002</v>
      </c>
      <c r="M49" s="205">
        <v>7439.5320000000002</v>
      </c>
      <c r="N49" s="205">
        <v>733.48</v>
      </c>
      <c r="O49" s="205">
        <v>733.48</v>
      </c>
      <c r="P49" s="202" t="s">
        <v>3288</v>
      </c>
      <c r="Q49" s="204">
        <v>45976</v>
      </c>
    </row>
    <row r="50" spans="1:17" s="206" customFormat="1" ht="14.25">
      <c r="A50" s="201" t="s">
        <v>2113</v>
      </c>
      <c r="B50" s="201" t="s">
        <v>2134</v>
      </c>
      <c r="C50" s="202" t="s">
        <v>3135</v>
      </c>
      <c r="D50" s="203" t="s">
        <v>1790</v>
      </c>
      <c r="E50" s="203" t="s">
        <v>3161</v>
      </c>
      <c r="F50" s="203" t="s">
        <v>3128</v>
      </c>
      <c r="G50" s="203" t="s">
        <v>3289</v>
      </c>
      <c r="H50" s="203" t="s">
        <v>3290</v>
      </c>
      <c r="I50" s="203" t="s">
        <v>33</v>
      </c>
      <c r="J50" s="202" t="s">
        <v>86</v>
      </c>
      <c r="K50" s="204">
        <v>39758</v>
      </c>
      <c r="L50" s="205">
        <v>833</v>
      </c>
      <c r="M50" s="205">
        <v>2753.8980000000001</v>
      </c>
      <c r="N50" s="205">
        <v>49.97</v>
      </c>
      <c r="O50" s="205">
        <v>165.20081999999999</v>
      </c>
      <c r="P50" s="202" t="s">
        <v>3291</v>
      </c>
      <c r="Q50" s="204">
        <v>45935</v>
      </c>
    </row>
    <row r="51" spans="1:17" s="206" customFormat="1" ht="14.25">
      <c r="A51" s="201" t="s">
        <v>2113</v>
      </c>
      <c r="B51" s="201" t="s">
        <v>2134</v>
      </c>
      <c r="C51" s="202" t="s">
        <v>3135</v>
      </c>
      <c r="D51" s="203" t="s">
        <v>1790</v>
      </c>
      <c r="E51" s="203" t="s">
        <v>3161</v>
      </c>
      <c r="F51" s="203" t="s">
        <v>3128</v>
      </c>
      <c r="G51" s="202" t="s">
        <v>3292</v>
      </c>
      <c r="H51" s="203" t="s">
        <v>3293</v>
      </c>
      <c r="I51" s="203" t="s">
        <v>33</v>
      </c>
      <c r="J51" s="202" t="s">
        <v>86</v>
      </c>
      <c r="K51" s="204">
        <v>43937</v>
      </c>
      <c r="L51" s="205">
        <v>2800</v>
      </c>
      <c r="M51" s="205">
        <v>9256.7999999999993</v>
      </c>
      <c r="N51" s="205">
        <v>84</v>
      </c>
      <c r="O51" s="205">
        <v>277.70400000000001</v>
      </c>
      <c r="P51" s="202" t="s">
        <v>3294</v>
      </c>
      <c r="Q51" s="204">
        <v>47574</v>
      </c>
    </row>
    <row r="52" spans="1:17" s="206" customFormat="1" ht="14.25">
      <c r="A52" s="201" t="s">
        <v>2113</v>
      </c>
      <c r="B52" s="201" t="s">
        <v>2134</v>
      </c>
      <c r="C52" s="203" t="s">
        <v>3144</v>
      </c>
      <c r="D52" s="203" t="s">
        <v>1782</v>
      </c>
      <c r="E52" s="203" t="s">
        <v>1783</v>
      </c>
      <c r="F52" s="203" t="s">
        <v>3167</v>
      </c>
      <c r="G52" s="203" t="s">
        <v>1782</v>
      </c>
      <c r="H52" s="203" t="s">
        <v>3295</v>
      </c>
      <c r="I52" s="203" t="s">
        <v>33</v>
      </c>
      <c r="J52" s="202" t="s">
        <v>1245</v>
      </c>
      <c r="K52" s="204">
        <v>42964</v>
      </c>
      <c r="L52" s="205">
        <v>2500</v>
      </c>
      <c r="M52" s="205">
        <v>9701.75</v>
      </c>
      <c r="N52" s="205">
        <v>38.561</v>
      </c>
      <c r="O52" s="205">
        <v>149.6436727</v>
      </c>
      <c r="P52" s="202" t="s">
        <v>3296</v>
      </c>
      <c r="Q52" s="204">
        <v>45814</v>
      </c>
    </row>
    <row r="53" spans="1:17" s="206" customFormat="1" ht="14.25">
      <c r="A53" s="201" t="s">
        <v>2113</v>
      </c>
      <c r="B53" s="201" t="s">
        <v>2134</v>
      </c>
      <c r="C53" s="202" t="s">
        <v>3148</v>
      </c>
      <c r="D53" s="202" t="s">
        <v>1813</v>
      </c>
      <c r="E53" s="202" t="s">
        <v>3297</v>
      </c>
      <c r="F53" s="203" t="s">
        <v>3167</v>
      </c>
      <c r="G53" s="203" t="s">
        <v>3298</v>
      </c>
      <c r="H53" s="203" t="s">
        <v>3299</v>
      </c>
      <c r="I53" s="203" t="s">
        <v>33</v>
      </c>
      <c r="J53" s="202" t="s">
        <v>86</v>
      </c>
      <c r="K53" s="204">
        <v>44329</v>
      </c>
      <c r="L53" s="205">
        <v>300</v>
      </c>
      <c r="M53" s="205">
        <v>991.8</v>
      </c>
      <c r="N53" s="205">
        <v>45</v>
      </c>
      <c r="O53" s="205">
        <v>148.77000000000001</v>
      </c>
      <c r="P53" s="207">
        <v>0.15</v>
      </c>
      <c r="Q53" s="204">
        <v>46140</v>
      </c>
    </row>
    <row r="54" spans="1:17" s="206" customFormat="1" ht="14.25">
      <c r="A54" s="201" t="s">
        <v>2113</v>
      </c>
      <c r="B54" s="201" t="s">
        <v>2134</v>
      </c>
      <c r="C54" s="203" t="s">
        <v>3156</v>
      </c>
      <c r="D54" s="202" t="s">
        <v>1959</v>
      </c>
      <c r="E54" s="203" t="s">
        <v>3300</v>
      </c>
      <c r="F54" s="203" t="s">
        <v>3128</v>
      </c>
      <c r="G54" s="202" t="s">
        <v>1961</v>
      </c>
      <c r="H54" s="203" t="s">
        <v>3301</v>
      </c>
      <c r="I54" s="203" t="s">
        <v>33</v>
      </c>
      <c r="J54" s="202" t="s">
        <v>1245</v>
      </c>
      <c r="K54" s="204">
        <v>42663</v>
      </c>
      <c r="L54" s="205">
        <v>1320.3</v>
      </c>
      <c r="M54" s="205">
        <v>5123.6882100000003</v>
      </c>
      <c r="N54" s="205">
        <v>0</v>
      </c>
      <c r="O54" s="205">
        <v>0</v>
      </c>
      <c r="P54" s="202" t="s">
        <v>3160</v>
      </c>
      <c r="Q54" s="204">
        <v>46296</v>
      </c>
    </row>
    <row r="55" spans="1:17" s="206" customFormat="1" ht="14.25">
      <c r="A55" s="201" t="s">
        <v>2113</v>
      </c>
      <c r="B55" s="201" t="s">
        <v>2134</v>
      </c>
      <c r="C55" s="203" t="s">
        <v>3156</v>
      </c>
      <c r="D55" s="202" t="s">
        <v>1742</v>
      </c>
      <c r="E55" s="203" t="s">
        <v>3137</v>
      </c>
      <c r="F55" s="203" t="s">
        <v>3128</v>
      </c>
      <c r="G55" s="202" t="s">
        <v>3302</v>
      </c>
      <c r="H55" s="203" t="s">
        <v>3303</v>
      </c>
      <c r="I55" s="203" t="s">
        <v>33</v>
      </c>
      <c r="J55" s="202" t="s">
        <v>86</v>
      </c>
      <c r="K55" s="204">
        <v>44441</v>
      </c>
      <c r="L55" s="205">
        <v>800</v>
      </c>
      <c r="M55" s="205">
        <v>2644.8</v>
      </c>
      <c r="N55" s="205">
        <v>211.61568999999989</v>
      </c>
      <c r="O55" s="205">
        <v>699.60147113999983</v>
      </c>
      <c r="P55" s="202" t="s">
        <v>3304</v>
      </c>
      <c r="Q55" s="204">
        <v>47119</v>
      </c>
    </row>
    <row r="56" spans="1:17" s="206" customFormat="1" ht="14.25">
      <c r="A56" s="201" t="s">
        <v>2113</v>
      </c>
      <c r="B56" s="201" t="s">
        <v>2134</v>
      </c>
      <c r="C56" s="203" t="s">
        <v>3156</v>
      </c>
      <c r="D56" s="202" t="s">
        <v>2003</v>
      </c>
      <c r="E56" s="203" t="s">
        <v>3305</v>
      </c>
      <c r="F56" s="203" t="s">
        <v>3128</v>
      </c>
      <c r="G56" s="202" t="s">
        <v>3306</v>
      </c>
      <c r="H56" s="203" t="s">
        <v>3307</v>
      </c>
      <c r="I56" s="203" t="s">
        <v>33</v>
      </c>
      <c r="J56" s="202" t="s">
        <v>86</v>
      </c>
      <c r="K56" s="204">
        <v>44355</v>
      </c>
      <c r="L56" s="205">
        <v>300</v>
      </c>
      <c r="M56" s="205">
        <v>991.8</v>
      </c>
      <c r="N56" s="205">
        <v>0</v>
      </c>
      <c r="O56" s="205">
        <v>0</v>
      </c>
      <c r="P56" s="202" t="s">
        <v>3160</v>
      </c>
      <c r="Q56" s="204">
        <v>46539</v>
      </c>
    </row>
    <row r="57" spans="1:17" s="206" customFormat="1" ht="14.25">
      <c r="A57" s="201" t="s">
        <v>2113</v>
      </c>
      <c r="B57" s="201" t="s">
        <v>2134</v>
      </c>
      <c r="C57" s="203" t="s">
        <v>3156</v>
      </c>
      <c r="D57" s="202" t="s">
        <v>2022</v>
      </c>
      <c r="E57" s="203" t="s">
        <v>2023</v>
      </c>
      <c r="F57" s="203" t="s">
        <v>3128</v>
      </c>
      <c r="G57" s="202" t="s">
        <v>3308</v>
      </c>
      <c r="H57" s="203" t="s">
        <v>3309</v>
      </c>
      <c r="I57" s="203" t="s">
        <v>33</v>
      </c>
      <c r="J57" s="202" t="s">
        <v>1245</v>
      </c>
      <c r="K57" s="204">
        <v>43335</v>
      </c>
      <c r="L57" s="205">
        <v>1350</v>
      </c>
      <c r="M57" s="205">
        <v>5238.9449999999997</v>
      </c>
      <c r="N57" s="205">
        <v>230.1351499999999</v>
      </c>
      <c r="O57" s="205">
        <v>893.0854766049996</v>
      </c>
      <c r="P57" s="202" t="s">
        <v>3310</v>
      </c>
      <c r="Q57" s="204">
        <v>46966</v>
      </c>
    </row>
    <row r="58" spans="1:17" s="206" customFormat="1" ht="14.25">
      <c r="A58" s="201" t="s">
        <v>2113</v>
      </c>
      <c r="B58" s="201" t="s">
        <v>2134</v>
      </c>
      <c r="C58" s="203" t="s">
        <v>3156</v>
      </c>
      <c r="D58" s="202" t="s">
        <v>2028</v>
      </c>
      <c r="E58" s="203" t="s">
        <v>2023</v>
      </c>
      <c r="F58" s="203" t="s">
        <v>3128</v>
      </c>
      <c r="G58" s="202" t="s">
        <v>3311</v>
      </c>
      <c r="H58" s="203" t="s">
        <v>3312</v>
      </c>
      <c r="I58" s="203" t="s">
        <v>33</v>
      </c>
      <c r="J58" s="202" t="s">
        <v>86</v>
      </c>
      <c r="K58" s="204">
        <v>43543</v>
      </c>
      <c r="L58" s="205">
        <v>1350</v>
      </c>
      <c r="M58" s="205">
        <v>4463.1000000000004</v>
      </c>
      <c r="N58" s="205">
        <v>336.80200000000002</v>
      </c>
      <c r="O58" s="205">
        <v>1113.467412</v>
      </c>
      <c r="P58" s="202" t="s">
        <v>3313</v>
      </c>
      <c r="Q58" s="204">
        <v>47178</v>
      </c>
    </row>
    <row r="59" spans="1:17" s="206" customFormat="1" ht="14.25">
      <c r="A59" s="201" t="s">
        <v>2113</v>
      </c>
      <c r="B59" s="201" t="s">
        <v>2134</v>
      </c>
      <c r="C59" s="203" t="s">
        <v>3156</v>
      </c>
      <c r="D59" s="202" t="s">
        <v>1801</v>
      </c>
      <c r="E59" s="203" t="s">
        <v>3314</v>
      </c>
      <c r="F59" s="203" t="s">
        <v>3128</v>
      </c>
      <c r="G59" s="202" t="s">
        <v>3315</v>
      </c>
      <c r="H59" s="203" t="s">
        <v>3316</v>
      </c>
      <c r="I59" s="203" t="s">
        <v>33</v>
      </c>
      <c r="J59" s="202" t="s">
        <v>34</v>
      </c>
      <c r="K59" s="204">
        <v>43782</v>
      </c>
      <c r="L59" s="205">
        <v>5162.6080000000002</v>
      </c>
      <c r="M59" s="205">
        <v>5162.6080000000002</v>
      </c>
      <c r="N59" s="205">
        <v>962.60799999999995</v>
      </c>
      <c r="O59" s="205">
        <v>962.60799999999995</v>
      </c>
      <c r="P59" s="202" t="s">
        <v>3317</v>
      </c>
      <c r="Q59" s="204">
        <v>46692</v>
      </c>
    </row>
    <row r="60" spans="1:17" s="206" customFormat="1" ht="14.25">
      <c r="A60" s="201" t="s">
        <v>2113</v>
      </c>
      <c r="B60" s="201" t="s">
        <v>2134</v>
      </c>
      <c r="C60" s="203" t="s">
        <v>3156</v>
      </c>
      <c r="D60" s="202" t="s">
        <v>1801</v>
      </c>
      <c r="E60" s="203" t="s">
        <v>3187</v>
      </c>
      <c r="F60" s="203" t="s">
        <v>3128</v>
      </c>
      <c r="G60" s="202" t="s">
        <v>1910</v>
      </c>
      <c r="H60" s="203" t="s">
        <v>3318</v>
      </c>
      <c r="I60" s="203" t="s">
        <v>33</v>
      </c>
      <c r="J60" s="202" t="s">
        <v>34</v>
      </c>
      <c r="K60" s="204">
        <v>45040</v>
      </c>
      <c r="L60" s="205">
        <v>2600</v>
      </c>
      <c r="M60" s="205">
        <v>2600</v>
      </c>
      <c r="N60" s="205">
        <v>1378</v>
      </c>
      <c r="O60" s="205">
        <v>1378</v>
      </c>
      <c r="P60" s="202" t="s">
        <v>3189</v>
      </c>
      <c r="Q60" s="204">
        <v>47939</v>
      </c>
    </row>
    <row r="61" spans="1:17" s="206" customFormat="1" ht="14.25">
      <c r="A61" s="201" t="s">
        <v>2113</v>
      </c>
      <c r="B61" s="201" t="s">
        <v>2134</v>
      </c>
      <c r="C61" s="203" t="s">
        <v>3156</v>
      </c>
      <c r="D61" s="202" t="s">
        <v>1806</v>
      </c>
      <c r="E61" s="203" t="s">
        <v>3319</v>
      </c>
      <c r="F61" s="203" t="s">
        <v>3167</v>
      </c>
      <c r="G61" s="202" t="s">
        <v>3320</v>
      </c>
      <c r="H61" s="203" t="s">
        <v>3321</v>
      </c>
      <c r="I61" s="203" t="s">
        <v>33</v>
      </c>
      <c r="J61" s="202" t="s">
        <v>86</v>
      </c>
      <c r="K61" s="204">
        <v>44245</v>
      </c>
      <c r="L61" s="205">
        <v>1380</v>
      </c>
      <c r="M61" s="205">
        <v>4562.28</v>
      </c>
      <c r="N61" s="205">
        <v>800.93600000000004</v>
      </c>
      <c r="O61" s="205">
        <v>2647.8944160000001</v>
      </c>
      <c r="P61" s="202" t="s">
        <v>3322</v>
      </c>
      <c r="Q61" s="204">
        <v>46054</v>
      </c>
    </row>
    <row r="62" spans="1:17" s="206" customFormat="1" ht="14.25">
      <c r="A62" s="201" t="s">
        <v>2113</v>
      </c>
      <c r="B62" s="201" t="s">
        <v>2134</v>
      </c>
      <c r="C62" s="203" t="s">
        <v>3156</v>
      </c>
      <c r="D62" s="203" t="s">
        <v>1826</v>
      </c>
      <c r="E62" s="203" t="s">
        <v>1832</v>
      </c>
      <c r="F62" s="203" t="s">
        <v>3167</v>
      </c>
      <c r="G62" s="203" t="s">
        <v>3323</v>
      </c>
      <c r="H62" s="203" t="s">
        <v>3324</v>
      </c>
      <c r="I62" s="203" t="s">
        <v>33</v>
      </c>
      <c r="J62" s="202" t="s">
        <v>34</v>
      </c>
      <c r="K62" s="204">
        <v>43131</v>
      </c>
      <c r="L62" s="205">
        <v>10000</v>
      </c>
      <c r="M62" s="205">
        <v>10000</v>
      </c>
      <c r="N62" s="205">
        <v>806.29300000000001</v>
      </c>
      <c r="O62" s="205">
        <v>806.29300000000001</v>
      </c>
      <c r="P62" s="202" t="s">
        <v>3325</v>
      </c>
      <c r="Q62" s="204">
        <v>46753</v>
      </c>
    </row>
    <row r="63" spans="1:17" s="206" customFormat="1" ht="14.25">
      <c r="A63" s="201" t="s">
        <v>2113</v>
      </c>
      <c r="B63" s="201" t="s">
        <v>2134</v>
      </c>
      <c r="C63" s="203" t="s">
        <v>3156</v>
      </c>
      <c r="D63" s="203" t="s">
        <v>1826</v>
      </c>
      <c r="E63" s="203" t="s">
        <v>1832</v>
      </c>
      <c r="F63" s="203" t="s">
        <v>3167</v>
      </c>
      <c r="G63" s="203" t="s">
        <v>3326</v>
      </c>
      <c r="H63" s="203" t="s">
        <v>3327</v>
      </c>
      <c r="I63" s="203" t="s">
        <v>33</v>
      </c>
      <c r="J63" s="202" t="s">
        <v>34</v>
      </c>
      <c r="K63" s="204">
        <v>43803</v>
      </c>
      <c r="L63" s="205">
        <v>6000</v>
      </c>
      <c r="M63" s="205">
        <v>6000</v>
      </c>
      <c r="N63" s="205">
        <v>1779.39</v>
      </c>
      <c r="O63" s="205">
        <v>1779.39</v>
      </c>
      <c r="P63" s="202" t="s">
        <v>3328</v>
      </c>
      <c r="Q63" s="204">
        <v>46327</v>
      </c>
    </row>
    <row r="64" spans="1:17" s="206" customFormat="1" ht="14.25">
      <c r="A64" s="201" t="s">
        <v>2113</v>
      </c>
      <c r="B64" s="201" t="s">
        <v>2134</v>
      </c>
      <c r="C64" s="203" t="s">
        <v>3156</v>
      </c>
      <c r="D64" s="203" t="s">
        <v>3329</v>
      </c>
      <c r="E64" s="203" t="s">
        <v>1845</v>
      </c>
      <c r="F64" s="203" t="s">
        <v>3167</v>
      </c>
      <c r="G64" s="203" t="s">
        <v>1846</v>
      </c>
      <c r="H64" s="203" t="s">
        <v>3330</v>
      </c>
      <c r="I64" s="203" t="s">
        <v>33</v>
      </c>
      <c r="J64" s="202" t="s">
        <v>34</v>
      </c>
      <c r="K64" s="204">
        <v>44598</v>
      </c>
      <c r="L64" s="205">
        <v>763.28899999999999</v>
      </c>
      <c r="M64" s="205">
        <v>763.28899999999999</v>
      </c>
      <c r="N64" s="205">
        <v>484.59699999999998</v>
      </c>
      <c r="O64" s="205">
        <v>484.59699999999998</v>
      </c>
      <c r="P64" s="202" t="s">
        <v>3331</v>
      </c>
      <c r="Q64" s="204">
        <v>48245</v>
      </c>
    </row>
    <row r="65" spans="1:17" s="206" customFormat="1" ht="14.25">
      <c r="A65" s="201" t="s">
        <v>2113</v>
      </c>
      <c r="B65" s="201" t="s">
        <v>2134</v>
      </c>
      <c r="C65" s="203" t="s">
        <v>3197</v>
      </c>
      <c r="D65" s="203" t="s">
        <v>1770</v>
      </c>
      <c r="E65" s="203" t="s">
        <v>3332</v>
      </c>
      <c r="F65" s="203" t="s">
        <v>3167</v>
      </c>
      <c r="G65" s="203" t="s">
        <v>1770</v>
      </c>
      <c r="H65" s="203" t="s">
        <v>3333</v>
      </c>
      <c r="I65" s="203" t="s">
        <v>33</v>
      </c>
      <c r="J65" s="202" t="s">
        <v>34</v>
      </c>
      <c r="K65" s="204">
        <v>41364</v>
      </c>
      <c r="L65" s="205">
        <v>8501.9509999999991</v>
      </c>
      <c r="M65" s="205">
        <v>8501.9509999999991</v>
      </c>
      <c r="N65" s="205">
        <v>0</v>
      </c>
      <c r="O65" s="205">
        <v>0</v>
      </c>
      <c r="P65" s="202" t="s">
        <v>3160</v>
      </c>
      <c r="Q65" s="202"/>
    </row>
    <row r="66" spans="1:17" s="206" customFormat="1" ht="14.25">
      <c r="A66" s="201" t="s">
        <v>2113</v>
      </c>
      <c r="B66" s="201" t="s">
        <v>2134</v>
      </c>
      <c r="C66" s="203" t="s">
        <v>3197</v>
      </c>
      <c r="D66" s="203" t="s">
        <v>1761</v>
      </c>
      <c r="E66" s="203" t="s">
        <v>3198</v>
      </c>
      <c r="F66" s="203" t="s">
        <v>3167</v>
      </c>
      <c r="G66" s="203" t="s">
        <v>3199</v>
      </c>
      <c r="H66" s="203" t="s">
        <v>3334</v>
      </c>
      <c r="I66" s="203" t="s">
        <v>33</v>
      </c>
      <c r="J66" s="202" t="s">
        <v>34</v>
      </c>
      <c r="K66" s="204">
        <v>43922</v>
      </c>
      <c r="L66" s="205">
        <v>4797.2550000000001</v>
      </c>
      <c r="M66" s="205">
        <v>4797.2550000000001</v>
      </c>
      <c r="N66" s="205">
        <v>0</v>
      </c>
      <c r="O66" s="205">
        <v>0</v>
      </c>
      <c r="P66" s="202" t="s">
        <v>3160</v>
      </c>
      <c r="Q66" s="202"/>
    </row>
    <row r="67" spans="1:17" s="206" customFormat="1" ht="14.25">
      <c r="A67" s="201" t="s">
        <v>2113</v>
      </c>
      <c r="B67" s="201" t="s">
        <v>2134</v>
      </c>
      <c r="C67" s="203" t="s">
        <v>3197</v>
      </c>
      <c r="D67" s="203" t="s">
        <v>1761</v>
      </c>
      <c r="E67" s="203" t="s">
        <v>3198</v>
      </c>
      <c r="F67" s="203" t="s">
        <v>3167</v>
      </c>
      <c r="G67" s="203" t="s">
        <v>3201</v>
      </c>
      <c r="H67" s="203" t="s">
        <v>3335</v>
      </c>
      <c r="I67" s="203" t="s">
        <v>33</v>
      </c>
      <c r="J67" s="202" t="s">
        <v>34</v>
      </c>
      <c r="K67" s="204">
        <v>42306</v>
      </c>
      <c r="L67" s="205">
        <v>5000</v>
      </c>
      <c r="M67" s="205">
        <v>5000</v>
      </c>
      <c r="N67" s="205">
        <v>0</v>
      </c>
      <c r="O67" s="205">
        <v>0</v>
      </c>
      <c r="P67" s="202" t="s">
        <v>3160</v>
      </c>
      <c r="Q67" s="202"/>
    </row>
    <row r="68" spans="1:17" s="206" customFormat="1" ht="14.25">
      <c r="A68" s="201" t="s">
        <v>2113</v>
      </c>
      <c r="B68" s="201" t="s">
        <v>2134</v>
      </c>
      <c r="C68" s="203" t="s">
        <v>3197</v>
      </c>
      <c r="D68" s="203" t="s">
        <v>1761</v>
      </c>
      <c r="E68" s="203" t="s">
        <v>3336</v>
      </c>
      <c r="F68" s="203" t="s">
        <v>3167</v>
      </c>
      <c r="G68" s="203" t="s">
        <v>3337</v>
      </c>
      <c r="H68" s="203" t="s">
        <v>3338</v>
      </c>
      <c r="I68" s="203" t="s">
        <v>33</v>
      </c>
      <c r="J68" s="202" t="s">
        <v>34</v>
      </c>
      <c r="K68" s="204">
        <v>45351</v>
      </c>
      <c r="L68" s="205">
        <v>5000</v>
      </c>
      <c r="M68" s="205">
        <v>5000</v>
      </c>
      <c r="N68" s="205">
        <v>0</v>
      </c>
      <c r="O68" s="205">
        <v>0</v>
      </c>
      <c r="P68" s="202" t="s">
        <v>3160</v>
      </c>
      <c r="Q68" s="202"/>
    </row>
    <row r="69" spans="1:17" s="206" customFormat="1" ht="14.25">
      <c r="A69" s="201" t="s">
        <v>2113</v>
      </c>
      <c r="B69" s="201" t="s">
        <v>2127</v>
      </c>
      <c r="C69" s="202" t="s">
        <v>3148</v>
      </c>
      <c r="D69" s="202" t="s">
        <v>3268</v>
      </c>
      <c r="E69" s="203" t="s">
        <v>3269</v>
      </c>
      <c r="F69" s="203" t="s">
        <v>3128</v>
      </c>
      <c r="G69" s="202" t="s">
        <v>3268</v>
      </c>
      <c r="H69" s="203" t="s">
        <v>3270</v>
      </c>
      <c r="I69" s="203" t="s">
        <v>33</v>
      </c>
      <c r="J69" s="202" t="s">
        <v>86</v>
      </c>
      <c r="K69" s="204">
        <v>44426</v>
      </c>
      <c r="L69" s="205">
        <v>50</v>
      </c>
      <c r="M69" s="205">
        <v>165.3</v>
      </c>
      <c r="N69" s="205">
        <v>6</v>
      </c>
      <c r="O69" s="205">
        <v>19.835999999999999</v>
      </c>
      <c r="P69" s="202" t="s">
        <v>3271</v>
      </c>
      <c r="Q69" s="204">
        <v>46023</v>
      </c>
    </row>
    <row r="70" spans="1:17" s="206" customFormat="1" ht="14.25">
      <c r="A70" s="201" t="s">
        <v>2113</v>
      </c>
      <c r="B70" s="201" t="s">
        <v>2127</v>
      </c>
      <c r="C70" s="203" t="s">
        <v>3156</v>
      </c>
      <c r="D70" s="202" t="s">
        <v>1742</v>
      </c>
      <c r="E70" s="203" t="s">
        <v>3137</v>
      </c>
      <c r="F70" s="203" t="s">
        <v>3128</v>
      </c>
      <c r="G70" s="202" t="s">
        <v>3302</v>
      </c>
      <c r="H70" s="203" t="s">
        <v>3303</v>
      </c>
      <c r="I70" s="203" t="s">
        <v>33</v>
      </c>
      <c r="J70" s="202" t="s">
        <v>86</v>
      </c>
      <c r="K70" s="204">
        <v>44441</v>
      </c>
      <c r="L70" s="205">
        <v>100</v>
      </c>
      <c r="M70" s="205">
        <v>330.6</v>
      </c>
      <c r="N70" s="205">
        <v>26.45196000000001</v>
      </c>
      <c r="O70" s="205">
        <v>87.450179760000026</v>
      </c>
      <c r="P70" s="202" t="s">
        <v>3304</v>
      </c>
      <c r="Q70" s="204">
        <v>47119</v>
      </c>
    </row>
    <row r="71" spans="1:17" s="206" customFormat="1" ht="14.25">
      <c r="A71" s="201" t="s">
        <v>2113</v>
      </c>
      <c r="B71" s="201" t="s">
        <v>2133</v>
      </c>
      <c r="C71" s="203" t="s">
        <v>3156</v>
      </c>
      <c r="D71" s="202" t="s">
        <v>1742</v>
      </c>
      <c r="E71" s="203" t="s">
        <v>3137</v>
      </c>
      <c r="F71" s="203" t="s">
        <v>3128</v>
      </c>
      <c r="G71" s="202" t="s">
        <v>3302</v>
      </c>
      <c r="H71" s="203" t="s">
        <v>3303</v>
      </c>
      <c r="I71" s="203" t="s">
        <v>33</v>
      </c>
      <c r="J71" s="202" t="s">
        <v>86</v>
      </c>
      <c r="K71" s="204">
        <v>44441</v>
      </c>
      <c r="L71" s="205">
        <v>100</v>
      </c>
      <c r="M71" s="205">
        <v>330.6</v>
      </c>
      <c r="N71" s="205">
        <v>26.45196000000001</v>
      </c>
      <c r="O71" s="205">
        <v>87.450179760000026</v>
      </c>
      <c r="P71" s="202" t="s">
        <v>3304</v>
      </c>
      <c r="Q71" s="204">
        <v>47119</v>
      </c>
    </row>
  </sheetData>
  <sheetProtection formatColumns="0"/>
  <dataConsolidate/>
  <dataValidations count="2">
    <dataValidation type="list" allowBlank="1" showInputMessage="1" showErrorMessage="1" sqref="F2:F20" xr:uid="{F1D68458-F73A-438F-AAAA-565A48D39D70}">
      <formula1>Issuer_Number_Fund</formula1>
    </dataValidation>
    <dataValidation type="list" allowBlank="1" showInputMessage="1" showErrorMessage="1" sqref="I2:I20" xr:uid="{521BB8B8-1A08-4B7B-ADF1-DDE0EB9CEF4F}">
      <formula1>Type_of_Security_ID_Fund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/>
  <cols>
    <col min="1" max="1" width="29.5" style="9" customWidth="1"/>
    <col min="2" max="2" width="30.375" style="18" customWidth="1"/>
    <col min="3" max="3" width="90.875" style="64" customWidth="1"/>
    <col min="4" max="4" width="68.875" style="9" customWidth="1"/>
    <col min="5" max="5" width="29.75" style="18" bestFit="1" customWidth="1"/>
    <col min="6" max="6" width="9" style="18" hidden="1" customWidth="1"/>
    <col min="7" max="16384" width="9" style="18" hidden="1"/>
  </cols>
  <sheetData>
    <row r="1" spans="1:5" s="61" customFormat="1" ht="45">
      <c r="A1" s="60" t="s">
        <v>2235</v>
      </c>
      <c r="B1" s="60" t="s">
        <v>2236</v>
      </c>
      <c r="C1" s="60" t="s">
        <v>2237</v>
      </c>
      <c r="D1" s="60" t="s">
        <v>2238</v>
      </c>
      <c r="E1" s="18"/>
    </row>
    <row r="2" spans="1:5">
      <c r="A2" s="96"/>
      <c r="B2" s="96" t="s">
        <v>2239</v>
      </c>
      <c r="C2" s="25" t="s">
        <v>30</v>
      </c>
      <c r="D2" s="25"/>
    </row>
    <row r="3" spans="1:5">
      <c r="A3" s="97"/>
      <c r="B3" s="97"/>
      <c r="C3" s="25" t="s">
        <v>81</v>
      </c>
      <c r="D3" s="25"/>
    </row>
    <row r="4" spans="1:5" ht="42.75">
      <c r="A4" s="89"/>
      <c r="B4" s="116" t="s">
        <v>2240</v>
      </c>
      <c r="C4" s="26" t="s">
        <v>30</v>
      </c>
      <c r="D4" s="26"/>
    </row>
    <row r="5" spans="1:5">
      <c r="A5" s="90"/>
      <c r="B5" s="117"/>
      <c r="C5" s="26" t="s">
        <v>2241</v>
      </c>
      <c r="D5" s="26"/>
    </row>
    <row r="6" spans="1:5">
      <c r="A6" s="90"/>
      <c r="B6" s="117"/>
      <c r="C6" s="26" t="s">
        <v>2242</v>
      </c>
      <c r="D6" s="26"/>
    </row>
    <row r="7" spans="1:5">
      <c r="A7" s="90"/>
      <c r="B7" s="117"/>
      <c r="C7" s="26" t="s">
        <v>2243</v>
      </c>
      <c r="D7" s="26"/>
    </row>
    <row r="8" spans="1:5">
      <c r="A8" s="90"/>
      <c r="B8" s="117"/>
      <c r="C8" s="26" t="s">
        <v>2244</v>
      </c>
      <c r="D8" s="26"/>
    </row>
    <row r="9" spans="1:5">
      <c r="A9" s="90"/>
      <c r="B9" s="117"/>
      <c r="C9" s="26" t="s">
        <v>2245</v>
      </c>
      <c r="D9" s="26"/>
    </row>
    <row r="10" spans="1:5">
      <c r="A10" s="90"/>
      <c r="B10" s="117"/>
      <c r="C10" s="26" t="s">
        <v>2246</v>
      </c>
      <c r="D10" s="26"/>
    </row>
    <row r="11" spans="1:5">
      <c r="A11" s="90"/>
      <c r="B11" s="117"/>
      <c r="C11" s="26" t="s">
        <v>2247</v>
      </c>
      <c r="D11" s="26"/>
      <c r="E11" s="18" t="s">
        <v>2248</v>
      </c>
    </row>
    <row r="12" spans="1:5">
      <c r="A12" s="90"/>
      <c r="B12" s="117"/>
      <c r="C12" s="26" t="s">
        <v>2249</v>
      </c>
      <c r="D12" s="26"/>
      <c r="E12" s="18" t="s">
        <v>2248</v>
      </c>
    </row>
    <row r="13" spans="1:5">
      <c r="A13" s="90"/>
      <c r="B13" s="117"/>
      <c r="C13" s="26" t="s">
        <v>2250</v>
      </c>
      <c r="D13" s="26"/>
    </row>
    <row r="14" spans="1:5">
      <c r="A14" s="90"/>
      <c r="B14" s="117"/>
      <c r="C14" s="26" t="s">
        <v>1635</v>
      </c>
      <c r="D14" s="26"/>
    </row>
    <row r="15" spans="1:5">
      <c r="A15" s="90"/>
      <c r="B15" s="117"/>
      <c r="C15" s="26" t="s">
        <v>2251</v>
      </c>
      <c r="D15" s="26"/>
    </row>
    <row r="16" spans="1:5">
      <c r="A16" s="90"/>
      <c r="B16" s="117"/>
      <c r="C16" s="26" t="s">
        <v>2252</v>
      </c>
      <c r="D16" s="26"/>
    </row>
    <row r="17" spans="1:4">
      <c r="A17" s="90"/>
      <c r="B17" s="117"/>
      <c r="C17" s="26" t="s">
        <v>2253</v>
      </c>
      <c r="D17" s="26"/>
    </row>
    <row r="18" spans="1:4">
      <c r="A18" s="90"/>
      <c r="B18" s="117"/>
      <c r="C18" s="26" t="s">
        <v>2254</v>
      </c>
      <c r="D18" s="26"/>
    </row>
    <row r="19" spans="1:4">
      <c r="A19" s="90"/>
      <c r="B19" s="117"/>
      <c r="C19" s="26" t="s">
        <v>2255</v>
      </c>
      <c r="D19" s="26"/>
    </row>
    <row r="20" spans="1:4">
      <c r="A20" s="90"/>
      <c r="B20" s="117"/>
      <c r="C20" s="26" t="s">
        <v>2256</v>
      </c>
      <c r="D20" s="26"/>
    </row>
    <row r="21" spans="1:4">
      <c r="A21" s="90"/>
      <c r="B21" s="117"/>
      <c r="C21" s="26" t="s">
        <v>82</v>
      </c>
      <c r="D21" s="26"/>
    </row>
    <row r="22" spans="1:4">
      <c r="A22" s="90"/>
      <c r="B22" s="117"/>
      <c r="C22" s="26" t="s">
        <v>2257</v>
      </c>
      <c r="D22" s="26"/>
    </row>
    <row r="23" spans="1:4">
      <c r="A23" s="90"/>
      <c r="B23" s="117"/>
      <c r="C23" s="26" t="s">
        <v>2258</v>
      </c>
      <c r="D23" s="26"/>
    </row>
    <row r="24" spans="1:4">
      <c r="A24" s="90"/>
      <c r="B24" s="117"/>
      <c r="C24" s="26" t="s">
        <v>2259</v>
      </c>
      <c r="D24" s="26"/>
    </row>
    <row r="25" spans="1:4">
      <c r="A25" s="90"/>
      <c r="B25" s="117"/>
      <c r="C25" s="26" t="s">
        <v>2260</v>
      </c>
      <c r="D25" s="26"/>
    </row>
    <row r="26" spans="1:4">
      <c r="A26" s="90"/>
      <c r="B26" s="117"/>
      <c r="C26" s="26" t="s">
        <v>2261</v>
      </c>
      <c r="D26" s="26"/>
    </row>
    <row r="27" spans="1:4">
      <c r="A27" s="90"/>
      <c r="B27" s="117"/>
      <c r="C27" s="26" t="s">
        <v>2262</v>
      </c>
      <c r="D27" s="26"/>
    </row>
    <row r="28" spans="1:4">
      <c r="A28" s="90"/>
      <c r="B28" s="117"/>
      <c r="C28" s="26" t="s">
        <v>2263</v>
      </c>
      <c r="D28" s="26"/>
    </row>
    <row r="29" spans="1:4">
      <c r="A29" s="90"/>
      <c r="B29" s="117"/>
      <c r="C29" s="26" t="s">
        <v>2264</v>
      </c>
      <c r="D29" s="26"/>
    </row>
    <row r="30" spans="1:4">
      <c r="A30" s="90"/>
      <c r="B30" s="117"/>
      <c r="C30" s="26" t="s">
        <v>1224</v>
      </c>
      <c r="D30" s="26"/>
    </row>
    <row r="31" spans="1:4">
      <c r="A31" s="90"/>
      <c r="B31" s="117"/>
      <c r="C31" s="26" t="s">
        <v>2265</v>
      </c>
      <c r="D31" s="26"/>
    </row>
    <row r="32" spans="1:4">
      <c r="A32" s="90"/>
      <c r="B32" s="117"/>
      <c r="C32" s="26" t="s">
        <v>2266</v>
      </c>
      <c r="D32" s="26"/>
    </row>
    <row r="33" spans="1:5">
      <c r="A33" s="90"/>
      <c r="B33" s="117"/>
      <c r="C33" s="26" t="s">
        <v>2267</v>
      </c>
      <c r="D33" s="26"/>
    </row>
    <row r="34" spans="1:5">
      <c r="A34" s="90"/>
      <c r="B34" s="117"/>
      <c r="C34" s="26" t="s">
        <v>2268</v>
      </c>
      <c r="D34" s="26"/>
    </row>
    <row r="35" spans="1:5">
      <c r="A35" s="90"/>
      <c r="B35" s="117"/>
      <c r="C35" s="26" t="s">
        <v>1350</v>
      </c>
      <c r="D35" s="26"/>
    </row>
    <row r="36" spans="1:5">
      <c r="A36" s="90"/>
      <c r="B36" s="117"/>
      <c r="C36" s="26" t="s">
        <v>2269</v>
      </c>
      <c r="D36" s="26"/>
      <c r="E36" s="18" t="s">
        <v>2248</v>
      </c>
    </row>
    <row r="37" spans="1:5">
      <c r="A37" s="90"/>
      <c r="B37" s="117"/>
      <c r="C37" s="9" t="s">
        <v>2270</v>
      </c>
      <c r="D37" s="26"/>
      <c r="E37" s="18" t="s">
        <v>2248</v>
      </c>
    </row>
    <row r="38" spans="1:5">
      <c r="A38" s="90"/>
      <c r="B38" s="117"/>
      <c r="C38" s="26" t="s">
        <v>2271</v>
      </c>
      <c r="D38" s="26"/>
    </row>
    <row r="39" spans="1:5">
      <c r="A39" s="90"/>
      <c r="B39" s="117"/>
      <c r="C39" s="26" t="s">
        <v>2272</v>
      </c>
      <c r="D39" s="26"/>
    </row>
    <row r="40" spans="1:5">
      <c r="A40" s="90"/>
      <c r="B40" s="117"/>
      <c r="C40" s="26" t="s">
        <v>2273</v>
      </c>
      <c r="D40" s="26"/>
      <c r="E40" s="18" t="s">
        <v>2248</v>
      </c>
    </row>
    <row r="41" spans="1:5">
      <c r="A41" s="90"/>
      <c r="B41" s="117"/>
      <c r="C41" s="26" t="s">
        <v>2274</v>
      </c>
      <c r="D41" s="26"/>
    </row>
    <row r="42" spans="1:5">
      <c r="A42" s="90"/>
      <c r="B42" s="117"/>
      <c r="C42" s="26" t="s">
        <v>2275</v>
      </c>
      <c r="D42" s="26"/>
    </row>
    <row r="43" spans="1:5">
      <c r="A43" s="90"/>
      <c r="B43" s="117"/>
      <c r="C43" s="26" t="s">
        <v>2276</v>
      </c>
      <c r="D43" s="26"/>
    </row>
    <row r="44" spans="1:5">
      <c r="A44" s="90"/>
      <c r="B44" s="117"/>
      <c r="C44" s="26" t="s">
        <v>2277</v>
      </c>
      <c r="D44" s="26"/>
    </row>
    <row r="45" spans="1:5">
      <c r="A45" s="90"/>
      <c r="B45" s="117"/>
      <c r="C45" s="26" t="s">
        <v>2278</v>
      </c>
      <c r="D45" s="26"/>
    </row>
    <row r="46" spans="1:5">
      <c r="A46" s="90"/>
      <c r="B46" s="117"/>
      <c r="C46" s="26" t="s">
        <v>2279</v>
      </c>
      <c r="D46" s="26"/>
      <c r="E46" s="18" t="s">
        <v>2248</v>
      </c>
    </row>
    <row r="47" spans="1:5">
      <c r="A47" s="90"/>
      <c r="B47" s="117"/>
      <c r="C47" s="26" t="s">
        <v>2280</v>
      </c>
      <c r="D47" s="26"/>
    </row>
    <row r="48" spans="1:5">
      <c r="A48" s="90"/>
      <c r="B48" s="117"/>
      <c r="C48" s="26" t="s">
        <v>1429</v>
      </c>
      <c r="D48" s="26"/>
    </row>
    <row r="49" spans="1:5">
      <c r="A49" s="90"/>
      <c r="B49" s="117"/>
      <c r="C49" s="26" t="s">
        <v>2281</v>
      </c>
      <c r="D49" s="26"/>
    </row>
    <row r="50" spans="1:5">
      <c r="A50" s="90"/>
      <c r="B50" s="117"/>
      <c r="C50" s="26" t="s">
        <v>1907</v>
      </c>
      <c r="D50" s="26"/>
    </row>
    <row r="51" spans="1:5">
      <c r="A51" s="90"/>
      <c r="B51" s="117"/>
      <c r="C51" s="26" t="s">
        <v>2282</v>
      </c>
      <c r="D51" s="26"/>
    </row>
    <row r="52" spans="1:5">
      <c r="A52" s="90"/>
      <c r="B52" s="117"/>
      <c r="C52" s="26" t="s">
        <v>2283</v>
      </c>
      <c r="D52" s="26"/>
    </row>
    <row r="53" spans="1:5">
      <c r="A53" s="90"/>
      <c r="B53" s="117"/>
      <c r="C53" s="26" t="s">
        <v>2284</v>
      </c>
      <c r="D53" s="26"/>
    </row>
    <row r="54" spans="1:5">
      <c r="A54" s="90"/>
      <c r="B54" s="117"/>
      <c r="C54" s="26" t="s">
        <v>2285</v>
      </c>
      <c r="D54" s="26"/>
    </row>
    <row r="55" spans="1:5">
      <c r="A55" s="90"/>
      <c r="B55" s="117"/>
      <c r="C55" s="26" t="s">
        <v>2286</v>
      </c>
      <c r="D55" s="26"/>
    </row>
    <row r="56" spans="1:5">
      <c r="A56" s="90"/>
      <c r="B56" s="117"/>
      <c r="C56" s="26" t="s">
        <v>2287</v>
      </c>
      <c r="D56" s="26"/>
    </row>
    <row r="57" spans="1:5">
      <c r="A57" s="90"/>
      <c r="B57" s="117"/>
      <c r="C57" s="26" t="s">
        <v>2288</v>
      </c>
      <c r="D57" s="26"/>
    </row>
    <row r="58" spans="1:5">
      <c r="A58" s="90"/>
      <c r="B58" s="117"/>
      <c r="C58" s="26" t="s">
        <v>2289</v>
      </c>
      <c r="D58" s="26"/>
    </row>
    <row r="59" spans="1:5">
      <c r="A59" s="90"/>
      <c r="B59" s="117"/>
      <c r="C59" s="26" t="s">
        <v>2290</v>
      </c>
      <c r="D59" s="26"/>
    </row>
    <row r="60" spans="1:5">
      <c r="A60" s="90"/>
      <c r="B60" s="117"/>
      <c r="C60" s="26" t="s">
        <v>2291</v>
      </c>
      <c r="D60" s="26"/>
    </row>
    <row r="61" spans="1:5">
      <c r="A61" s="90"/>
      <c r="B61" s="117"/>
      <c r="C61" s="26" t="s">
        <v>2292</v>
      </c>
      <c r="D61" s="26"/>
    </row>
    <row r="62" spans="1:5">
      <c r="A62" s="90"/>
      <c r="B62" s="117"/>
      <c r="C62" s="26" t="s">
        <v>2293</v>
      </c>
      <c r="D62" s="26"/>
    </row>
    <row r="63" spans="1:5">
      <c r="A63" s="90"/>
      <c r="B63" s="117"/>
      <c r="C63" s="26" t="s">
        <v>2294</v>
      </c>
      <c r="D63" s="26"/>
      <c r="E63" s="18" t="s">
        <v>2248</v>
      </c>
    </row>
    <row r="64" spans="1:5">
      <c r="A64" s="90"/>
      <c r="B64" s="117"/>
      <c r="C64" s="26" t="s">
        <v>2295</v>
      </c>
      <c r="D64" s="26"/>
    </row>
    <row r="65" spans="1:4">
      <c r="A65" s="90"/>
      <c r="B65" s="117"/>
      <c r="C65" s="26" t="s">
        <v>1186</v>
      </c>
      <c r="D65" s="26"/>
    </row>
    <row r="66" spans="1:4">
      <c r="A66" s="90"/>
      <c r="B66" s="117"/>
      <c r="C66" s="26" t="s">
        <v>2296</v>
      </c>
      <c r="D66" s="26"/>
    </row>
    <row r="67" spans="1:4">
      <c r="A67" s="90"/>
      <c r="B67" s="117"/>
      <c r="C67" s="26" t="s">
        <v>2297</v>
      </c>
      <c r="D67" s="26"/>
    </row>
    <row r="68" spans="1:4">
      <c r="A68" s="90"/>
      <c r="B68" s="117"/>
      <c r="C68" s="26" t="s">
        <v>2298</v>
      </c>
      <c r="D68" s="26"/>
    </row>
    <row r="69" spans="1:4">
      <c r="A69" s="90"/>
      <c r="B69" s="117"/>
      <c r="C69" s="26" t="s">
        <v>1242</v>
      </c>
      <c r="D69" s="26"/>
    </row>
    <row r="70" spans="1:4">
      <c r="A70" s="90"/>
      <c r="B70" s="117"/>
      <c r="C70" s="26" t="s">
        <v>2299</v>
      </c>
      <c r="D70" s="26"/>
    </row>
    <row r="71" spans="1:4">
      <c r="A71" s="90"/>
      <c r="B71" s="117"/>
      <c r="C71" s="26" t="s">
        <v>2300</v>
      </c>
      <c r="D71" s="26"/>
    </row>
    <row r="72" spans="1:4">
      <c r="A72" s="90"/>
      <c r="B72" s="117"/>
      <c r="C72" s="26" t="s">
        <v>2301</v>
      </c>
      <c r="D72" s="26"/>
    </row>
    <row r="73" spans="1:4">
      <c r="A73" s="90"/>
      <c r="B73" s="117"/>
      <c r="C73" s="26" t="s">
        <v>2302</v>
      </c>
      <c r="D73" s="26"/>
    </row>
    <row r="74" spans="1:4">
      <c r="A74" s="90"/>
      <c r="B74" s="117"/>
      <c r="C74" s="26" t="s">
        <v>2303</v>
      </c>
      <c r="D74" s="26"/>
    </row>
    <row r="75" spans="1:4">
      <c r="A75" s="90"/>
      <c r="B75" s="117"/>
      <c r="C75" s="26" t="s">
        <v>2304</v>
      </c>
      <c r="D75" s="26"/>
    </row>
    <row r="76" spans="1:4">
      <c r="A76" s="90"/>
      <c r="B76" s="117"/>
      <c r="C76" s="26" t="s">
        <v>2305</v>
      </c>
      <c r="D76" s="26"/>
    </row>
    <row r="77" spans="1:4">
      <c r="A77" s="90"/>
      <c r="B77" s="117"/>
      <c r="C77" s="26" t="s">
        <v>2306</v>
      </c>
      <c r="D77" s="26"/>
    </row>
    <row r="78" spans="1:4">
      <c r="A78" s="90"/>
      <c r="B78" s="117"/>
      <c r="C78" s="26" t="s">
        <v>2307</v>
      </c>
      <c r="D78" s="26"/>
    </row>
    <row r="79" spans="1:4">
      <c r="A79" s="90"/>
      <c r="B79" s="117"/>
      <c r="C79" s="26" t="s">
        <v>2308</v>
      </c>
      <c r="D79" s="26"/>
    </row>
    <row r="80" spans="1:4">
      <c r="A80" s="90"/>
      <c r="B80" s="117"/>
      <c r="C80" s="26" t="s">
        <v>1978</v>
      </c>
      <c r="D80" s="26"/>
    </row>
    <row r="81" spans="1:5">
      <c r="A81" s="90"/>
      <c r="B81" s="117"/>
      <c r="C81" s="26" t="s">
        <v>2309</v>
      </c>
      <c r="D81" s="26"/>
    </row>
    <row r="82" spans="1:5">
      <c r="A82" s="90"/>
      <c r="B82" s="117"/>
      <c r="C82" s="26" t="s">
        <v>2310</v>
      </c>
      <c r="D82" s="26"/>
    </row>
    <row r="83" spans="1:5">
      <c r="A83" s="90"/>
      <c r="B83" s="117"/>
      <c r="C83" s="26" t="s">
        <v>2311</v>
      </c>
      <c r="D83" s="26"/>
    </row>
    <row r="84" spans="1:5">
      <c r="A84" s="90"/>
      <c r="B84" s="117"/>
      <c r="C84" s="26" t="s">
        <v>1231</v>
      </c>
      <c r="D84" s="26"/>
    </row>
    <row r="85" spans="1:5">
      <c r="A85" s="90"/>
      <c r="B85" s="117"/>
      <c r="C85" s="26" t="s">
        <v>2312</v>
      </c>
      <c r="D85" s="26"/>
    </row>
    <row r="86" spans="1:5">
      <c r="A86" s="90"/>
      <c r="B86" s="117"/>
      <c r="C86" s="26" t="s">
        <v>1028</v>
      </c>
      <c r="D86" s="26"/>
    </row>
    <row r="87" spans="1:5">
      <c r="A87" s="90"/>
      <c r="B87" s="117"/>
      <c r="C87" s="26" t="s">
        <v>2313</v>
      </c>
      <c r="D87" s="26"/>
    </row>
    <row r="88" spans="1:5">
      <c r="A88" s="90"/>
      <c r="B88" s="117"/>
      <c r="C88" s="26" t="s">
        <v>2314</v>
      </c>
      <c r="D88" s="26"/>
    </row>
    <row r="89" spans="1:5">
      <c r="A89" s="90"/>
      <c r="B89" s="117"/>
      <c r="C89" s="26" t="s">
        <v>2315</v>
      </c>
      <c r="D89" s="26"/>
    </row>
    <row r="90" spans="1:5">
      <c r="A90" s="90"/>
      <c r="B90" s="117"/>
      <c r="C90" s="26" t="s">
        <v>1310</v>
      </c>
      <c r="D90" s="26"/>
    </row>
    <row r="91" spans="1:5">
      <c r="A91" s="90"/>
      <c r="B91" s="117"/>
      <c r="C91" s="26" t="s">
        <v>2316</v>
      </c>
      <c r="D91" s="26"/>
    </row>
    <row r="92" spans="1:5">
      <c r="A92" s="90"/>
      <c r="B92" s="117"/>
      <c r="C92" s="26" t="s">
        <v>2317</v>
      </c>
      <c r="D92" s="26"/>
    </row>
    <row r="93" spans="1:5">
      <c r="A93" s="90"/>
      <c r="B93" s="117"/>
      <c r="C93" s="26" t="s">
        <v>237</v>
      </c>
      <c r="D93" s="26"/>
    </row>
    <row r="94" spans="1:5">
      <c r="A94" s="90"/>
      <c r="B94" s="117"/>
      <c r="C94" s="26" t="s">
        <v>2318</v>
      </c>
      <c r="D94" s="26" t="s">
        <v>2319</v>
      </c>
      <c r="E94" s="18" t="s">
        <v>2248</v>
      </c>
    </row>
    <row r="95" spans="1:5">
      <c r="A95" s="90"/>
      <c r="B95" s="117"/>
      <c r="C95" s="26" t="s">
        <v>2320</v>
      </c>
      <c r="D95" s="26" t="s">
        <v>2321</v>
      </c>
      <c r="E95" s="18" t="s">
        <v>2248</v>
      </c>
    </row>
    <row r="96" spans="1:5">
      <c r="A96" s="90"/>
      <c r="B96" s="117"/>
      <c r="C96" s="26" t="s">
        <v>2322</v>
      </c>
      <c r="D96" s="26" t="s">
        <v>2321</v>
      </c>
      <c r="E96" s="18" t="s">
        <v>2248</v>
      </c>
    </row>
    <row r="97" spans="1:5">
      <c r="A97" s="90"/>
      <c r="B97" s="117"/>
      <c r="C97" s="26" t="s">
        <v>2323</v>
      </c>
      <c r="D97" s="26" t="s">
        <v>2321</v>
      </c>
      <c r="E97" s="18" t="s">
        <v>2248</v>
      </c>
    </row>
    <row r="98" spans="1:5">
      <c r="A98" s="90"/>
      <c r="B98" s="117"/>
      <c r="C98" s="26" t="s">
        <v>2324</v>
      </c>
      <c r="D98" s="26" t="s">
        <v>2321</v>
      </c>
      <c r="E98" s="18" t="s">
        <v>2248</v>
      </c>
    </row>
    <row r="99" spans="1:5">
      <c r="A99" s="90"/>
      <c r="B99" s="117"/>
      <c r="C99" s="26" t="s">
        <v>2325</v>
      </c>
      <c r="D99" s="26" t="s">
        <v>2321</v>
      </c>
      <c r="E99" s="18" t="s">
        <v>2248</v>
      </c>
    </row>
    <row r="100" spans="1:5">
      <c r="A100" s="90"/>
      <c r="B100" s="117"/>
      <c r="C100" s="26" t="s">
        <v>2326</v>
      </c>
      <c r="D100" s="26" t="s">
        <v>2321</v>
      </c>
      <c r="E100" s="18" t="s">
        <v>2248</v>
      </c>
    </row>
    <row r="101" spans="1:5">
      <c r="A101" s="90"/>
      <c r="B101" s="117"/>
      <c r="C101" s="26" t="s">
        <v>2327</v>
      </c>
      <c r="D101" s="26" t="s">
        <v>2321</v>
      </c>
      <c r="E101" s="18" t="s">
        <v>2248</v>
      </c>
    </row>
    <row r="102" spans="1:5">
      <c r="A102" s="90"/>
      <c r="B102" s="117"/>
      <c r="C102" s="26" t="s">
        <v>2328</v>
      </c>
      <c r="D102" s="26" t="s">
        <v>2321</v>
      </c>
      <c r="E102" s="18" t="s">
        <v>2248</v>
      </c>
    </row>
    <row r="103" spans="1:5">
      <c r="A103" s="90"/>
      <c r="B103" s="117"/>
      <c r="C103" s="26" t="s">
        <v>2329</v>
      </c>
      <c r="D103" s="26" t="s">
        <v>2321</v>
      </c>
      <c r="E103" s="18" t="s">
        <v>2248</v>
      </c>
    </row>
    <row r="104" spans="1:5">
      <c r="A104" s="85"/>
      <c r="B104" s="85" t="s">
        <v>137</v>
      </c>
      <c r="C104" s="25" t="s">
        <v>149</v>
      </c>
      <c r="D104" s="25"/>
    </row>
    <row r="105" spans="1:5">
      <c r="A105" s="86"/>
      <c r="B105" s="86"/>
      <c r="C105" s="25" t="s">
        <v>136</v>
      </c>
      <c r="D105" s="25"/>
    </row>
    <row r="106" spans="1:5">
      <c r="A106" s="86"/>
      <c r="B106" s="86"/>
      <c r="C106" s="25" t="s">
        <v>817</v>
      </c>
      <c r="D106" s="25"/>
    </row>
    <row r="107" spans="1:5">
      <c r="A107" s="86"/>
      <c r="B107" s="86"/>
      <c r="C107" s="25" t="s">
        <v>913</v>
      </c>
      <c r="D107" s="25"/>
    </row>
    <row r="108" spans="1:5">
      <c r="A108" s="86"/>
      <c r="B108" s="86"/>
      <c r="C108" s="25" t="s">
        <v>33</v>
      </c>
      <c r="D108" s="25"/>
    </row>
    <row r="109" spans="1:5">
      <c r="A109" s="86"/>
      <c r="B109" s="86"/>
      <c r="C109" s="25" t="s">
        <v>935</v>
      </c>
      <c r="D109" s="25"/>
    </row>
    <row r="110" spans="1:5">
      <c r="A110" s="87"/>
      <c r="B110" s="87"/>
      <c r="C110" s="25" t="s">
        <v>131</v>
      </c>
      <c r="D110" s="25"/>
    </row>
    <row r="111" spans="1:5">
      <c r="A111" s="90"/>
      <c r="B111" s="76" t="s">
        <v>2193</v>
      </c>
      <c r="C111" s="26" t="s">
        <v>149</v>
      </c>
      <c r="D111" s="26"/>
    </row>
    <row r="112" spans="1:5">
      <c r="A112" s="90"/>
      <c r="B112" s="77"/>
      <c r="C112" s="26" t="s">
        <v>2330</v>
      </c>
      <c r="D112" s="26"/>
    </row>
    <row r="113" spans="1:4">
      <c r="A113" s="90"/>
      <c r="B113" s="78"/>
      <c r="C113" s="26" t="s">
        <v>2331</v>
      </c>
      <c r="D113" s="26"/>
    </row>
    <row r="114" spans="1:4">
      <c r="A114" s="103"/>
      <c r="B114" s="103" t="s">
        <v>2332</v>
      </c>
      <c r="C114" s="25" t="s">
        <v>149</v>
      </c>
      <c r="D114" s="25"/>
    </row>
    <row r="115" spans="1:4">
      <c r="A115" s="103"/>
      <c r="B115" s="103"/>
      <c r="C115" s="25" t="s">
        <v>817</v>
      </c>
      <c r="D115" s="25"/>
    </row>
    <row r="116" spans="1:4">
      <c r="A116" s="103"/>
      <c r="B116" s="103"/>
      <c r="C116" s="25" t="s">
        <v>913</v>
      </c>
      <c r="D116" s="25"/>
    </row>
    <row r="117" spans="1:4">
      <c r="A117" s="103"/>
      <c r="B117" s="103"/>
      <c r="C117" s="25" t="s">
        <v>935</v>
      </c>
      <c r="D117" s="25"/>
    </row>
    <row r="118" spans="1:4">
      <c r="A118" s="89"/>
      <c r="B118" s="104" t="s">
        <v>2142</v>
      </c>
      <c r="C118" s="26" t="s">
        <v>149</v>
      </c>
      <c r="D118" s="26"/>
    </row>
    <row r="119" spans="1:4">
      <c r="A119" s="127"/>
      <c r="B119" s="126"/>
      <c r="C119" s="26" t="s">
        <v>2333</v>
      </c>
      <c r="D119" s="26"/>
    </row>
    <row r="120" spans="1:4">
      <c r="A120" s="127"/>
      <c r="B120" s="126"/>
      <c r="C120" s="26" t="s">
        <v>913</v>
      </c>
      <c r="D120" s="26"/>
    </row>
    <row r="121" spans="1:4">
      <c r="A121" s="127"/>
      <c r="B121" s="126"/>
      <c r="C121" s="26" t="s">
        <v>33</v>
      </c>
      <c r="D121" s="26"/>
    </row>
    <row r="122" spans="1:4">
      <c r="A122" s="127"/>
      <c r="B122" s="126"/>
      <c r="C122" s="26" t="s">
        <v>817</v>
      </c>
      <c r="D122" s="26"/>
    </row>
    <row r="123" spans="1:4">
      <c r="A123" s="127"/>
      <c r="B123" s="126"/>
      <c r="C123" s="26" t="s">
        <v>2334</v>
      </c>
      <c r="D123" s="26"/>
    </row>
    <row r="124" spans="1:4">
      <c r="A124" s="127"/>
      <c r="B124" s="126"/>
      <c r="C124" s="26" t="s">
        <v>2335</v>
      </c>
      <c r="D124" s="26"/>
    </row>
    <row r="125" spans="1:4">
      <c r="A125" s="127"/>
      <c r="B125" s="126"/>
      <c r="C125" s="26" t="s">
        <v>935</v>
      </c>
      <c r="D125" s="26"/>
    </row>
    <row r="126" spans="1:4">
      <c r="A126" s="90"/>
      <c r="B126" s="105"/>
      <c r="C126" s="26" t="s">
        <v>131</v>
      </c>
      <c r="D126" s="26"/>
    </row>
    <row r="127" spans="1:4">
      <c r="A127" s="85"/>
      <c r="B127" s="85" t="s">
        <v>138</v>
      </c>
      <c r="C127" s="25" t="s">
        <v>152</v>
      </c>
      <c r="D127" s="25"/>
    </row>
    <row r="128" spans="1:4">
      <c r="A128" s="86"/>
      <c r="B128" s="86"/>
      <c r="C128" s="25" t="s">
        <v>2336</v>
      </c>
      <c r="D128" s="25"/>
    </row>
    <row r="129" spans="1:5">
      <c r="A129" s="86"/>
      <c r="B129" s="86"/>
      <c r="C129" s="25" t="s">
        <v>2337</v>
      </c>
      <c r="D129" s="25"/>
    </row>
    <row r="130" spans="1:5">
      <c r="A130" s="86"/>
      <c r="B130" s="86"/>
      <c r="C130" s="25" t="s">
        <v>2099</v>
      </c>
      <c r="D130" s="25"/>
    </row>
    <row r="131" spans="1:5">
      <c r="A131" s="86"/>
      <c r="B131" s="86"/>
      <c r="C131" s="25" t="s">
        <v>33</v>
      </c>
      <c r="D131" s="25"/>
    </row>
    <row r="132" spans="1:5">
      <c r="A132" s="90"/>
      <c r="B132" s="77" t="s">
        <v>2338</v>
      </c>
      <c r="C132" s="26" t="s">
        <v>152</v>
      </c>
      <c r="D132" s="26"/>
    </row>
    <row r="133" spans="1:5">
      <c r="A133" s="90"/>
      <c r="B133" s="77"/>
      <c r="C133" s="26" t="s">
        <v>33</v>
      </c>
      <c r="D133" s="26"/>
    </row>
    <row r="134" spans="1:5">
      <c r="A134" s="91"/>
      <c r="B134" s="78"/>
      <c r="C134" s="26" t="s">
        <v>131</v>
      </c>
      <c r="D134" s="26"/>
    </row>
    <row r="135" spans="1:5">
      <c r="A135" s="92"/>
      <c r="B135" s="92" t="s">
        <v>146</v>
      </c>
      <c r="C135" s="25" t="s">
        <v>154</v>
      </c>
      <c r="D135" s="25"/>
    </row>
    <row r="136" spans="1:5">
      <c r="A136" s="93"/>
      <c r="B136" s="93"/>
      <c r="C136" s="25" t="s">
        <v>1571</v>
      </c>
      <c r="D136" s="25"/>
      <c r="E136" s="18" t="s">
        <v>2248</v>
      </c>
    </row>
    <row r="137" spans="1:5">
      <c r="A137" s="93"/>
      <c r="B137" s="93"/>
      <c r="C137" s="25" t="s">
        <v>2078</v>
      </c>
      <c r="D137" s="25" t="s">
        <v>2339</v>
      </c>
    </row>
    <row r="138" spans="1:5">
      <c r="A138" s="93"/>
      <c r="B138" s="93"/>
      <c r="C138" s="25" t="s">
        <v>2340</v>
      </c>
      <c r="D138" s="25" t="s">
        <v>2341</v>
      </c>
    </row>
    <row r="139" spans="1:5">
      <c r="A139" s="93"/>
      <c r="B139" s="93"/>
      <c r="C139" s="25" t="s">
        <v>2342</v>
      </c>
      <c r="D139" s="25"/>
    </row>
    <row r="140" spans="1:5">
      <c r="A140" s="93"/>
      <c r="B140" s="93"/>
      <c r="C140" s="25" t="s">
        <v>2343</v>
      </c>
      <c r="D140" s="25"/>
    </row>
    <row r="141" spans="1:5">
      <c r="A141" s="93"/>
      <c r="B141" s="93"/>
      <c r="C141" s="25" t="s">
        <v>2344</v>
      </c>
      <c r="D141" s="25"/>
    </row>
    <row r="142" spans="1:5">
      <c r="A142" s="93"/>
      <c r="B142" s="93"/>
      <c r="C142" s="25" t="s">
        <v>2345</v>
      </c>
      <c r="D142" s="25"/>
    </row>
    <row r="143" spans="1:5">
      <c r="A143" s="93"/>
      <c r="B143" s="93"/>
      <c r="C143" s="25" t="s">
        <v>2346</v>
      </c>
      <c r="D143" s="25"/>
    </row>
    <row r="144" spans="1:5">
      <c r="A144" s="93"/>
      <c r="B144" s="93"/>
      <c r="C144" s="25" t="s">
        <v>2347</v>
      </c>
      <c r="D144" s="25"/>
    </row>
    <row r="145" spans="1:4">
      <c r="A145" s="93"/>
      <c r="B145" s="93"/>
      <c r="C145" s="25" t="s">
        <v>131</v>
      </c>
      <c r="D145" s="25"/>
    </row>
    <row r="146" spans="1:4">
      <c r="A146" s="89"/>
      <c r="B146" s="82" t="s">
        <v>2348</v>
      </c>
      <c r="C146" s="26" t="s">
        <v>1654</v>
      </c>
      <c r="D146" s="26"/>
    </row>
    <row r="147" spans="1:4">
      <c r="A147" s="91"/>
      <c r="B147" s="84"/>
      <c r="C147" s="26" t="s">
        <v>156</v>
      </c>
      <c r="D147" s="26"/>
    </row>
    <row r="148" spans="1:4">
      <c r="A148" s="71"/>
      <c r="B148" s="125" t="s">
        <v>8</v>
      </c>
      <c r="C148" s="25" t="s">
        <v>31</v>
      </c>
      <c r="D148" s="25" t="s">
        <v>2349</v>
      </c>
    </row>
    <row r="149" spans="1:4">
      <c r="A149" s="72"/>
      <c r="B149" s="72"/>
      <c r="C149" s="25" t="s">
        <v>2350</v>
      </c>
      <c r="D149" s="25" t="s">
        <v>2351</v>
      </c>
    </row>
    <row r="150" spans="1:4">
      <c r="A150" s="72"/>
      <c r="B150" s="72"/>
      <c r="C150" s="25" t="s">
        <v>1053</v>
      </c>
      <c r="D150" s="25" t="s">
        <v>2352</v>
      </c>
    </row>
    <row r="151" spans="1:4">
      <c r="A151" s="72"/>
      <c r="B151" s="72"/>
      <c r="C151" s="25" t="s">
        <v>1029</v>
      </c>
      <c r="D151" s="25" t="s">
        <v>2353</v>
      </c>
    </row>
    <row r="152" spans="1:4">
      <c r="A152" s="72"/>
      <c r="B152" s="72"/>
      <c r="C152" s="25" t="s">
        <v>2354</v>
      </c>
      <c r="D152" s="25" t="s">
        <v>2355</v>
      </c>
    </row>
    <row r="153" spans="1:4">
      <c r="A153" s="72"/>
      <c r="B153" s="72"/>
      <c r="C153" s="25" t="s">
        <v>2356</v>
      </c>
      <c r="D153" s="25" t="s">
        <v>2357</v>
      </c>
    </row>
    <row r="154" spans="1:4">
      <c r="A154" s="72"/>
      <c r="B154" s="72"/>
      <c r="C154" s="25" t="s">
        <v>2358</v>
      </c>
      <c r="D154" s="25" t="s">
        <v>2359</v>
      </c>
    </row>
    <row r="155" spans="1:4">
      <c r="A155" s="72"/>
      <c r="B155" s="72"/>
      <c r="C155" s="25" t="s">
        <v>2360</v>
      </c>
      <c r="D155" s="25" t="s">
        <v>2361</v>
      </c>
    </row>
    <row r="156" spans="1:4">
      <c r="A156" s="72"/>
      <c r="B156" s="72"/>
      <c r="C156" s="25" t="s">
        <v>2362</v>
      </c>
      <c r="D156" s="25" t="s">
        <v>2363</v>
      </c>
    </row>
    <row r="157" spans="1:4">
      <c r="A157" s="72"/>
      <c r="B157" s="72"/>
      <c r="C157" s="25" t="s">
        <v>2364</v>
      </c>
      <c r="D157" s="25" t="s">
        <v>2365</v>
      </c>
    </row>
    <row r="158" spans="1:4">
      <c r="A158" s="72"/>
      <c r="B158" s="72"/>
      <c r="C158" s="25" t="s">
        <v>2366</v>
      </c>
      <c r="D158" s="25" t="s">
        <v>2367</v>
      </c>
    </row>
    <row r="159" spans="1:4">
      <c r="A159" s="72"/>
      <c r="B159" s="72"/>
      <c r="C159" s="25" t="s">
        <v>1529</v>
      </c>
      <c r="D159" s="25" t="s">
        <v>2368</v>
      </c>
    </row>
    <row r="160" spans="1:4">
      <c r="A160" s="72"/>
      <c r="B160" s="72"/>
      <c r="C160" s="25" t="s">
        <v>1418</v>
      </c>
      <c r="D160" s="25" t="s">
        <v>2369</v>
      </c>
    </row>
    <row r="161" spans="1:4">
      <c r="A161" s="72"/>
      <c r="B161" s="72"/>
      <c r="C161" s="25" t="s">
        <v>1473</v>
      </c>
      <c r="D161" s="25" t="s">
        <v>2370</v>
      </c>
    </row>
    <row r="162" spans="1:4">
      <c r="A162" s="72"/>
      <c r="B162" s="72"/>
      <c r="C162" s="25" t="s">
        <v>1311</v>
      </c>
      <c r="D162" s="25" t="s">
        <v>2371</v>
      </c>
    </row>
    <row r="163" spans="1:4">
      <c r="A163" s="72"/>
      <c r="B163" s="72"/>
      <c r="C163" s="25" t="s">
        <v>1187</v>
      </c>
      <c r="D163" s="25" t="s">
        <v>2372</v>
      </c>
    </row>
    <row r="164" spans="1:4">
      <c r="A164" s="72"/>
      <c r="B164" s="72"/>
      <c r="C164" s="25" t="s">
        <v>2373</v>
      </c>
      <c r="D164" s="25" t="s">
        <v>2374</v>
      </c>
    </row>
    <row r="165" spans="1:4">
      <c r="A165" s="72"/>
      <c r="B165" s="72"/>
      <c r="C165" s="25" t="s">
        <v>2375</v>
      </c>
      <c r="D165" s="25" t="s">
        <v>2376</v>
      </c>
    </row>
    <row r="166" spans="1:4">
      <c r="A166" s="72"/>
      <c r="B166" s="72"/>
      <c r="C166" s="25" t="s">
        <v>2377</v>
      </c>
      <c r="D166" s="25" t="s">
        <v>2378</v>
      </c>
    </row>
    <row r="167" spans="1:4">
      <c r="A167" s="72"/>
      <c r="B167" s="72"/>
      <c r="C167" s="25" t="s">
        <v>2379</v>
      </c>
      <c r="D167" s="25" t="s">
        <v>2380</v>
      </c>
    </row>
    <row r="168" spans="1:4">
      <c r="A168" s="72"/>
      <c r="B168" s="72"/>
      <c r="C168" s="25" t="s">
        <v>1195</v>
      </c>
      <c r="D168" s="25" t="s">
        <v>2381</v>
      </c>
    </row>
    <row r="169" spans="1:4">
      <c r="A169" s="72"/>
      <c r="B169" s="72"/>
      <c r="C169" s="25" t="s">
        <v>2382</v>
      </c>
      <c r="D169" s="25" t="s">
        <v>2383</v>
      </c>
    </row>
    <row r="170" spans="1:4">
      <c r="A170" s="72"/>
      <c r="B170" s="72"/>
      <c r="C170" s="25" t="s">
        <v>2384</v>
      </c>
      <c r="D170" s="25" t="s">
        <v>2385</v>
      </c>
    </row>
    <row r="171" spans="1:4">
      <c r="A171" s="72"/>
      <c r="B171" s="72"/>
      <c r="C171" s="25" t="s">
        <v>2386</v>
      </c>
      <c r="D171" s="25" t="s">
        <v>2387</v>
      </c>
    </row>
    <row r="172" spans="1:4">
      <c r="A172" s="72"/>
      <c r="B172" s="72"/>
      <c r="C172" s="25" t="s">
        <v>2388</v>
      </c>
      <c r="D172" s="25" t="s">
        <v>2389</v>
      </c>
    </row>
    <row r="173" spans="1:4">
      <c r="A173" s="72"/>
      <c r="B173" s="72"/>
      <c r="C173" s="25" t="s">
        <v>2390</v>
      </c>
      <c r="D173" s="25" t="s">
        <v>2391</v>
      </c>
    </row>
    <row r="174" spans="1:4">
      <c r="A174" s="72"/>
      <c r="B174" s="72"/>
      <c r="C174" s="25" t="s">
        <v>2392</v>
      </c>
      <c r="D174" s="25" t="s">
        <v>2393</v>
      </c>
    </row>
    <row r="175" spans="1:4">
      <c r="A175" s="72"/>
      <c r="B175" s="72"/>
      <c r="C175" s="25" t="s">
        <v>1243</v>
      </c>
      <c r="D175" s="25" t="s">
        <v>2394</v>
      </c>
    </row>
    <row r="176" spans="1:4">
      <c r="A176" s="72"/>
      <c r="B176" s="72"/>
      <c r="C176" s="25" t="s">
        <v>1232</v>
      </c>
      <c r="D176" s="25" t="s">
        <v>2395</v>
      </c>
    </row>
    <row r="177" spans="1:5">
      <c r="A177" s="72"/>
      <c r="B177" s="72"/>
      <c r="C177" s="25" t="s">
        <v>2396</v>
      </c>
      <c r="D177" s="25" t="s">
        <v>2397</v>
      </c>
    </row>
    <row r="178" spans="1:5">
      <c r="A178" s="72"/>
      <c r="B178" s="72"/>
      <c r="C178" s="25" t="s">
        <v>2398</v>
      </c>
      <c r="D178" s="25" t="s">
        <v>2399</v>
      </c>
    </row>
    <row r="179" spans="1:5">
      <c r="A179" s="72"/>
      <c r="B179" s="72"/>
      <c r="C179" s="25" t="s">
        <v>2400</v>
      </c>
      <c r="D179" s="25" t="s">
        <v>2401</v>
      </c>
    </row>
    <row r="180" spans="1:5">
      <c r="A180" s="72"/>
      <c r="B180" s="72"/>
      <c r="C180" s="25" t="s">
        <v>83</v>
      </c>
      <c r="D180" s="25" t="s">
        <v>2402</v>
      </c>
      <c r="E180" s="18" t="s">
        <v>2248</v>
      </c>
    </row>
    <row r="181" spans="1:5">
      <c r="A181" s="72"/>
      <c r="B181" s="72"/>
      <c r="C181" s="25" t="s">
        <v>131</v>
      </c>
      <c r="D181" s="25" t="s">
        <v>131</v>
      </c>
    </row>
    <row r="182" spans="1:5">
      <c r="A182" s="89"/>
      <c r="B182" s="82" t="s">
        <v>2403</v>
      </c>
      <c r="C182" s="63" t="s">
        <v>159</v>
      </c>
      <c r="D182" s="63"/>
    </row>
    <row r="183" spans="1:5">
      <c r="A183" s="90"/>
      <c r="B183" s="83"/>
      <c r="C183" s="63" t="s">
        <v>2168</v>
      </c>
      <c r="D183" s="63"/>
    </row>
    <row r="184" spans="1:5">
      <c r="A184" s="90"/>
      <c r="B184" s="83"/>
      <c r="C184" s="63" t="s">
        <v>2404</v>
      </c>
      <c r="D184" s="63"/>
    </row>
    <row r="185" spans="1:5">
      <c r="A185" s="91"/>
      <c r="B185" s="84"/>
      <c r="C185" s="65" t="s">
        <v>283</v>
      </c>
      <c r="D185" s="65"/>
    </row>
    <row r="186" spans="1:5">
      <c r="A186" s="85"/>
      <c r="B186" s="85" t="s">
        <v>143</v>
      </c>
      <c r="C186" s="62" t="s">
        <v>918</v>
      </c>
      <c r="D186" s="62"/>
    </row>
    <row r="187" spans="1:5">
      <c r="A187" s="86"/>
      <c r="B187" s="86"/>
      <c r="C187" s="62" t="s">
        <v>161</v>
      </c>
      <c r="D187" s="62"/>
    </row>
    <row r="188" spans="1:5">
      <c r="A188" s="89"/>
      <c r="B188" s="82" t="s">
        <v>10</v>
      </c>
      <c r="C188" s="65" t="s">
        <v>169</v>
      </c>
      <c r="D188" s="65" t="s">
        <v>2405</v>
      </c>
    </row>
    <row r="189" spans="1:5">
      <c r="A189" s="90"/>
      <c r="B189" s="83"/>
      <c r="C189" s="65" t="s">
        <v>158</v>
      </c>
      <c r="D189" s="65" t="s">
        <v>2406</v>
      </c>
    </row>
    <row r="190" spans="1:5">
      <c r="A190" s="90"/>
      <c r="B190" s="83"/>
      <c r="C190" s="65" t="s">
        <v>33</v>
      </c>
      <c r="D190" s="65" t="s">
        <v>33</v>
      </c>
    </row>
    <row r="191" spans="1:5">
      <c r="A191" s="90"/>
      <c r="B191" s="83"/>
      <c r="C191" s="65" t="s">
        <v>2407</v>
      </c>
      <c r="D191" s="65" t="s">
        <v>2408</v>
      </c>
    </row>
    <row r="192" spans="1:5">
      <c r="A192" s="90"/>
      <c r="B192" s="83"/>
      <c r="C192" s="65" t="s">
        <v>2409</v>
      </c>
      <c r="D192" s="65" t="s">
        <v>2410</v>
      </c>
    </row>
    <row r="193" spans="1:4">
      <c r="A193" s="90"/>
      <c r="B193" s="83"/>
      <c r="C193" s="65" t="s">
        <v>2411</v>
      </c>
      <c r="D193" s="65" t="s">
        <v>2412</v>
      </c>
    </row>
    <row r="194" spans="1:4">
      <c r="A194" s="90"/>
      <c r="B194" s="83"/>
      <c r="C194" s="65" t="s">
        <v>2413</v>
      </c>
      <c r="D194" s="65" t="s">
        <v>2414</v>
      </c>
    </row>
    <row r="195" spans="1:4">
      <c r="A195" s="90"/>
      <c r="B195" s="83"/>
      <c r="C195" s="65" t="s">
        <v>2415</v>
      </c>
      <c r="D195" s="65" t="s">
        <v>2416</v>
      </c>
    </row>
    <row r="196" spans="1:4">
      <c r="A196" s="90"/>
      <c r="B196" s="83"/>
      <c r="C196" s="65" t="s">
        <v>2417</v>
      </c>
      <c r="D196" s="65" t="s">
        <v>2418</v>
      </c>
    </row>
    <row r="197" spans="1:4">
      <c r="A197" s="90"/>
      <c r="B197" s="83"/>
      <c r="C197" s="65" t="s">
        <v>2419</v>
      </c>
      <c r="D197" s="65" t="s">
        <v>2420</v>
      </c>
    </row>
    <row r="198" spans="1:4">
      <c r="A198" s="90"/>
      <c r="B198" s="83"/>
      <c r="C198" s="65" t="s">
        <v>85</v>
      </c>
      <c r="D198" s="65" t="s">
        <v>2421</v>
      </c>
    </row>
    <row r="199" spans="1:4">
      <c r="A199" s="90"/>
      <c r="B199" s="83"/>
      <c r="C199" s="65" t="s">
        <v>493</v>
      </c>
      <c r="D199" s="65" t="s">
        <v>2422</v>
      </c>
    </row>
    <row r="200" spans="1:4">
      <c r="A200" s="90"/>
      <c r="B200" s="83"/>
      <c r="C200" s="65" t="s">
        <v>131</v>
      </c>
      <c r="D200" s="65" t="s">
        <v>131</v>
      </c>
    </row>
    <row r="201" spans="1:4">
      <c r="A201" s="91"/>
      <c r="B201" s="84"/>
      <c r="C201" s="65" t="s">
        <v>283</v>
      </c>
      <c r="D201" s="65" t="s">
        <v>2423</v>
      </c>
    </row>
    <row r="202" spans="1:4">
      <c r="A202" s="125"/>
      <c r="B202" s="125" t="s">
        <v>139</v>
      </c>
      <c r="C202" s="25" t="s">
        <v>2424</v>
      </c>
      <c r="D202" s="25"/>
    </row>
    <row r="203" spans="1:4">
      <c r="A203" s="72"/>
      <c r="B203" s="72"/>
      <c r="C203" s="25" t="s">
        <v>743</v>
      </c>
      <c r="D203" s="25"/>
    </row>
    <row r="204" spans="1:4">
      <c r="A204" s="72"/>
      <c r="B204" s="72"/>
      <c r="C204" s="25" t="s">
        <v>2425</v>
      </c>
      <c r="D204" s="25"/>
    </row>
    <row r="205" spans="1:4">
      <c r="A205" s="72"/>
      <c r="B205" s="72"/>
      <c r="C205" s="25" t="s">
        <v>1004</v>
      </c>
      <c r="D205" s="25"/>
    </row>
    <row r="206" spans="1:4">
      <c r="A206" s="72"/>
      <c r="B206" s="72"/>
      <c r="C206" s="25" t="s">
        <v>231</v>
      </c>
      <c r="D206" s="25"/>
    </row>
    <row r="207" spans="1:4">
      <c r="A207" s="72"/>
      <c r="B207" s="72"/>
      <c r="C207" s="25" t="s">
        <v>210</v>
      </c>
      <c r="D207" s="25"/>
    </row>
    <row r="208" spans="1:4">
      <c r="A208" s="72"/>
      <c r="B208" s="72"/>
      <c r="C208" s="25" t="s">
        <v>2426</v>
      </c>
      <c r="D208" s="25"/>
    </row>
    <row r="209" spans="1:5">
      <c r="A209" s="72"/>
      <c r="B209" s="72"/>
      <c r="C209" s="25" t="s">
        <v>392</v>
      </c>
      <c r="D209" s="25"/>
    </row>
    <row r="210" spans="1:5">
      <c r="A210" s="72"/>
      <c r="B210" s="72"/>
      <c r="C210" s="25" t="s">
        <v>2427</v>
      </c>
      <c r="D210" s="25"/>
    </row>
    <row r="211" spans="1:5">
      <c r="A211" s="72"/>
      <c r="B211" s="72"/>
      <c r="C211" s="25" t="s">
        <v>155</v>
      </c>
      <c r="D211" s="25"/>
    </row>
    <row r="212" spans="1:5">
      <c r="A212" s="72"/>
      <c r="B212" s="72"/>
      <c r="C212" s="25" t="s">
        <v>946</v>
      </c>
      <c r="D212" s="25"/>
    </row>
    <row r="213" spans="1:5">
      <c r="A213" s="72"/>
      <c r="B213" s="72"/>
      <c r="C213" s="25" t="s">
        <v>282</v>
      </c>
      <c r="D213" s="25"/>
    </row>
    <row r="214" spans="1:5">
      <c r="A214" s="72"/>
      <c r="B214" s="72"/>
      <c r="C214" s="25" t="s">
        <v>245</v>
      </c>
      <c r="D214" s="25"/>
    </row>
    <row r="215" spans="1:5">
      <c r="A215" s="72"/>
      <c r="B215" s="72"/>
      <c r="C215" s="25" t="s">
        <v>1687</v>
      </c>
      <c r="D215" s="25"/>
    </row>
    <row r="216" spans="1:5">
      <c r="A216" s="72"/>
      <c r="B216" s="72"/>
      <c r="C216" s="25" t="s">
        <v>2428</v>
      </c>
      <c r="D216" s="25"/>
    </row>
    <row r="217" spans="1:5">
      <c r="A217" s="72"/>
      <c r="B217" s="72"/>
      <c r="C217" s="25" t="s">
        <v>194</v>
      </c>
      <c r="D217" s="25"/>
    </row>
    <row r="218" spans="1:5">
      <c r="A218" s="72"/>
      <c r="B218" s="72"/>
      <c r="C218" s="25" t="s">
        <v>2429</v>
      </c>
      <c r="D218" s="25" t="s">
        <v>2430</v>
      </c>
      <c r="E218" s="18" t="s">
        <v>2248</v>
      </c>
    </row>
    <row r="219" spans="1:5">
      <c r="A219" s="72"/>
      <c r="B219" s="72"/>
      <c r="C219" s="25" t="s">
        <v>487</v>
      </c>
      <c r="D219" s="25"/>
    </row>
    <row r="220" spans="1:5">
      <c r="A220" s="72"/>
      <c r="B220" s="72"/>
      <c r="C220" s="25" t="s">
        <v>2431</v>
      </c>
      <c r="D220" s="25"/>
    </row>
    <row r="221" spans="1:5">
      <c r="A221" s="72"/>
      <c r="B221" s="72"/>
      <c r="C221" s="25" t="s">
        <v>653</v>
      </c>
      <c r="D221" s="25"/>
    </row>
    <row r="222" spans="1:5">
      <c r="A222" s="72"/>
      <c r="B222" s="72"/>
      <c r="C222" s="25" t="s">
        <v>2432</v>
      </c>
      <c r="D222" s="25"/>
    </row>
    <row r="223" spans="1:5">
      <c r="A223" s="72"/>
      <c r="B223" s="72"/>
      <c r="C223" s="25" t="s">
        <v>992</v>
      </c>
      <c r="D223" s="25"/>
    </row>
    <row r="224" spans="1:5">
      <c r="A224" s="72"/>
      <c r="B224" s="72"/>
      <c r="C224" s="25" t="s">
        <v>2433</v>
      </c>
      <c r="D224" s="25"/>
    </row>
    <row r="225" spans="1:4">
      <c r="A225" s="72"/>
      <c r="B225" s="72"/>
      <c r="C225" s="25" t="s">
        <v>2434</v>
      </c>
      <c r="D225" s="25"/>
    </row>
    <row r="226" spans="1:4">
      <c r="A226" s="72"/>
      <c r="B226" s="72"/>
      <c r="C226" s="25" t="s">
        <v>862</v>
      </c>
      <c r="D226" s="25"/>
    </row>
    <row r="227" spans="1:4">
      <c r="A227" s="72"/>
      <c r="B227" s="72"/>
      <c r="C227" s="25" t="s">
        <v>303</v>
      </c>
      <c r="D227" s="25"/>
    </row>
    <row r="228" spans="1:4">
      <c r="A228" s="72"/>
      <c r="B228" s="72"/>
      <c r="C228" s="25" t="s">
        <v>906</v>
      </c>
      <c r="D228" s="25"/>
    </row>
    <row r="229" spans="1:4">
      <c r="A229" s="72"/>
      <c r="B229" s="72"/>
      <c r="C229" s="25" t="s">
        <v>167</v>
      </c>
      <c r="D229" s="25"/>
    </row>
    <row r="230" spans="1:4">
      <c r="A230" s="72"/>
      <c r="B230" s="72"/>
      <c r="C230" s="25" t="s">
        <v>238</v>
      </c>
      <c r="D230" s="25"/>
    </row>
    <row r="231" spans="1:4">
      <c r="A231" s="72"/>
      <c r="B231" s="72"/>
      <c r="C231" s="25" t="s">
        <v>2435</v>
      </c>
      <c r="D231" s="25"/>
    </row>
    <row r="232" spans="1:4">
      <c r="A232" s="72"/>
      <c r="B232" s="72"/>
      <c r="C232" s="25" t="s">
        <v>975</v>
      </c>
      <c r="D232" s="25"/>
    </row>
    <row r="233" spans="1:4">
      <c r="A233" s="72"/>
      <c r="B233" s="72"/>
      <c r="C233" s="25" t="s">
        <v>2436</v>
      </c>
      <c r="D233" s="25"/>
    </row>
    <row r="234" spans="1:4">
      <c r="A234" s="72"/>
      <c r="B234" s="72"/>
      <c r="C234" s="25" t="s">
        <v>2437</v>
      </c>
      <c r="D234" s="25"/>
    </row>
    <row r="235" spans="1:4">
      <c r="A235" s="72"/>
      <c r="B235" s="72"/>
      <c r="C235" s="25" t="s">
        <v>2438</v>
      </c>
      <c r="D235" s="25"/>
    </row>
    <row r="236" spans="1:4">
      <c r="A236" s="72"/>
      <c r="B236" s="72"/>
      <c r="C236" s="25" t="s">
        <v>2439</v>
      </c>
      <c r="D236" s="25"/>
    </row>
    <row r="237" spans="1:4">
      <c r="A237" s="72"/>
      <c r="B237" s="72"/>
      <c r="C237" s="25" t="s">
        <v>2440</v>
      </c>
      <c r="D237" s="25"/>
    </row>
    <row r="238" spans="1:4">
      <c r="A238" s="72"/>
      <c r="B238" s="72"/>
      <c r="C238" s="25" t="s">
        <v>2441</v>
      </c>
      <c r="D238" s="25"/>
    </row>
    <row r="239" spans="1:4">
      <c r="A239" s="72"/>
      <c r="B239" s="72"/>
      <c r="C239" s="25" t="s">
        <v>2442</v>
      </c>
      <c r="D239" s="25"/>
    </row>
    <row r="240" spans="1:4">
      <c r="A240" s="72"/>
      <c r="B240" s="72"/>
      <c r="C240" s="25" t="s">
        <v>2443</v>
      </c>
      <c r="D240" s="25"/>
    </row>
    <row r="241" spans="1:4">
      <c r="A241" s="72"/>
      <c r="B241" s="72"/>
      <c r="C241" s="25" t="s">
        <v>1011</v>
      </c>
      <c r="D241" s="25"/>
    </row>
    <row r="242" spans="1:4">
      <c r="A242" s="72"/>
      <c r="B242" s="72"/>
      <c r="C242" s="25" t="s">
        <v>455</v>
      </c>
      <c r="D242" s="25"/>
    </row>
    <row r="243" spans="1:4">
      <c r="A243" s="72"/>
      <c r="B243" s="72"/>
      <c r="C243" s="25" t="s">
        <v>178</v>
      </c>
      <c r="D243" s="25"/>
    </row>
    <row r="244" spans="1:4">
      <c r="A244" s="72"/>
      <c r="B244" s="72"/>
      <c r="C244" s="25" t="s">
        <v>599</v>
      </c>
      <c r="D244" s="25"/>
    </row>
    <row r="245" spans="1:4">
      <c r="A245" s="72"/>
      <c r="B245" s="72"/>
      <c r="C245" s="25" t="s">
        <v>2444</v>
      </c>
      <c r="D245" s="25"/>
    </row>
    <row r="246" spans="1:4">
      <c r="A246" s="72"/>
      <c r="B246" s="72"/>
      <c r="C246" s="25" t="s">
        <v>923</v>
      </c>
      <c r="D246" s="25"/>
    </row>
    <row r="247" spans="1:4">
      <c r="A247" s="72"/>
      <c r="B247" s="72"/>
      <c r="C247" s="25" t="s">
        <v>2445</v>
      </c>
      <c r="D247" s="25"/>
    </row>
    <row r="248" spans="1:4">
      <c r="A248" s="72"/>
      <c r="B248" s="72"/>
      <c r="C248" s="25" t="s">
        <v>2446</v>
      </c>
      <c r="D248" s="25"/>
    </row>
    <row r="249" spans="1:4">
      <c r="A249" s="72"/>
      <c r="B249" s="72"/>
      <c r="C249" s="25" t="s">
        <v>2447</v>
      </c>
      <c r="D249" s="25"/>
    </row>
    <row r="250" spans="1:4">
      <c r="A250" s="72"/>
      <c r="B250" s="72"/>
      <c r="C250" s="25" t="s">
        <v>697</v>
      </c>
      <c r="D250" s="25"/>
    </row>
    <row r="251" spans="1:4">
      <c r="A251" s="72"/>
      <c r="B251" s="72"/>
      <c r="C251" s="25" t="s">
        <v>2448</v>
      </c>
      <c r="D251" s="25"/>
    </row>
    <row r="252" spans="1:4">
      <c r="A252" s="72"/>
      <c r="B252" s="72"/>
      <c r="C252" s="25" t="s">
        <v>131</v>
      </c>
      <c r="D252" s="25"/>
    </row>
    <row r="253" spans="1:4">
      <c r="A253" s="72"/>
      <c r="B253" s="72"/>
      <c r="C253" s="25" t="s">
        <v>1620</v>
      </c>
      <c r="D253" s="25"/>
    </row>
    <row r="254" spans="1:4">
      <c r="A254" s="72"/>
      <c r="B254" s="72"/>
      <c r="C254" s="25" t="s">
        <v>2449</v>
      </c>
      <c r="D254" s="25"/>
    </row>
    <row r="255" spans="1:4">
      <c r="A255" s="72"/>
      <c r="B255" s="72"/>
      <c r="C255" s="25" t="s">
        <v>2450</v>
      </c>
      <c r="D255" s="25"/>
    </row>
    <row r="256" spans="1:4">
      <c r="A256" s="72"/>
      <c r="B256" s="72"/>
      <c r="C256" s="25" t="s">
        <v>1715</v>
      </c>
      <c r="D256" s="25"/>
    </row>
    <row r="257" spans="1:5">
      <c r="A257" s="72"/>
      <c r="B257" s="72"/>
      <c r="C257" s="25" t="s">
        <v>2451</v>
      </c>
      <c r="D257" s="25"/>
    </row>
    <row r="258" spans="1:5">
      <c r="A258" s="72"/>
      <c r="B258" s="72"/>
      <c r="C258" s="25" t="s">
        <v>2452</v>
      </c>
      <c r="D258" s="25"/>
    </row>
    <row r="259" spans="1:5">
      <c r="A259" s="72"/>
      <c r="B259" s="72"/>
      <c r="C259" s="25" t="s">
        <v>2453</v>
      </c>
      <c r="D259" s="25"/>
    </row>
    <row r="260" spans="1:5">
      <c r="A260" s="72"/>
      <c r="B260" s="72"/>
      <c r="C260" s="25" t="s">
        <v>2454</v>
      </c>
      <c r="D260" s="25"/>
    </row>
    <row r="261" spans="1:5">
      <c r="A261" s="72"/>
      <c r="B261" s="72"/>
      <c r="C261" s="25" t="s">
        <v>2455</v>
      </c>
      <c r="D261" s="25"/>
    </row>
    <row r="262" spans="1:5">
      <c r="A262" s="72"/>
      <c r="B262" s="72"/>
      <c r="C262" s="25" t="s">
        <v>2456</v>
      </c>
      <c r="D262" s="25"/>
    </row>
    <row r="263" spans="1:5">
      <c r="A263" s="72"/>
      <c r="B263" s="72"/>
      <c r="C263" s="25" t="s">
        <v>2457</v>
      </c>
      <c r="D263" s="25"/>
    </row>
    <row r="264" spans="1:5">
      <c r="A264" s="72"/>
      <c r="B264" s="72"/>
      <c r="C264" s="25" t="s">
        <v>2458</v>
      </c>
      <c r="D264" s="25"/>
    </row>
    <row r="265" spans="1:5">
      <c r="A265" s="72"/>
      <c r="B265" s="72"/>
      <c r="C265" s="25" t="s">
        <v>2459</v>
      </c>
      <c r="D265" s="25"/>
    </row>
    <row r="266" spans="1:5">
      <c r="A266" s="72"/>
      <c r="B266" s="72"/>
      <c r="C266" s="25" t="s">
        <v>2460</v>
      </c>
      <c r="D266" s="25"/>
    </row>
    <row r="267" spans="1:5">
      <c r="A267" s="72"/>
      <c r="B267" s="72"/>
      <c r="C267" s="25" t="s">
        <v>1040</v>
      </c>
      <c r="D267" s="25"/>
    </row>
    <row r="268" spans="1:5">
      <c r="A268" s="72"/>
      <c r="B268" s="72"/>
      <c r="C268" s="25" t="s">
        <v>2461</v>
      </c>
      <c r="D268" s="25"/>
    </row>
    <row r="269" spans="1:5">
      <c r="A269" s="72"/>
      <c r="B269" s="72"/>
      <c r="C269" s="25" t="s">
        <v>2462</v>
      </c>
      <c r="D269" s="25"/>
    </row>
    <row r="270" spans="1:5">
      <c r="A270" s="72"/>
      <c r="B270" s="72"/>
      <c r="C270" s="25" t="s">
        <v>2463</v>
      </c>
      <c r="D270" s="25" t="s">
        <v>2464</v>
      </c>
      <c r="E270" s="18" t="s">
        <v>2248</v>
      </c>
    </row>
    <row r="271" spans="1:5">
      <c r="A271" s="72"/>
      <c r="B271" s="72"/>
      <c r="C271" s="25" t="s">
        <v>2465</v>
      </c>
      <c r="D271" s="25" t="s">
        <v>2466</v>
      </c>
      <c r="E271" s="18" t="s">
        <v>2248</v>
      </c>
    </row>
    <row r="272" spans="1:5">
      <c r="A272" s="72"/>
      <c r="B272" s="72"/>
      <c r="C272" s="25" t="s">
        <v>2467</v>
      </c>
      <c r="D272" s="25" t="s">
        <v>2468</v>
      </c>
      <c r="E272" s="18" t="s">
        <v>2248</v>
      </c>
    </row>
    <row r="273" spans="1:5">
      <c r="A273" s="72"/>
      <c r="B273" s="72"/>
      <c r="C273" s="25" t="s">
        <v>2469</v>
      </c>
      <c r="D273" s="25"/>
    </row>
    <row r="274" spans="1:5">
      <c r="A274" s="72"/>
      <c r="B274" s="72"/>
      <c r="C274" s="25" t="s">
        <v>2470</v>
      </c>
      <c r="D274" s="25" t="s">
        <v>2471</v>
      </c>
      <c r="E274" s="18" t="s">
        <v>2248</v>
      </c>
    </row>
    <row r="275" spans="1:5">
      <c r="A275" s="72"/>
      <c r="B275" s="72"/>
      <c r="C275" s="25" t="s">
        <v>1200</v>
      </c>
      <c r="D275" s="25"/>
    </row>
    <row r="276" spans="1:5">
      <c r="A276" s="72"/>
      <c r="B276" s="72"/>
      <c r="C276" s="25" t="s">
        <v>2472</v>
      </c>
      <c r="D276" s="25"/>
    </row>
    <row r="277" spans="1:5">
      <c r="A277" s="72"/>
      <c r="B277" s="72"/>
      <c r="C277" s="25" t="s">
        <v>2473</v>
      </c>
      <c r="D277" s="25"/>
    </row>
    <row r="278" spans="1:5">
      <c r="A278" s="72"/>
      <c r="B278" s="72"/>
      <c r="C278" s="25" t="s">
        <v>1188</v>
      </c>
      <c r="D278" s="25"/>
    </row>
    <row r="279" spans="1:5">
      <c r="A279" s="72"/>
      <c r="B279" s="72"/>
      <c r="C279" s="25" t="s">
        <v>2474</v>
      </c>
      <c r="D279" s="25"/>
    </row>
    <row r="280" spans="1:5">
      <c r="A280" s="72"/>
      <c r="B280" s="72"/>
      <c r="C280" s="25" t="s">
        <v>1225</v>
      </c>
      <c r="D280" s="25"/>
    </row>
    <row r="281" spans="1:5">
      <c r="A281" s="72"/>
      <c r="B281" s="72"/>
      <c r="C281" s="25" t="s">
        <v>2475</v>
      </c>
      <c r="D281" s="25"/>
    </row>
    <row r="282" spans="1:5">
      <c r="A282" s="72"/>
      <c r="B282" s="72"/>
      <c r="C282" s="25" t="s">
        <v>2476</v>
      </c>
      <c r="D282" s="25" t="s">
        <v>2477</v>
      </c>
      <c r="E282" s="18" t="s">
        <v>2248</v>
      </c>
    </row>
    <row r="283" spans="1:5">
      <c r="A283" s="72"/>
      <c r="B283" s="72"/>
      <c r="C283" s="25" t="s">
        <v>2478</v>
      </c>
      <c r="D283" s="25"/>
    </row>
    <row r="284" spans="1:5">
      <c r="A284" s="72"/>
      <c r="B284" s="72"/>
      <c r="C284" s="25" t="s">
        <v>1181</v>
      </c>
      <c r="D284" s="25" t="s">
        <v>2479</v>
      </c>
      <c r="E284" s="18" t="s">
        <v>2248</v>
      </c>
    </row>
    <row r="285" spans="1:5">
      <c r="A285" s="72"/>
      <c r="B285" s="72"/>
      <c r="C285" s="25" t="s">
        <v>2480</v>
      </c>
      <c r="D285" s="25"/>
    </row>
    <row r="286" spans="1:5">
      <c r="A286" s="72"/>
      <c r="B286" s="72"/>
      <c r="C286" s="25" t="s">
        <v>2481</v>
      </c>
      <c r="D286" s="25"/>
    </row>
    <row r="287" spans="1:5">
      <c r="A287" s="72"/>
      <c r="B287" s="72"/>
      <c r="C287" s="25" t="s">
        <v>2482</v>
      </c>
      <c r="D287" s="25"/>
    </row>
    <row r="288" spans="1:5">
      <c r="A288" s="72"/>
      <c r="B288" s="72"/>
      <c r="C288" s="25" t="s">
        <v>2483</v>
      </c>
      <c r="D288" s="25"/>
    </row>
    <row r="289" spans="1:5">
      <c r="A289" s="72"/>
      <c r="B289" s="72"/>
      <c r="C289" s="25" t="s">
        <v>2484</v>
      </c>
      <c r="D289" s="25" t="s">
        <v>2485</v>
      </c>
      <c r="E289" s="18" t="s">
        <v>2248</v>
      </c>
    </row>
    <row r="290" spans="1:5">
      <c r="A290" s="72"/>
      <c r="B290" s="72"/>
      <c r="C290" s="25" t="s">
        <v>1233</v>
      </c>
      <c r="D290" s="25"/>
    </row>
    <row r="291" spans="1:5">
      <c r="A291" s="72"/>
      <c r="B291" s="72"/>
      <c r="C291" s="25" t="s">
        <v>2486</v>
      </c>
      <c r="D291" s="25"/>
    </row>
    <row r="292" spans="1:5">
      <c r="A292" s="72"/>
      <c r="B292" s="72"/>
      <c r="C292" s="25" t="s">
        <v>2487</v>
      </c>
      <c r="D292" s="25"/>
    </row>
    <row r="293" spans="1:5">
      <c r="A293" s="72"/>
      <c r="B293" s="72"/>
      <c r="C293" s="25" t="s">
        <v>2488</v>
      </c>
      <c r="D293" s="25"/>
    </row>
    <row r="294" spans="1:5">
      <c r="A294" s="72"/>
      <c r="B294" s="72"/>
      <c r="C294" s="25" t="s">
        <v>2489</v>
      </c>
      <c r="D294" s="25"/>
    </row>
    <row r="295" spans="1:5">
      <c r="A295" s="72"/>
      <c r="B295" s="72"/>
      <c r="C295" s="25" t="s">
        <v>2490</v>
      </c>
      <c r="D295" s="25"/>
    </row>
    <row r="296" spans="1:5">
      <c r="A296" s="72"/>
      <c r="B296" s="72"/>
      <c r="C296" s="25" t="s">
        <v>491</v>
      </c>
      <c r="D296" s="25"/>
    </row>
    <row r="297" spans="1:5">
      <c r="A297" s="72"/>
      <c r="B297" s="72"/>
      <c r="C297" s="25" t="s">
        <v>2491</v>
      </c>
      <c r="D297" s="25" t="s">
        <v>2492</v>
      </c>
      <c r="E297" s="18" t="s">
        <v>2248</v>
      </c>
    </row>
    <row r="298" spans="1:5">
      <c r="A298" s="72"/>
      <c r="B298" s="72"/>
      <c r="C298" s="25" t="s">
        <v>2493</v>
      </c>
      <c r="D298" s="25"/>
    </row>
    <row r="299" spans="1:5">
      <c r="A299" s="72"/>
      <c r="B299" s="72"/>
      <c r="C299" s="25" t="s">
        <v>2494</v>
      </c>
      <c r="D299" s="25"/>
    </row>
    <row r="300" spans="1:5">
      <c r="A300" s="72"/>
      <c r="B300" s="72"/>
      <c r="C300" s="25" t="s">
        <v>2495</v>
      </c>
      <c r="D300" s="25"/>
      <c r="E300" s="18" t="s">
        <v>2248</v>
      </c>
    </row>
    <row r="301" spans="1:5">
      <c r="A301" s="72"/>
      <c r="B301" s="72"/>
      <c r="C301" s="25" t="s">
        <v>2496</v>
      </c>
      <c r="D301" s="25"/>
    </row>
    <row r="302" spans="1:5">
      <c r="A302" s="72"/>
      <c r="B302" s="72"/>
      <c r="C302" s="25" t="s">
        <v>2497</v>
      </c>
      <c r="D302" s="25"/>
    </row>
    <row r="303" spans="1:5">
      <c r="A303" s="72"/>
      <c r="B303" s="72"/>
      <c r="C303" s="25" t="s">
        <v>1063</v>
      </c>
      <c r="D303" s="25"/>
    </row>
    <row r="304" spans="1:5">
      <c r="A304" s="72"/>
      <c r="B304" s="72"/>
      <c r="C304" s="25" t="s">
        <v>2498</v>
      </c>
      <c r="D304" s="25"/>
    </row>
    <row r="305" spans="1:5">
      <c r="A305" s="72"/>
      <c r="B305" s="72"/>
      <c r="C305" s="25" t="s">
        <v>1196</v>
      </c>
      <c r="D305" s="25"/>
    </row>
    <row r="306" spans="1:5">
      <c r="A306" s="72"/>
      <c r="B306" s="72"/>
      <c r="C306" s="25" t="s">
        <v>2499</v>
      </c>
      <c r="D306" s="25"/>
    </row>
    <row r="307" spans="1:5">
      <c r="A307" s="72"/>
      <c r="B307" s="72"/>
      <c r="C307" s="25" t="s">
        <v>1030</v>
      </c>
      <c r="D307" s="25"/>
    </row>
    <row r="308" spans="1:5">
      <c r="A308" s="72"/>
      <c r="B308" s="72"/>
      <c r="C308" s="25" t="s">
        <v>1035</v>
      </c>
      <c r="D308" s="25"/>
    </row>
    <row r="309" spans="1:5">
      <c r="A309" s="72"/>
      <c r="B309" s="72"/>
      <c r="C309" s="25" t="s">
        <v>2500</v>
      </c>
      <c r="D309" s="25"/>
    </row>
    <row r="310" spans="1:5">
      <c r="A310" s="72"/>
      <c r="B310" s="72"/>
      <c r="C310" s="25" t="s">
        <v>2501</v>
      </c>
      <c r="D310" s="25"/>
      <c r="E310" s="18" t="s">
        <v>2248</v>
      </c>
    </row>
    <row r="311" spans="1:5">
      <c r="A311" s="72"/>
      <c r="B311" s="72"/>
      <c r="C311" s="25" t="s">
        <v>2502</v>
      </c>
      <c r="D311" s="25"/>
      <c r="E311" s="18" t="s">
        <v>2248</v>
      </c>
    </row>
    <row r="312" spans="1:5">
      <c r="A312" s="72"/>
      <c r="B312" s="72"/>
      <c r="C312" s="25" t="s">
        <v>2503</v>
      </c>
      <c r="D312" s="25"/>
      <c r="E312" s="18" t="s">
        <v>2248</v>
      </c>
    </row>
    <row r="313" spans="1:5">
      <c r="A313" s="72"/>
      <c r="B313" s="72"/>
      <c r="C313" s="25" t="s">
        <v>2504</v>
      </c>
      <c r="D313" s="25"/>
    </row>
    <row r="314" spans="1:5">
      <c r="A314" s="72"/>
      <c r="B314" s="72"/>
      <c r="C314" s="25" t="s">
        <v>2505</v>
      </c>
      <c r="D314" s="25"/>
    </row>
    <row r="315" spans="1:5">
      <c r="A315" s="72"/>
      <c r="B315" s="72"/>
      <c r="C315" s="25" t="s">
        <v>2506</v>
      </c>
      <c r="D315" s="25"/>
    </row>
    <row r="316" spans="1:5">
      <c r="A316" s="72"/>
      <c r="B316" s="72"/>
      <c r="C316" s="25" t="s">
        <v>1071</v>
      </c>
      <c r="D316" s="25"/>
    </row>
    <row r="317" spans="1:5">
      <c r="A317" s="72"/>
      <c r="B317" s="72"/>
      <c r="C317" s="25" t="s">
        <v>2507</v>
      </c>
      <c r="D317" s="25"/>
    </row>
    <row r="318" spans="1:5">
      <c r="A318" s="72"/>
      <c r="B318" s="72"/>
      <c r="C318" s="25" t="s">
        <v>2508</v>
      </c>
      <c r="D318" s="140" t="s">
        <v>2509</v>
      </c>
      <c r="E318" s="18" t="s">
        <v>2248</v>
      </c>
    </row>
    <row r="319" spans="1:5">
      <c r="A319" s="72"/>
      <c r="B319" s="72"/>
      <c r="C319" s="25" t="s">
        <v>2510</v>
      </c>
      <c r="D319" s="25"/>
    </row>
    <row r="320" spans="1:5">
      <c r="A320" s="72"/>
      <c r="B320" s="72"/>
      <c r="C320" s="25" t="s">
        <v>2511</v>
      </c>
      <c r="D320" s="25"/>
    </row>
    <row r="321" spans="1:5">
      <c r="A321" s="72"/>
      <c r="B321" s="72"/>
      <c r="C321" s="25" t="s">
        <v>2512</v>
      </c>
      <c r="D321" s="25"/>
    </row>
    <row r="322" spans="1:5">
      <c r="A322" s="72"/>
      <c r="B322" s="72"/>
      <c r="C322" s="25" t="s">
        <v>2513</v>
      </c>
      <c r="D322" s="25"/>
    </row>
    <row r="323" spans="1:5">
      <c r="A323" s="72"/>
      <c r="B323" s="72"/>
      <c r="C323" s="25" t="s">
        <v>2514</v>
      </c>
      <c r="D323" s="25"/>
    </row>
    <row r="324" spans="1:5">
      <c r="A324" s="72"/>
      <c r="B324" s="72"/>
      <c r="C324" s="25" t="s">
        <v>2515</v>
      </c>
      <c r="D324" s="25"/>
    </row>
    <row r="325" spans="1:5">
      <c r="A325" s="72"/>
      <c r="B325" s="72"/>
      <c r="C325" s="25" t="s">
        <v>2516</v>
      </c>
      <c r="D325" s="25"/>
    </row>
    <row r="326" spans="1:5">
      <c r="A326" s="72"/>
      <c r="B326" s="72"/>
      <c r="C326" s="25" t="s">
        <v>1244</v>
      </c>
      <c r="D326" s="25"/>
    </row>
    <row r="327" spans="1:5">
      <c r="A327" s="72"/>
      <c r="B327" s="72"/>
      <c r="C327" s="25" t="s">
        <v>1757</v>
      </c>
      <c r="D327" s="25"/>
    </row>
    <row r="328" spans="1:5">
      <c r="A328" s="89"/>
      <c r="B328" s="79" t="s">
        <v>1248</v>
      </c>
      <c r="C328" s="65" t="s">
        <v>2517</v>
      </c>
      <c r="D328" s="65"/>
      <c r="E328" s="18" t="s">
        <v>2248</v>
      </c>
    </row>
    <row r="329" spans="1:5">
      <c r="A329" s="90"/>
      <c r="B329" s="80"/>
      <c r="C329" s="65" t="s">
        <v>2518</v>
      </c>
      <c r="D329" s="65"/>
      <c r="E329" s="18" t="s">
        <v>2248</v>
      </c>
    </row>
    <row r="330" spans="1:5">
      <c r="A330" s="90"/>
      <c r="B330" s="80"/>
      <c r="C330" s="142" t="s">
        <v>1254</v>
      </c>
      <c r="D330" s="65"/>
      <c r="E330" s="18" t="s">
        <v>2248</v>
      </c>
    </row>
    <row r="331" spans="1:5">
      <c r="A331" s="90"/>
      <c r="B331" s="80"/>
      <c r="C331" s="141" t="s">
        <v>2519</v>
      </c>
      <c r="D331" s="65"/>
      <c r="E331" s="18" t="s">
        <v>2248</v>
      </c>
    </row>
    <row r="332" spans="1:5">
      <c r="A332" s="90"/>
      <c r="B332" s="80"/>
      <c r="C332" s="141" t="s">
        <v>1282</v>
      </c>
      <c r="D332" s="65"/>
      <c r="E332" s="18" t="s">
        <v>2248</v>
      </c>
    </row>
    <row r="333" spans="1:5">
      <c r="A333" s="90"/>
      <c r="B333" s="80"/>
      <c r="C333" s="141" t="s">
        <v>2520</v>
      </c>
      <c r="D333" s="65"/>
      <c r="E333" s="18" t="s">
        <v>2248</v>
      </c>
    </row>
    <row r="334" spans="1:5">
      <c r="A334" s="90"/>
      <c r="B334" s="80"/>
      <c r="C334" s="141" t="s">
        <v>1258</v>
      </c>
      <c r="D334" s="65"/>
      <c r="E334" s="18" t="s">
        <v>2248</v>
      </c>
    </row>
    <row r="335" spans="1:5">
      <c r="A335" s="90"/>
      <c r="B335" s="80"/>
      <c r="C335" s="65" t="s">
        <v>1267</v>
      </c>
      <c r="D335" s="65"/>
      <c r="E335" s="18" t="s">
        <v>2248</v>
      </c>
    </row>
    <row r="336" spans="1:5">
      <c r="A336" s="90"/>
      <c r="B336" s="80"/>
      <c r="C336" s="65" t="s">
        <v>2521</v>
      </c>
      <c r="D336" s="65"/>
      <c r="E336" s="18" t="s">
        <v>2248</v>
      </c>
    </row>
    <row r="337" spans="1:5">
      <c r="A337" s="90"/>
      <c r="B337" s="80"/>
      <c r="C337" s="65" t="s">
        <v>2522</v>
      </c>
      <c r="D337" s="65"/>
      <c r="E337" s="18" t="s">
        <v>2248</v>
      </c>
    </row>
    <row r="338" spans="1:5">
      <c r="A338" s="90"/>
      <c r="B338" s="80"/>
      <c r="C338" s="65" t="s">
        <v>2523</v>
      </c>
      <c r="D338" s="65"/>
      <c r="E338" s="18" t="s">
        <v>2248</v>
      </c>
    </row>
    <row r="339" spans="1:5">
      <c r="A339" s="90"/>
      <c r="B339" s="80"/>
      <c r="C339" s="65" t="s">
        <v>1351</v>
      </c>
      <c r="D339" s="65"/>
      <c r="E339" s="18" t="s">
        <v>2248</v>
      </c>
    </row>
    <row r="340" spans="1:5">
      <c r="A340" s="90"/>
      <c r="B340" s="80"/>
      <c r="C340" s="65" t="s">
        <v>2524</v>
      </c>
      <c r="D340" s="65"/>
      <c r="E340" s="18" t="s">
        <v>2248</v>
      </c>
    </row>
    <row r="341" spans="1:5">
      <c r="A341" s="90"/>
      <c r="B341" s="80"/>
      <c r="C341" s="65" t="s">
        <v>2525</v>
      </c>
      <c r="D341" s="65"/>
      <c r="E341" s="18" t="s">
        <v>2248</v>
      </c>
    </row>
    <row r="342" spans="1:5">
      <c r="A342" s="90"/>
      <c r="B342" s="80"/>
      <c r="C342" s="65" t="s">
        <v>2526</v>
      </c>
      <c r="D342" s="65"/>
      <c r="E342" s="18" t="s">
        <v>2248</v>
      </c>
    </row>
    <row r="343" spans="1:5">
      <c r="A343" s="90"/>
      <c r="B343" s="80"/>
      <c r="C343" s="65" t="s">
        <v>2527</v>
      </c>
      <c r="D343" s="65"/>
      <c r="E343" s="18" t="s">
        <v>2248</v>
      </c>
    </row>
    <row r="344" spans="1:5">
      <c r="A344" s="90"/>
      <c r="B344" s="80"/>
      <c r="C344" s="65" t="s">
        <v>1397</v>
      </c>
      <c r="D344" s="65"/>
      <c r="E344" s="18" t="s">
        <v>2248</v>
      </c>
    </row>
    <row r="345" spans="1:5">
      <c r="A345" s="90"/>
      <c r="B345" s="80"/>
      <c r="C345" s="65" t="s">
        <v>2528</v>
      </c>
      <c r="D345" s="65"/>
      <c r="E345" s="18" t="s">
        <v>2248</v>
      </c>
    </row>
    <row r="346" spans="1:5">
      <c r="A346" s="90"/>
      <c r="B346" s="80"/>
      <c r="C346" s="65" t="s">
        <v>1415</v>
      </c>
      <c r="D346" s="65"/>
      <c r="E346" s="18" t="s">
        <v>2248</v>
      </c>
    </row>
    <row r="347" spans="1:5">
      <c r="A347" s="90"/>
      <c r="B347" s="80"/>
      <c r="C347" s="65" t="s">
        <v>2529</v>
      </c>
      <c r="D347" s="65"/>
      <c r="E347" s="18" t="s">
        <v>2248</v>
      </c>
    </row>
    <row r="348" spans="1:5">
      <c r="A348" s="90"/>
      <c r="B348" s="80"/>
      <c r="C348" s="65" t="s">
        <v>2530</v>
      </c>
      <c r="D348" s="65"/>
      <c r="E348" s="18" t="s">
        <v>2248</v>
      </c>
    </row>
    <row r="349" spans="1:5">
      <c r="A349" s="90"/>
      <c r="B349" s="80"/>
      <c r="C349" s="65" t="s">
        <v>2531</v>
      </c>
      <c r="D349" s="65"/>
      <c r="E349" s="18" t="s">
        <v>2248</v>
      </c>
    </row>
    <row r="350" spans="1:5">
      <c r="A350" s="90"/>
      <c r="B350" s="80"/>
      <c r="C350" s="65" t="s">
        <v>2532</v>
      </c>
      <c r="D350" s="65"/>
      <c r="E350" s="18" t="s">
        <v>2248</v>
      </c>
    </row>
    <row r="351" spans="1:5">
      <c r="A351" s="90"/>
      <c r="B351" s="80"/>
      <c r="C351" s="65" t="s">
        <v>2533</v>
      </c>
      <c r="D351" s="65"/>
      <c r="E351" s="18" t="s">
        <v>2248</v>
      </c>
    </row>
    <row r="352" spans="1:5">
      <c r="A352" s="90"/>
      <c r="B352" s="80"/>
      <c r="C352" s="65" t="s">
        <v>2534</v>
      </c>
      <c r="D352" s="65"/>
      <c r="E352" s="18" t="s">
        <v>2248</v>
      </c>
    </row>
    <row r="353" spans="1:5">
      <c r="A353" s="90"/>
      <c r="B353" s="80"/>
      <c r="C353" s="65" t="s">
        <v>2535</v>
      </c>
      <c r="D353" s="65"/>
      <c r="E353" s="18" t="s">
        <v>2248</v>
      </c>
    </row>
    <row r="354" spans="1:5">
      <c r="A354" s="90"/>
      <c r="B354" s="80"/>
      <c r="C354" s="65" t="s">
        <v>1339</v>
      </c>
      <c r="D354" s="65"/>
      <c r="E354" s="18" t="s">
        <v>2248</v>
      </c>
    </row>
    <row r="355" spans="1:5">
      <c r="A355" s="90"/>
      <c r="B355" s="80"/>
      <c r="C355" s="65" t="s">
        <v>1331</v>
      </c>
      <c r="D355" s="65"/>
      <c r="E355" s="18" t="s">
        <v>2248</v>
      </c>
    </row>
    <row r="356" spans="1:5">
      <c r="A356" s="90"/>
      <c r="B356" s="80"/>
      <c r="C356" s="65" t="s">
        <v>2536</v>
      </c>
      <c r="D356" s="65"/>
      <c r="E356" s="18" t="s">
        <v>2248</v>
      </c>
    </row>
    <row r="357" spans="1:5">
      <c r="A357" s="90"/>
      <c r="B357" s="80"/>
      <c r="C357" s="65" t="s">
        <v>1430</v>
      </c>
      <c r="D357" s="65"/>
      <c r="E357" s="18" t="s">
        <v>2248</v>
      </c>
    </row>
    <row r="358" spans="1:5">
      <c r="A358" s="90"/>
      <c r="B358" s="80"/>
      <c r="C358" s="65" t="s">
        <v>2537</v>
      </c>
      <c r="D358" s="65"/>
      <c r="E358" s="18" t="s">
        <v>2248</v>
      </c>
    </row>
    <row r="359" spans="1:5">
      <c r="A359" s="90"/>
      <c r="B359" s="80"/>
      <c r="C359" s="65" t="s">
        <v>1404</v>
      </c>
      <c r="D359" s="65"/>
      <c r="E359" s="18" t="s">
        <v>2248</v>
      </c>
    </row>
    <row r="360" spans="1:5">
      <c r="A360" s="90"/>
      <c r="B360" s="80"/>
      <c r="C360" s="65" t="s">
        <v>2538</v>
      </c>
      <c r="D360" s="65"/>
      <c r="E360" s="18" t="s">
        <v>2248</v>
      </c>
    </row>
    <row r="361" spans="1:5">
      <c r="A361" s="90"/>
      <c r="B361" s="80"/>
      <c r="C361" s="65" t="s">
        <v>1362</v>
      </c>
      <c r="D361" s="65"/>
      <c r="E361" s="18" t="s">
        <v>2248</v>
      </c>
    </row>
    <row r="362" spans="1:5">
      <c r="A362" s="90"/>
      <c r="B362" s="80"/>
      <c r="C362" s="65" t="s">
        <v>1262</v>
      </c>
      <c r="D362" s="65"/>
      <c r="E362" s="18" t="s">
        <v>2248</v>
      </c>
    </row>
    <row r="363" spans="1:5">
      <c r="A363" s="90"/>
      <c r="B363" s="80"/>
      <c r="C363" s="65" t="s">
        <v>2539</v>
      </c>
      <c r="D363" s="65"/>
      <c r="E363" s="18" t="s">
        <v>2248</v>
      </c>
    </row>
    <row r="364" spans="1:5">
      <c r="A364" s="90"/>
      <c r="B364" s="80"/>
      <c r="C364" s="65" t="s">
        <v>2540</v>
      </c>
      <c r="D364" s="65"/>
      <c r="E364" s="18" t="s">
        <v>2248</v>
      </c>
    </row>
    <row r="365" spans="1:5">
      <c r="A365" s="90"/>
      <c r="B365" s="80"/>
      <c r="C365" s="65" t="s">
        <v>2541</v>
      </c>
      <c r="D365" s="65"/>
      <c r="E365" s="18" t="s">
        <v>2248</v>
      </c>
    </row>
    <row r="366" spans="1:5">
      <c r="A366" s="90"/>
      <c r="B366" s="80"/>
      <c r="C366" s="65" t="s">
        <v>1465</v>
      </c>
      <c r="D366" s="65"/>
      <c r="E366" s="18" t="s">
        <v>2248</v>
      </c>
    </row>
    <row r="367" spans="1:5">
      <c r="A367" s="90"/>
      <c r="B367" s="80"/>
      <c r="C367" s="65" t="s">
        <v>2542</v>
      </c>
      <c r="D367" s="65"/>
      <c r="E367" s="18" t="s">
        <v>2248</v>
      </c>
    </row>
    <row r="368" spans="1:5">
      <c r="A368" s="90"/>
      <c r="B368" s="80"/>
      <c r="C368" s="65" t="s">
        <v>2543</v>
      </c>
      <c r="D368" s="65"/>
      <c r="E368" s="18" t="s">
        <v>2248</v>
      </c>
    </row>
    <row r="369" spans="1:5">
      <c r="A369" s="90"/>
      <c r="B369" s="80"/>
      <c r="C369" s="65" t="s">
        <v>1305</v>
      </c>
      <c r="D369" s="65"/>
      <c r="E369" s="18" t="s">
        <v>2248</v>
      </c>
    </row>
    <row r="370" spans="1:5">
      <c r="A370" s="90"/>
      <c r="B370" s="80"/>
      <c r="C370" s="65" t="s">
        <v>2544</v>
      </c>
      <c r="D370" s="65"/>
      <c r="E370" s="18" t="s">
        <v>2248</v>
      </c>
    </row>
    <row r="371" spans="1:5">
      <c r="A371" s="90"/>
      <c r="B371" s="80"/>
      <c r="C371" s="65" t="s">
        <v>2545</v>
      </c>
      <c r="D371" s="65"/>
      <c r="E371" s="18" t="s">
        <v>2248</v>
      </c>
    </row>
    <row r="372" spans="1:5">
      <c r="A372" s="90"/>
      <c r="B372" s="80"/>
      <c r="C372" s="65" t="s">
        <v>2546</v>
      </c>
      <c r="D372" s="65"/>
      <c r="E372" s="18" t="s">
        <v>2248</v>
      </c>
    </row>
    <row r="373" spans="1:5">
      <c r="A373" s="90"/>
      <c r="B373" s="80"/>
      <c r="C373" s="65" t="s">
        <v>2547</v>
      </c>
      <c r="D373" s="65"/>
      <c r="E373" s="18" t="s">
        <v>2248</v>
      </c>
    </row>
    <row r="374" spans="1:5">
      <c r="A374" s="90"/>
      <c r="B374" s="80"/>
      <c r="C374" s="65" t="s">
        <v>2548</v>
      </c>
      <c r="D374" s="65"/>
      <c r="E374" s="18" t="s">
        <v>2248</v>
      </c>
    </row>
    <row r="375" spans="1:5">
      <c r="A375" s="90"/>
      <c r="B375" s="80"/>
      <c r="C375" s="65" t="s">
        <v>2549</v>
      </c>
      <c r="D375" s="65"/>
      <c r="E375" s="18" t="s">
        <v>2248</v>
      </c>
    </row>
    <row r="376" spans="1:5">
      <c r="A376" s="90"/>
      <c r="B376" s="80"/>
      <c r="C376" s="65" t="s">
        <v>2550</v>
      </c>
      <c r="D376" s="65"/>
      <c r="E376" s="18" t="s">
        <v>2248</v>
      </c>
    </row>
    <row r="377" spans="1:5">
      <c r="A377" s="90"/>
      <c r="B377" s="80"/>
      <c r="C377" s="65" t="s">
        <v>2551</v>
      </c>
      <c r="D377" s="65"/>
      <c r="E377" s="18" t="s">
        <v>2248</v>
      </c>
    </row>
    <row r="378" spans="1:5">
      <c r="A378" s="90"/>
      <c r="B378" s="80"/>
      <c r="C378" s="65" t="s">
        <v>2552</v>
      </c>
      <c r="D378" s="65"/>
      <c r="E378" s="18" t="s">
        <v>2248</v>
      </c>
    </row>
    <row r="379" spans="1:5">
      <c r="A379" s="90"/>
      <c r="B379" s="80"/>
      <c r="C379" s="65" t="s">
        <v>2553</v>
      </c>
      <c r="D379" s="65"/>
      <c r="E379" s="18" t="s">
        <v>2248</v>
      </c>
    </row>
    <row r="380" spans="1:5">
      <c r="A380" s="90"/>
      <c r="B380" s="80"/>
      <c r="C380" s="65" t="s">
        <v>2554</v>
      </c>
      <c r="D380" s="65"/>
      <c r="E380" s="18" t="s">
        <v>2248</v>
      </c>
    </row>
    <row r="381" spans="1:5">
      <c r="A381" s="90"/>
      <c r="B381" s="80"/>
      <c r="C381" s="65" t="s">
        <v>2555</v>
      </c>
      <c r="D381" s="65"/>
      <c r="E381" s="18" t="s">
        <v>2248</v>
      </c>
    </row>
    <row r="382" spans="1:5">
      <c r="A382" s="90"/>
      <c r="B382" s="80"/>
      <c r="C382" s="65" t="s">
        <v>2556</v>
      </c>
      <c r="D382" s="65"/>
      <c r="E382" s="18" t="s">
        <v>2248</v>
      </c>
    </row>
    <row r="383" spans="1:5">
      <c r="A383" s="90"/>
      <c r="B383" s="80"/>
      <c r="C383" s="65" t="s">
        <v>1470</v>
      </c>
      <c r="D383" s="65"/>
      <c r="E383" s="18" t="s">
        <v>2248</v>
      </c>
    </row>
    <row r="384" spans="1:5">
      <c r="A384" s="90"/>
      <c r="B384" s="80"/>
      <c r="C384" s="65" t="s">
        <v>2557</v>
      </c>
      <c r="D384" s="65"/>
      <c r="E384" s="18" t="s">
        <v>2248</v>
      </c>
    </row>
    <row r="385" spans="1:5">
      <c r="A385" s="90"/>
      <c r="B385" s="80"/>
      <c r="C385" s="65" t="s">
        <v>1444</v>
      </c>
      <c r="D385" s="65"/>
      <c r="E385" s="18" t="s">
        <v>2248</v>
      </c>
    </row>
    <row r="386" spans="1:5">
      <c r="A386" s="90"/>
      <c r="B386" s="80"/>
      <c r="C386" s="65" t="s">
        <v>2558</v>
      </c>
      <c r="D386" s="65"/>
      <c r="E386" s="18" t="s">
        <v>2248</v>
      </c>
    </row>
    <row r="387" spans="1:5">
      <c r="A387" s="90"/>
      <c r="B387" s="80"/>
      <c r="C387" s="65" t="s">
        <v>2559</v>
      </c>
      <c r="D387" s="65"/>
      <c r="E387" s="18" t="s">
        <v>2248</v>
      </c>
    </row>
    <row r="388" spans="1:5">
      <c r="A388" s="90"/>
      <c r="B388" s="80"/>
      <c r="C388" s="65" t="s">
        <v>2560</v>
      </c>
      <c r="D388" s="65"/>
      <c r="E388" s="18" t="s">
        <v>2248</v>
      </c>
    </row>
    <row r="389" spans="1:5">
      <c r="A389" s="90"/>
      <c r="B389" s="80"/>
      <c r="C389" s="65" t="s">
        <v>2561</v>
      </c>
      <c r="D389" s="65"/>
      <c r="E389" s="18" t="s">
        <v>2248</v>
      </c>
    </row>
    <row r="390" spans="1:5">
      <c r="A390" s="90"/>
      <c r="B390" s="80"/>
      <c r="C390" s="65" t="s">
        <v>1294</v>
      </c>
      <c r="D390" s="65"/>
      <c r="E390" s="18" t="s">
        <v>2248</v>
      </c>
    </row>
    <row r="391" spans="1:5">
      <c r="A391" s="90"/>
      <c r="B391" s="80"/>
      <c r="C391" s="65" t="s">
        <v>2562</v>
      </c>
      <c r="D391" s="65"/>
      <c r="E391" s="18" t="s">
        <v>2248</v>
      </c>
    </row>
    <row r="392" spans="1:5">
      <c r="A392" s="90"/>
      <c r="B392" s="80"/>
      <c r="C392" s="65" t="s">
        <v>1273</v>
      </c>
      <c r="D392" s="65"/>
      <c r="E392" s="18" t="s">
        <v>2248</v>
      </c>
    </row>
    <row r="393" spans="1:5">
      <c r="A393" s="90"/>
      <c r="B393" s="80"/>
      <c r="C393" s="65" t="s">
        <v>2563</v>
      </c>
      <c r="D393" s="65"/>
      <c r="E393" s="18" t="s">
        <v>2248</v>
      </c>
    </row>
    <row r="394" spans="1:5">
      <c r="A394" s="90"/>
      <c r="B394" s="80"/>
      <c r="C394" s="65" t="s">
        <v>2564</v>
      </c>
      <c r="D394" s="65"/>
      <c r="E394" s="18" t="s">
        <v>2248</v>
      </c>
    </row>
    <row r="395" spans="1:5">
      <c r="A395" s="90"/>
      <c r="B395" s="80"/>
      <c r="C395" s="65" t="s">
        <v>2565</v>
      </c>
      <c r="D395" s="65"/>
      <c r="E395" s="18" t="s">
        <v>2248</v>
      </c>
    </row>
    <row r="396" spans="1:5">
      <c r="A396" s="90"/>
      <c r="B396" s="80"/>
      <c r="C396" s="65" t="s">
        <v>2566</v>
      </c>
      <c r="D396" s="65"/>
      <c r="E396" s="18" t="s">
        <v>2248</v>
      </c>
    </row>
    <row r="397" spans="1:5">
      <c r="A397" s="90"/>
      <c r="B397" s="80"/>
      <c r="C397" s="65" t="s">
        <v>2567</v>
      </c>
      <c r="D397" s="65"/>
      <c r="E397" s="18" t="s">
        <v>2248</v>
      </c>
    </row>
    <row r="398" spans="1:5">
      <c r="A398" s="90"/>
      <c r="B398" s="80"/>
      <c r="C398" s="65" t="s">
        <v>2568</v>
      </c>
      <c r="D398" s="65"/>
      <c r="E398" s="18" t="s">
        <v>2248</v>
      </c>
    </row>
    <row r="399" spans="1:5">
      <c r="A399" s="90"/>
      <c r="B399" s="80"/>
      <c r="C399" s="65" t="s">
        <v>2569</v>
      </c>
      <c r="D399" s="65"/>
      <c r="E399" s="18" t="s">
        <v>2248</v>
      </c>
    </row>
    <row r="400" spans="1:5">
      <c r="A400" s="90"/>
      <c r="B400" s="80"/>
      <c r="C400" s="65" t="s">
        <v>2570</v>
      </c>
      <c r="D400" s="65"/>
      <c r="E400" s="18" t="s">
        <v>2248</v>
      </c>
    </row>
    <row r="401" spans="1:5">
      <c r="A401" s="90"/>
      <c r="B401" s="80"/>
      <c r="C401" s="65" t="s">
        <v>2571</v>
      </c>
      <c r="D401" s="65"/>
      <c r="E401" s="18" t="s">
        <v>2248</v>
      </c>
    </row>
    <row r="402" spans="1:5">
      <c r="A402" s="90"/>
      <c r="B402" s="80"/>
      <c r="C402" s="65" t="s">
        <v>2572</v>
      </c>
      <c r="D402" s="65"/>
      <c r="E402" s="18" t="s">
        <v>2248</v>
      </c>
    </row>
    <row r="403" spans="1:5">
      <c r="A403" s="90"/>
      <c r="B403" s="80"/>
      <c r="C403" s="65" t="s">
        <v>2573</v>
      </c>
      <c r="D403" s="65"/>
      <c r="E403" s="18" t="s">
        <v>2248</v>
      </c>
    </row>
    <row r="404" spans="1:5">
      <c r="A404" s="90"/>
      <c r="B404" s="80"/>
      <c r="C404" s="65" t="s">
        <v>2574</v>
      </c>
      <c r="D404" s="65"/>
      <c r="E404" s="18" t="s">
        <v>2248</v>
      </c>
    </row>
    <row r="405" spans="1:5">
      <c r="A405" s="90"/>
      <c r="B405" s="80"/>
      <c r="C405" s="65" t="s">
        <v>2575</v>
      </c>
      <c r="D405" s="65"/>
      <c r="E405" s="18" t="s">
        <v>2248</v>
      </c>
    </row>
    <row r="406" spans="1:5">
      <c r="A406" s="90"/>
      <c r="B406" s="80"/>
      <c r="C406" s="65" t="s">
        <v>2576</v>
      </c>
      <c r="D406" s="65"/>
      <c r="E406" s="18" t="s">
        <v>2248</v>
      </c>
    </row>
    <row r="407" spans="1:5">
      <c r="A407" s="90"/>
      <c r="B407" s="80"/>
      <c r="C407" s="65" t="s">
        <v>2577</v>
      </c>
      <c r="D407" s="65"/>
      <c r="E407" s="18" t="s">
        <v>2248</v>
      </c>
    </row>
    <row r="408" spans="1:5">
      <c r="A408" s="90"/>
      <c r="B408" s="80"/>
      <c r="C408" s="65" t="s">
        <v>2578</v>
      </c>
      <c r="D408" s="65"/>
      <c r="E408" s="18" t="s">
        <v>2248</v>
      </c>
    </row>
    <row r="409" spans="1:5">
      <c r="A409" s="90"/>
      <c r="B409" s="80"/>
      <c r="C409" s="65" t="s">
        <v>2579</v>
      </c>
      <c r="D409" s="65"/>
      <c r="E409" s="18" t="s">
        <v>2248</v>
      </c>
    </row>
    <row r="410" spans="1:5">
      <c r="A410" s="90"/>
      <c r="B410" s="80"/>
      <c r="C410" s="65" t="s">
        <v>2580</v>
      </c>
      <c r="D410" s="65"/>
      <c r="E410" s="18" t="s">
        <v>2248</v>
      </c>
    </row>
    <row r="411" spans="1:5">
      <c r="A411" s="90"/>
      <c r="B411" s="80"/>
      <c r="C411" s="65" t="s">
        <v>2581</v>
      </c>
      <c r="D411" s="65"/>
      <c r="E411" s="18" t="s">
        <v>2248</v>
      </c>
    </row>
    <row r="412" spans="1:5">
      <c r="A412" s="90"/>
      <c r="B412" s="80"/>
      <c r="C412" s="65" t="s">
        <v>2582</v>
      </c>
      <c r="D412" s="65"/>
      <c r="E412" s="18" t="s">
        <v>2248</v>
      </c>
    </row>
    <row r="413" spans="1:5">
      <c r="A413" s="90"/>
      <c r="B413" s="80"/>
      <c r="C413" s="65" t="s">
        <v>2583</v>
      </c>
      <c r="D413" s="65"/>
      <c r="E413" s="18" t="s">
        <v>2248</v>
      </c>
    </row>
    <row r="414" spans="1:5">
      <c r="A414" s="90"/>
      <c r="B414" s="80"/>
      <c r="C414" s="65" t="s">
        <v>2584</v>
      </c>
      <c r="D414" s="65"/>
      <c r="E414" s="18" t="s">
        <v>2248</v>
      </c>
    </row>
    <row r="415" spans="1:5">
      <c r="A415" s="90"/>
      <c r="B415" s="80"/>
      <c r="C415" s="65" t="s">
        <v>2585</v>
      </c>
      <c r="D415" s="65"/>
      <c r="E415" s="18" t="s">
        <v>2248</v>
      </c>
    </row>
    <row r="416" spans="1:5">
      <c r="A416" s="90"/>
      <c r="B416" s="80"/>
      <c r="C416" s="65" t="s">
        <v>2586</v>
      </c>
      <c r="D416" s="65"/>
      <c r="E416" s="18" t="s">
        <v>2248</v>
      </c>
    </row>
    <row r="417" spans="1:5">
      <c r="A417" s="90"/>
      <c r="B417" s="80"/>
      <c r="C417" s="65" t="s">
        <v>2587</v>
      </c>
      <c r="D417" s="65"/>
      <c r="E417" s="18" t="s">
        <v>2248</v>
      </c>
    </row>
    <row r="418" spans="1:5">
      <c r="A418" s="90"/>
      <c r="B418" s="80"/>
      <c r="C418" s="65" t="s">
        <v>2588</v>
      </c>
      <c r="D418" s="65"/>
      <c r="E418" s="18" t="s">
        <v>2248</v>
      </c>
    </row>
    <row r="419" spans="1:5">
      <c r="A419" s="90"/>
      <c r="B419" s="80"/>
      <c r="C419" s="65" t="s">
        <v>2589</v>
      </c>
      <c r="D419" s="65"/>
      <c r="E419" s="18" t="s">
        <v>2248</v>
      </c>
    </row>
    <row r="420" spans="1:5">
      <c r="A420" s="90"/>
      <c r="B420" s="80"/>
      <c r="C420" s="65" t="s">
        <v>2590</v>
      </c>
      <c r="D420" s="65"/>
      <c r="E420" s="18" t="s">
        <v>2248</v>
      </c>
    </row>
    <row r="421" spans="1:5">
      <c r="A421" s="90"/>
      <c r="B421" s="80"/>
      <c r="C421" s="65" t="s">
        <v>2591</v>
      </c>
      <c r="D421" s="65"/>
      <c r="E421" s="18" t="s">
        <v>2248</v>
      </c>
    </row>
    <row r="422" spans="1:5">
      <c r="A422" s="90"/>
      <c r="B422" s="80"/>
      <c r="C422" s="65" t="s">
        <v>2592</v>
      </c>
      <c r="D422" s="65"/>
      <c r="E422" s="18" t="s">
        <v>2248</v>
      </c>
    </row>
    <row r="423" spans="1:5">
      <c r="A423" s="90"/>
      <c r="B423" s="80"/>
      <c r="C423" s="65" t="s">
        <v>2593</v>
      </c>
      <c r="D423" s="65"/>
      <c r="E423" s="18" t="s">
        <v>2248</v>
      </c>
    </row>
    <row r="424" spans="1:5">
      <c r="A424" s="90"/>
      <c r="B424" s="80"/>
      <c r="C424" s="65" t="s">
        <v>2594</v>
      </c>
      <c r="D424" s="65"/>
      <c r="E424" s="18" t="s">
        <v>2248</v>
      </c>
    </row>
    <row r="425" spans="1:5">
      <c r="A425" s="90"/>
      <c r="B425" s="80"/>
      <c r="C425" s="65" t="s">
        <v>2595</v>
      </c>
      <c r="D425" s="65"/>
      <c r="E425" s="18" t="s">
        <v>2248</v>
      </c>
    </row>
    <row r="426" spans="1:5">
      <c r="A426" s="90"/>
      <c r="B426" s="80"/>
      <c r="C426" s="65" t="s">
        <v>2596</v>
      </c>
      <c r="D426" s="65"/>
      <c r="E426" s="18" t="s">
        <v>2248</v>
      </c>
    </row>
    <row r="427" spans="1:5">
      <c r="A427" s="90"/>
      <c r="B427" s="80"/>
      <c r="C427" s="65" t="s">
        <v>2597</v>
      </c>
      <c r="D427" s="65"/>
      <c r="E427" s="18" t="s">
        <v>2248</v>
      </c>
    </row>
    <row r="428" spans="1:5">
      <c r="A428" s="90"/>
      <c r="B428" s="80"/>
      <c r="C428" s="65" t="s">
        <v>2598</v>
      </c>
      <c r="D428" s="65"/>
      <c r="E428" s="18" t="s">
        <v>2248</v>
      </c>
    </row>
    <row r="429" spans="1:5">
      <c r="A429" s="90"/>
      <c r="B429" s="80"/>
      <c r="C429" s="65" t="s">
        <v>2599</v>
      </c>
      <c r="D429" s="65"/>
      <c r="E429" s="18" t="s">
        <v>2248</v>
      </c>
    </row>
    <row r="430" spans="1:5">
      <c r="A430" s="90"/>
      <c r="B430" s="80"/>
      <c r="C430" s="65" t="s">
        <v>2600</v>
      </c>
      <c r="D430" s="65"/>
      <c r="E430" s="18" t="s">
        <v>2248</v>
      </c>
    </row>
    <row r="431" spans="1:5">
      <c r="A431" s="90"/>
      <c r="B431" s="80"/>
      <c r="C431" s="65" t="s">
        <v>2601</v>
      </c>
      <c r="D431" s="65"/>
      <c r="E431" s="18" t="s">
        <v>2248</v>
      </c>
    </row>
    <row r="432" spans="1:5">
      <c r="A432" s="90"/>
      <c r="B432" s="80"/>
      <c r="C432" s="65" t="s">
        <v>2602</v>
      </c>
      <c r="D432" s="65"/>
      <c r="E432" s="18" t="s">
        <v>2248</v>
      </c>
    </row>
    <row r="433" spans="1:5">
      <c r="A433" s="90"/>
      <c r="B433" s="80"/>
      <c r="C433" s="65" t="s">
        <v>2603</v>
      </c>
      <c r="D433" s="65"/>
      <c r="E433" s="18" t="s">
        <v>2248</v>
      </c>
    </row>
    <row r="434" spans="1:5">
      <c r="A434" s="90"/>
      <c r="B434" s="80"/>
      <c r="C434" s="65" t="s">
        <v>2604</v>
      </c>
      <c r="D434" s="65"/>
      <c r="E434" s="18" t="s">
        <v>2248</v>
      </c>
    </row>
    <row r="435" spans="1:5">
      <c r="A435" s="90"/>
      <c r="B435" s="80"/>
      <c r="C435" s="65" t="s">
        <v>2605</v>
      </c>
      <c r="D435" s="65"/>
      <c r="E435" s="18" t="s">
        <v>2248</v>
      </c>
    </row>
    <row r="436" spans="1:5">
      <c r="A436" s="90"/>
      <c r="B436" s="80"/>
      <c r="C436" s="65" t="s">
        <v>1401</v>
      </c>
      <c r="D436" s="65"/>
      <c r="E436" s="18" t="s">
        <v>2248</v>
      </c>
    </row>
    <row r="437" spans="1:5">
      <c r="A437" s="90"/>
      <c r="B437" s="80"/>
      <c r="C437" s="65" t="s">
        <v>2606</v>
      </c>
      <c r="D437" s="65"/>
      <c r="E437" s="18" t="s">
        <v>2248</v>
      </c>
    </row>
    <row r="438" spans="1:5">
      <c r="A438" s="90"/>
      <c r="B438" s="80"/>
      <c r="C438" s="65" t="s">
        <v>2607</v>
      </c>
      <c r="D438" s="65"/>
      <c r="E438" s="18" t="s">
        <v>2248</v>
      </c>
    </row>
    <row r="439" spans="1:5">
      <c r="A439" s="90"/>
      <c r="B439" s="80"/>
      <c r="C439" s="65" t="s">
        <v>2608</v>
      </c>
      <c r="D439" s="65"/>
      <c r="E439" s="18" t="s">
        <v>2248</v>
      </c>
    </row>
    <row r="440" spans="1:5">
      <c r="A440" s="90"/>
      <c r="B440" s="80"/>
      <c r="C440" s="65" t="s">
        <v>2609</v>
      </c>
      <c r="D440" s="65"/>
      <c r="E440" s="18" t="s">
        <v>2248</v>
      </c>
    </row>
    <row r="441" spans="1:5">
      <c r="A441" s="90"/>
      <c r="B441" s="80"/>
      <c r="C441" s="65" t="s">
        <v>2610</v>
      </c>
      <c r="D441" s="65"/>
      <c r="E441" s="18" t="s">
        <v>2248</v>
      </c>
    </row>
    <row r="442" spans="1:5">
      <c r="A442" s="90"/>
      <c r="B442" s="80"/>
      <c r="C442" s="65" t="s">
        <v>2611</v>
      </c>
      <c r="D442" s="65"/>
      <c r="E442" s="18" t="s">
        <v>2248</v>
      </c>
    </row>
    <row r="443" spans="1:5">
      <c r="A443" s="90"/>
      <c r="B443" s="80"/>
      <c r="C443" s="65" t="s">
        <v>2612</v>
      </c>
      <c r="D443" s="65"/>
      <c r="E443" s="18" t="s">
        <v>2248</v>
      </c>
    </row>
    <row r="444" spans="1:5">
      <c r="A444" s="90"/>
      <c r="B444" s="80"/>
      <c r="C444" s="65" t="s">
        <v>2613</v>
      </c>
      <c r="D444" s="65"/>
      <c r="E444" s="18" t="s">
        <v>2248</v>
      </c>
    </row>
    <row r="445" spans="1:5">
      <c r="A445" s="90"/>
      <c r="B445" s="80"/>
      <c r="C445" s="65" t="s">
        <v>2614</v>
      </c>
      <c r="D445" s="65"/>
      <c r="E445" s="18" t="s">
        <v>2248</v>
      </c>
    </row>
    <row r="446" spans="1:5">
      <c r="A446" s="90"/>
      <c r="B446" s="80"/>
      <c r="C446" s="65" t="s">
        <v>2615</v>
      </c>
      <c r="D446" s="65"/>
      <c r="E446" s="18" t="s">
        <v>2248</v>
      </c>
    </row>
    <row r="447" spans="1:5">
      <c r="A447" s="90"/>
      <c r="B447" s="80"/>
      <c r="C447" s="65" t="s">
        <v>2616</v>
      </c>
      <c r="D447" s="65"/>
      <c r="E447" s="18" t="s">
        <v>2248</v>
      </c>
    </row>
    <row r="448" spans="1:5">
      <c r="A448" s="90"/>
      <c r="B448" s="80"/>
      <c r="C448" s="65" t="s">
        <v>2617</v>
      </c>
      <c r="D448" s="65"/>
      <c r="E448" s="18" t="s">
        <v>2248</v>
      </c>
    </row>
    <row r="449" spans="1:5">
      <c r="A449" s="90"/>
      <c r="B449" s="80"/>
      <c r="C449" s="65" t="s">
        <v>2618</v>
      </c>
      <c r="D449" s="65"/>
      <c r="E449" s="18" t="s">
        <v>2248</v>
      </c>
    </row>
    <row r="450" spans="1:5">
      <c r="A450" s="90"/>
      <c r="B450" s="80"/>
      <c r="C450" s="65" t="s">
        <v>2619</v>
      </c>
      <c r="D450" s="65"/>
      <c r="E450" s="18" t="s">
        <v>2248</v>
      </c>
    </row>
    <row r="451" spans="1:5">
      <c r="A451" s="90"/>
      <c r="B451" s="80"/>
      <c r="C451" s="65" t="s">
        <v>2620</v>
      </c>
      <c r="D451" s="65"/>
      <c r="E451" s="18" t="s">
        <v>2248</v>
      </c>
    </row>
    <row r="452" spans="1:5">
      <c r="A452" s="90"/>
      <c r="B452" s="80"/>
      <c r="C452" s="65" t="s">
        <v>2621</v>
      </c>
      <c r="D452" s="65"/>
      <c r="E452" s="18" t="s">
        <v>2248</v>
      </c>
    </row>
    <row r="453" spans="1:5">
      <c r="A453" s="90"/>
      <c r="B453" s="80"/>
      <c r="C453" s="65" t="s">
        <v>2622</v>
      </c>
      <c r="D453" s="65"/>
      <c r="E453" s="18" t="s">
        <v>2248</v>
      </c>
    </row>
    <row r="454" spans="1:5">
      <c r="A454" s="90"/>
      <c r="B454" s="80"/>
      <c r="C454" s="65" t="s">
        <v>2623</v>
      </c>
      <c r="D454" s="65"/>
      <c r="E454" s="18" t="s">
        <v>2248</v>
      </c>
    </row>
    <row r="455" spans="1:5">
      <c r="A455" s="90"/>
      <c r="B455" s="80"/>
      <c r="C455" s="65" t="s">
        <v>1287</v>
      </c>
      <c r="D455" s="65"/>
      <c r="E455" s="18" t="s">
        <v>2248</v>
      </c>
    </row>
    <row r="456" spans="1:5">
      <c r="A456" s="90"/>
      <c r="B456" s="80"/>
      <c r="C456" s="65" t="s">
        <v>2624</v>
      </c>
      <c r="D456" s="65"/>
      <c r="E456" s="18" t="s">
        <v>2248</v>
      </c>
    </row>
    <row r="457" spans="1:5">
      <c r="A457" s="90"/>
      <c r="B457" s="80"/>
      <c r="C457" s="65" t="s">
        <v>1270</v>
      </c>
      <c r="D457" s="65"/>
      <c r="E457" s="18" t="s">
        <v>2248</v>
      </c>
    </row>
    <row r="458" spans="1:5">
      <c r="A458" s="90"/>
      <c r="B458" s="80"/>
      <c r="C458" s="65" t="s">
        <v>2625</v>
      </c>
      <c r="D458" s="65"/>
      <c r="E458" s="18" t="s">
        <v>2248</v>
      </c>
    </row>
    <row r="459" spans="1:5">
      <c r="A459" s="90"/>
      <c r="B459" s="80"/>
      <c r="C459" s="65" t="s">
        <v>2626</v>
      </c>
      <c r="D459" s="65"/>
      <c r="E459" s="18" t="s">
        <v>2248</v>
      </c>
    </row>
    <row r="460" spans="1:5">
      <c r="A460" s="90"/>
      <c r="B460" s="80"/>
      <c r="C460" s="65" t="s">
        <v>1312</v>
      </c>
      <c r="D460" s="65"/>
      <c r="E460" s="18" t="s">
        <v>2248</v>
      </c>
    </row>
    <row r="461" spans="1:5">
      <c r="A461" s="90"/>
      <c r="B461" s="80"/>
      <c r="C461" s="65" t="s">
        <v>2627</v>
      </c>
      <c r="D461" s="65"/>
      <c r="E461" s="18" t="s">
        <v>2248</v>
      </c>
    </row>
    <row r="462" spans="1:5">
      <c r="A462" s="90"/>
      <c r="B462" s="80"/>
      <c r="C462" s="65" t="s">
        <v>2628</v>
      </c>
      <c r="D462" s="65"/>
      <c r="E462" s="18" t="s">
        <v>2248</v>
      </c>
    </row>
    <row r="463" spans="1:5">
      <c r="A463" s="90"/>
      <c r="B463" s="80"/>
      <c r="C463" s="65" t="s">
        <v>2629</v>
      </c>
      <c r="D463" s="65"/>
      <c r="E463" s="18" t="s">
        <v>2248</v>
      </c>
    </row>
    <row r="464" spans="1:5">
      <c r="A464" s="90"/>
      <c r="B464" s="80"/>
      <c r="C464" s="65" t="s">
        <v>2630</v>
      </c>
      <c r="D464" s="65"/>
      <c r="E464" s="18" t="s">
        <v>2248</v>
      </c>
    </row>
    <row r="465" spans="1:5">
      <c r="A465" s="90"/>
      <c r="B465" s="80"/>
      <c r="C465" s="65" t="s">
        <v>2631</v>
      </c>
      <c r="D465" s="65"/>
      <c r="E465" s="18" t="s">
        <v>2248</v>
      </c>
    </row>
    <row r="466" spans="1:5">
      <c r="A466" s="90"/>
      <c r="B466" s="80"/>
      <c r="C466" s="65" t="s">
        <v>2632</v>
      </c>
      <c r="D466" s="65"/>
      <c r="E466" s="18" t="s">
        <v>2248</v>
      </c>
    </row>
    <row r="467" spans="1:5">
      <c r="A467" s="90"/>
      <c r="B467" s="80"/>
      <c r="C467" s="65" t="s">
        <v>2633</v>
      </c>
      <c r="D467" s="65"/>
      <c r="E467" s="18" t="s">
        <v>2248</v>
      </c>
    </row>
    <row r="468" spans="1:5">
      <c r="A468" s="90"/>
      <c r="B468" s="80"/>
      <c r="C468" s="65" t="s">
        <v>2634</v>
      </c>
      <c r="D468" s="65"/>
      <c r="E468" s="18" t="s">
        <v>2248</v>
      </c>
    </row>
    <row r="469" spans="1:5">
      <c r="A469" s="90"/>
      <c r="B469" s="80"/>
      <c r="C469" s="65" t="s">
        <v>2635</v>
      </c>
      <c r="D469" s="65"/>
      <c r="E469" s="18" t="s">
        <v>2248</v>
      </c>
    </row>
    <row r="470" spans="1:5">
      <c r="A470" s="90"/>
      <c r="B470" s="80"/>
      <c r="C470" s="65" t="s">
        <v>2636</v>
      </c>
      <c r="D470" s="65"/>
      <c r="E470" s="18" t="s">
        <v>2248</v>
      </c>
    </row>
    <row r="471" spans="1:5">
      <c r="A471" s="90"/>
      <c r="B471" s="80"/>
      <c r="C471" s="65" t="s">
        <v>2637</v>
      </c>
      <c r="D471" s="65"/>
      <c r="E471" s="18" t="s">
        <v>2248</v>
      </c>
    </row>
    <row r="472" spans="1:5">
      <c r="A472" s="90"/>
      <c r="B472" s="80"/>
      <c r="C472" s="65" t="s">
        <v>2638</v>
      </c>
      <c r="D472" s="65"/>
      <c r="E472" s="18" t="s">
        <v>2248</v>
      </c>
    </row>
    <row r="473" spans="1:5">
      <c r="A473" s="90"/>
      <c r="B473" s="80"/>
      <c r="C473" s="65" t="s">
        <v>2639</v>
      </c>
      <c r="D473" s="65"/>
      <c r="E473" s="18" t="s">
        <v>2248</v>
      </c>
    </row>
    <row r="474" spans="1:5">
      <c r="A474" s="90"/>
      <c r="B474" s="80"/>
      <c r="C474" s="65" t="s">
        <v>2640</v>
      </c>
      <c r="D474" s="65"/>
      <c r="E474" s="18" t="s">
        <v>2248</v>
      </c>
    </row>
    <row r="475" spans="1:5">
      <c r="A475" s="90"/>
      <c r="B475" s="80"/>
      <c r="C475" s="65" t="s">
        <v>2641</v>
      </c>
      <c r="D475" s="65"/>
      <c r="E475" s="18" t="s">
        <v>2248</v>
      </c>
    </row>
    <row r="476" spans="1:5">
      <c r="A476" s="90"/>
      <c r="B476" s="80"/>
      <c r="C476" s="65" t="s">
        <v>1439</v>
      </c>
      <c r="D476" s="65"/>
      <c r="E476" s="18" t="s">
        <v>2248</v>
      </c>
    </row>
    <row r="477" spans="1:5">
      <c r="A477" s="90"/>
      <c r="B477" s="80"/>
      <c r="C477" s="65" t="s">
        <v>2642</v>
      </c>
      <c r="D477" s="65"/>
      <c r="E477" s="18" t="s">
        <v>2248</v>
      </c>
    </row>
    <row r="478" spans="1:5">
      <c r="A478" s="90"/>
      <c r="B478" s="80"/>
      <c r="C478" s="65" t="s">
        <v>2643</v>
      </c>
      <c r="D478" s="65"/>
      <c r="E478" s="18" t="s">
        <v>2248</v>
      </c>
    </row>
    <row r="479" spans="1:5">
      <c r="A479" s="90"/>
      <c r="B479" s="80"/>
      <c r="C479" s="65" t="s">
        <v>2644</v>
      </c>
      <c r="D479" s="65"/>
      <c r="E479" s="18" t="s">
        <v>2248</v>
      </c>
    </row>
    <row r="480" spans="1:5">
      <c r="A480" s="90"/>
      <c r="B480" s="80"/>
      <c r="C480" s="65" t="s">
        <v>2645</v>
      </c>
      <c r="D480" s="65"/>
      <c r="E480" s="18" t="s">
        <v>2248</v>
      </c>
    </row>
    <row r="481" spans="1:5">
      <c r="A481" s="90"/>
      <c r="B481" s="80"/>
      <c r="C481" s="65" t="s">
        <v>2646</v>
      </c>
      <c r="D481" s="65"/>
      <c r="E481" s="18" t="s">
        <v>2248</v>
      </c>
    </row>
    <row r="482" spans="1:5">
      <c r="A482" s="90"/>
      <c r="B482" s="80"/>
      <c r="C482" s="65" t="s">
        <v>2647</v>
      </c>
      <c r="D482" s="65"/>
      <c r="E482" s="18" t="s">
        <v>2248</v>
      </c>
    </row>
    <row r="483" spans="1:5">
      <c r="A483" s="90"/>
      <c r="B483" s="80"/>
      <c r="C483" s="65" t="s">
        <v>2648</v>
      </c>
      <c r="D483" s="65"/>
      <c r="E483" s="18" t="s">
        <v>2248</v>
      </c>
    </row>
    <row r="484" spans="1:5">
      <c r="A484" s="90"/>
      <c r="B484" s="80"/>
      <c r="C484" s="65" t="s">
        <v>2649</v>
      </c>
      <c r="D484" s="65"/>
      <c r="E484" s="18" t="s">
        <v>2248</v>
      </c>
    </row>
    <row r="485" spans="1:5">
      <c r="A485" s="90"/>
      <c r="B485" s="80"/>
      <c r="C485" s="65" t="s">
        <v>2650</v>
      </c>
      <c r="D485" s="65"/>
      <c r="E485" s="18" t="s">
        <v>2248</v>
      </c>
    </row>
    <row r="486" spans="1:5">
      <c r="A486" s="90"/>
      <c r="B486" s="80"/>
      <c r="C486" s="65" t="s">
        <v>2651</v>
      </c>
      <c r="D486" s="65"/>
      <c r="E486" s="18" t="s">
        <v>2248</v>
      </c>
    </row>
    <row r="487" spans="1:5">
      <c r="A487" s="90"/>
      <c r="B487" s="80"/>
      <c r="C487" s="65" t="s">
        <v>2652</v>
      </c>
      <c r="D487" s="65"/>
      <c r="E487" s="18" t="s">
        <v>2248</v>
      </c>
    </row>
    <row r="488" spans="1:5">
      <c r="A488" s="90"/>
      <c r="B488" s="80"/>
      <c r="C488" s="65" t="s">
        <v>2653</v>
      </c>
      <c r="D488" s="65"/>
      <c r="E488" s="18" t="s">
        <v>2248</v>
      </c>
    </row>
    <row r="489" spans="1:5">
      <c r="A489" s="90"/>
      <c r="B489" s="80"/>
      <c r="C489" s="65" t="s">
        <v>131</v>
      </c>
      <c r="D489" s="65"/>
    </row>
    <row r="490" spans="1:5">
      <c r="A490" s="90"/>
      <c r="B490" s="80"/>
      <c r="C490" s="65" t="s">
        <v>2654</v>
      </c>
      <c r="D490" s="65"/>
    </row>
    <row r="491" spans="1:5">
      <c r="A491" s="90"/>
      <c r="B491" s="80"/>
      <c r="C491" s="65" t="s">
        <v>2655</v>
      </c>
      <c r="D491" s="65"/>
    </row>
    <row r="492" spans="1:5">
      <c r="A492" s="90"/>
      <c r="B492" s="80"/>
      <c r="C492" s="65" t="s">
        <v>2656</v>
      </c>
      <c r="D492" s="65"/>
    </row>
    <row r="493" spans="1:5">
      <c r="A493" s="90"/>
      <c r="B493" s="80"/>
      <c r="C493" s="65" t="s">
        <v>2657</v>
      </c>
      <c r="D493" s="65"/>
    </row>
    <row r="494" spans="1:5">
      <c r="A494" s="90"/>
      <c r="B494" s="80"/>
      <c r="C494" s="65" t="s">
        <v>1394</v>
      </c>
      <c r="D494" s="65"/>
    </row>
    <row r="495" spans="1:5">
      <c r="A495" s="90"/>
      <c r="B495" s="80"/>
      <c r="C495" s="65" t="s">
        <v>2658</v>
      </c>
      <c r="D495" s="65"/>
    </row>
    <row r="496" spans="1:5">
      <c r="A496" s="90"/>
      <c r="B496" s="80"/>
      <c r="C496" s="65" t="s">
        <v>2659</v>
      </c>
      <c r="D496" s="65"/>
    </row>
    <row r="497" spans="1:4">
      <c r="A497" s="90"/>
      <c r="B497" s="80"/>
      <c r="C497" s="65" t="s">
        <v>2660</v>
      </c>
      <c r="D497" s="65"/>
    </row>
    <row r="498" spans="1:4">
      <c r="A498" s="91"/>
      <c r="B498" s="81"/>
      <c r="C498" s="65" t="s">
        <v>1757</v>
      </c>
      <c r="D498" s="65"/>
    </row>
    <row r="499" spans="1:4">
      <c r="A499" s="125"/>
      <c r="B499" s="130" t="s">
        <v>2661</v>
      </c>
      <c r="C499" s="62" t="s">
        <v>231</v>
      </c>
      <c r="D499" s="62"/>
    </row>
    <row r="500" spans="1:4">
      <c r="A500" s="72"/>
      <c r="B500" s="130"/>
      <c r="C500" s="62" t="s">
        <v>2662</v>
      </c>
      <c r="D500" s="62"/>
    </row>
    <row r="501" spans="1:4">
      <c r="A501" s="72"/>
      <c r="B501" s="130"/>
      <c r="C501" s="62" t="s">
        <v>2663</v>
      </c>
      <c r="D501" s="62"/>
    </row>
    <row r="502" spans="1:4">
      <c r="A502" s="72"/>
      <c r="B502" s="130"/>
      <c r="C502" s="62" t="s">
        <v>2664</v>
      </c>
      <c r="D502" s="62"/>
    </row>
    <row r="503" spans="1:4">
      <c r="A503" s="72"/>
      <c r="B503" s="130"/>
      <c r="C503" s="62" t="s">
        <v>2665</v>
      </c>
      <c r="D503" s="62"/>
    </row>
    <row r="504" spans="1:4">
      <c r="A504" s="72"/>
      <c r="B504" s="130"/>
      <c r="C504" s="62" t="s">
        <v>1542</v>
      </c>
      <c r="D504" s="62"/>
    </row>
    <row r="505" spans="1:4">
      <c r="A505" s="72"/>
      <c r="B505" s="130"/>
      <c r="C505" s="62" t="s">
        <v>2666</v>
      </c>
      <c r="D505" s="62"/>
    </row>
    <row r="506" spans="1:4">
      <c r="A506" s="72"/>
      <c r="B506" s="130"/>
      <c r="C506" s="62" t="s">
        <v>1545</v>
      </c>
      <c r="D506" s="62"/>
    </row>
    <row r="507" spans="1:4">
      <c r="A507" s="72"/>
      <c r="B507" s="130"/>
      <c r="C507" s="62" t="s">
        <v>1530</v>
      </c>
      <c r="D507" s="62"/>
    </row>
    <row r="508" spans="1:4">
      <c r="A508" s="72"/>
      <c r="B508" s="130"/>
      <c r="C508" s="62" t="s">
        <v>2667</v>
      </c>
      <c r="D508" s="62"/>
    </row>
    <row r="509" spans="1:4">
      <c r="A509" s="72"/>
      <c r="B509" s="130"/>
      <c r="C509" s="62" t="s">
        <v>2668</v>
      </c>
      <c r="D509" s="62"/>
    </row>
    <row r="510" spans="1:4">
      <c r="A510" s="72"/>
      <c r="B510" s="130"/>
      <c r="C510" s="62" t="s">
        <v>2669</v>
      </c>
      <c r="D510" s="62"/>
    </row>
    <row r="511" spans="1:4">
      <c r="A511" s="72"/>
      <c r="B511" s="130"/>
      <c r="C511" s="62" t="s">
        <v>2670</v>
      </c>
      <c r="D511" s="62"/>
    </row>
    <row r="512" spans="1:4">
      <c r="A512" s="72"/>
      <c r="B512" s="130"/>
      <c r="C512" s="62" t="s">
        <v>2448</v>
      </c>
      <c r="D512" s="62"/>
    </row>
    <row r="513" spans="1:4">
      <c r="A513" s="72"/>
      <c r="B513" s="130"/>
      <c r="C513" s="62" t="s">
        <v>131</v>
      </c>
      <c r="D513" s="62"/>
    </row>
    <row r="514" spans="1:4">
      <c r="A514" s="90"/>
      <c r="B514" s="76" t="s">
        <v>2671</v>
      </c>
      <c r="C514" s="65" t="s">
        <v>1654</v>
      </c>
      <c r="D514" s="65"/>
    </row>
    <row r="515" spans="1:4">
      <c r="A515" s="91"/>
      <c r="B515" s="78"/>
      <c r="C515" s="65" t="s">
        <v>156</v>
      </c>
      <c r="D515" s="65"/>
    </row>
    <row r="516" spans="1:4">
      <c r="A516" s="72"/>
      <c r="B516" s="130" t="s">
        <v>1547</v>
      </c>
      <c r="C516" s="62" t="s">
        <v>2672</v>
      </c>
      <c r="D516" s="62"/>
    </row>
    <row r="517" spans="1:4">
      <c r="A517" s="72"/>
      <c r="B517" s="130"/>
      <c r="C517" s="62" t="s">
        <v>166</v>
      </c>
      <c r="D517" s="62"/>
    </row>
    <row r="518" spans="1:4">
      <c r="A518" s="72"/>
      <c r="B518" s="130"/>
      <c r="C518" s="62" t="s">
        <v>486</v>
      </c>
      <c r="D518" s="62"/>
    </row>
    <row r="519" spans="1:4">
      <c r="A519" s="72"/>
      <c r="B519" s="130"/>
      <c r="C519" s="62" t="s">
        <v>1560</v>
      </c>
      <c r="D519" s="62"/>
    </row>
    <row r="520" spans="1:4">
      <c r="A520" s="128"/>
      <c r="B520" s="76" t="s">
        <v>2152</v>
      </c>
      <c r="C520" s="65" t="s">
        <v>2673</v>
      </c>
      <c r="D520" s="65"/>
    </row>
    <row r="521" spans="1:4">
      <c r="A521" s="88"/>
      <c r="B521" s="77"/>
      <c r="C521" s="65" t="s">
        <v>2674</v>
      </c>
      <c r="D521" s="65"/>
    </row>
    <row r="522" spans="1:4">
      <c r="A522" s="88"/>
      <c r="B522" s="77"/>
      <c r="C522" s="65" t="s">
        <v>2675</v>
      </c>
      <c r="D522" s="65"/>
    </row>
    <row r="523" spans="1:4">
      <c r="A523" s="88"/>
      <c r="B523" s="77"/>
      <c r="C523" s="65" t="s">
        <v>2676</v>
      </c>
      <c r="D523" s="65"/>
    </row>
    <row r="524" spans="1:4">
      <c r="A524" s="88"/>
      <c r="B524" s="77"/>
      <c r="C524" s="65" t="s">
        <v>2677</v>
      </c>
      <c r="D524" s="65"/>
    </row>
    <row r="525" spans="1:4">
      <c r="A525" s="88"/>
      <c r="B525" s="77"/>
      <c r="C525" s="65" t="s">
        <v>2678</v>
      </c>
      <c r="D525" s="65"/>
    </row>
    <row r="526" spans="1:4">
      <c r="A526" s="88"/>
      <c r="B526" s="77"/>
      <c r="C526" s="65" t="s">
        <v>2679</v>
      </c>
      <c r="D526" s="65"/>
    </row>
    <row r="527" spans="1:4">
      <c r="A527" s="88"/>
      <c r="B527" s="77"/>
      <c r="C527" s="65" t="s">
        <v>2680</v>
      </c>
      <c r="D527" s="65"/>
    </row>
    <row r="528" spans="1:4">
      <c r="A528" s="88"/>
      <c r="B528" s="77"/>
      <c r="C528" s="65" t="s">
        <v>1686</v>
      </c>
      <c r="D528" s="65"/>
    </row>
    <row r="529" spans="1:4">
      <c r="A529" s="88"/>
      <c r="B529" s="77"/>
      <c r="C529" s="65" t="s">
        <v>2667</v>
      </c>
      <c r="D529" s="65"/>
    </row>
    <row r="530" spans="1:4">
      <c r="B530" s="77"/>
      <c r="C530" s="65" t="s">
        <v>2681</v>
      </c>
      <c r="D530" s="65"/>
    </row>
    <row r="531" spans="1:4" ht="15">
      <c r="A531" s="88"/>
      <c r="B531" s="77"/>
      <c r="C531" s="65" t="s">
        <v>2682</v>
      </c>
      <c r="D531" s="65" t="s">
        <v>2683</v>
      </c>
    </row>
    <row r="532" spans="1:4" ht="15">
      <c r="A532" s="88"/>
      <c r="B532" s="77"/>
      <c r="C532" s="65" t="s">
        <v>2684</v>
      </c>
      <c r="D532" s="65" t="s">
        <v>2683</v>
      </c>
    </row>
    <row r="533" spans="1:4" ht="15">
      <c r="A533" s="88"/>
      <c r="B533" s="77"/>
      <c r="C533" s="65" t="s">
        <v>2685</v>
      </c>
      <c r="D533" s="65" t="s">
        <v>2683</v>
      </c>
    </row>
    <row r="534" spans="1:4">
      <c r="A534" s="88"/>
      <c r="B534" s="77"/>
      <c r="C534" s="65" t="s">
        <v>2686</v>
      </c>
      <c r="D534" s="65"/>
    </row>
    <row r="535" spans="1:4">
      <c r="A535" s="88"/>
      <c r="B535" s="77"/>
      <c r="C535" s="65" t="s">
        <v>2687</v>
      </c>
      <c r="D535" s="65"/>
    </row>
    <row r="536" spans="1:4">
      <c r="A536" s="88"/>
      <c r="B536" s="77"/>
      <c r="C536" s="65" t="s">
        <v>2688</v>
      </c>
      <c r="D536" s="65"/>
    </row>
    <row r="537" spans="1:4">
      <c r="A537" s="88"/>
      <c r="B537" s="77"/>
      <c r="C537" s="65" t="s">
        <v>2689</v>
      </c>
      <c r="D537" s="65"/>
    </row>
    <row r="538" spans="1:4">
      <c r="A538" s="88"/>
      <c r="B538" s="77"/>
      <c r="C538" s="65" t="s">
        <v>2690</v>
      </c>
      <c r="D538" s="65"/>
    </row>
    <row r="539" spans="1:4">
      <c r="A539" s="88"/>
      <c r="B539" s="77"/>
      <c r="C539" s="65" t="s">
        <v>2691</v>
      </c>
      <c r="D539" s="65"/>
    </row>
    <row r="540" spans="1:4">
      <c r="A540" s="88"/>
      <c r="B540" s="77"/>
      <c r="C540" s="65" t="s">
        <v>2692</v>
      </c>
      <c r="D540" s="65"/>
    </row>
    <row r="541" spans="1:4">
      <c r="A541" s="88"/>
      <c r="B541" s="77"/>
      <c r="C541" s="65" t="s">
        <v>2693</v>
      </c>
      <c r="D541" s="65"/>
    </row>
    <row r="542" spans="1:4">
      <c r="A542" s="88"/>
      <c r="B542" s="77"/>
      <c r="C542" s="65" t="s">
        <v>2448</v>
      </c>
      <c r="D542" s="65"/>
    </row>
    <row r="543" spans="1:4">
      <c r="A543" s="88"/>
      <c r="B543" s="77"/>
      <c r="C543" s="65" t="s">
        <v>131</v>
      </c>
      <c r="D543" s="66"/>
    </row>
    <row r="544" spans="1:4">
      <c r="A544" s="94"/>
      <c r="B544" s="67" t="s">
        <v>2156</v>
      </c>
      <c r="C544" s="62" t="s">
        <v>1654</v>
      </c>
      <c r="D544" s="62"/>
    </row>
    <row r="545" spans="1:4">
      <c r="A545" s="95"/>
      <c r="B545" s="129"/>
      <c r="C545" s="62" t="s">
        <v>156</v>
      </c>
      <c r="D545" s="62"/>
    </row>
    <row r="546" spans="1:4">
      <c r="A546" s="88"/>
      <c r="B546" s="76" t="s">
        <v>2157</v>
      </c>
      <c r="C546" s="65" t="s">
        <v>2175</v>
      </c>
      <c r="D546" s="65"/>
    </row>
    <row r="547" spans="1:4">
      <c r="A547" s="88"/>
      <c r="B547" s="77"/>
      <c r="C547" s="65" t="s">
        <v>2694</v>
      </c>
      <c r="D547" s="65"/>
    </row>
    <row r="548" spans="1:4">
      <c r="A548" s="88"/>
      <c r="B548" s="77"/>
      <c r="C548" s="65" t="s">
        <v>2185</v>
      </c>
      <c r="D548" s="65"/>
    </row>
    <row r="549" spans="1:4">
      <c r="A549" s="88"/>
      <c r="B549" s="77"/>
      <c r="C549" s="65" t="s">
        <v>2695</v>
      </c>
      <c r="D549" s="65"/>
    </row>
    <row r="550" spans="1:4">
      <c r="A550" s="88"/>
      <c r="B550" s="77"/>
      <c r="C550" s="65" t="s">
        <v>2696</v>
      </c>
      <c r="D550" s="65"/>
    </row>
    <row r="551" spans="1:4">
      <c r="A551" s="94"/>
      <c r="B551" s="67" t="s">
        <v>2159</v>
      </c>
      <c r="C551" s="62" t="s">
        <v>1654</v>
      </c>
      <c r="D551" s="62"/>
    </row>
    <row r="552" spans="1:4">
      <c r="A552" s="95"/>
      <c r="B552" s="129"/>
      <c r="C552" s="62" t="s">
        <v>156</v>
      </c>
      <c r="D552" s="62"/>
    </row>
    <row r="553" spans="1:4">
      <c r="A553" s="73"/>
      <c r="B553" s="76" t="s">
        <v>2697</v>
      </c>
      <c r="C553" s="65" t="s">
        <v>2698</v>
      </c>
      <c r="D553" s="65"/>
    </row>
    <row r="554" spans="1:4">
      <c r="A554" s="74"/>
      <c r="B554" s="74"/>
      <c r="C554" s="65" t="s">
        <v>2699</v>
      </c>
      <c r="D554" s="65"/>
    </row>
    <row r="555" spans="1:4">
      <c r="A555" s="74"/>
      <c r="B555" s="74"/>
      <c r="C555" s="65" t="s">
        <v>2700</v>
      </c>
      <c r="D555" s="65"/>
    </row>
    <row r="556" spans="1:4">
      <c r="A556" s="74"/>
      <c r="B556" s="74"/>
      <c r="C556" s="65" t="s">
        <v>2701</v>
      </c>
      <c r="D556" s="65"/>
    </row>
    <row r="557" spans="1:4">
      <c r="A557" s="74"/>
      <c r="B557" s="74"/>
      <c r="C557" s="65" t="s">
        <v>2702</v>
      </c>
      <c r="D557" s="65"/>
    </row>
    <row r="558" spans="1:4">
      <c r="A558" s="74"/>
      <c r="B558" s="74"/>
      <c r="C558" s="65" t="s">
        <v>2703</v>
      </c>
      <c r="D558" s="65"/>
    </row>
    <row r="559" spans="1:4">
      <c r="A559" s="74"/>
      <c r="B559" s="74"/>
      <c r="C559" s="65" t="s">
        <v>2704</v>
      </c>
      <c r="D559" s="65"/>
    </row>
    <row r="560" spans="1:4">
      <c r="A560" s="74"/>
      <c r="B560" s="74"/>
      <c r="C560" s="65" t="s">
        <v>2705</v>
      </c>
      <c r="D560" s="65"/>
    </row>
    <row r="561" spans="1:4">
      <c r="A561" s="74"/>
      <c r="B561" s="74"/>
      <c r="C561" s="65" t="s">
        <v>2706</v>
      </c>
      <c r="D561" s="65"/>
    </row>
    <row r="562" spans="1:4">
      <c r="A562" s="74"/>
      <c r="B562" s="74"/>
      <c r="C562" s="65" t="s">
        <v>2707</v>
      </c>
      <c r="D562" s="65"/>
    </row>
    <row r="563" spans="1:4">
      <c r="A563" s="74"/>
      <c r="B563" s="74"/>
      <c r="C563" s="65" t="s">
        <v>2708</v>
      </c>
      <c r="D563" s="65"/>
    </row>
    <row r="564" spans="1:4">
      <c r="A564" s="74"/>
      <c r="B564" s="74"/>
      <c r="C564" s="65" t="s">
        <v>2709</v>
      </c>
      <c r="D564" s="65"/>
    </row>
    <row r="565" spans="1:4">
      <c r="A565" s="74"/>
      <c r="B565" s="74"/>
      <c r="C565" s="65" t="s">
        <v>2710</v>
      </c>
      <c r="D565" s="65"/>
    </row>
    <row r="566" spans="1:4">
      <c r="A566" s="74"/>
      <c r="B566" s="74"/>
      <c r="C566" s="65" t="s">
        <v>2711</v>
      </c>
      <c r="D566" s="65"/>
    </row>
    <row r="567" spans="1:4">
      <c r="A567" s="74"/>
      <c r="B567" s="74"/>
      <c r="C567" s="65" t="s">
        <v>2712</v>
      </c>
      <c r="D567" s="65"/>
    </row>
    <row r="568" spans="1:4">
      <c r="A568" s="74"/>
      <c r="B568" s="74"/>
      <c r="C568" s="65" t="s">
        <v>2713</v>
      </c>
      <c r="D568" s="65"/>
    </row>
    <row r="569" spans="1:4">
      <c r="A569" s="74"/>
      <c r="B569" s="74"/>
      <c r="C569" s="65" t="s">
        <v>2714</v>
      </c>
      <c r="D569" s="65"/>
    </row>
    <row r="570" spans="1:4">
      <c r="A570" s="74"/>
      <c r="B570" s="74"/>
      <c r="C570" s="65" t="s">
        <v>2715</v>
      </c>
      <c r="D570" s="65"/>
    </row>
    <row r="571" spans="1:4">
      <c r="A571" s="74"/>
      <c r="B571" s="74"/>
      <c r="C571" s="65" t="s">
        <v>2716</v>
      </c>
      <c r="D571" s="65"/>
    </row>
    <row r="572" spans="1:4">
      <c r="A572" s="74"/>
      <c r="B572" s="74"/>
      <c r="C572" s="65" t="s">
        <v>2717</v>
      </c>
      <c r="D572" s="65"/>
    </row>
    <row r="573" spans="1:4">
      <c r="A573" s="74"/>
      <c r="B573" s="74"/>
      <c r="C573" s="65" t="s">
        <v>2718</v>
      </c>
      <c r="D573" s="65"/>
    </row>
    <row r="574" spans="1:4">
      <c r="A574" s="74"/>
      <c r="B574" s="74"/>
      <c r="C574" s="65" t="s">
        <v>2719</v>
      </c>
      <c r="D574" s="65"/>
    </row>
    <row r="575" spans="1:4">
      <c r="A575" s="74"/>
      <c r="B575" s="74"/>
      <c r="C575" s="65" t="s">
        <v>2720</v>
      </c>
      <c r="D575" s="65"/>
    </row>
    <row r="576" spans="1:4">
      <c r="A576" s="74"/>
      <c r="B576" s="74"/>
      <c r="C576" s="65" t="s">
        <v>2721</v>
      </c>
      <c r="D576" s="65"/>
    </row>
    <row r="577" spans="1:5">
      <c r="A577" s="74"/>
      <c r="B577" s="74"/>
      <c r="C577" s="65" t="s">
        <v>2722</v>
      </c>
      <c r="D577" s="65"/>
    </row>
    <row r="578" spans="1:5">
      <c r="A578" s="74"/>
      <c r="B578" s="74"/>
      <c r="C578" s="65" t="s">
        <v>2723</v>
      </c>
      <c r="D578" s="65"/>
    </row>
    <row r="579" spans="1:5">
      <c r="A579" s="74"/>
      <c r="B579" s="74"/>
      <c r="C579" s="65" t="s">
        <v>2724</v>
      </c>
      <c r="D579" s="65"/>
    </row>
    <row r="580" spans="1:5">
      <c r="A580" s="74"/>
      <c r="B580" s="74"/>
      <c r="C580" s="65" t="s">
        <v>2725</v>
      </c>
      <c r="D580" s="65"/>
      <c r="E580" s="18" t="s">
        <v>2248</v>
      </c>
    </row>
    <row r="581" spans="1:5">
      <c r="A581" s="74"/>
      <c r="B581" s="74"/>
      <c r="C581" s="65" t="s">
        <v>2726</v>
      </c>
      <c r="D581" s="65"/>
      <c r="E581" s="18" t="s">
        <v>2248</v>
      </c>
    </row>
    <row r="582" spans="1:5">
      <c r="A582" s="74"/>
      <c r="B582" s="74"/>
      <c r="C582" s="65" t="s">
        <v>2727</v>
      </c>
      <c r="D582" s="65"/>
    </row>
    <row r="583" spans="1:5">
      <c r="A583" s="74"/>
      <c r="B583" s="74"/>
      <c r="C583" s="65" t="s">
        <v>2728</v>
      </c>
      <c r="D583" s="65"/>
    </row>
    <row r="584" spans="1:5">
      <c r="A584" s="74"/>
      <c r="B584" s="74"/>
      <c r="C584" s="65" t="s">
        <v>2729</v>
      </c>
      <c r="D584" s="65"/>
    </row>
    <row r="585" spans="1:5">
      <c r="A585" s="74"/>
      <c r="B585" s="74"/>
      <c r="C585" s="65" t="s">
        <v>2730</v>
      </c>
      <c r="D585" s="65"/>
    </row>
    <row r="586" spans="1:5">
      <c r="A586" s="74"/>
      <c r="B586" s="74"/>
      <c r="C586" s="65" t="s">
        <v>2731</v>
      </c>
      <c r="D586" s="65"/>
    </row>
    <row r="587" spans="1:5">
      <c r="A587" s="74"/>
      <c r="B587" s="74"/>
      <c r="C587" s="65" t="s">
        <v>2732</v>
      </c>
      <c r="D587" s="65"/>
    </row>
    <row r="588" spans="1:5">
      <c r="A588" s="74"/>
      <c r="B588" s="74"/>
      <c r="C588" s="65" t="s">
        <v>2733</v>
      </c>
      <c r="D588" s="65"/>
    </row>
    <row r="589" spans="1:5">
      <c r="A589" s="74"/>
      <c r="B589" s="74"/>
      <c r="C589" s="65" t="s">
        <v>2734</v>
      </c>
      <c r="D589" s="65"/>
    </row>
    <row r="590" spans="1:5">
      <c r="A590" s="74"/>
      <c r="B590" s="74"/>
      <c r="C590" s="65" t="s">
        <v>2735</v>
      </c>
      <c r="D590" s="65"/>
    </row>
    <row r="591" spans="1:5">
      <c r="A591" s="75"/>
      <c r="B591" s="75"/>
      <c r="C591" s="65" t="s">
        <v>2736</v>
      </c>
      <c r="D591" s="65"/>
    </row>
    <row r="592" spans="1:5">
      <c r="A592" s="72"/>
      <c r="B592" s="130" t="s">
        <v>2150</v>
      </c>
      <c r="C592" s="62" t="s">
        <v>2169</v>
      </c>
      <c r="D592" s="62"/>
    </row>
    <row r="593" spans="1:5">
      <c r="A593" s="72"/>
      <c r="B593" s="130"/>
      <c r="C593" s="62" t="s">
        <v>2737</v>
      </c>
      <c r="D593" s="62"/>
    </row>
    <row r="594" spans="1:5">
      <c r="A594" s="72"/>
      <c r="B594" s="130"/>
      <c r="C594" s="62" t="s">
        <v>131</v>
      </c>
      <c r="D594" s="62"/>
    </row>
    <row r="595" spans="1:5">
      <c r="A595" s="76"/>
      <c r="B595" s="82" t="s">
        <v>144</v>
      </c>
      <c r="C595" s="65" t="s">
        <v>1654</v>
      </c>
      <c r="D595" s="65"/>
      <c r="E595" s="137"/>
    </row>
    <row r="596" spans="1:5">
      <c r="A596" s="131"/>
      <c r="B596" s="133"/>
      <c r="C596" s="132" t="s">
        <v>156</v>
      </c>
      <c r="D596" s="65"/>
    </row>
    <row r="597" spans="1:5">
      <c r="A597" s="125"/>
      <c r="B597" s="125" t="s">
        <v>1729</v>
      </c>
      <c r="C597" s="62" t="s">
        <v>2738</v>
      </c>
      <c r="D597" s="62"/>
    </row>
    <row r="598" spans="1:5">
      <c r="A598" s="72"/>
      <c r="B598" s="72"/>
      <c r="C598" s="62" t="s">
        <v>1793</v>
      </c>
      <c r="D598" s="62"/>
    </row>
    <row r="599" spans="1:5">
      <c r="A599" s="72"/>
      <c r="B599" s="72"/>
      <c r="C599" s="62" t="s">
        <v>2739</v>
      </c>
      <c r="D599" s="62"/>
    </row>
    <row r="600" spans="1:5">
      <c r="A600" s="72"/>
      <c r="B600" s="72"/>
      <c r="C600" s="62" t="s">
        <v>2740</v>
      </c>
      <c r="D600" s="62"/>
    </row>
    <row r="601" spans="1:5">
      <c r="A601" s="72"/>
      <c r="B601" s="72"/>
      <c r="C601" s="62" t="s">
        <v>2001</v>
      </c>
      <c r="D601" s="62"/>
    </row>
    <row r="602" spans="1:5">
      <c r="A602" s="72"/>
      <c r="B602" s="72"/>
      <c r="C602" s="62" t="s">
        <v>2741</v>
      </c>
      <c r="D602" s="62"/>
    </row>
    <row r="603" spans="1:5">
      <c r="A603" s="72"/>
      <c r="B603" s="72"/>
      <c r="C603" s="62" t="s">
        <v>1820</v>
      </c>
      <c r="D603" s="62"/>
    </row>
    <row r="604" spans="1:5">
      <c r="A604" s="72"/>
      <c r="B604" s="72"/>
      <c r="C604" s="62" t="s">
        <v>1786</v>
      </c>
      <c r="D604" s="62"/>
    </row>
    <row r="605" spans="1:5">
      <c r="A605" s="72"/>
      <c r="B605" s="72"/>
      <c r="C605" s="62" t="s">
        <v>2742</v>
      </c>
      <c r="D605" s="62"/>
    </row>
    <row r="606" spans="1:5">
      <c r="A606" s="72"/>
      <c r="B606" s="72"/>
      <c r="C606" s="62" t="s">
        <v>1996</v>
      </c>
      <c r="D606" s="62"/>
    </row>
    <row r="607" spans="1:5">
      <c r="A607" s="72"/>
      <c r="B607" s="72"/>
      <c r="C607" s="62" t="s">
        <v>2743</v>
      </c>
      <c r="D607" s="62"/>
    </row>
    <row r="608" spans="1:5">
      <c r="A608" s="72"/>
      <c r="B608" s="72"/>
      <c r="C608" s="62" t="s">
        <v>2744</v>
      </c>
      <c r="D608" s="62"/>
    </row>
    <row r="609" spans="1:5">
      <c r="A609" s="72"/>
      <c r="B609" s="72"/>
      <c r="C609" s="62" t="s">
        <v>2745</v>
      </c>
      <c r="D609" s="62"/>
    </row>
    <row r="610" spans="1:5">
      <c r="A610" s="72"/>
      <c r="B610" s="72"/>
      <c r="C610" s="62" t="s">
        <v>1803</v>
      </c>
      <c r="D610" s="62"/>
    </row>
    <row r="611" spans="1:5">
      <c r="A611" s="72"/>
      <c r="B611" s="72"/>
      <c r="C611" s="62" t="s">
        <v>2746</v>
      </c>
      <c r="D611" s="62"/>
    </row>
    <row r="612" spans="1:5">
      <c r="A612" s="72"/>
      <c r="B612" s="72"/>
      <c r="C612" s="62" t="s">
        <v>1750</v>
      </c>
      <c r="D612" s="62"/>
    </row>
    <row r="613" spans="1:5">
      <c r="A613" s="72"/>
      <c r="B613" s="72"/>
      <c r="C613" s="62" t="s">
        <v>2747</v>
      </c>
      <c r="D613" s="62"/>
    </row>
    <row r="614" spans="1:5">
      <c r="A614" s="72"/>
      <c r="B614" s="72"/>
      <c r="C614" s="62" t="s">
        <v>1765</v>
      </c>
      <c r="D614" s="62"/>
    </row>
    <row r="615" spans="1:5">
      <c r="A615" s="72"/>
      <c r="B615" s="72"/>
      <c r="C615" s="62" t="s">
        <v>2748</v>
      </c>
      <c r="D615" s="62"/>
    </row>
    <row r="616" spans="1:5">
      <c r="A616" s="72"/>
      <c r="B616" s="72"/>
      <c r="C616" s="62" t="s">
        <v>1737</v>
      </c>
      <c r="D616" s="62"/>
    </row>
    <row r="617" spans="1:5">
      <c r="A617" s="72"/>
      <c r="B617" s="72"/>
      <c r="C617" s="62" t="s">
        <v>2749</v>
      </c>
      <c r="D617" s="62"/>
    </row>
    <row r="618" spans="1:5">
      <c r="A618" s="72"/>
      <c r="B618" s="72"/>
      <c r="C618" s="62" t="s">
        <v>1743</v>
      </c>
      <c r="D618" s="62"/>
    </row>
    <row r="619" spans="1:5">
      <c r="A619" s="72"/>
      <c r="B619" s="72"/>
      <c r="C619" s="62" t="s">
        <v>2750</v>
      </c>
      <c r="D619" s="62"/>
    </row>
    <row r="620" spans="1:5">
      <c r="A620" s="72"/>
      <c r="B620" s="72"/>
      <c r="C620" s="62" t="s">
        <v>1757</v>
      </c>
      <c r="D620" s="62"/>
    </row>
    <row r="621" spans="1:5">
      <c r="A621" s="72"/>
      <c r="B621" s="72"/>
      <c r="C621" s="62" t="s">
        <v>2751</v>
      </c>
      <c r="D621" s="62"/>
      <c r="E621" s="18" t="s">
        <v>2248</v>
      </c>
    </row>
    <row r="622" spans="1:5">
      <c r="A622" s="76"/>
      <c r="B622" s="76" t="s">
        <v>2200</v>
      </c>
      <c r="C622" s="65" t="s">
        <v>2752</v>
      </c>
      <c r="D622" s="65"/>
    </row>
    <row r="623" spans="1:5">
      <c r="A623" s="77"/>
      <c r="B623" s="77"/>
      <c r="C623" s="65" t="s">
        <v>2753</v>
      </c>
      <c r="D623" s="65"/>
    </row>
    <row r="624" spans="1:5">
      <c r="A624" s="77"/>
      <c r="B624" s="77"/>
      <c r="C624" s="65" t="s">
        <v>2754</v>
      </c>
      <c r="D624" s="65"/>
    </row>
    <row r="625" spans="1:5">
      <c r="A625" s="77"/>
      <c r="B625" s="77"/>
      <c r="C625" s="65" t="s">
        <v>2755</v>
      </c>
      <c r="D625" s="65"/>
    </row>
    <row r="626" spans="1:5">
      <c r="A626" s="77"/>
      <c r="B626" s="77"/>
      <c r="C626" s="65" t="s">
        <v>2756</v>
      </c>
      <c r="D626" s="65"/>
      <c r="E626" s="18" t="s">
        <v>2248</v>
      </c>
    </row>
    <row r="627" spans="1:5">
      <c r="A627" s="77"/>
      <c r="B627" s="77"/>
      <c r="C627" s="65" t="s">
        <v>2757</v>
      </c>
      <c r="D627" s="65"/>
    </row>
    <row r="628" spans="1:5">
      <c r="A628" s="77"/>
      <c r="B628" s="77"/>
      <c r="C628" s="65" t="s">
        <v>2758</v>
      </c>
      <c r="D628" s="65"/>
    </row>
    <row r="629" spans="1:5">
      <c r="A629" s="77"/>
      <c r="B629" s="77"/>
      <c r="C629" s="65" t="s">
        <v>303</v>
      </c>
      <c r="D629" s="65"/>
    </row>
    <row r="630" spans="1:5">
      <c r="A630" s="77"/>
      <c r="B630" s="77"/>
      <c r="C630" s="65" t="s">
        <v>2759</v>
      </c>
      <c r="D630" s="65"/>
    </row>
    <row r="631" spans="1:5">
      <c r="A631" s="77"/>
      <c r="B631" s="77"/>
      <c r="C631" s="65" t="s">
        <v>2760</v>
      </c>
      <c r="D631" s="65"/>
    </row>
    <row r="632" spans="1:5">
      <c r="A632" s="77"/>
      <c r="B632" s="77"/>
      <c r="C632" s="65" t="s">
        <v>2761</v>
      </c>
      <c r="D632" s="65"/>
    </row>
    <row r="633" spans="1:5">
      <c r="A633" s="78"/>
      <c r="B633" s="78"/>
      <c r="C633" s="65" t="s">
        <v>131</v>
      </c>
      <c r="D633" s="65"/>
    </row>
    <row r="634" spans="1:5">
      <c r="A634" s="72"/>
      <c r="B634" s="130" t="s">
        <v>2201</v>
      </c>
      <c r="C634" s="62" t="s">
        <v>2762</v>
      </c>
      <c r="D634" s="62" t="s">
        <v>2763</v>
      </c>
    </row>
    <row r="635" spans="1:5">
      <c r="A635" s="72"/>
      <c r="B635" s="130"/>
      <c r="C635" s="62" t="s">
        <v>2764</v>
      </c>
      <c r="D635" s="62" t="s">
        <v>2765</v>
      </c>
    </row>
    <row r="636" spans="1:5">
      <c r="A636" s="72"/>
      <c r="B636" s="130"/>
      <c r="C636" s="62" t="s">
        <v>2766</v>
      </c>
      <c r="D636" s="62" t="s">
        <v>2767</v>
      </c>
    </row>
    <row r="637" spans="1:5">
      <c r="A637" s="72"/>
      <c r="B637" s="130"/>
      <c r="C637" s="62" t="s">
        <v>2768</v>
      </c>
      <c r="D637" s="62" t="s">
        <v>2769</v>
      </c>
    </row>
    <row r="638" spans="1:5">
      <c r="A638" s="72"/>
      <c r="B638" s="130"/>
      <c r="C638" s="62" t="s">
        <v>2770</v>
      </c>
      <c r="D638" s="62" t="s">
        <v>2771</v>
      </c>
    </row>
    <row r="639" spans="1:5">
      <c r="A639" s="72"/>
      <c r="B639" s="130"/>
      <c r="C639" s="62" t="s">
        <v>2772</v>
      </c>
      <c r="D639" s="62" t="s">
        <v>2773</v>
      </c>
    </row>
    <row r="640" spans="1:5">
      <c r="A640" s="72"/>
      <c r="B640" s="130"/>
      <c r="C640" s="62" t="s">
        <v>2774</v>
      </c>
      <c r="D640" s="62" t="s">
        <v>2775</v>
      </c>
    </row>
    <row r="641" spans="1:4">
      <c r="A641" s="72"/>
      <c r="B641" s="130"/>
      <c r="C641" s="62" t="s">
        <v>2776</v>
      </c>
      <c r="D641" s="62" t="s">
        <v>2776</v>
      </c>
    </row>
    <row r="642" spans="1:4">
      <c r="A642" s="72"/>
      <c r="B642" s="130"/>
      <c r="C642" s="62" t="s">
        <v>131</v>
      </c>
      <c r="D642" s="62"/>
    </row>
    <row r="643" spans="1:4">
      <c r="A643" s="79"/>
      <c r="B643" s="79" t="s">
        <v>2777</v>
      </c>
      <c r="C643" s="65" t="s">
        <v>2778</v>
      </c>
      <c r="D643" s="65" t="s">
        <v>2779</v>
      </c>
    </row>
    <row r="644" spans="1:4">
      <c r="A644" s="80"/>
      <c r="B644" s="80"/>
      <c r="C644" s="65" t="s">
        <v>2780</v>
      </c>
      <c r="D644" s="65" t="s">
        <v>2781</v>
      </c>
    </row>
    <row r="645" spans="1:4">
      <c r="A645" s="80"/>
      <c r="B645" s="80"/>
      <c r="C645" s="65" t="s">
        <v>2782</v>
      </c>
      <c r="D645" s="65" t="s">
        <v>2783</v>
      </c>
    </row>
    <row r="646" spans="1:4">
      <c r="A646" s="80"/>
      <c r="B646" s="80"/>
      <c r="C646" s="65" t="s">
        <v>2784</v>
      </c>
      <c r="D646" s="65" t="s">
        <v>2785</v>
      </c>
    </row>
    <row r="647" spans="1:4">
      <c r="A647" s="80"/>
      <c r="B647" s="80"/>
      <c r="C647" s="65" t="s">
        <v>2786</v>
      </c>
      <c r="D647" s="65"/>
    </row>
    <row r="648" spans="1:4">
      <c r="A648" s="81"/>
      <c r="B648" s="81"/>
      <c r="C648" s="65" t="s">
        <v>131</v>
      </c>
      <c r="D648" s="65"/>
    </row>
    <row r="649" spans="1:4">
      <c r="A649" s="72"/>
      <c r="B649" s="130" t="s">
        <v>1552</v>
      </c>
      <c r="C649" s="62" t="s">
        <v>1646</v>
      </c>
      <c r="D649" s="62"/>
    </row>
    <row r="650" spans="1:4">
      <c r="A650" s="72"/>
      <c r="B650" s="130"/>
      <c r="C650" s="62" t="s">
        <v>1739</v>
      </c>
      <c r="D650" s="62"/>
    </row>
    <row r="651" spans="1:4">
      <c r="A651" s="72"/>
      <c r="B651" s="130"/>
      <c r="C651" s="62" t="s">
        <v>1563</v>
      </c>
      <c r="D651" s="62"/>
    </row>
    <row r="652" spans="1:4">
      <c r="A652" s="72"/>
      <c r="B652" s="130"/>
      <c r="C652" s="62" t="s">
        <v>1774</v>
      </c>
      <c r="D652" s="62"/>
    </row>
    <row r="653" spans="1:4">
      <c r="A653" s="72"/>
      <c r="B653" s="130"/>
      <c r="C653" s="62" t="s">
        <v>131</v>
      </c>
      <c r="D653" s="62"/>
    </row>
    <row r="654" spans="1:4">
      <c r="A654" s="79"/>
      <c r="B654" s="79" t="s">
        <v>1553</v>
      </c>
      <c r="C654" s="65" t="s">
        <v>1647</v>
      </c>
      <c r="D654" s="65"/>
    </row>
    <row r="655" spans="1:4">
      <c r="A655" s="80"/>
      <c r="B655" s="80"/>
      <c r="C655" s="65" t="s">
        <v>1564</v>
      </c>
      <c r="D655" s="65"/>
    </row>
    <row r="656" spans="1:4">
      <c r="A656" s="72"/>
      <c r="B656" s="130" t="s">
        <v>22</v>
      </c>
      <c r="C656" s="62" t="s">
        <v>36</v>
      </c>
      <c r="D656" s="62"/>
    </row>
    <row r="657" spans="1:4">
      <c r="A657" s="72"/>
      <c r="B657" s="130"/>
      <c r="C657" s="62" t="s">
        <v>2787</v>
      </c>
      <c r="D657" s="62"/>
    </row>
    <row r="658" spans="1:4">
      <c r="A658" s="79"/>
      <c r="B658" s="79" t="s">
        <v>2102</v>
      </c>
      <c r="C658" s="65" t="s">
        <v>2788</v>
      </c>
      <c r="D658" s="65"/>
    </row>
    <row r="659" spans="1:4">
      <c r="A659" s="80"/>
      <c r="B659" s="80"/>
      <c r="C659" s="65" t="s">
        <v>2789</v>
      </c>
      <c r="D659" s="65"/>
    </row>
    <row r="660" spans="1:4">
      <c r="A660" s="80"/>
      <c r="B660" s="80"/>
      <c r="C660" s="65" t="s">
        <v>2790</v>
      </c>
      <c r="D660" s="65"/>
    </row>
    <row r="661" spans="1:4">
      <c r="A661" s="80"/>
      <c r="B661" s="80"/>
      <c r="C661" s="65" t="s">
        <v>2791</v>
      </c>
      <c r="D661" s="65"/>
    </row>
    <row r="662" spans="1:4">
      <c r="A662" s="80"/>
      <c r="B662" s="80"/>
      <c r="C662" s="65" t="s">
        <v>2792</v>
      </c>
      <c r="D662" s="65"/>
    </row>
    <row r="663" spans="1:4">
      <c r="A663" s="80"/>
      <c r="B663" s="80"/>
      <c r="C663" s="65" t="s">
        <v>2793</v>
      </c>
      <c r="D663" s="65"/>
    </row>
    <row r="664" spans="1:4">
      <c r="A664" s="80"/>
      <c r="B664" s="80"/>
      <c r="C664" s="65" t="s">
        <v>131</v>
      </c>
      <c r="D664" s="65"/>
    </row>
    <row r="665" spans="1:4">
      <c r="A665" s="81"/>
      <c r="B665" s="81"/>
      <c r="C665" s="65" t="s">
        <v>2121</v>
      </c>
      <c r="D665" s="65"/>
    </row>
    <row r="666" spans="1:4">
      <c r="A666" s="72"/>
      <c r="B666" s="130" t="s">
        <v>2103</v>
      </c>
      <c r="C666" s="62" t="s">
        <v>2122</v>
      </c>
      <c r="D666" s="62"/>
    </row>
    <row r="667" spans="1:4">
      <c r="A667" s="72"/>
      <c r="B667" s="130"/>
      <c r="C667" s="62" t="s">
        <v>2794</v>
      </c>
      <c r="D667" s="62"/>
    </row>
    <row r="668" spans="1:4">
      <c r="A668" s="79"/>
      <c r="B668" s="79" t="s">
        <v>142</v>
      </c>
      <c r="C668" s="65" t="s">
        <v>2795</v>
      </c>
      <c r="D668" s="65"/>
    </row>
    <row r="669" spans="1:4">
      <c r="A669" s="80"/>
      <c r="B669" s="80"/>
      <c r="C669" s="65" t="s">
        <v>2796</v>
      </c>
      <c r="D669" s="65"/>
    </row>
    <row r="670" spans="1:4">
      <c r="A670" s="80"/>
      <c r="B670" s="80"/>
      <c r="C670" s="65" t="s">
        <v>2797</v>
      </c>
      <c r="D670" s="65"/>
    </row>
    <row r="671" spans="1:4">
      <c r="A671" s="80"/>
      <c r="B671" s="80"/>
      <c r="C671" s="65" t="s">
        <v>2798</v>
      </c>
      <c r="D671" s="65"/>
    </row>
    <row r="672" spans="1:4">
      <c r="A672" s="80"/>
      <c r="B672" s="80"/>
      <c r="C672" s="65" t="s">
        <v>2799</v>
      </c>
      <c r="D672" s="65"/>
    </row>
    <row r="673" spans="1:4">
      <c r="A673" s="80"/>
      <c r="B673" s="80"/>
      <c r="C673" s="65" t="s">
        <v>2800</v>
      </c>
      <c r="D673" s="65"/>
    </row>
    <row r="674" spans="1:4">
      <c r="A674" s="80"/>
      <c r="B674" s="80"/>
      <c r="C674" s="65" t="s">
        <v>1561</v>
      </c>
      <c r="D674" s="65"/>
    </row>
    <row r="675" spans="1:4">
      <c r="A675" s="80"/>
      <c r="B675" s="80"/>
      <c r="C675" s="65" t="s">
        <v>2801</v>
      </c>
      <c r="D675" s="65"/>
    </row>
    <row r="676" spans="1:4">
      <c r="A676" s="80"/>
      <c r="B676" s="80"/>
      <c r="C676" s="65" t="s">
        <v>2802</v>
      </c>
      <c r="D676" s="65"/>
    </row>
    <row r="677" spans="1:4">
      <c r="A677" s="80"/>
      <c r="B677" s="80"/>
      <c r="C677" s="65" t="s">
        <v>2803</v>
      </c>
      <c r="D677" s="65"/>
    </row>
    <row r="678" spans="1:4">
      <c r="A678" s="80"/>
      <c r="B678" s="80"/>
      <c r="C678" s="65" t="s">
        <v>1757</v>
      </c>
      <c r="D678" s="65"/>
    </row>
    <row r="679" spans="1:4">
      <c r="A679" s="81"/>
      <c r="B679" s="81"/>
      <c r="C679" s="65" t="s">
        <v>2121</v>
      </c>
      <c r="D679" s="65"/>
    </row>
    <row r="680" spans="1:4">
      <c r="A680" s="101"/>
      <c r="B680" s="101" t="s">
        <v>2106</v>
      </c>
      <c r="C680" s="62" t="s">
        <v>2788</v>
      </c>
      <c r="D680" s="62"/>
    </row>
    <row r="681" spans="1:4">
      <c r="A681" s="103"/>
      <c r="B681" s="103"/>
      <c r="C681" s="62" t="s">
        <v>2789</v>
      </c>
      <c r="D681" s="62"/>
    </row>
    <row r="682" spans="1:4">
      <c r="A682" s="103"/>
      <c r="B682" s="103"/>
      <c r="C682" s="62" t="s">
        <v>2790</v>
      </c>
      <c r="D682" s="62"/>
    </row>
    <row r="683" spans="1:4">
      <c r="A683" s="103"/>
      <c r="B683" s="103"/>
      <c r="C683" s="62" t="s">
        <v>2791</v>
      </c>
      <c r="D683" s="62"/>
    </row>
    <row r="684" spans="1:4">
      <c r="A684" s="103"/>
      <c r="B684" s="103"/>
      <c r="C684" s="62" t="s">
        <v>2792</v>
      </c>
      <c r="D684" s="62"/>
    </row>
    <row r="685" spans="1:4">
      <c r="A685" s="103"/>
      <c r="B685" s="103"/>
      <c r="C685" s="62" t="s">
        <v>2793</v>
      </c>
      <c r="D685" s="62"/>
    </row>
    <row r="686" spans="1:4">
      <c r="A686" s="103"/>
      <c r="B686" s="103"/>
      <c r="C686" s="62" t="s">
        <v>131</v>
      </c>
      <c r="D686" s="62"/>
    </row>
    <row r="687" spans="1:4">
      <c r="A687" s="103"/>
      <c r="B687" s="103"/>
      <c r="C687" s="62" t="s">
        <v>2121</v>
      </c>
      <c r="D687" s="62"/>
    </row>
    <row r="688" spans="1:4">
      <c r="A688" s="79"/>
      <c r="B688" s="76" t="s">
        <v>2804</v>
      </c>
      <c r="C688" s="65" t="s">
        <v>2805</v>
      </c>
      <c r="D688" s="65"/>
    </row>
    <row r="689" spans="1:4">
      <c r="A689" s="80"/>
      <c r="B689" s="78"/>
      <c r="C689" s="65" t="s">
        <v>2806</v>
      </c>
      <c r="D689" s="65"/>
    </row>
    <row r="690" spans="1:4">
      <c r="A690" s="101"/>
      <c r="B690" s="101" t="s">
        <v>2105</v>
      </c>
      <c r="C690" s="62" t="s">
        <v>2123</v>
      </c>
      <c r="D690" s="62"/>
    </row>
    <row r="691" spans="1:4">
      <c r="A691" s="103"/>
      <c r="B691" s="103"/>
      <c r="C691" s="62" t="s">
        <v>2807</v>
      </c>
      <c r="D691" s="62"/>
    </row>
    <row r="692" spans="1:4">
      <c r="A692" s="79"/>
      <c r="B692" s="79" t="s">
        <v>2097</v>
      </c>
      <c r="C692" s="65" t="s">
        <v>2808</v>
      </c>
      <c r="D692" s="65"/>
    </row>
    <row r="693" spans="1:4">
      <c r="A693" s="80"/>
      <c r="B693" s="80"/>
      <c r="C693" s="65" t="s">
        <v>2666</v>
      </c>
      <c r="D693" s="65"/>
    </row>
    <row r="694" spans="1:4">
      <c r="A694" s="80"/>
      <c r="B694" s="80"/>
      <c r="C694" s="65" t="s">
        <v>2117</v>
      </c>
      <c r="D694" s="65"/>
    </row>
    <row r="695" spans="1:4">
      <c r="A695" s="80"/>
      <c r="B695" s="80"/>
      <c r="C695" s="65" t="s">
        <v>2809</v>
      </c>
      <c r="D695" s="65"/>
    </row>
    <row r="696" spans="1:4">
      <c r="A696" s="80"/>
      <c r="B696" s="80"/>
      <c r="C696" s="65" t="s">
        <v>930</v>
      </c>
      <c r="D696" s="65"/>
    </row>
    <row r="697" spans="1:4">
      <c r="A697" s="80"/>
      <c r="B697" s="80"/>
      <c r="C697" s="65" t="s">
        <v>139</v>
      </c>
      <c r="D697" s="65"/>
    </row>
    <row r="698" spans="1:4">
      <c r="A698" s="80"/>
      <c r="B698" s="80"/>
      <c r="C698" s="65" t="s">
        <v>2810</v>
      </c>
      <c r="D698" s="65"/>
    </row>
    <row r="699" spans="1:4">
      <c r="A699" s="80"/>
      <c r="B699" s="80"/>
      <c r="C699" s="65" t="s">
        <v>2811</v>
      </c>
      <c r="D699" s="65"/>
    </row>
    <row r="700" spans="1:4">
      <c r="A700" s="80"/>
      <c r="B700" s="80"/>
      <c r="C700" s="65" t="s">
        <v>131</v>
      </c>
      <c r="D700" s="65"/>
    </row>
    <row r="701" spans="1:4">
      <c r="A701" s="101"/>
      <c r="B701" s="101" t="s">
        <v>2098</v>
      </c>
      <c r="C701" s="62" t="s">
        <v>2424</v>
      </c>
      <c r="D701" s="62"/>
    </row>
    <row r="702" spans="1:4">
      <c r="A702" s="103"/>
      <c r="B702" s="103"/>
      <c r="C702" s="62" t="s">
        <v>743</v>
      </c>
      <c r="D702" s="62"/>
    </row>
    <row r="703" spans="1:4">
      <c r="A703" s="103"/>
      <c r="B703" s="103"/>
      <c r="C703" s="62" t="s">
        <v>2425</v>
      </c>
      <c r="D703" s="62"/>
    </row>
    <row r="704" spans="1:4">
      <c r="A704" s="103"/>
      <c r="B704" s="103"/>
      <c r="C704" s="62" t="s">
        <v>1004</v>
      </c>
      <c r="D704" s="62"/>
    </row>
    <row r="705" spans="1:5">
      <c r="A705" s="103"/>
      <c r="B705" s="103"/>
      <c r="C705" s="62" t="s">
        <v>231</v>
      </c>
      <c r="D705" s="62"/>
    </row>
    <row r="706" spans="1:5">
      <c r="A706" s="103"/>
      <c r="B706" s="103"/>
      <c r="C706" s="62" t="s">
        <v>210</v>
      </c>
      <c r="D706" s="62"/>
    </row>
    <row r="707" spans="1:5">
      <c r="A707" s="103"/>
      <c r="B707" s="103"/>
      <c r="C707" s="62" t="s">
        <v>392</v>
      </c>
      <c r="D707" s="62"/>
    </row>
    <row r="708" spans="1:5">
      <c r="A708" s="103"/>
      <c r="B708" s="103"/>
      <c r="C708" s="62" t="s">
        <v>2427</v>
      </c>
      <c r="D708" s="62"/>
    </row>
    <row r="709" spans="1:5">
      <c r="A709" s="103"/>
      <c r="B709" s="103"/>
      <c r="C709" s="62" t="s">
        <v>155</v>
      </c>
      <c r="D709" s="62"/>
    </row>
    <row r="710" spans="1:5">
      <c r="A710" s="103"/>
      <c r="B710" s="103"/>
      <c r="C710" s="62" t="s">
        <v>946</v>
      </c>
      <c r="D710" s="62"/>
    </row>
    <row r="711" spans="1:5">
      <c r="A711" s="103"/>
      <c r="B711" s="103"/>
      <c r="C711" s="62" t="s">
        <v>282</v>
      </c>
      <c r="D711" s="62"/>
    </row>
    <row r="712" spans="1:5">
      <c r="A712" s="103"/>
      <c r="B712" s="103"/>
      <c r="C712" s="62" t="s">
        <v>245</v>
      </c>
      <c r="D712" s="62"/>
    </row>
    <row r="713" spans="1:5">
      <c r="A713" s="103"/>
      <c r="B713" s="103"/>
      <c r="C713" s="62" t="s">
        <v>1687</v>
      </c>
      <c r="D713" s="62"/>
    </row>
    <row r="714" spans="1:5">
      <c r="A714" s="103"/>
      <c r="B714" s="103"/>
      <c r="C714" s="62" t="s">
        <v>2428</v>
      </c>
      <c r="D714" s="62"/>
    </row>
    <row r="715" spans="1:5">
      <c r="A715" s="103"/>
      <c r="B715" s="103"/>
      <c r="C715" s="62" t="s">
        <v>194</v>
      </c>
      <c r="D715" s="62"/>
    </row>
    <row r="716" spans="1:5">
      <c r="A716" s="103"/>
      <c r="B716" s="103"/>
      <c r="C716" s="62" t="s">
        <v>2429</v>
      </c>
      <c r="D716" s="62" t="s">
        <v>2430</v>
      </c>
      <c r="E716" s="18" t="s">
        <v>2248</v>
      </c>
    </row>
    <row r="717" spans="1:5">
      <c r="A717" s="103"/>
      <c r="B717" s="103"/>
      <c r="C717" s="62" t="s">
        <v>487</v>
      </c>
      <c r="D717" s="62"/>
    </row>
    <row r="718" spans="1:5">
      <c r="A718" s="103"/>
      <c r="B718" s="103"/>
      <c r="C718" s="62" t="s">
        <v>2431</v>
      </c>
      <c r="D718" s="62"/>
    </row>
    <row r="719" spans="1:5">
      <c r="A719" s="103"/>
      <c r="B719" s="103"/>
      <c r="C719" s="62" t="s">
        <v>653</v>
      </c>
      <c r="D719" s="62"/>
    </row>
    <row r="720" spans="1:5">
      <c r="A720" s="103"/>
      <c r="B720" s="103"/>
      <c r="C720" s="62" t="s">
        <v>2432</v>
      </c>
      <c r="D720" s="62"/>
    </row>
    <row r="721" spans="1:4">
      <c r="A721" s="103"/>
      <c r="B721" s="103"/>
      <c r="C721" s="62" t="s">
        <v>992</v>
      </c>
      <c r="D721" s="62"/>
    </row>
    <row r="722" spans="1:4">
      <c r="A722" s="103"/>
      <c r="B722" s="103"/>
      <c r="C722" s="62" t="s">
        <v>2433</v>
      </c>
      <c r="D722" s="62"/>
    </row>
    <row r="723" spans="1:4">
      <c r="A723" s="103"/>
      <c r="B723" s="103"/>
      <c r="C723" s="62" t="s">
        <v>2434</v>
      </c>
      <c r="D723" s="62"/>
    </row>
    <row r="724" spans="1:4">
      <c r="A724" s="103"/>
      <c r="B724" s="103"/>
      <c r="C724" s="62" t="s">
        <v>862</v>
      </c>
      <c r="D724" s="62"/>
    </row>
    <row r="725" spans="1:4">
      <c r="A725" s="103"/>
      <c r="B725" s="103"/>
      <c r="C725" s="62" t="s">
        <v>303</v>
      </c>
      <c r="D725" s="62"/>
    </row>
    <row r="726" spans="1:4">
      <c r="A726" s="103"/>
      <c r="B726" s="103"/>
      <c r="C726" s="62" t="s">
        <v>906</v>
      </c>
      <c r="D726" s="62"/>
    </row>
    <row r="727" spans="1:4">
      <c r="A727" s="103"/>
      <c r="B727" s="103"/>
      <c r="C727" s="62" t="s">
        <v>167</v>
      </c>
      <c r="D727" s="62"/>
    </row>
    <row r="728" spans="1:4">
      <c r="A728" s="103"/>
      <c r="B728" s="103"/>
      <c r="C728" s="62" t="s">
        <v>238</v>
      </c>
      <c r="D728" s="62"/>
    </row>
    <row r="729" spans="1:4">
      <c r="A729" s="103"/>
      <c r="B729" s="103"/>
      <c r="C729" s="62" t="s">
        <v>2435</v>
      </c>
      <c r="D729" s="62"/>
    </row>
    <row r="730" spans="1:4">
      <c r="A730" s="103"/>
      <c r="B730" s="103"/>
      <c r="C730" s="62" t="s">
        <v>975</v>
      </c>
      <c r="D730" s="62"/>
    </row>
    <row r="731" spans="1:4">
      <c r="A731" s="103"/>
      <c r="B731" s="103"/>
      <c r="C731" s="62" t="s">
        <v>2436</v>
      </c>
      <c r="D731" s="62"/>
    </row>
    <row r="732" spans="1:4">
      <c r="A732" s="103"/>
      <c r="B732" s="103"/>
      <c r="C732" s="62" t="s">
        <v>2437</v>
      </c>
      <c r="D732" s="62"/>
    </row>
    <row r="733" spans="1:4">
      <c r="A733" s="103"/>
      <c r="B733" s="103"/>
      <c r="C733" s="62" t="s">
        <v>2438</v>
      </c>
      <c r="D733" s="62"/>
    </row>
    <row r="734" spans="1:4">
      <c r="A734" s="103"/>
      <c r="B734" s="103"/>
      <c r="C734" s="62" t="s">
        <v>2439</v>
      </c>
      <c r="D734" s="62"/>
    </row>
    <row r="735" spans="1:4">
      <c r="A735" s="103"/>
      <c r="B735" s="103"/>
      <c r="C735" s="62" t="s">
        <v>2440</v>
      </c>
      <c r="D735" s="62"/>
    </row>
    <row r="736" spans="1:4">
      <c r="A736" s="103"/>
      <c r="B736" s="103"/>
      <c r="C736" s="62" t="s">
        <v>2441</v>
      </c>
      <c r="D736" s="62"/>
    </row>
    <row r="737" spans="1:4">
      <c r="A737" s="103"/>
      <c r="B737" s="103"/>
      <c r="C737" s="62" t="s">
        <v>2442</v>
      </c>
      <c r="D737" s="62"/>
    </row>
    <row r="738" spans="1:4">
      <c r="A738" s="103"/>
      <c r="B738" s="103"/>
      <c r="C738" s="62" t="s">
        <v>2443</v>
      </c>
      <c r="D738" s="62"/>
    </row>
    <row r="739" spans="1:4">
      <c r="A739" s="103"/>
      <c r="B739" s="103"/>
      <c r="C739" s="62" t="s">
        <v>1011</v>
      </c>
      <c r="D739" s="62"/>
    </row>
    <row r="740" spans="1:4">
      <c r="A740" s="103"/>
      <c r="B740" s="103"/>
      <c r="C740" s="62" t="s">
        <v>455</v>
      </c>
      <c r="D740" s="62"/>
    </row>
    <row r="741" spans="1:4">
      <c r="A741" s="103"/>
      <c r="B741" s="103"/>
      <c r="C741" s="62" t="s">
        <v>178</v>
      </c>
      <c r="D741" s="62"/>
    </row>
    <row r="742" spans="1:4">
      <c r="A742" s="103"/>
      <c r="B742" s="103"/>
      <c r="C742" s="62" t="s">
        <v>599</v>
      </c>
      <c r="D742" s="62"/>
    </row>
    <row r="743" spans="1:4">
      <c r="A743" s="103"/>
      <c r="B743" s="103"/>
      <c r="C743" s="62" t="s">
        <v>2444</v>
      </c>
      <c r="D743" s="62"/>
    </row>
    <row r="744" spans="1:4">
      <c r="A744" s="103"/>
      <c r="B744" s="103"/>
      <c r="C744" s="62" t="s">
        <v>923</v>
      </c>
      <c r="D744" s="62"/>
    </row>
    <row r="745" spans="1:4">
      <c r="A745" s="103"/>
      <c r="B745" s="103"/>
      <c r="C745" s="62" t="s">
        <v>2445</v>
      </c>
      <c r="D745" s="62"/>
    </row>
    <row r="746" spans="1:4">
      <c r="A746" s="103"/>
      <c r="B746" s="103"/>
      <c r="C746" s="62" t="s">
        <v>2446</v>
      </c>
      <c r="D746" s="62"/>
    </row>
    <row r="747" spans="1:4">
      <c r="A747" s="103"/>
      <c r="B747" s="103"/>
      <c r="C747" s="62" t="s">
        <v>2447</v>
      </c>
      <c r="D747" s="62"/>
    </row>
    <row r="748" spans="1:4">
      <c r="A748" s="103"/>
      <c r="B748" s="103"/>
      <c r="C748" s="62" t="s">
        <v>697</v>
      </c>
      <c r="D748" s="62"/>
    </row>
    <row r="749" spans="1:4">
      <c r="A749" s="103"/>
      <c r="B749" s="103"/>
      <c r="C749" s="62" t="s">
        <v>2448</v>
      </c>
      <c r="D749" s="62"/>
    </row>
    <row r="750" spans="1:4">
      <c r="A750" s="103"/>
      <c r="B750" s="103"/>
      <c r="C750" s="62" t="s">
        <v>30</v>
      </c>
      <c r="D750" s="62"/>
    </row>
    <row r="751" spans="1:4">
      <c r="A751" s="103"/>
      <c r="B751" s="103"/>
      <c r="C751" s="62" t="s">
        <v>2241</v>
      </c>
      <c r="D751" s="62"/>
    </row>
    <row r="752" spans="1:4">
      <c r="A752" s="103"/>
      <c r="B752" s="103"/>
      <c r="C752" s="62" t="s">
        <v>2242</v>
      </c>
      <c r="D752" s="62"/>
    </row>
    <row r="753" spans="1:4">
      <c r="A753" s="103"/>
      <c r="B753" s="103"/>
      <c r="C753" s="62" t="s">
        <v>2243</v>
      </c>
      <c r="D753" s="62"/>
    </row>
    <row r="754" spans="1:4">
      <c r="A754" s="103"/>
      <c r="B754" s="103"/>
      <c r="C754" s="62" t="s">
        <v>2244</v>
      </c>
      <c r="D754" s="62"/>
    </row>
    <row r="755" spans="1:4">
      <c r="A755" s="103"/>
      <c r="B755" s="103"/>
      <c r="C755" s="62" t="s">
        <v>2245</v>
      </c>
      <c r="D755" s="62"/>
    </row>
    <row r="756" spans="1:4">
      <c r="A756" s="103"/>
      <c r="B756" s="103"/>
      <c r="C756" s="62" t="s">
        <v>2246</v>
      </c>
      <c r="D756" s="62"/>
    </row>
    <row r="757" spans="1:4">
      <c r="A757" s="103"/>
      <c r="B757" s="103"/>
      <c r="C757" s="62" t="s">
        <v>2247</v>
      </c>
      <c r="D757" s="62"/>
    </row>
    <row r="758" spans="1:4">
      <c r="A758" s="103"/>
      <c r="B758" s="103"/>
      <c r="C758" s="62" t="s">
        <v>2249</v>
      </c>
      <c r="D758" s="62"/>
    </row>
    <row r="759" spans="1:4">
      <c r="A759" s="103"/>
      <c r="B759" s="103"/>
      <c r="C759" s="62" t="s">
        <v>2250</v>
      </c>
      <c r="D759" s="62"/>
    </row>
    <row r="760" spans="1:4">
      <c r="A760" s="103"/>
      <c r="B760" s="103"/>
      <c r="C760" s="62" t="s">
        <v>1635</v>
      </c>
      <c r="D760" s="62"/>
    </row>
    <row r="761" spans="1:4">
      <c r="A761" s="103"/>
      <c r="B761" s="103"/>
      <c r="C761" s="62" t="s">
        <v>2251</v>
      </c>
      <c r="D761" s="62"/>
    </row>
    <row r="762" spans="1:4">
      <c r="A762" s="103"/>
      <c r="B762" s="103"/>
      <c r="C762" s="62" t="s">
        <v>2252</v>
      </c>
      <c r="D762" s="62"/>
    </row>
    <row r="763" spans="1:4">
      <c r="A763" s="103"/>
      <c r="B763" s="103"/>
      <c r="C763" s="62" t="s">
        <v>2253</v>
      </c>
      <c r="D763" s="62"/>
    </row>
    <row r="764" spans="1:4">
      <c r="A764" s="103"/>
      <c r="B764" s="103"/>
      <c r="C764" s="62" t="s">
        <v>2254</v>
      </c>
      <c r="D764" s="62"/>
    </row>
    <row r="765" spans="1:4">
      <c r="A765" s="103"/>
      <c r="B765" s="103"/>
      <c r="C765" s="62" t="s">
        <v>2255</v>
      </c>
      <c r="D765" s="62"/>
    </row>
    <row r="766" spans="1:4">
      <c r="A766" s="103"/>
      <c r="B766" s="103"/>
      <c r="C766" s="62" t="s">
        <v>2256</v>
      </c>
      <c r="D766" s="62"/>
    </row>
    <row r="767" spans="1:4">
      <c r="A767" s="103"/>
      <c r="B767" s="103"/>
      <c r="C767" s="62" t="s">
        <v>82</v>
      </c>
      <c r="D767" s="62"/>
    </row>
    <row r="768" spans="1:4">
      <c r="A768" s="103"/>
      <c r="B768" s="103"/>
      <c r="C768" s="62" t="s">
        <v>2257</v>
      </c>
      <c r="D768" s="62"/>
    </row>
    <row r="769" spans="1:5">
      <c r="A769" s="103"/>
      <c r="B769" s="103"/>
      <c r="C769" s="62" t="s">
        <v>2258</v>
      </c>
      <c r="D769" s="62"/>
    </row>
    <row r="770" spans="1:5">
      <c r="A770" s="103"/>
      <c r="B770" s="103"/>
      <c r="C770" s="62" t="s">
        <v>2259</v>
      </c>
      <c r="D770" s="62"/>
    </row>
    <row r="771" spans="1:5">
      <c r="A771" s="103"/>
      <c r="B771" s="103"/>
      <c r="C771" s="62" t="s">
        <v>2260</v>
      </c>
      <c r="D771" s="62"/>
    </row>
    <row r="772" spans="1:5">
      <c r="A772" s="103"/>
      <c r="B772" s="103"/>
      <c r="C772" s="62" t="s">
        <v>2261</v>
      </c>
      <c r="D772" s="62"/>
    </row>
    <row r="773" spans="1:5">
      <c r="A773" s="103"/>
      <c r="B773" s="103"/>
      <c r="C773" s="62" t="s">
        <v>2262</v>
      </c>
      <c r="D773" s="62"/>
    </row>
    <row r="774" spans="1:5">
      <c r="A774" s="103"/>
      <c r="B774" s="103"/>
      <c r="C774" s="62" t="s">
        <v>2263</v>
      </c>
      <c r="D774" s="62"/>
    </row>
    <row r="775" spans="1:5">
      <c r="A775" s="103"/>
      <c r="B775" s="103"/>
      <c r="C775" s="62" t="s">
        <v>2264</v>
      </c>
      <c r="D775" s="62"/>
    </row>
    <row r="776" spans="1:5">
      <c r="A776" s="103"/>
      <c r="B776" s="103"/>
      <c r="C776" s="62" t="s">
        <v>1224</v>
      </c>
      <c r="D776" s="62"/>
    </row>
    <row r="777" spans="1:5">
      <c r="A777" s="103"/>
      <c r="B777" s="103"/>
      <c r="C777" s="62" t="s">
        <v>2265</v>
      </c>
      <c r="D777" s="62"/>
    </row>
    <row r="778" spans="1:5">
      <c r="A778" s="103"/>
      <c r="B778" s="103"/>
      <c r="C778" s="62" t="s">
        <v>2266</v>
      </c>
      <c r="D778" s="62"/>
    </row>
    <row r="779" spans="1:5">
      <c r="A779" s="103"/>
      <c r="B779" s="103"/>
      <c r="C779" s="62" t="s">
        <v>2267</v>
      </c>
      <c r="D779" s="62"/>
    </row>
    <row r="780" spans="1:5">
      <c r="A780" s="103"/>
      <c r="B780" s="103"/>
      <c r="C780" s="62" t="s">
        <v>2268</v>
      </c>
      <c r="D780" s="62"/>
    </row>
    <row r="781" spans="1:5">
      <c r="A781" s="103"/>
      <c r="B781" s="103"/>
      <c r="C781" s="62" t="s">
        <v>1350</v>
      </c>
      <c r="D781" s="62"/>
    </row>
    <row r="782" spans="1:5">
      <c r="A782" s="103"/>
      <c r="B782" s="103"/>
      <c r="C782" s="62" t="s">
        <v>2269</v>
      </c>
      <c r="D782" s="62"/>
      <c r="E782" s="18" t="s">
        <v>2248</v>
      </c>
    </row>
    <row r="783" spans="1:5">
      <c r="A783" s="103"/>
      <c r="B783" s="103"/>
      <c r="C783" s="62" t="s">
        <v>2270</v>
      </c>
      <c r="D783" s="62"/>
      <c r="E783" s="18" t="s">
        <v>2248</v>
      </c>
    </row>
    <row r="784" spans="1:5">
      <c r="A784" s="103"/>
      <c r="B784" s="103"/>
      <c r="C784" s="62" t="s">
        <v>2273</v>
      </c>
      <c r="D784" s="62"/>
      <c r="E784" s="18" t="s">
        <v>2248</v>
      </c>
    </row>
    <row r="785" spans="1:5">
      <c r="A785" s="103"/>
      <c r="B785" s="103"/>
      <c r="C785" s="62" t="s">
        <v>2274</v>
      </c>
      <c r="D785" s="62"/>
    </row>
    <row r="786" spans="1:5">
      <c r="A786" s="103"/>
      <c r="B786" s="103"/>
      <c r="C786" s="62" t="s">
        <v>2275</v>
      </c>
      <c r="D786" s="62"/>
    </row>
    <row r="787" spans="1:5">
      <c r="A787" s="103"/>
      <c r="B787" s="103"/>
      <c r="C787" s="62" t="s">
        <v>2276</v>
      </c>
      <c r="D787" s="62"/>
    </row>
    <row r="788" spans="1:5">
      <c r="A788" s="103"/>
      <c r="B788" s="103"/>
      <c r="C788" s="62" t="s">
        <v>2277</v>
      </c>
      <c r="D788" s="62"/>
    </row>
    <row r="789" spans="1:5">
      <c r="A789" s="103"/>
      <c r="B789" s="103"/>
      <c r="C789" s="62" t="s">
        <v>2278</v>
      </c>
      <c r="D789" s="62"/>
    </row>
    <row r="790" spans="1:5">
      <c r="A790" s="103"/>
      <c r="B790" s="103"/>
      <c r="C790" s="62" t="s">
        <v>2279</v>
      </c>
      <c r="D790" s="62"/>
      <c r="E790" s="18" t="s">
        <v>2248</v>
      </c>
    </row>
    <row r="791" spans="1:5">
      <c r="A791" s="103"/>
      <c r="B791" s="103"/>
      <c r="C791" s="62" t="s">
        <v>2280</v>
      </c>
      <c r="D791" s="62"/>
    </row>
    <row r="792" spans="1:5">
      <c r="A792" s="103"/>
      <c r="B792" s="103"/>
      <c r="C792" s="62" t="s">
        <v>1429</v>
      </c>
      <c r="D792" s="62"/>
    </row>
    <row r="793" spans="1:5">
      <c r="A793" s="103"/>
      <c r="B793" s="103"/>
      <c r="C793" s="62" t="s">
        <v>2281</v>
      </c>
      <c r="D793" s="62"/>
    </row>
    <row r="794" spans="1:5">
      <c r="A794" s="103"/>
      <c r="B794" s="103"/>
      <c r="C794" s="62" t="s">
        <v>2812</v>
      </c>
      <c r="D794" s="62"/>
    </row>
    <row r="795" spans="1:5">
      <c r="A795" s="103"/>
      <c r="B795" s="103"/>
      <c r="C795" s="62" t="s">
        <v>1907</v>
      </c>
      <c r="D795" s="62"/>
    </row>
    <row r="796" spans="1:5">
      <c r="A796" s="103"/>
      <c r="B796" s="103"/>
      <c r="C796" s="62" t="s">
        <v>2282</v>
      </c>
      <c r="D796" s="62"/>
    </row>
    <row r="797" spans="1:5">
      <c r="A797" s="103"/>
      <c r="B797" s="103"/>
      <c r="C797" s="62" t="s">
        <v>2283</v>
      </c>
      <c r="D797" s="62"/>
    </row>
    <row r="798" spans="1:5">
      <c r="A798" s="103"/>
      <c r="B798" s="103"/>
      <c r="C798" s="62" t="s">
        <v>2284</v>
      </c>
      <c r="D798" s="62"/>
    </row>
    <row r="799" spans="1:5">
      <c r="A799" s="103"/>
      <c r="B799" s="103"/>
      <c r="C799" s="62" t="s">
        <v>2285</v>
      </c>
      <c r="D799" s="62"/>
    </row>
    <row r="800" spans="1:5">
      <c r="A800" s="103"/>
      <c r="B800" s="103"/>
      <c r="C800" s="62" t="s">
        <v>2286</v>
      </c>
      <c r="D800" s="62"/>
    </row>
    <row r="801" spans="1:5">
      <c r="A801" s="103"/>
      <c r="B801" s="103"/>
      <c r="C801" s="62" t="s">
        <v>2287</v>
      </c>
      <c r="D801" s="62"/>
    </row>
    <row r="802" spans="1:5">
      <c r="A802" s="103"/>
      <c r="B802" s="103"/>
      <c r="C802" s="62" t="s">
        <v>2288</v>
      </c>
      <c r="D802" s="62"/>
    </row>
    <row r="803" spans="1:5">
      <c r="A803" s="103"/>
      <c r="B803" s="103"/>
      <c r="C803" s="62" t="s">
        <v>2289</v>
      </c>
      <c r="D803" s="62"/>
    </row>
    <row r="804" spans="1:5">
      <c r="A804" s="103"/>
      <c r="B804" s="103"/>
      <c r="C804" s="62" t="s">
        <v>2290</v>
      </c>
      <c r="D804" s="62"/>
    </row>
    <row r="805" spans="1:5">
      <c r="A805" s="103"/>
      <c r="B805" s="103"/>
      <c r="C805" s="62" t="s">
        <v>2291</v>
      </c>
      <c r="D805" s="62"/>
    </row>
    <row r="806" spans="1:5">
      <c r="A806" s="103"/>
      <c r="B806" s="103"/>
      <c r="C806" s="62" t="s">
        <v>2292</v>
      </c>
      <c r="D806" s="62"/>
    </row>
    <row r="807" spans="1:5">
      <c r="A807" s="103"/>
      <c r="B807" s="103"/>
      <c r="C807" s="62" t="s">
        <v>2293</v>
      </c>
      <c r="D807" s="62"/>
    </row>
    <row r="808" spans="1:5">
      <c r="A808" s="103"/>
      <c r="B808" s="103"/>
      <c r="C808" s="62" t="s">
        <v>2295</v>
      </c>
      <c r="D808" s="62"/>
    </row>
    <row r="809" spans="1:5">
      <c r="A809" s="103"/>
      <c r="B809" s="103"/>
      <c r="C809" s="62" t="s">
        <v>2294</v>
      </c>
      <c r="D809" s="62"/>
      <c r="E809" s="18" t="s">
        <v>2248</v>
      </c>
    </row>
    <row r="810" spans="1:5">
      <c r="A810" s="103"/>
      <c r="B810" s="103"/>
      <c r="C810" s="62" t="s">
        <v>1186</v>
      </c>
      <c r="D810" s="62"/>
    </row>
    <row r="811" spans="1:5">
      <c r="A811" s="103"/>
      <c r="B811" s="103"/>
      <c r="C811" s="62" t="s">
        <v>2296</v>
      </c>
      <c r="D811" s="62"/>
    </row>
    <row r="812" spans="1:5">
      <c r="A812" s="103"/>
      <c r="B812" s="103"/>
      <c r="C812" s="62" t="s">
        <v>2297</v>
      </c>
      <c r="D812" s="62"/>
    </row>
    <row r="813" spans="1:5">
      <c r="A813" s="103"/>
      <c r="B813" s="103"/>
      <c r="C813" s="62" t="s">
        <v>2298</v>
      </c>
      <c r="D813" s="62"/>
    </row>
    <row r="814" spans="1:5">
      <c r="A814" s="103"/>
      <c r="B814" s="103"/>
      <c r="C814" s="62" t="s">
        <v>1242</v>
      </c>
      <c r="D814" s="62"/>
    </row>
    <row r="815" spans="1:5">
      <c r="A815" s="103"/>
      <c r="B815" s="103"/>
      <c r="C815" s="62" t="s">
        <v>2299</v>
      </c>
      <c r="D815" s="62"/>
    </row>
    <row r="816" spans="1:5">
      <c r="A816" s="103"/>
      <c r="B816" s="103"/>
      <c r="C816" s="62" t="s">
        <v>2300</v>
      </c>
      <c r="D816" s="62"/>
    </row>
    <row r="817" spans="1:4">
      <c r="A817" s="103"/>
      <c r="B817" s="103"/>
      <c r="C817" s="62" t="s">
        <v>2301</v>
      </c>
      <c r="D817" s="62"/>
    </row>
    <row r="818" spans="1:4">
      <c r="A818" s="103"/>
      <c r="B818" s="103"/>
      <c r="C818" s="62" t="s">
        <v>2302</v>
      </c>
      <c r="D818" s="62"/>
    </row>
    <row r="819" spans="1:4">
      <c r="A819" s="103"/>
      <c r="B819" s="103"/>
      <c r="C819" s="62" t="s">
        <v>2303</v>
      </c>
      <c r="D819" s="62"/>
    </row>
    <row r="820" spans="1:4">
      <c r="A820" s="103"/>
      <c r="B820" s="103"/>
      <c r="C820" s="62" t="s">
        <v>2304</v>
      </c>
      <c r="D820" s="62"/>
    </row>
    <row r="821" spans="1:4">
      <c r="A821" s="103"/>
      <c r="B821" s="103"/>
      <c r="C821" s="62" t="s">
        <v>2305</v>
      </c>
      <c r="D821" s="62"/>
    </row>
    <row r="822" spans="1:4">
      <c r="A822" s="103"/>
      <c r="B822" s="103"/>
      <c r="C822" s="62" t="s">
        <v>2306</v>
      </c>
      <c r="D822" s="62"/>
    </row>
    <row r="823" spans="1:4">
      <c r="A823" s="103"/>
      <c r="B823" s="103"/>
      <c r="C823" s="62" t="s">
        <v>2307</v>
      </c>
      <c r="D823" s="62"/>
    </row>
    <row r="824" spans="1:4">
      <c r="A824" s="103"/>
      <c r="B824" s="103"/>
      <c r="C824" s="62" t="s">
        <v>2308</v>
      </c>
      <c r="D824" s="62"/>
    </row>
    <row r="825" spans="1:4">
      <c r="A825" s="103"/>
      <c r="B825" s="103"/>
      <c r="C825" s="62" t="s">
        <v>1978</v>
      </c>
      <c r="D825" s="62"/>
    </row>
    <row r="826" spans="1:4">
      <c r="A826" s="103"/>
      <c r="B826" s="103"/>
      <c r="C826" s="62" t="s">
        <v>2309</v>
      </c>
      <c r="D826" s="62"/>
    </row>
    <row r="827" spans="1:4">
      <c r="A827" s="103"/>
      <c r="B827" s="103"/>
      <c r="C827" s="62" t="s">
        <v>2310</v>
      </c>
      <c r="D827" s="62"/>
    </row>
    <row r="828" spans="1:4">
      <c r="A828" s="103"/>
      <c r="B828" s="103"/>
      <c r="C828" s="62" t="s">
        <v>2311</v>
      </c>
      <c r="D828" s="62"/>
    </row>
    <row r="829" spans="1:4">
      <c r="A829" s="103"/>
      <c r="B829" s="103"/>
      <c r="C829" s="62" t="s">
        <v>1231</v>
      </c>
      <c r="D829" s="62"/>
    </row>
    <row r="830" spans="1:4">
      <c r="A830" s="103"/>
      <c r="B830" s="103"/>
      <c r="C830" s="62" t="s">
        <v>2312</v>
      </c>
      <c r="D830" s="62"/>
    </row>
    <row r="831" spans="1:4">
      <c r="A831" s="103"/>
      <c r="B831" s="103"/>
      <c r="C831" s="62" t="s">
        <v>2813</v>
      </c>
      <c r="D831" s="138" t="s">
        <v>2814</v>
      </c>
    </row>
    <row r="832" spans="1:4">
      <c r="A832" s="103"/>
      <c r="B832" s="103"/>
      <c r="C832" s="62" t="s">
        <v>2815</v>
      </c>
      <c r="D832" s="138" t="s">
        <v>2321</v>
      </c>
    </row>
    <row r="833" spans="1:4">
      <c r="A833" s="103"/>
      <c r="B833" s="103"/>
      <c r="C833" s="62" t="s">
        <v>2816</v>
      </c>
      <c r="D833" s="138" t="s">
        <v>2321</v>
      </c>
    </row>
    <row r="834" spans="1:4" ht="15">
      <c r="A834" s="103"/>
      <c r="B834" s="103"/>
      <c r="C834" s="62" t="s">
        <v>2817</v>
      </c>
      <c r="D834" s="136"/>
    </row>
    <row r="835" spans="1:4">
      <c r="A835" s="103"/>
      <c r="B835" s="103"/>
      <c r="C835" s="62" t="s">
        <v>237</v>
      </c>
      <c r="D835" s="62"/>
    </row>
    <row r="836" spans="1:4">
      <c r="A836" s="103"/>
      <c r="B836" s="103"/>
      <c r="C836" s="62" t="s">
        <v>2314</v>
      </c>
      <c r="D836" s="62"/>
    </row>
    <row r="837" spans="1:4">
      <c r="A837" s="103"/>
      <c r="B837" s="103"/>
      <c r="C837" s="62" t="s">
        <v>2315</v>
      </c>
      <c r="D837" s="62"/>
    </row>
    <row r="838" spans="1:4">
      <c r="A838" s="103"/>
      <c r="B838" s="103"/>
      <c r="C838" s="62" t="s">
        <v>1028</v>
      </c>
      <c r="D838" s="62"/>
    </row>
    <row r="839" spans="1:4">
      <c r="A839" s="103"/>
      <c r="B839" s="103"/>
      <c r="C839" s="62" t="s">
        <v>1310</v>
      </c>
      <c r="D839" s="62"/>
    </row>
    <row r="840" spans="1:4">
      <c r="A840" s="103"/>
      <c r="B840" s="103"/>
      <c r="C840" s="62" t="s">
        <v>2313</v>
      </c>
      <c r="D840" s="62"/>
    </row>
    <row r="841" spans="1:4">
      <c r="A841" s="103"/>
      <c r="B841" s="103"/>
      <c r="C841" s="62" t="s">
        <v>2316</v>
      </c>
      <c r="D841" s="62"/>
    </row>
    <row r="842" spans="1:4">
      <c r="A842" s="103"/>
      <c r="B842" s="103"/>
      <c r="C842" s="62" t="s">
        <v>2818</v>
      </c>
      <c r="D842" s="62"/>
    </row>
    <row r="843" spans="1:4">
      <c r="A843" s="103"/>
      <c r="B843" s="103"/>
      <c r="C843" s="62" t="s">
        <v>2819</v>
      </c>
      <c r="D843" s="62"/>
    </row>
    <row r="844" spans="1:4">
      <c r="A844" s="103"/>
      <c r="B844" s="103"/>
      <c r="C844" s="62" t="s">
        <v>2118</v>
      </c>
      <c r="D844" s="62"/>
    </row>
    <row r="845" spans="1:4">
      <c r="A845" s="103"/>
      <c r="B845" s="103"/>
      <c r="C845" s="62" t="s">
        <v>2820</v>
      </c>
      <c r="D845" s="62"/>
    </row>
    <row r="846" spans="1:4">
      <c r="A846" s="103"/>
      <c r="B846" s="103"/>
      <c r="C846" s="62" t="s">
        <v>2821</v>
      </c>
      <c r="D846" s="62"/>
    </row>
    <row r="847" spans="1:4">
      <c r="A847" s="103"/>
      <c r="B847" s="103"/>
      <c r="C847" s="62" t="s">
        <v>2822</v>
      </c>
      <c r="D847" s="62"/>
    </row>
    <row r="848" spans="1:4">
      <c r="A848" s="103"/>
      <c r="B848" s="103"/>
      <c r="C848" s="62" t="s">
        <v>2823</v>
      </c>
      <c r="D848" s="62"/>
    </row>
    <row r="849" spans="1:4">
      <c r="A849" s="103"/>
      <c r="B849" s="103"/>
      <c r="C849" s="62" t="s">
        <v>2824</v>
      </c>
      <c r="D849" s="62"/>
    </row>
    <row r="850" spans="1:4">
      <c r="A850" s="103"/>
      <c r="B850" s="103"/>
      <c r="C850" s="62" t="s">
        <v>131</v>
      </c>
      <c r="D850" s="62"/>
    </row>
    <row r="851" spans="1:4">
      <c r="A851" s="76" t="s">
        <v>2110</v>
      </c>
      <c r="B851" s="76"/>
      <c r="C851" s="65" t="s">
        <v>1654</v>
      </c>
      <c r="D851" s="65"/>
    </row>
    <row r="852" spans="1:4">
      <c r="A852" s="77"/>
      <c r="B852" s="77"/>
      <c r="C852" s="65" t="s">
        <v>156</v>
      </c>
      <c r="D852" s="65"/>
    </row>
    <row r="853" spans="1:4">
      <c r="A853" s="103" t="s">
        <v>2825</v>
      </c>
      <c r="B853" s="103" t="s">
        <v>5</v>
      </c>
      <c r="C853" s="62" t="s">
        <v>2826</v>
      </c>
      <c r="D853" s="62"/>
    </row>
    <row r="854" spans="1:4">
      <c r="A854" s="103"/>
      <c r="B854" s="103"/>
      <c r="C854" s="62" t="s">
        <v>2827</v>
      </c>
      <c r="D854" s="62"/>
    </row>
    <row r="855" spans="1:4">
      <c r="A855" s="103"/>
      <c r="B855" s="103"/>
      <c r="C855" s="62" t="s">
        <v>2828</v>
      </c>
      <c r="D855" s="62"/>
    </row>
    <row r="856" spans="1:4">
      <c r="A856" s="103"/>
      <c r="B856" s="103"/>
      <c r="C856" s="62" t="s">
        <v>2829</v>
      </c>
      <c r="D856" s="62"/>
    </row>
    <row r="857" spans="1:4">
      <c r="A857" s="103"/>
      <c r="B857" s="103"/>
      <c r="C857" s="62" t="s">
        <v>2830</v>
      </c>
      <c r="D857" s="62"/>
    </row>
    <row r="858" spans="1:4">
      <c r="A858" s="103"/>
      <c r="B858" s="103"/>
      <c r="C858" s="62" t="s">
        <v>2831</v>
      </c>
      <c r="D858" s="62"/>
    </row>
    <row r="859" spans="1:4">
      <c r="A859" s="103"/>
      <c r="B859" s="103"/>
      <c r="C859" s="62" t="s">
        <v>2832</v>
      </c>
      <c r="D859" s="62"/>
    </row>
    <row r="860" spans="1:4">
      <c r="A860" s="103"/>
      <c r="B860" s="103"/>
      <c r="C860" s="62" t="s">
        <v>2833</v>
      </c>
      <c r="D860" s="62"/>
    </row>
    <row r="861" spans="1:4">
      <c r="A861" s="103"/>
      <c r="B861" s="103"/>
      <c r="C861" s="62" t="s">
        <v>2834</v>
      </c>
      <c r="D861" s="62"/>
    </row>
    <row r="862" spans="1:4">
      <c r="A862" s="76" t="s">
        <v>2835</v>
      </c>
      <c r="B862" s="76" t="s">
        <v>5</v>
      </c>
      <c r="C862" s="65" t="s">
        <v>29</v>
      </c>
      <c r="D862" s="65"/>
    </row>
    <row r="863" spans="1:4">
      <c r="A863" s="77"/>
      <c r="B863" s="77"/>
      <c r="C863" s="65" t="s">
        <v>2836</v>
      </c>
      <c r="D863" s="65"/>
    </row>
    <row r="864" spans="1:4">
      <c r="A864" s="77"/>
      <c r="B864" s="77"/>
      <c r="C864" s="65" t="s">
        <v>46</v>
      </c>
      <c r="D864" s="65"/>
    </row>
    <row r="865" spans="1:4">
      <c r="A865" s="77"/>
      <c r="B865" s="77"/>
      <c r="C865" s="65" t="s">
        <v>2837</v>
      </c>
      <c r="D865" s="65"/>
    </row>
    <row r="866" spans="1:4">
      <c r="A866" s="77"/>
      <c r="B866" s="77"/>
      <c r="C866" s="65" t="s">
        <v>80</v>
      </c>
      <c r="D866" s="65"/>
    </row>
    <row r="867" spans="1:4">
      <c r="A867" s="77"/>
      <c r="B867" s="77"/>
      <c r="C867" s="65" t="s">
        <v>2838</v>
      </c>
      <c r="D867" s="65"/>
    </row>
    <row r="868" spans="1:4">
      <c r="A868" s="77"/>
      <c r="B868" s="77"/>
      <c r="C868" s="65" t="s">
        <v>57</v>
      </c>
      <c r="D868" s="65"/>
    </row>
    <row r="869" spans="1:4">
      <c r="A869" s="77"/>
      <c r="B869" s="77"/>
      <c r="C869" s="65" t="s">
        <v>2839</v>
      </c>
      <c r="D869" s="65"/>
    </row>
    <row r="870" spans="1:4">
      <c r="A870" s="103" t="s">
        <v>2840</v>
      </c>
      <c r="B870" s="103" t="s">
        <v>5</v>
      </c>
      <c r="C870" s="62" t="s">
        <v>29</v>
      </c>
      <c r="D870" s="62"/>
    </row>
    <row r="871" spans="1:4">
      <c r="A871" s="103"/>
      <c r="B871" s="103"/>
      <c r="C871" s="62" t="s">
        <v>46</v>
      </c>
      <c r="D871" s="62"/>
    </row>
    <row r="872" spans="1:4">
      <c r="A872" s="103"/>
      <c r="B872" s="103"/>
      <c r="C872" s="62" t="s">
        <v>80</v>
      </c>
      <c r="D872" s="62"/>
    </row>
    <row r="873" spans="1:4">
      <c r="A873" s="103"/>
      <c r="B873" s="103"/>
      <c r="C873" s="62" t="s">
        <v>131</v>
      </c>
      <c r="D873" s="62"/>
    </row>
    <row r="874" spans="1:4">
      <c r="A874" s="76" t="s">
        <v>2841</v>
      </c>
      <c r="B874" s="76" t="s">
        <v>5</v>
      </c>
      <c r="C874" s="65" t="s">
        <v>153</v>
      </c>
      <c r="D874" s="65"/>
    </row>
    <row r="875" spans="1:4">
      <c r="A875" s="77"/>
      <c r="B875" s="77"/>
      <c r="C875" s="65" t="s">
        <v>166</v>
      </c>
      <c r="D875" s="65"/>
    </row>
    <row r="876" spans="1:4">
      <c r="A876" s="77"/>
      <c r="B876" s="77"/>
      <c r="C876" s="65" t="s">
        <v>486</v>
      </c>
      <c r="D876" s="65"/>
    </row>
    <row r="877" spans="1:4">
      <c r="A877" s="77"/>
      <c r="B877" s="77"/>
      <c r="C877" s="65" t="s">
        <v>1560</v>
      </c>
      <c r="D877" s="65"/>
    </row>
    <row r="878" spans="1:4">
      <c r="A878" s="77"/>
      <c r="B878" s="77"/>
      <c r="C878" s="65" t="s">
        <v>2842</v>
      </c>
      <c r="D878" s="65"/>
    </row>
    <row r="879" spans="1:4">
      <c r="A879" s="77"/>
      <c r="B879" s="77"/>
      <c r="C879" s="65" t="s">
        <v>2843</v>
      </c>
      <c r="D879" s="65"/>
    </row>
    <row r="880" spans="1:4">
      <c r="A880" s="77"/>
      <c r="B880" s="77"/>
      <c r="C880" s="65" t="s">
        <v>2844</v>
      </c>
      <c r="D880" s="65"/>
    </row>
    <row r="881" spans="1:5">
      <c r="A881" s="77"/>
      <c r="B881" s="77"/>
      <c r="C881" s="65" t="s">
        <v>2845</v>
      </c>
      <c r="D881" s="65"/>
    </row>
    <row r="882" spans="1:5">
      <c r="A882" s="77"/>
      <c r="B882" s="77"/>
      <c r="C882" s="65" t="s">
        <v>2846</v>
      </c>
      <c r="D882" s="65" t="s">
        <v>2846</v>
      </c>
      <c r="E882" s="18" t="s">
        <v>2248</v>
      </c>
    </row>
    <row r="883" spans="1:5">
      <c r="A883" s="78"/>
      <c r="B883" s="78"/>
      <c r="C883" s="65" t="s">
        <v>131</v>
      </c>
      <c r="D883" s="65"/>
    </row>
    <row r="884" spans="1:5">
      <c r="A884" s="92" t="s">
        <v>2847</v>
      </c>
      <c r="B884" s="92" t="s">
        <v>5</v>
      </c>
      <c r="C884" s="62" t="s">
        <v>930</v>
      </c>
      <c r="D884" s="62"/>
    </row>
    <row r="885" spans="1:5">
      <c r="A885" s="93"/>
      <c r="B885" s="93"/>
      <c r="C885" s="62" t="s">
        <v>2848</v>
      </c>
      <c r="D885" s="62"/>
    </row>
    <row r="886" spans="1:5">
      <c r="A886" s="93"/>
      <c r="B886" s="93"/>
      <c r="C886" s="62" t="s">
        <v>2849</v>
      </c>
      <c r="D886" s="62"/>
    </row>
    <row r="887" spans="1:5">
      <c r="A887" s="93"/>
      <c r="B887" s="93"/>
      <c r="C887" s="62" t="s">
        <v>2850</v>
      </c>
      <c r="D887" s="62"/>
    </row>
    <row r="888" spans="1:5">
      <c r="A888" s="93"/>
      <c r="B888" s="93"/>
      <c r="C888" s="62" t="s">
        <v>2851</v>
      </c>
      <c r="D888" s="62"/>
    </row>
    <row r="889" spans="1:5">
      <c r="A889" s="93"/>
      <c r="B889" s="93"/>
      <c r="C889" s="62" t="s">
        <v>2852</v>
      </c>
      <c r="D889" s="62" t="s">
        <v>2853</v>
      </c>
    </row>
    <row r="890" spans="1:5">
      <c r="A890" s="93"/>
      <c r="B890" s="93"/>
      <c r="C890" s="62" t="s">
        <v>2854</v>
      </c>
      <c r="D890" s="62"/>
    </row>
    <row r="891" spans="1:5">
      <c r="A891" s="76" t="s">
        <v>2441</v>
      </c>
      <c r="B891" s="76" t="s">
        <v>5</v>
      </c>
      <c r="C891" s="65" t="s">
        <v>1253</v>
      </c>
      <c r="D891" s="65"/>
    </row>
    <row r="892" spans="1:5">
      <c r="A892" s="77"/>
      <c r="B892" s="77"/>
      <c r="C892" s="65" t="s">
        <v>1261</v>
      </c>
      <c r="D892" s="65"/>
    </row>
    <row r="893" spans="1:5">
      <c r="A893" s="77"/>
      <c r="B893" s="77"/>
      <c r="C893" s="65" t="s">
        <v>1257</v>
      </c>
      <c r="D893" s="65"/>
    </row>
    <row r="894" spans="1:5">
      <c r="A894" s="77"/>
      <c r="B894" s="77"/>
      <c r="C894" s="65" t="s">
        <v>1400</v>
      </c>
      <c r="D894" s="65"/>
    </row>
    <row r="895" spans="1:5">
      <c r="A895" s="77"/>
      <c r="B895" s="77"/>
      <c r="C895" s="65" t="s">
        <v>2855</v>
      </c>
      <c r="D895" s="65"/>
    </row>
    <row r="896" spans="1:5">
      <c r="A896" s="77"/>
      <c r="B896" s="77"/>
      <c r="C896" s="65" t="s">
        <v>131</v>
      </c>
      <c r="D896" s="65"/>
    </row>
    <row r="897" spans="1:4">
      <c r="A897" s="92" t="s">
        <v>2856</v>
      </c>
      <c r="B897" s="92" t="s">
        <v>5</v>
      </c>
      <c r="C897" s="62" t="s">
        <v>1506</v>
      </c>
      <c r="D897" s="62"/>
    </row>
    <row r="898" spans="1:4">
      <c r="A898" s="93"/>
      <c r="B898" s="93"/>
      <c r="C898" s="62" t="s">
        <v>2857</v>
      </c>
      <c r="D898" s="62"/>
    </row>
    <row r="899" spans="1:4">
      <c r="A899" s="93"/>
      <c r="B899" s="93"/>
      <c r="C899" s="62" t="s">
        <v>930</v>
      </c>
      <c r="D899" s="62"/>
    </row>
    <row r="900" spans="1:4">
      <c r="A900" s="93"/>
      <c r="B900" s="93"/>
      <c r="C900" s="62" t="s">
        <v>131</v>
      </c>
      <c r="D900" s="62"/>
    </row>
    <row r="901" spans="1:4">
      <c r="A901" s="76" t="s">
        <v>2858</v>
      </c>
      <c r="B901" s="76" t="s">
        <v>5</v>
      </c>
      <c r="C901" s="65" t="s">
        <v>2859</v>
      </c>
      <c r="D901" s="65"/>
    </row>
    <row r="902" spans="1:4">
      <c r="A902" s="77"/>
      <c r="B902" s="77"/>
      <c r="C902" s="65" t="s">
        <v>2860</v>
      </c>
      <c r="D902" s="65"/>
    </row>
    <row r="903" spans="1:4">
      <c r="A903" s="77"/>
      <c r="B903" s="77"/>
      <c r="C903" s="65" t="s">
        <v>1545</v>
      </c>
      <c r="D903" s="65"/>
    </row>
    <row r="904" spans="1:4">
      <c r="A904" s="77"/>
      <c r="B904" s="77"/>
      <c r="C904" s="65" t="s">
        <v>2861</v>
      </c>
      <c r="D904" s="65"/>
    </row>
    <row r="905" spans="1:4">
      <c r="A905" s="77"/>
      <c r="B905" s="77"/>
      <c r="C905" s="65" t="s">
        <v>2862</v>
      </c>
      <c r="D905" s="65"/>
    </row>
    <row r="906" spans="1:4">
      <c r="A906" s="102" t="s">
        <v>2863</v>
      </c>
      <c r="B906" s="102" t="s">
        <v>5</v>
      </c>
      <c r="C906" s="68" t="s">
        <v>1541</v>
      </c>
      <c r="D906" s="68"/>
    </row>
    <row r="907" spans="1:4">
      <c r="A907" s="103"/>
      <c r="B907" s="103"/>
      <c r="C907" s="68" t="s">
        <v>2864</v>
      </c>
      <c r="D907" s="68"/>
    </row>
    <row r="908" spans="1:4">
      <c r="A908" s="103"/>
      <c r="B908" s="103"/>
      <c r="C908" s="62" t="s">
        <v>2865</v>
      </c>
      <c r="D908" s="62"/>
    </row>
    <row r="909" spans="1:4">
      <c r="A909" s="103"/>
      <c r="B909" s="103"/>
      <c r="C909" s="62" t="s">
        <v>2866</v>
      </c>
      <c r="D909" s="62"/>
    </row>
    <row r="910" spans="1:4">
      <c r="A910" s="103"/>
      <c r="B910" s="103"/>
      <c r="C910" s="62" t="s">
        <v>2867</v>
      </c>
      <c r="D910" s="62"/>
    </row>
    <row r="911" spans="1:4">
      <c r="A911" s="103"/>
      <c r="B911" s="103"/>
      <c r="C911" s="62" t="s">
        <v>2868</v>
      </c>
      <c r="D911" s="62"/>
    </row>
    <row r="912" spans="1:4">
      <c r="A912" s="98" t="s">
        <v>2869</v>
      </c>
      <c r="B912" s="98" t="s">
        <v>5</v>
      </c>
      <c r="C912" s="70" t="s">
        <v>29</v>
      </c>
      <c r="D912" s="70"/>
    </row>
    <row r="913" spans="1:5">
      <c r="A913" s="80"/>
      <c r="B913" s="80"/>
      <c r="C913" s="70" t="s">
        <v>2836</v>
      </c>
      <c r="D913" s="70"/>
    </row>
    <row r="914" spans="1:5">
      <c r="A914" s="80"/>
      <c r="B914" s="80"/>
      <c r="C914" s="65" t="s">
        <v>46</v>
      </c>
      <c r="D914" s="65"/>
    </row>
    <row r="915" spans="1:5">
      <c r="A915" s="80"/>
      <c r="B915" s="80"/>
      <c r="C915" s="65" t="s">
        <v>2837</v>
      </c>
      <c r="D915" s="65"/>
    </row>
    <row r="916" spans="1:5">
      <c r="A916" s="80"/>
      <c r="B916" s="80"/>
      <c r="C916" s="65" t="s">
        <v>80</v>
      </c>
      <c r="D916" s="65"/>
    </row>
    <row r="917" spans="1:5">
      <c r="A917" s="80"/>
      <c r="B917" s="80"/>
      <c r="C917" s="65" t="s">
        <v>2838</v>
      </c>
      <c r="D917" s="65"/>
    </row>
    <row r="918" spans="1:5">
      <c r="A918" s="80"/>
      <c r="B918" s="80"/>
      <c r="C918" s="70" t="s">
        <v>57</v>
      </c>
      <c r="D918" s="70"/>
    </row>
    <row r="919" spans="1:5">
      <c r="A919" s="80"/>
      <c r="B919" s="80"/>
      <c r="C919" s="70" t="s">
        <v>2839</v>
      </c>
      <c r="D919" s="70"/>
    </row>
    <row r="920" spans="1:5" ht="15">
      <c r="A920" s="102" t="s">
        <v>2870</v>
      </c>
      <c r="B920" s="102" t="s">
        <v>5</v>
      </c>
      <c r="C920" s="68" t="s">
        <v>2871</v>
      </c>
      <c r="D920" s="68"/>
      <c r="E920" s="69"/>
    </row>
    <row r="921" spans="1:5" ht="15">
      <c r="A921" s="103"/>
      <c r="B921" s="103"/>
      <c r="C921" s="68" t="s">
        <v>2872</v>
      </c>
      <c r="D921" s="68"/>
      <c r="E921" s="69"/>
    </row>
    <row r="922" spans="1:5" ht="15">
      <c r="A922" s="103"/>
      <c r="B922" s="103"/>
      <c r="C922" s="62" t="s">
        <v>2873</v>
      </c>
      <c r="D922" s="62"/>
      <c r="E922" s="69"/>
    </row>
    <row r="923" spans="1:5" ht="15">
      <c r="A923" s="103"/>
      <c r="B923" s="103"/>
      <c r="C923" s="62" t="s">
        <v>2874</v>
      </c>
      <c r="D923" s="62"/>
      <c r="E923" s="69"/>
    </row>
    <row r="924" spans="1:5" ht="15">
      <c r="A924" s="103"/>
      <c r="B924" s="103"/>
      <c r="C924" s="62" t="s">
        <v>2875</v>
      </c>
      <c r="D924" s="62"/>
      <c r="E924" s="69"/>
    </row>
    <row r="925" spans="1:5">
      <c r="A925" s="103"/>
      <c r="B925" s="103"/>
      <c r="C925" s="62" t="s">
        <v>131</v>
      </c>
      <c r="D925" s="62"/>
    </row>
    <row r="926" spans="1:5">
      <c r="A926" s="98" t="s">
        <v>2876</v>
      </c>
      <c r="B926" s="98" t="s">
        <v>5</v>
      </c>
      <c r="C926" s="65" t="s">
        <v>2877</v>
      </c>
      <c r="D926" s="65"/>
    </row>
    <row r="927" spans="1:5">
      <c r="A927" s="80"/>
      <c r="B927" s="80"/>
      <c r="C927" s="65" t="s">
        <v>2878</v>
      </c>
      <c r="D927" s="65"/>
    </row>
    <row r="928" spans="1:5">
      <c r="A928" s="80"/>
      <c r="B928" s="80"/>
      <c r="C928" s="65" t="s">
        <v>2879</v>
      </c>
      <c r="D928" s="65"/>
    </row>
    <row r="929" spans="1:5">
      <c r="A929" s="99" t="s">
        <v>2880</v>
      </c>
      <c r="B929" s="99" t="s">
        <v>5</v>
      </c>
      <c r="C929" s="68" t="s">
        <v>2881</v>
      </c>
      <c r="D929" s="68"/>
    </row>
    <row r="930" spans="1:5">
      <c r="A930" s="100"/>
      <c r="B930" s="100"/>
      <c r="C930" s="68" t="s">
        <v>166</v>
      </c>
      <c r="D930" s="68"/>
    </row>
    <row r="931" spans="1:5">
      <c r="A931" s="100"/>
      <c r="B931" s="100"/>
      <c r="C931" s="62" t="s">
        <v>153</v>
      </c>
      <c r="D931" s="62"/>
    </row>
    <row r="932" spans="1:5">
      <c r="A932" s="100"/>
      <c r="B932" s="100"/>
      <c r="C932" s="62" t="s">
        <v>486</v>
      </c>
      <c r="D932" s="62"/>
    </row>
    <row r="933" spans="1:5">
      <c r="A933" s="100"/>
      <c r="B933" s="100"/>
      <c r="C933" s="62" t="s">
        <v>131</v>
      </c>
      <c r="D933" s="62"/>
    </row>
    <row r="934" spans="1:5">
      <c r="A934" s="106" t="s">
        <v>2882</v>
      </c>
      <c r="B934" s="106" t="s">
        <v>5</v>
      </c>
      <c r="C934" s="70" t="s">
        <v>153</v>
      </c>
      <c r="D934" s="70"/>
    </row>
    <row r="935" spans="1:5">
      <c r="A935" s="107"/>
      <c r="B935" s="107"/>
      <c r="C935" s="70" t="s">
        <v>166</v>
      </c>
      <c r="D935" s="70"/>
    </row>
    <row r="936" spans="1:5">
      <c r="A936" s="107"/>
      <c r="B936" s="107"/>
      <c r="C936" s="65" t="s">
        <v>486</v>
      </c>
      <c r="D936" s="65"/>
    </row>
    <row r="937" spans="1:5">
      <c r="A937" s="107"/>
      <c r="B937" s="107"/>
      <c r="C937" s="65" t="s">
        <v>1560</v>
      </c>
      <c r="D937" s="65"/>
    </row>
    <row r="938" spans="1:5">
      <c r="A938" s="107"/>
      <c r="B938" s="107"/>
      <c r="C938" s="65" t="s">
        <v>2883</v>
      </c>
      <c r="D938" s="65"/>
    </row>
    <row r="939" spans="1:5">
      <c r="A939" s="107"/>
      <c r="B939" s="107"/>
      <c r="C939" s="70" t="s">
        <v>2883</v>
      </c>
      <c r="D939" s="70"/>
    </row>
    <row r="940" spans="1:5">
      <c r="A940" s="107"/>
      <c r="B940" s="107"/>
      <c r="C940" s="70" t="s">
        <v>2843</v>
      </c>
      <c r="D940" s="70"/>
    </row>
    <row r="941" spans="1:5">
      <c r="A941" s="107"/>
      <c r="B941" s="107"/>
      <c r="C941" s="65" t="s">
        <v>2844</v>
      </c>
      <c r="D941" s="65"/>
    </row>
    <row r="942" spans="1:5">
      <c r="A942" s="107"/>
      <c r="B942" s="107"/>
      <c r="C942" s="70" t="s">
        <v>2845</v>
      </c>
      <c r="D942" s="70"/>
    </row>
    <row r="943" spans="1:5">
      <c r="A943" s="107"/>
      <c r="B943" s="107"/>
      <c r="C943" s="70" t="s">
        <v>2881</v>
      </c>
      <c r="D943" s="70"/>
    </row>
    <row r="944" spans="1:5">
      <c r="A944" s="107"/>
      <c r="B944" s="107"/>
      <c r="C944" s="65" t="s">
        <v>2884</v>
      </c>
      <c r="D944" s="65" t="s">
        <v>2884</v>
      </c>
      <c r="E944" s="18" t="s">
        <v>2248</v>
      </c>
    </row>
    <row r="945" spans="1:4">
      <c r="A945" s="134"/>
      <c r="B945" s="134"/>
      <c r="C945" s="65" t="s">
        <v>131</v>
      </c>
      <c r="D945" s="65"/>
    </row>
    <row r="946" spans="1:4" ht="14.25" customHeight="1">
      <c r="A946" s="99" t="s">
        <v>2885</v>
      </c>
      <c r="B946" s="99" t="s">
        <v>5</v>
      </c>
      <c r="C946" s="68" t="s">
        <v>2886</v>
      </c>
      <c r="D946" s="68"/>
    </row>
    <row r="947" spans="1:4">
      <c r="A947" s="100"/>
      <c r="B947" s="100"/>
      <c r="C947" s="68" t="s">
        <v>2887</v>
      </c>
      <c r="D947" s="68"/>
    </row>
    <row r="948" spans="1:4">
      <c r="A948" s="100"/>
      <c r="B948" s="100"/>
      <c r="C948" s="62" t="s">
        <v>2888</v>
      </c>
      <c r="D948" s="62"/>
    </row>
    <row r="949" spans="1:4">
      <c r="A949" s="100"/>
      <c r="B949" s="100"/>
      <c r="C949" s="62" t="s">
        <v>2889</v>
      </c>
      <c r="D949" s="62"/>
    </row>
    <row r="950" spans="1:4">
      <c r="A950" s="100"/>
      <c r="B950" s="100"/>
      <c r="C950" s="62" t="s">
        <v>2890</v>
      </c>
      <c r="D950" s="62"/>
    </row>
    <row r="951" spans="1:4">
      <c r="A951" s="100"/>
      <c r="B951" s="100"/>
      <c r="C951" s="68" t="s">
        <v>1686</v>
      </c>
      <c r="D951" s="68"/>
    </row>
    <row r="952" spans="1:4">
      <c r="A952" s="100"/>
      <c r="B952" s="100"/>
      <c r="C952" s="68" t="s">
        <v>2881</v>
      </c>
      <c r="D952" s="68"/>
    </row>
    <row r="953" spans="1:4">
      <c r="A953" s="100"/>
      <c r="B953" s="100"/>
      <c r="C953" s="62" t="s">
        <v>2891</v>
      </c>
      <c r="D953" s="62" t="s">
        <v>2892</v>
      </c>
    </row>
    <row r="954" spans="1:4">
      <c r="A954" s="100"/>
      <c r="B954" s="100"/>
      <c r="C954" s="62" t="s">
        <v>2852</v>
      </c>
      <c r="D954" s="62" t="s">
        <v>2853</v>
      </c>
    </row>
    <row r="955" spans="1:4">
      <c r="A955" s="100"/>
      <c r="B955" s="100"/>
      <c r="C955" s="62" t="s">
        <v>131</v>
      </c>
      <c r="D955" s="62"/>
    </row>
    <row r="956" spans="1:4">
      <c r="A956" s="106" t="s">
        <v>2688</v>
      </c>
      <c r="B956" s="106" t="s">
        <v>5</v>
      </c>
      <c r="C956" s="65" t="s">
        <v>2893</v>
      </c>
      <c r="D956" s="65"/>
    </row>
    <row r="957" spans="1:4">
      <c r="A957" s="107"/>
      <c r="B957" s="107"/>
      <c r="C957" s="65" t="s">
        <v>1736</v>
      </c>
      <c r="D957" s="65"/>
    </row>
    <row r="958" spans="1:4">
      <c r="A958" s="107"/>
      <c r="B958" s="107"/>
      <c r="C958" s="65" t="s">
        <v>2894</v>
      </c>
      <c r="D958" s="65"/>
    </row>
    <row r="959" spans="1:4">
      <c r="A959" s="107"/>
      <c r="B959" s="107"/>
      <c r="C959" s="65" t="s">
        <v>1764</v>
      </c>
      <c r="D959" s="65"/>
    </row>
    <row r="960" spans="1:4">
      <c r="A960" s="107"/>
      <c r="B960" s="107"/>
      <c r="C960" s="65" t="s">
        <v>1906</v>
      </c>
      <c r="D960" s="65"/>
    </row>
    <row r="961" spans="1:5">
      <c r="A961" s="107"/>
      <c r="B961" s="107"/>
      <c r="C961" s="65" t="s">
        <v>1785</v>
      </c>
      <c r="D961" s="65"/>
    </row>
    <row r="962" spans="1:5">
      <c r="A962" s="107"/>
      <c r="B962" s="107"/>
      <c r="C962" s="65" t="s">
        <v>2895</v>
      </c>
      <c r="D962" s="65"/>
    </row>
    <row r="963" spans="1:5">
      <c r="A963" s="107"/>
      <c r="B963" s="107"/>
      <c r="C963" s="65" t="s">
        <v>2751</v>
      </c>
      <c r="D963" s="65"/>
      <c r="E963" s="18" t="s">
        <v>2248</v>
      </c>
    </row>
    <row r="964" spans="1:5">
      <c r="A964" s="108" t="s">
        <v>2896</v>
      </c>
      <c r="B964" s="99" t="s">
        <v>5</v>
      </c>
      <c r="C964" s="62" t="s">
        <v>2859</v>
      </c>
      <c r="D964" s="62"/>
    </row>
    <row r="965" spans="1:5">
      <c r="A965" s="109"/>
      <c r="B965" s="100"/>
      <c r="C965" s="62" t="s">
        <v>2860</v>
      </c>
      <c r="D965" s="62"/>
    </row>
    <row r="966" spans="1:5">
      <c r="A966" s="109"/>
      <c r="B966" s="100"/>
      <c r="C966" s="62" t="s">
        <v>1545</v>
      </c>
      <c r="D966" s="62"/>
    </row>
    <row r="967" spans="1:5">
      <c r="A967" s="109"/>
      <c r="B967" s="100"/>
      <c r="C967" s="62" t="s">
        <v>2861</v>
      </c>
      <c r="D967" s="62"/>
    </row>
    <row r="968" spans="1:5">
      <c r="A968" s="109"/>
      <c r="B968" s="100"/>
      <c r="C968" s="62" t="s">
        <v>2862</v>
      </c>
      <c r="D968" s="62"/>
    </row>
    <row r="969" spans="1:5">
      <c r="A969" s="109"/>
      <c r="B969" s="100"/>
      <c r="C969" s="62" t="s">
        <v>2897</v>
      </c>
      <c r="D969" s="62"/>
      <c r="E969" s="18" t="s">
        <v>2248</v>
      </c>
    </row>
    <row r="970" spans="1:5">
      <c r="A970" s="110" t="s">
        <v>2898</v>
      </c>
      <c r="B970" s="106" t="s">
        <v>5</v>
      </c>
      <c r="C970" s="65" t="s">
        <v>2899</v>
      </c>
      <c r="D970" s="65"/>
    </row>
    <row r="971" spans="1:5">
      <c r="A971" s="111"/>
      <c r="B971" s="107"/>
      <c r="C971" s="65" t="s">
        <v>2900</v>
      </c>
      <c r="D971" s="65"/>
    </row>
    <row r="972" spans="1:5">
      <c r="A972" s="111"/>
      <c r="B972" s="107"/>
      <c r="C972" s="65" t="s">
        <v>2901</v>
      </c>
      <c r="D972" s="65"/>
    </row>
    <row r="973" spans="1:5">
      <c r="A973" s="111"/>
      <c r="B973" s="107"/>
      <c r="C973" s="65" t="s">
        <v>2902</v>
      </c>
      <c r="D973" s="65"/>
    </row>
    <row r="974" spans="1:5">
      <c r="A974" s="111"/>
      <c r="B974" s="107"/>
      <c r="C974" s="65" t="s">
        <v>2167</v>
      </c>
      <c r="D974" s="65"/>
    </row>
    <row r="975" spans="1:5">
      <c r="A975" s="111"/>
      <c r="B975" s="107"/>
      <c r="C975" s="65" t="s">
        <v>2180</v>
      </c>
      <c r="D975" s="65"/>
    </row>
    <row r="976" spans="1:5">
      <c r="A976" s="135"/>
      <c r="B976" s="134"/>
      <c r="C976" s="65" t="s">
        <v>131</v>
      </c>
      <c r="D976" s="65"/>
    </row>
    <row r="977" spans="1:5">
      <c r="A977" s="99" t="s">
        <v>2903</v>
      </c>
      <c r="B977" s="99" t="s">
        <v>5</v>
      </c>
      <c r="C977" s="62" t="s">
        <v>2904</v>
      </c>
      <c r="D977" s="62"/>
      <c r="E977" s="18" t="s">
        <v>2905</v>
      </c>
    </row>
    <row r="978" spans="1:5">
      <c r="A978" s="100"/>
      <c r="B978" s="100"/>
      <c r="C978" s="62" t="s">
        <v>2906</v>
      </c>
      <c r="D978" s="62"/>
    </row>
    <row r="979" spans="1:5">
      <c r="A979" s="100"/>
      <c r="B979" s="100"/>
      <c r="C979" s="62" t="s">
        <v>2907</v>
      </c>
      <c r="D979" s="62"/>
    </row>
    <row r="980" spans="1:5">
      <c r="A980" s="100"/>
      <c r="B980" s="100"/>
      <c r="C980" s="62" t="s">
        <v>2115</v>
      </c>
      <c r="D980" s="62"/>
    </row>
    <row r="981" spans="1:5">
      <c r="A981" s="100"/>
      <c r="B981" s="100"/>
      <c r="C981" s="62" t="s">
        <v>2908</v>
      </c>
      <c r="D981" s="62"/>
    </row>
    <row r="982" spans="1:5">
      <c r="A982" s="100"/>
      <c r="B982" s="100"/>
      <c r="C982" s="62" t="s">
        <v>2909</v>
      </c>
      <c r="D982" s="62"/>
    </row>
    <row r="983" spans="1:5">
      <c r="A983" s="100"/>
      <c r="B983" s="100"/>
      <c r="C983" s="62" t="s">
        <v>2910</v>
      </c>
      <c r="D983" s="62"/>
    </row>
    <row r="984" spans="1:5">
      <c r="A984" s="100"/>
      <c r="B984" s="100"/>
      <c r="C984" s="62" t="s">
        <v>2911</v>
      </c>
      <c r="D984" s="62"/>
    </row>
    <row r="985" spans="1:5">
      <c r="A985" s="100"/>
      <c r="B985" s="100"/>
      <c r="C985" s="62" t="s">
        <v>2912</v>
      </c>
      <c r="D985" s="62" t="s">
        <v>2913</v>
      </c>
      <c r="E985" s="18" t="s">
        <v>2248</v>
      </c>
    </row>
    <row r="986" spans="1:5">
      <c r="A986" s="110" t="s">
        <v>2914</v>
      </c>
      <c r="B986" s="106" t="s">
        <v>5</v>
      </c>
      <c r="C986" s="65" t="s">
        <v>1541</v>
      </c>
      <c r="D986" s="65"/>
    </row>
    <row r="987" spans="1:5">
      <c r="A987" s="111"/>
      <c r="B987" s="107"/>
      <c r="C987" s="65" t="s">
        <v>2864</v>
      </c>
      <c r="D987" s="65"/>
    </row>
    <row r="988" spans="1:5">
      <c r="A988" s="111"/>
      <c r="B988" s="107"/>
      <c r="C988" s="65" t="s">
        <v>2915</v>
      </c>
      <c r="D988" s="65"/>
    </row>
    <row r="989" spans="1:5">
      <c r="A989" s="111"/>
      <c r="B989" s="107"/>
      <c r="C989" s="65" t="s">
        <v>2916</v>
      </c>
      <c r="D989" s="65"/>
    </row>
    <row r="990" spans="1:5">
      <c r="A990" s="111"/>
      <c r="B990" s="107"/>
      <c r="C990" s="65" t="s">
        <v>2917</v>
      </c>
      <c r="D990" s="65"/>
    </row>
    <row r="991" spans="1:5">
      <c r="A991" s="111"/>
      <c r="B991" s="107"/>
      <c r="C991" s="65" t="s">
        <v>2918</v>
      </c>
      <c r="D991" s="65"/>
    </row>
    <row r="992" spans="1:5">
      <c r="A992" s="99" t="s">
        <v>2919</v>
      </c>
      <c r="B992" s="99" t="s">
        <v>5</v>
      </c>
      <c r="C992" s="62" t="s">
        <v>166</v>
      </c>
      <c r="D992" s="62"/>
    </row>
    <row r="993" spans="1:5">
      <c r="A993" s="100"/>
      <c r="B993" s="100"/>
      <c r="C993" s="62" t="s">
        <v>153</v>
      </c>
      <c r="D993" s="62"/>
    </row>
    <row r="994" spans="1:5">
      <c r="A994" s="100"/>
      <c r="B994" s="100"/>
      <c r="C994" s="62" t="s">
        <v>2839</v>
      </c>
      <c r="D994" s="62"/>
    </row>
    <row r="995" spans="1:5">
      <c r="A995" s="100"/>
      <c r="B995" s="100"/>
      <c r="C995" s="62" t="s">
        <v>486</v>
      </c>
      <c r="D995" s="62"/>
    </row>
    <row r="996" spans="1:5">
      <c r="A996" s="100"/>
      <c r="B996" s="100"/>
      <c r="C996" s="62" t="s">
        <v>2920</v>
      </c>
      <c r="D996" s="62" t="s">
        <v>2921</v>
      </c>
    </row>
    <row r="997" spans="1:5">
      <c r="A997" s="100"/>
      <c r="B997" s="100"/>
      <c r="C997" s="62" t="s">
        <v>131</v>
      </c>
      <c r="D997" s="62"/>
    </row>
    <row r="998" spans="1:5">
      <c r="A998" s="106" t="s">
        <v>2922</v>
      </c>
      <c r="B998" s="106" t="s">
        <v>5</v>
      </c>
      <c r="C998" s="65" t="s">
        <v>2206</v>
      </c>
      <c r="D998" s="65"/>
      <c r="E998" s="18" t="s">
        <v>2905</v>
      </c>
    </row>
    <row r="999" spans="1:5">
      <c r="A999" s="107"/>
      <c r="B999" s="107"/>
      <c r="C999" s="65" t="s">
        <v>2923</v>
      </c>
      <c r="D999" s="65"/>
    </row>
    <row r="1000" spans="1:5">
      <c r="A1000" s="99" t="s">
        <v>2924</v>
      </c>
      <c r="B1000" s="99" t="s">
        <v>5</v>
      </c>
      <c r="C1000" s="62" t="s">
        <v>2925</v>
      </c>
      <c r="D1000" s="62"/>
    </row>
    <row r="1001" spans="1:5">
      <c r="A1001" s="100"/>
      <c r="B1001" s="100"/>
      <c r="C1001" s="62" t="s">
        <v>2926</v>
      </c>
      <c r="D1001" s="62"/>
    </row>
    <row r="1002" spans="1:5">
      <c r="A1002" s="100"/>
      <c r="B1002" s="100"/>
      <c r="C1002" s="62" t="s">
        <v>2927</v>
      </c>
      <c r="D1002" s="62"/>
    </row>
    <row r="1003" spans="1:5">
      <c r="A1003" s="100"/>
      <c r="B1003" s="100"/>
      <c r="C1003" s="62" t="s">
        <v>2928</v>
      </c>
      <c r="D1003" s="62"/>
      <c r="E1003" s="18" t="s">
        <v>2248</v>
      </c>
    </row>
    <row r="1004" spans="1:5">
      <c r="A1004" s="100"/>
      <c r="B1004" s="100"/>
      <c r="C1004" s="62" t="s">
        <v>2929</v>
      </c>
      <c r="D1004" s="62"/>
    </row>
    <row r="1005" spans="1:5">
      <c r="A1005" s="100"/>
      <c r="B1005" s="100"/>
      <c r="C1005" s="62" t="s">
        <v>2930</v>
      </c>
      <c r="D1005" s="62"/>
    </row>
    <row r="1006" spans="1:5">
      <c r="A1006" s="100"/>
      <c r="B1006" s="100"/>
      <c r="C1006" s="62" t="s">
        <v>2931</v>
      </c>
      <c r="D1006" s="62"/>
      <c r="E1006" s="18" t="s">
        <v>2248</v>
      </c>
    </row>
    <row r="1007" spans="1:5">
      <c r="A1007" s="100"/>
      <c r="B1007" s="100"/>
      <c r="C1007" s="62" t="s">
        <v>2932</v>
      </c>
      <c r="D1007" s="62"/>
    </row>
    <row r="1008" spans="1:5">
      <c r="A1008" s="100"/>
      <c r="B1008" s="100"/>
      <c r="C1008" s="62" t="s">
        <v>2933</v>
      </c>
      <c r="D1008" s="62"/>
    </row>
    <row r="1009" spans="1:4">
      <c r="A1009" s="100"/>
      <c r="B1009" s="100"/>
      <c r="C1009" s="62" t="s">
        <v>2934</v>
      </c>
      <c r="D1009" s="62"/>
    </row>
    <row r="1010" spans="1:4">
      <c r="A1010" s="100"/>
      <c r="B1010" s="100"/>
      <c r="C1010" s="62" t="s">
        <v>2935</v>
      </c>
      <c r="D1010" s="62"/>
    </row>
    <row r="1011" spans="1:4">
      <c r="A1011" s="100"/>
      <c r="B1011" s="100"/>
      <c r="C1011" s="62" t="s">
        <v>2936</v>
      </c>
      <c r="D1011" s="62"/>
    </row>
    <row r="1012" spans="1:4">
      <c r="A1012" s="100"/>
      <c r="B1012" s="100"/>
      <c r="C1012" s="62" t="s">
        <v>2937</v>
      </c>
      <c r="D1012" s="62"/>
    </row>
    <row r="1013" spans="1:4">
      <c r="A1013" s="100"/>
      <c r="B1013" s="100"/>
      <c r="C1013" s="62" t="s">
        <v>2938</v>
      </c>
      <c r="D1013" s="62"/>
    </row>
    <row r="1014" spans="1:4">
      <c r="A1014" s="100"/>
      <c r="B1014" s="100"/>
      <c r="C1014" s="62" t="s">
        <v>2939</v>
      </c>
      <c r="D1014" s="62"/>
    </row>
    <row r="1015" spans="1:4">
      <c r="A1015" s="100"/>
      <c r="B1015" s="100"/>
      <c r="C1015" s="62" t="s">
        <v>2218</v>
      </c>
      <c r="D1015" s="62"/>
    </row>
    <row r="1016" spans="1:4">
      <c r="A1016" s="100"/>
      <c r="B1016" s="100"/>
      <c r="C1016" s="62" t="s">
        <v>2940</v>
      </c>
      <c r="D1016" s="62"/>
    </row>
    <row r="1017" spans="1:4">
      <c r="A1017" s="100"/>
      <c r="B1017" s="100"/>
      <c r="C1017" s="62" t="s">
        <v>2221</v>
      </c>
      <c r="D1017" s="62"/>
    </row>
    <row r="1018" spans="1:4">
      <c r="A1018" s="100"/>
      <c r="B1018" s="100"/>
      <c r="C1018" s="62" t="s">
        <v>2941</v>
      </c>
      <c r="D1018" s="62"/>
    </row>
    <row r="1019" spans="1:4">
      <c r="A1019" s="100"/>
      <c r="B1019" s="100"/>
      <c r="C1019" s="62" t="s">
        <v>2942</v>
      </c>
      <c r="D1019" s="62"/>
    </row>
    <row r="1020" spans="1:4">
      <c r="A1020" s="100"/>
      <c r="B1020" s="100"/>
      <c r="C1020" s="62" t="s">
        <v>2943</v>
      </c>
      <c r="D1020" s="62"/>
    </row>
    <row r="1021" spans="1:4">
      <c r="A1021" s="100"/>
      <c r="B1021" s="100"/>
      <c r="C1021" s="62" t="s">
        <v>2944</v>
      </c>
      <c r="D1021" s="62"/>
    </row>
    <row r="1022" spans="1:4">
      <c r="A1022" s="100"/>
      <c r="B1022" s="100"/>
      <c r="C1022" s="62" t="s">
        <v>2945</v>
      </c>
      <c r="D1022" s="62"/>
    </row>
    <row r="1023" spans="1:4">
      <c r="A1023" s="100"/>
      <c r="B1023" s="100"/>
      <c r="C1023" s="62" t="s">
        <v>2946</v>
      </c>
      <c r="D1023" s="62"/>
    </row>
    <row r="1024" spans="1:4">
      <c r="A1024" s="100"/>
      <c r="B1024" s="100"/>
      <c r="C1024" s="62" t="s">
        <v>2947</v>
      </c>
      <c r="D1024" s="62"/>
    </row>
    <row r="1025" spans="1:5">
      <c r="A1025" s="100"/>
      <c r="B1025" s="100"/>
      <c r="C1025" s="62" t="s">
        <v>2948</v>
      </c>
      <c r="D1025" s="62"/>
    </row>
    <row r="1026" spans="1:5">
      <c r="A1026" s="100"/>
      <c r="B1026" s="100"/>
      <c r="C1026" s="62" t="s">
        <v>2949</v>
      </c>
      <c r="D1026" s="62"/>
    </row>
    <row r="1027" spans="1:5">
      <c r="A1027" s="100"/>
      <c r="B1027" s="100"/>
      <c r="C1027" s="62" t="s">
        <v>2950</v>
      </c>
      <c r="D1027" s="62"/>
    </row>
    <row r="1028" spans="1:5">
      <c r="A1028" s="100"/>
      <c r="B1028" s="100"/>
      <c r="C1028" s="62" t="s">
        <v>2951</v>
      </c>
      <c r="D1028" s="62"/>
    </row>
    <row r="1029" spans="1:5">
      <c r="A1029" s="100"/>
      <c r="B1029" s="100"/>
      <c r="C1029" s="62" t="s">
        <v>2952</v>
      </c>
      <c r="D1029" s="62"/>
    </row>
    <row r="1030" spans="1:5">
      <c r="A1030" s="100"/>
      <c r="B1030" s="100"/>
      <c r="C1030" s="62" t="s">
        <v>2953</v>
      </c>
      <c r="D1030" s="62"/>
    </row>
    <row r="1031" spans="1:5">
      <c r="A1031" s="100"/>
      <c r="B1031" s="100"/>
      <c r="C1031" s="144" t="s">
        <v>2954</v>
      </c>
      <c r="D1031" s="62"/>
      <c r="E1031" s="18" t="s">
        <v>2248</v>
      </c>
    </row>
    <row r="1032" spans="1:5">
      <c r="A1032" s="100"/>
      <c r="B1032" s="100"/>
      <c r="C1032" s="62" t="s">
        <v>2955</v>
      </c>
      <c r="D1032" s="62"/>
    </row>
    <row r="1033" spans="1:5">
      <c r="A1033" s="100"/>
      <c r="B1033" s="100"/>
      <c r="C1033" s="62" t="s">
        <v>131</v>
      </c>
      <c r="D1033" s="62"/>
    </row>
    <row r="1034" spans="1:5">
      <c r="A1034" s="76" t="s">
        <v>2956</v>
      </c>
      <c r="B1034" s="76" t="s">
        <v>5</v>
      </c>
      <c r="C1034" s="65" t="s">
        <v>2957</v>
      </c>
      <c r="D1034" s="65"/>
      <c r="E1034" s="18" t="s">
        <v>2905</v>
      </c>
    </row>
    <row r="1035" spans="1:5">
      <c r="A1035" s="77"/>
      <c r="B1035" s="77"/>
      <c r="C1035" s="65" t="s">
        <v>2958</v>
      </c>
      <c r="D1035" s="65"/>
    </row>
    <row r="1036" spans="1:5">
      <c r="A1036" s="77"/>
      <c r="B1036" s="77"/>
      <c r="C1036" s="65" t="s">
        <v>131</v>
      </c>
      <c r="D1036" s="65"/>
    </row>
    <row r="1037" spans="1:5">
      <c r="A1037" s="99" t="s">
        <v>2959</v>
      </c>
      <c r="B1037" s="99" t="s">
        <v>5</v>
      </c>
      <c r="C1037" s="62" t="s">
        <v>2960</v>
      </c>
      <c r="D1037" s="62"/>
    </row>
    <row r="1038" spans="1:5">
      <c r="A1038" s="100"/>
      <c r="B1038" s="100"/>
      <c r="C1038" s="62" t="s">
        <v>2961</v>
      </c>
      <c r="D1038" s="62" t="s">
        <v>2962</v>
      </c>
    </row>
    <row r="1039" spans="1:5">
      <c r="A1039" s="100"/>
      <c r="B1039" s="100"/>
      <c r="C1039" s="62" t="s">
        <v>2963</v>
      </c>
      <c r="D1039" s="62" t="s">
        <v>2964</v>
      </c>
    </row>
    <row r="1040" spans="1:5">
      <c r="A1040" s="100"/>
      <c r="B1040" s="100"/>
      <c r="C1040" s="62" t="s">
        <v>2965</v>
      </c>
      <c r="D1040" s="62" t="s">
        <v>2966</v>
      </c>
    </row>
    <row r="1044" spans="4:4">
      <c r="D1044" s="64"/>
    </row>
    <row r="1045" spans="4:4">
      <c r="D1045" s="64"/>
    </row>
    <row r="1046" spans="4:4">
      <c r="D1046" s="64"/>
    </row>
    <row r="1047" spans="4:4">
      <c r="D1047" s="64"/>
    </row>
    <row r="1065" spans="1:4">
      <c r="D1065" s="39"/>
    </row>
    <row r="1070" spans="1:4">
      <c r="A1070" s="39"/>
    </row>
    <row r="1072" spans="1:4">
      <c r="C1072" s="18"/>
    </row>
    <row r="1073" spans="1:5" s="9" customFormat="1">
      <c r="B1073" s="18"/>
      <c r="C1073" s="18"/>
      <c r="E1073" s="18"/>
    </row>
    <row r="1074" spans="1:5" s="9" customFormat="1">
      <c r="A1074" s="51"/>
      <c r="B1074" s="18"/>
      <c r="C1074" s="18"/>
      <c r="E1074" s="18"/>
    </row>
    <row r="1075" spans="1:5" s="9" customFormat="1">
      <c r="B1075" s="18"/>
      <c r="C1075" s="64"/>
      <c r="E1075" s="18"/>
    </row>
    <row r="1076" spans="1:5" s="9" customFormat="1">
      <c r="B1076" s="18"/>
      <c r="C1076" s="64" t="s">
        <v>149</v>
      </c>
      <c r="E1076" s="18"/>
    </row>
    <row r="1077" spans="1:5" s="9" customFormat="1">
      <c r="B1077" s="18"/>
      <c r="C1077" s="64" t="s">
        <v>136</v>
      </c>
      <c r="E1077" s="18"/>
    </row>
    <row r="1078" spans="1:5" s="9" customFormat="1">
      <c r="B1078" s="18"/>
      <c r="C1078" s="64" t="s">
        <v>817</v>
      </c>
      <c r="E1078" s="18"/>
    </row>
    <row r="1079" spans="1:5" s="9" customFormat="1">
      <c r="B1079" s="18"/>
      <c r="C1079" s="64" t="s">
        <v>935</v>
      </c>
      <c r="E1079" s="18"/>
    </row>
    <row r="1080" spans="1:5" s="9" customFormat="1">
      <c r="B1080" s="18"/>
      <c r="C1080" s="64"/>
      <c r="E1080" s="18"/>
    </row>
    <row r="1081" spans="1:5" s="9" customFormat="1">
      <c r="B1081" s="18"/>
      <c r="C1081" s="64" t="s">
        <v>149</v>
      </c>
      <c r="E1081" s="18"/>
    </row>
    <row r="1082" spans="1:5" s="9" customFormat="1">
      <c r="B1082" s="18"/>
      <c r="C1082" s="64" t="s">
        <v>136</v>
      </c>
      <c r="E1082" s="18"/>
    </row>
    <row r="1083" spans="1:5" s="9" customFormat="1">
      <c r="B1083" s="18"/>
      <c r="C1083" s="64" t="s">
        <v>817</v>
      </c>
      <c r="E1083" s="18"/>
    </row>
    <row r="1084" spans="1:5" s="9" customFormat="1">
      <c r="B1084" s="18"/>
      <c r="C1084" s="64" t="s">
        <v>935</v>
      </c>
      <c r="E1084" s="18"/>
    </row>
    <row r="1085" spans="1:5" s="9" customFormat="1">
      <c r="B1085" s="18"/>
      <c r="C1085" s="64" t="s">
        <v>913</v>
      </c>
      <c r="E1085" s="18"/>
    </row>
    <row r="1086" spans="1:5" s="9" customFormat="1">
      <c r="B1086" s="18"/>
      <c r="C1086" s="64"/>
      <c r="E1086" s="18"/>
    </row>
    <row r="1087" spans="1:5" s="9" customFormat="1">
      <c r="A1087" s="39"/>
      <c r="B1087" s="18"/>
      <c r="C1087" s="64" t="s">
        <v>149</v>
      </c>
      <c r="E1087" s="18"/>
    </row>
    <row r="1088" spans="1:5" s="9" customFormat="1">
      <c r="B1088" s="18"/>
      <c r="C1088" s="64" t="s">
        <v>136</v>
      </c>
      <c r="E1088" s="18"/>
    </row>
    <row r="1089" spans="2:5" s="9" customFormat="1">
      <c r="B1089" s="18"/>
      <c r="C1089" s="64" t="s">
        <v>935</v>
      </c>
      <c r="E1089" s="18"/>
    </row>
    <row r="1090" spans="2:5" s="9" customFormat="1">
      <c r="B1090" s="18"/>
      <c r="C1090" s="64"/>
      <c r="E1090" s="18"/>
    </row>
    <row r="1091" spans="2:5" s="9" customFormat="1">
      <c r="B1091" s="18"/>
      <c r="C1091" s="64" t="s">
        <v>1563</v>
      </c>
      <c r="E1091" s="18"/>
    </row>
    <row r="1092" spans="2:5" s="9" customFormat="1">
      <c r="B1092" s="18"/>
      <c r="C1092" s="64" t="s">
        <v>131</v>
      </c>
      <c r="E1092" s="18"/>
    </row>
    <row r="1093" spans="2:5" s="9" customFormat="1">
      <c r="B1093" s="18"/>
      <c r="C1093" s="64"/>
      <c r="E1093" s="18"/>
    </row>
    <row r="1094" spans="2:5" s="9" customFormat="1">
      <c r="B1094" s="18"/>
      <c r="C1094" s="64" t="s">
        <v>231</v>
      </c>
      <c r="E1094" s="18"/>
    </row>
    <row r="1095" spans="2:5" s="9" customFormat="1">
      <c r="B1095" s="18"/>
      <c r="C1095" s="64" t="s">
        <v>2662</v>
      </c>
      <c r="E1095" s="18"/>
    </row>
    <row r="1096" spans="2:5" s="9" customFormat="1">
      <c r="B1096" s="18"/>
      <c r="C1096" s="64" t="s">
        <v>2663</v>
      </c>
      <c r="E1096" s="18"/>
    </row>
    <row r="1097" spans="2:5" s="9" customFormat="1">
      <c r="B1097" s="18"/>
      <c r="C1097" s="64" t="s">
        <v>1542</v>
      </c>
      <c r="E1097" s="18"/>
    </row>
    <row r="1098" spans="2:5" s="9" customFormat="1">
      <c r="B1098" s="18"/>
      <c r="C1098" s="64" t="s">
        <v>2666</v>
      </c>
      <c r="E1098" s="18"/>
    </row>
    <row r="1099" spans="2:5" s="9" customFormat="1">
      <c r="B1099" s="18"/>
      <c r="C1099" s="64" t="s">
        <v>1545</v>
      </c>
      <c r="E1099" s="18"/>
    </row>
    <row r="1100" spans="2:5" s="9" customFormat="1">
      <c r="B1100" s="18"/>
      <c r="C1100" s="64" t="s">
        <v>1530</v>
      </c>
      <c r="E1100" s="18"/>
    </row>
    <row r="1101" spans="2:5" s="9" customFormat="1">
      <c r="B1101" s="18"/>
      <c r="C1101" s="64" t="s">
        <v>2667</v>
      </c>
      <c r="E1101" s="18"/>
    </row>
    <row r="1102" spans="2:5" s="9" customFormat="1">
      <c r="B1102" s="18"/>
      <c r="C1102" s="64" t="s">
        <v>2668</v>
      </c>
      <c r="E1102" s="18"/>
    </row>
    <row r="1103" spans="2:5" s="9" customFormat="1">
      <c r="B1103" s="18"/>
      <c r="C1103" s="64" t="s">
        <v>2670</v>
      </c>
      <c r="E1103" s="18"/>
    </row>
    <row r="1104" spans="2:5" s="9" customFormat="1">
      <c r="B1104" s="18"/>
      <c r="C1104" s="64" t="s">
        <v>2448</v>
      </c>
      <c r="E1104" s="18"/>
    </row>
    <row r="1105" spans="2:5" s="9" customFormat="1">
      <c r="B1105" s="18"/>
      <c r="C1105" s="64" t="s">
        <v>131</v>
      </c>
      <c r="E1105" s="18"/>
    </row>
    <row r="1106" spans="2:5" s="9" customFormat="1">
      <c r="B1106" s="18"/>
      <c r="C1106" s="64"/>
      <c r="E1106" s="18"/>
    </row>
    <row r="1107" spans="2:5" s="9" customFormat="1">
      <c r="B1107" s="18"/>
      <c r="C1107" s="64"/>
      <c r="E1107" s="18"/>
    </row>
    <row r="1108" spans="2:5">
      <c r="C1108" s="64" t="s">
        <v>1646</v>
      </c>
    </row>
    <row r="1109" spans="2:5" s="9" customFormat="1">
      <c r="B1109" s="18"/>
      <c r="C1109" s="64" t="s">
        <v>1739</v>
      </c>
      <c r="E1109" s="18"/>
    </row>
    <row r="1110" spans="2:5" s="9" customFormat="1">
      <c r="B1110" s="18"/>
      <c r="C1110" s="64" t="s">
        <v>1774</v>
      </c>
      <c r="E1110" s="18"/>
    </row>
    <row r="1111" spans="2:5" s="9" customFormat="1">
      <c r="B1111" s="18"/>
      <c r="C1111" s="64" t="s">
        <v>131</v>
      </c>
      <c r="E1111" s="18"/>
    </row>
    <row r="1112" spans="2:5" s="9" customFormat="1">
      <c r="B1112" s="18"/>
      <c r="C1112" s="64"/>
      <c r="E1112" s="18"/>
    </row>
    <row r="1113" spans="2:5" s="9" customFormat="1">
      <c r="B1113" s="18"/>
      <c r="C1113" s="64" t="s">
        <v>152</v>
      </c>
      <c r="E1113" s="18"/>
    </row>
    <row r="1114" spans="2:5" s="9" customFormat="1">
      <c r="B1114" s="18"/>
      <c r="C1114" s="64" t="s">
        <v>2336</v>
      </c>
      <c r="E1114" s="18"/>
    </row>
    <row r="1115" spans="2:5" s="9" customFormat="1">
      <c r="B1115" s="18"/>
      <c r="C1115" s="64" t="s">
        <v>33</v>
      </c>
      <c r="E1115" s="18"/>
    </row>
    <row r="1116" spans="2:5" s="9" customFormat="1">
      <c r="B1116" s="18"/>
      <c r="C1116" s="64" t="s">
        <v>131</v>
      </c>
      <c r="E1116" s="18"/>
    </row>
    <row r="1117" spans="2:5" s="9" customFormat="1">
      <c r="B1117" s="18"/>
      <c r="C1117" s="64"/>
      <c r="E1117" s="18"/>
    </row>
    <row r="1118" spans="2:5" s="9" customFormat="1">
      <c r="B1118" s="18"/>
      <c r="C1118" s="64" t="s">
        <v>154</v>
      </c>
      <c r="E1118" s="18"/>
    </row>
    <row r="1119" spans="2:5" s="9" customFormat="1">
      <c r="B1119" s="18"/>
      <c r="C1119" s="64" t="s">
        <v>2967</v>
      </c>
      <c r="E1119" s="18"/>
    </row>
    <row r="1120" spans="2:5" s="9" customFormat="1">
      <c r="B1120" s="18"/>
      <c r="C1120" s="64"/>
      <c r="E1120" s="18"/>
    </row>
    <row r="1121" spans="2:5">
      <c r="C1121" s="64" t="s">
        <v>154</v>
      </c>
    </row>
    <row r="1122" spans="2:5" s="9" customFormat="1">
      <c r="B1122" s="18"/>
      <c r="C1122" s="64" t="s">
        <v>2078</v>
      </c>
      <c r="E1122" s="18"/>
    </row>
    <row r="1123" spans="2:5" s="9" customFormat="1">
      <c r="B1123" s="18"/>
      <c r="C1123" s="64" t="s">
        <v>2340</v>
      </c>
      <c r="E1123" s="18"/>
    </row>
    <row r="1124" spans="2:5" s="9" customFormat="1">
      <c r="B1124" s="18"/>
      <c r="C1124" s="64" t="s">
        <v>2342</v>
      </c>
      <c r="E1124" s="18"/>
    </row>
    <row r="1125" spans="2:5">
      <c r="C1125" s="64" t="s">
        <v>2347</v>
      </c>
    </row>
    <row r="1126" spans="2:5">
      <c r="C1126" s="64" t="s">
        <v>131</v>
      </c>
    </row>
    <row r="1129" spans="2:5">
      <c r="C1129" s="64" t="s">
        <v>2424</v>
      </c>
    </row>
    <row r="1130" spans="2:5">
      <c r="C1130" s="64" t="s">
        <v>743</v>
      </c>
    </row>
    <row r="1131" spans="2:5">
      <c r="C1131" s="64" t="s">
        <v>1004</v>
      </c>
    </row>
    <row r="1132" spans="2:5">
      <c r="C1132" s="64" t="s">
        <v>231</v>
      </c>
    </row>
    <row r="1133" spans="2:5">
      <c r="C1133" s="64" t="s">
        <v>210</v>
      </c>
    </row>
    <row r="1134" spans="2:5">
      <c r="C1134" s="64" t="s">
        <v>392</v>
      </c>
    </row>
    <row r="1135" spans="2:5">
      <c r="C1135" s="64" t="s">
        <v>2427</v>
      </c>
    </row>
    <row r="1136" spans="2:5">
      <c r="C1136" s="64" t="s">
        <v>155</v>
      </c>
    </row>
    <row r="1137" spans="3:3">
      <c r="C1137" s="64" t="s">
        <v>946</v>
      </c>
    </row>
    <row r="1138" spans="3:3">
      <c r="C1138" s="64" t="s">
        <v>282</v>
      </c>
    </row>
    <row r="1139" spans="3:3">
      <c r="C1139" s="64" t="s">
        <v>245</v>
      </c>
    </row>
    <row r="1140" spans="3:3">
      <c r="C1140" s="64" t="s">
        <v>1687</v>
      </c>
    </row>
    <row r="1141" spans="3:3">
      <c r="C1141" s="64" t="s">
        <v>2428</v>
      </c>
    </row>
    <row r="1142" spans="3:3">
      <c r="C1142" s="64" t="s">
        <v>194</v>
      </c>
    </row>
    <row r="1143" spans="3:3">
      <c r="C1143" s="64" t="s">
        <v>2429</v>
      </c>
    </row>
    <row r="1144" spans="3:3">
      <c r="C1144" s="64" t="s">
        <v>487</v>
      </c>
    </row>
    <row r="1145" spans="3:3">
      <c r="C1145" s="64" t="s">
        <v>2431</v>
      </c>
    </row>
    <row r="1146" spans="3:3">
      <c r="C1146" s="64" t="s">
        <v>653</v>
      </c>
    </row>
    <row r="1147" spans="3:3">
      <c r="C1147" s="64" t="s">
        <v>992</v>
      </c>
    </row>
    <row r="1148" spans="3:3">
      <c r="C1148" s="64" t="s">
        <v>2433</v>
      </c>
    </row>
    <row r="1149" spans="3:3">
      <c r="C1149" s="64" t="s">
        <v>2434</v>
      </c>
    </row>
    <row r="1150" spans="3:3">
      <c r="C1150" s="64" t="s">
        <v>862</v>
      </c>
    </row>
    <row r="1151" spans="3:3">
      <c r="C1151" s="64" t="s">
        <v>303</v>
      </c>
    </row>
    <row r="1152" spans="3:3">
      <c r="C1152" s="64" t="s">
        <v>906</v>
      </c>
    </row>
    <row r="1153" spans="3:3">
      <c r="C1153" s="64" t="s">
        <v>167</v>
      </c>
    </row>
    <row r="1154" spans="3:3">
      <c r="C1154" s="64" t="s">
        <v>238</v>
      </c>
    </row>
    <row r="1155" spans="3:3">
      <c r="C1155" s="64" t="s">
        <v>2435</v>
      </c>
    </row>
    <row r="1156" spans="3:3">
      <c r="C1156" s="64" t="s">
        <v>975</v>
      </c>
    </row>
    <row r="1157" spans="3:3">
      <c r="C1157" s="64" t="s">
        <v>2436</v>
      </c>
    </row>
    <row r="1158" spans="3:3">
      <c r="C1158" s="64" t="s">
        <v>2437</v>
      </c>
    </row>
    <row r="1159" spans="3:3">
      <c r="C1159" s="64" t="s">
        <v>2438</v>
      </c>
    </row>
    <row r="1160" spans="3:3">
      <c r="C1160" s="64" t="s">
        <v>2439</v>
      </c>
    </row>
    <row r="1161" spans="3:3">
      <c r="C1161" s="64" t="s">
        <v>2440</v>
      </c>
    </row>
    <row r="1162" spans="3:3">
      <c r="C1162" s="64" t="s">
        <v>2441</v>
      </c>
    </row>
    <row r="1163" spans="3:3" ht="14.45" customHeight="1">
      <c r="C1163" s="64" t="s">
        <v>2442</v>
      </c>
    </row>
    <row r="1164" spans="3:3">
      <c r="C1164" s="64" t="s">
        <v>1011</v>
      </c>
    </row>
    <row r="1165" spans="3:3">
      <c r="C1165" s="64" t="s">
        <v>455</v>
      </c>
    </row>
    <row r="1166" spans="3:3">
      <c r="C1166" s="64" t="s">
        <v>178</v>
      </c>
    </row>
    <row r="1167" spans="3:3">
      <c r="C1167" s="64" t="s">
        <v>599</v>
      </c>
    </row>
    <row r="1168" spans="3:3">
      <c r="C1168" s="64" t="s">
        <v>923</v>
      </c>
    </row>
    <row r="1169" spans="3:3">
      <c r="C1169" s="64" t="s">
        <v>697</v>
      </c>
    </row>
    <row r="1170" spans="3:3">
      <c r="C1170" s="64" t="s">
        <v>131</v>
      </c>
    </row>
    <row r="1171" spans="3:3">
      <c r="C1171" s="64" t="s">
        <v>1620</v>
      </c>
    </row>
    <row r="1172" spans="3:3">
      <c r="C1172" s="64" t="s">
        <v>2449</v>
      </c>
    </row>
    <row r="1173" spans="3:3">
      <c r="C1173" s="64" t="s">
        <v>2450</v>
      </c>
    </row>
    <row r="1174" spans="3:3">
      <c r="C1174" s="64" t="s">
        <v>1715</v>
      </c>
    </row>
    <row r="1175" spans="3:3">
      <c r="C1175" s="64" t="s">
        <v>2451</v>
      </c>
    </row>
    <row r="1176" spans="3:3">
      <c r="C1176" s="64" t="s">
        <v>2452</v>
      </c>
    </row>
    <row r="1177" spans="3:3">
      <c r="C1177" s="64" t="s">
        <v>2453</v>
      </c>
    </row>
    <row r="1178" spans="3:3">
      <c r="C1178" s="64" t="s">
        <v>2454</v>
      </c>
    </row>
    <row r="1179" spans="3:3">
      <c r="C1179" s="64" t="s">
        <v>2455</v>
      </c>
    </row>
    <row r="1180" spans="3:3">
      <c r="C1180" s="64" t="s">
        <v>2456</v>
      </c>
    </row>
    <row r="1181" spans="3:3">
      <c r="C1181" s="64" t="s">
        <v>2457</v>
      </c>
    </row>
    <row r="1182" spans="3:3">
      <c r="C1182" s="64" t="s">
        <v>2458</v>
      </c>
    </row>
    <row r="1183" spans="3:3">
      <c r="C1183" s="64" t="s">
        <v>2459</v>
      </c>
    </row>
    <row r="1184" spans="3:3">
      <c r="C1184" s="64" t="s">
        <v>2460</v>
      </c>
    </row>
    <row r="1185" spans="3:3">
      <c r="C1185" s="64" t="s">
        <v>1040</v>
      </c>
    </row>
    <row r="1186" spans="3:3">
      <c r="C1186" s="64" t="s">
        <v>2461</v>
      </c>
    </row>
    <row r="1187" spans="3:3">
      <c r="C1187" s="64" t="s">
        <v>2462</v>
      </c>
    </row>
    <row r="1188" spans="3:3">
      <c r="C1188" s="64" t="s">
        <v>2463</v>
      </c>
    </row>
    <row r="1189" spans="3:3">
      <c r="C1189" s="64" t="s">
        <v>2465</v>
      </c>
    </row>
    <row r="1190" spans="3:3">
      <c r="C1190" s="64" t="s">
        <v>2467</v>
      </c>
    </row>
    <row r="1191" spans="3:3">
      <c r="C1191" s="64" t="s">
        <v>2469</v>
      </c>
    </row>
    <row r="1192" spans="3:3">
      <c r="C1192" s="143" t="s">
        <v>2470</v>
      </c>
    </row>
    <row r="1193" spans="3:3">
      <c r="C1193" s="64" t="s">
        <v>1200</v>
      </c>
    </row>
    <row r="1194" spans="3:3">
      <c r="C1194" s="64" t="s">
        <v>2472</v>
      </c>
    </row>
    <row r="1195" spans="3:3">
      <c r="C1195" s="64" t="s">
        <v>2473</v>
      </c>
    </row>
    <row r="1196" spans="3:3">
      <c r="C1196" s="64" t="s">
        <v>1188</v>
      </c>
    </row>
    <row r="1197" spans="3:3">
      <c r="C1197" s="64" t="s">
        <v>2474</v>
      </c>
    </row>
    <row r="1198" spans="3:3">
      <c r="C1198" s="64" t="s">
        <v>1225</v>
      </c>
    </row>
    <row r="1199" spans="3:3">
      <c r="C1199" s="64" t="s">
        <v>2475</v>
      </c>
    </row>
    <row r="1200" spans="3:3">
      <c r="C1200" s="64" t="s">
        <v>2476</v>
      </c>
    </row>
    <row r="1201" spans="3:3">
      <c r="C1201" s="64" t="s">
        <v>2478</v>
      </c>
    </row>
    <row r="1202" spans="3:3">
      <c r="C1202" s="64" t="s">
        <v>1181</v>
      </c>
    </row>
    <row r="1203" spans="3:3">
      <c r="C1203" s="64" t="s">
        <v>2480</v>
      </c>
    </row>
    <row r="1204" spans="3:3">
      <c r="C1204" s="64" t="s">
        <v>2481</v>
      </c>
    </row>
    <row r="1205" spans="3:3">
      <c r="C1205" s="64" t="s">
        <v>2482</v>
      </c>
    </row>
    <row r="1206" spans="3:3">
      <c r="C1206" s="64" t="s">
        <v>2483</v>
      </c>
    </row>
    <row r="1207" spans="3:3">
      <c r="C1207" s="64" t="s">
        <v>2484</v>
      </c>
    </row>
    <row r="1208" spans="3:3">
      <c r="C1208" s="64" t="s">
        <v>1233</v>
      </c>
    </row>
    <row r="1209" spans="3:3">
      <c r="C1209" s="64" t="s">
        <v>2486</v>
      </c>
    </row>
    <row r="1210" spans="3:3">
      <c r="C1210" s="64" t="s">
        <v>2487</v>
      </c>
    </row>
    <row r="1211" spans="3:3">
      <c r="C1211" s="64" t="s">
        <v>2488</v>
      </c>
    </row>
    <row r="1212" spans="3:3">
      <c r="C1212" s="64" t="s">
        <v>2489</v>
      </c>
    </row>
    <row r="1213" spans="3:3">
      <c r="C1213" s="64" t="s">
        <v>2490</v>
      </c>
    </row>
    <row r="1214" spans="3:3">
      <c r="C1214" s="64" t="s">
        <v>491</v>
      </c>
    </row>
    <row r="1215" spans="3:3">
      <c r="C1215" s="64" t="s">
        <v>2491</v>
      </c>
    </row>
    <row r="1216" spans="3:3">
      <c r="C1216" s="64" t="s">
        <v>2493</v>
      </c>
    </row>
    <row r="1217" spans="3:3">
      <c r="C1217" s="64" t="s">
        <v>2494</v>
      </c>
    </row>
    <row r="1218" spans="3:3">
      <c r="C1218" s="64" t="s">
        <v>2495</v>
      </c>
    </row>
    <row r="1219" spans="3:3">
      <c r="C1219" s="64" t="s">
        <v>2496</v>
      </c>
    </row>
    <row r="1220" spans="3:3">
      <c r="C1220" s="64" t="s">
        <v>2497</v>
      </c>
    </row>
    <row r="1221" spans="3:3">
      <c r="C1221" s="64" t="s">
        <v>1063</v>
      </c>
    </row>
    <row r="1222" spans="3:3">
      <c r="C1222" s="64" t="s">
        <v>2498</v>
      </c>
    </row>
    <row r="1223" spans="3:3">
      <c r="C1223" s="64" t="s">
        <v>1196</v>
      </c>
    </row>
    <row r="1224" spans="3:3">
      <c r="C1224" s="64" t="s">
        <v>2499</v>
      </c>
    </row>
    <row r="1225" spans="3:3">
      <c r="C1225" s="64" t="s">
        <v>1030</v>
      </c>
    </row>
    <row r="1226" spans="3:3">
      <c r="C1226" s="64" t="s">
        <v>1035</v>
      </c>
    </row>
    <row r="1227" spans="3:3">
      <c r="C1227" s="64" t="s">
        <v>2500</v>
      </c>
    </row>
    <row r="1228" spans="3:3">
      <c r="C1228" s="64" t="s">
        <v>2501</v>
      </c>
    </row>
    <row r="1229" spans="3:3">
      <c r="C1229" s="64" t="s">
        <v>2502</v>
      </c>
    </row>
    <row r="1230" spans="3:3">
      <c r="C1230" s="64" t="s">
        <v>2503</v>
      </c>
    </row>
    <row r="1231" spans="3:3">
      <c r="C1231" s="64" t="s">
        <v>2504</v>
      </c>
    </row>
    <row r="1232" spans="3:3">
      <c r="C1232" s="64" t="s">
        <v>2505</v>
      </c>
    </row>
    <row r="1233" spans="3:3">
      <c r="C1233" s="64" t="s">
        <v>2506</v>
      </c>
    </row>
    <row r="1234" spans="3:3">
      <c r="C1234" s="64" t="s">
        <v>1071</v>
      </c>
    </row>
    <row r="1235" spans="3:3">
      <c r="C1235" s="64" t="s">
        <v>2507</v>
      </c>
    </row>
    <row r="1236" spans="3:3">
      <c r="C1236" s="64" t="s">
        <v>2508</v>
      </c>
    </row>
    <row r="1237" spans="3:3">
      <c r="C1237" s="64" t="s">
        <v>2510</v>
      </c>
    </row>
    <row r="1238" spans="3:3">
      <c r="C1238" s="64" t="s">
        <v>2511</v>
      </c>
    </row>
    <row r="1239" spans="3:3">
      <c r="C1239" s="64" t="s">
        <v>2512</v>
      </c>
    </row>
    <row r="1240" spans="3:3">
      <c r="C1240" s="64" t="s">
        <v>2513</v>
      </c>
    </row>
    <row r="1241" spans="3:3">
      <c r="C1241" s="64" t="s">
        <v>2514</v>
      </c>
    </row>
    <row r="1242" spans="3:3">
      <c r="C1242" s="64" t="s">
        <v>2515</v>
      </c>
    </row>
    <row r="1243" spans="3:3">
      <c r="C1243" s="64" t="s">
        <v>2516</v>
      </c>
    </row>
    <row r="1244" spans="3:3">
      <c r="C1244" s="64" t="s">
        <v>1244</v>
      </c>
    </row>
    <row r="1245" spans="3:3">
      <c r="C1245" s="64" t="s">
        <v>1757</v>
      </c>
    </row>
    <row r="1248" spans="3:3">
      <c r="C1248" s="64" t="s">
        <v>1571</v>
      </c>
    </row>
    <row r="1249" spans="3:3">
      <c r="C1249" s="64" t="s">
        <v>2078</v>
      </c>
    </row>
    <row r="1250" spans="3:3">
      <c r="C1250" s="64" t="s">
        <v>2340</v>
      </c>
    </row>
    <row r="1251" spans="3:3">
      <c r="C1251" s="64" t="s">
        <v>2343</v>
      </c>
    </row>
    <row r="1252" spans="3:3">
      <c r="C1252" s="64" t="s">
        <v>2345</v>
      </c>
    </row>
    <row r="1253" spans="3:3">
      <c r="C1253" s="64" t="s">
        <v>131</v>
      </c>
    </row>
    <row r="1255" spans="3:3">
      <c r="C1255" s="64" t="s">
        <v>1571</v>
      </c>
    </row>
    <row r="1256" spans="3:3">
      <c r="C1256" s="64" t="s">
        <v>2342</v>
      </c>
    </row>
    <row r="1257" spans="3:3">
      <c r="C1257" s="64" t="s">
        <v>2347</v>
      </c>
    </row>
    <row r="1258" spans="3:3">
      <c r="C1258" s="64" t="s">
        <v>2078</v>
      </c>
    </row>
    <row r="1259" spans="3:3">
      <c r="C1259" s="64" t="s">
        <v>131</v>
      </c>
    </row>
    <row r="1261" spans="3:3">
      <c r="C1261" s="64" t="s">
        <v>154</v>
      </c>
    </row>
    <row r="1262" spans="3:3">
      <c r="C1262" s="64" t="s">
        <v>2078</v>
      </c>
    </row>
    <row r="1263" spans="3:3">
      <c r="C1263" s="64" t="s">
        <v>2345</v>
      </c>
    </row>
    <row r="1264" spans="3:3">
      <c r="C1264" s="64" t="s">
        <v>2343</v>
      </c>
    </row>
    <row r="1265" spans="3:3">
      <c r="C1265" s="64" t="s">
        <v>131</v>
      </c>
    </row>
    <row r="1267" spans="3:3">
      <c r="C1267" s="64" t="s">
        <v>1571</v>
      </c>
    </row>
    <row r="1268" spans="3:3">
      <c r="C1268" s="64" t="s">
        <v>2078</v>
      </c>
    </row>
    <row r="1269" spans="3:3">
      <c r="C1269" s="64" t="s">
        <v>131</v>
      </c>
    </row>
    <row r="1272" spans="3:3">
      <c r="C1272" s="64" t="s">
        <v>154</v>
      </c>
    </row>
    <row r="1273" spans="3:3">
      <c r="C1273" s="64" t="s">
        <v>2078</v>
      </c>
    </row>
    <row r="1274" spans="3:3">
      <c r="C1274" s="64" t="s">
        <v>2340</v>
      </c>
    </row>
    <row r="1275" spans="3:3">
      <c r="C1275" s="64" t="s">
        <v>2342</v>
      </c>
    </row>
    <row r="1276" spans="3:3">
      <c r="C1276" s="64" t="s">
        <v>2343</v>
      </c>
    </row>
    <row r="1277" spans="3:3">
      <c r="C1277" s="64" t="s">
        <v>2344</v>
      </c>
    </row>
    <row r="1278" spans="3:3">
      <c r="C1278" s="64" t="s">
        <v>2345</v>
      </c>
    </row>
    <row r="1279" spans="3:3">
      <c r="C1279" s="64" t="s">
        <v>2346</v>
      </c>
    </row>
    <row r="1280" spans="3:3">
      <c r="C1280" s="64" t="s">
        <v>2347</v>
      </c>
    </row>
    <row r="1281" spans="3:3">
      <c r="C1281" s="64" t="s">
        <v>131</v>
      </c>
    </row>
    <row r="1283" spans="3:3">
      <c r="C1283" s="64" t="s">
        <v>31</v>
      </c>
    </row>
    <row r="1284" spans="3:3">
      <c r="C1284" s="64" t="s">
        <v>2350</v>
      </c>
    </row>
    <row r="1285" spans="3:3">
      <c r="C1285" s="64" t="s">
        <v>1053</v>
      </c>
    </row>
    <row r="1286" spans="3:3">
      <c r="C1286" s="64" t="s">
        <v>1029</v>
      </c>
    </row>
    <row r="1287" spans="3:3">
      <c r="C1287" s="64" t="s">
        <v>2354</v>
      </c>
    </row>
    <row r="1288" spans="3:3">
      <c r="C1288" s="64" t="s">
        <v>2356</v>
      </c>
    </row>
    <row r="1289" spans="3:3">
      <c r="C1289" s="64" t="s">
        <v>2358</v>
      </c>
    </row>
    <row r="1290" spans="3:3">
      <c r="C1290" s="64" t="s">
        <v>2360</v>
      </c>
    </row>
    <row r="1291" spans="3:3">
      <c r="C1291" s="64" t="s">
        <v>2362</v>
      </c>
    </row>
    <row r="1292" spans="3:3">
      <c r="C1292" s="64" t="s">
        <v>2364</v>
      </c>
    </row>
    <row r="1293" spans="3:3">
      <c r="C1293" s="64" t="s">
        <v>2366</v>
      </c>
    </row>
    <row r="1294" spans="3:3">
      <c r="C1294" s="64" t="s">
        <v>1529</v>
      </c>
    </row>
    <row r="1295" spans="3:3">
      <c r="C1295" s="64" t="s">
        <v>1418</v>
      </c>
    </row>
    <row r="1296" spans="3:3">
      <c r="C1296" s="64" t="s">
        <v>1473</v>
      </c>
    </row>
    <row r="1297" spans="3:3">
      <c r="C1297" s="64" t="s">
        <v>1311</v>
      </c>
    </row>
    <row r="1298" spans="3:3">
      <c r="C1298" s="64" t="s">
        <v>1187</v>
      </c>
    </row>
    <row r="1299" spans="3:3">
      <c r="C1299" s="64" t="s">
        <v>2373</v>
      </c>
    </row>
    <row r="1300" spans="3:3">
      <c r="C1300" s="64" t="s">
        <v>2375</v>
      </c>
    </row>
    <row r="1301" spans="3:3">
      <c r="C1301" s="64" t="s">
        <v>2377</v>
      </c>
    </row>
    <row r="1302" spans="3:3">
      <c r="C1302" s="64" t="s">
        <v>2379</v>
      </c>
    </row>
    <row r="1303" spans="3:3">
      <c r="C1303" s="64" t="s">
        <v>1195</v>
      </c>
    </row>
    <row r="1304" spans="3:3">
      <c r="C1304" s="64" t="s">
        <v>2382</v>
      </c>
    </row>
    <row r="1305" spans="3:3">
      <c r="C1305" s="64" t="s">
        <v>2384</v>
      </c>
    </row>
    <row r="1306" spans="3:3">
      <c r="C1306" s="64" t="s">
        <v>2386</v>
      </c>
    </row>
    <row r="1307" spans="3:3">
      <c r="C1307" s="64" t="s">
        <v>2388</v>
      </c>
    </row>
    <row r="1308" spans="3:3">
      <c r="C1308" s="64" t="s">
        <v>2390</v>
      </c>
    </row>
    <row r="1309" spans="3:3">
      <c r="C1309" s="64" t="s">
        <v>2392</v>
      </c>
    </row>
    <row r="1310" spans="3:3">
      <c r="C1310" s="64" t="s">
        <v>1243</v>
      </c>
    </row>
    <row r="1311" spans="3:3">
      <c r="C1311" s="64" t="s">
        <v>1232</v>
      </c>
    </row>
    <row r="1312" spans="3:3">
      <c r="C1312" s="64" t="s">
        <v>2396</v>
      </c>
    </row>
    <row r="1313" spans="3:3">
      <c r="C1313" s="64" t="s">
        <v>2398</v>
      </c>
    </row>
    <row r="1314" spans="3:3">
      <c r="C1314" s="64" t="s">
        <v>2400</v>
      </c>
    </row>
    <row r="1315" spans="3:3">
      <c r="C1315" s="64" t="s">
        <v>131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9" customWidth="1"/>
    <col min="2" max="2" width="48.75" style="69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120" t="s">
        <v>3100</v>
      </c>
      <c r="B1" s="121" t="s">
        <v>3101</v>
      </c>
      <c r="C1" s="121" t="s">
        <v>3102</v>
      </c>
      <c r="D1" s="122" t="s">
        <v>3103</v>
      </c>
    </row>
    <row r="2" spans="1:4" ht="15.75" hidden="1" outlineLevel="1">
      <c r="A2" s="46" t="s">
        <v>2825</v>
      </c>
      <c r="B2" s="47" t="s">
        <v>0</v>
      </c>
      <c r="C2" s="46">
        <v>5.0999999999999996</v>
      </c>
      <c r="D2" s="124"/>
    </row>
    <row r="3" spans="1:4" ht="15.75" hidden="1" outlineLevel="1">
      <c r="A3" s="46" t="s">
        <v>2825</v>
      </c>
      <c r="B3" s="47" t="s">
        <v>1</v>
      </c>
      <c r="C3" s="46">
        <v>5.2</v>
      </c>
      <c r="D3" s="124"/>
    </row>
    <row r="4" spans="1:4" ht="15.75" hidden="1" outlineLevel="1">
      <c r="A4" s="46" t="s">
        <v>2825</v>
      </c>
      <c r="B4" s="47" t="s">
        <v>2191</v>
      </c>
      <c r="C4" s="46">
        <v>5.4</v>
      </c>
      <c r="D4" s="124"/>
    </row>
    <row r="5" spans="1:4" ht="15.75" hidden="1" outlineLevel="1">
      <c r="A5" s="46" t="s">
        <v>2825</v>
      </c>
      <c r="B5" s="47" t="s">
        <v>2192</v>
      </c>
      <c r="C5" s="46">
        <v>5.7</v>
      </c>
      <c r="D5" s="124"/>
    </row>
    <row r="6" spans="1:4" ht="15.75" hidden="1" outlineLevel="1">
      <c r="A6" s="46" t="s">
        <v>2825</v>
      </c>
      <c r="B6" s="47" t="s">
        <v>2193</v>
      </c>
      <c r="C6" s="46">
        <v>5.1100000000000003</v>
      </c>
      <c r="D6" s="124"/>
    </row>
    <row r="7" spans="1:4" ht="15.75" hidden="1" outlineLevel="1">
      <c r="A7" s="46" t="s">
        <v>2825</v>
      </c>
      <c r="B7" s="47" t="s">
        <v>5</v>
      </c>
      <c r="C7" s="46">
        <v>5.26</v>
      </c>
      <c r="D7" s="124"/>
    </row>
    <row r="8" spans="1:4" ht="15.75" hidden="1" outlineLevel="1">
      <c r="A8" s="46" t="s">
        <v>2825</v>
      </c>
      <c r="B8" s="47" t="s">
        <v>6</v>
      </c>
      <c r="C8" s="46">
        <v>5.27</v>
      </c>
      <c r="D8" s="124"/>
    </row>
    <row r="9" spans="1:4" ht="15.75" hidden="1" outlineLevel="1">
      <c r="A9" s="46" t="s">
        <v>2825</v>
      </c>
      <c r="B9" s="47" t="s">
        <v>140</v>
      </c>
      <c r="C9" s="46">
        <v>5.36</v>
      </c>
      <c r="D9" s="124"/>
    </row>
    <row r="10" spans="1:4" ht="15.75" hidden="1" outlineLevel="1">
      <c r="A10" s="46" t="s">
        <v>2825</v>
      </c>
      <c r="B10" s="47" t="s">
        <v>2195</v>
      </c>
      <c r="C10" s="48">
        <v>5.5</v>
      </c>
      <c r="D10" s="124"/>
    </row>
    <row r="11" spans="1:4" ht="15.75" hidden="1" outlineLevel="1">
      <c r="A11" s="46" t="s">
        <v>2825</v>
      </c>
      <c r="B11" s="47" t="s">
        <v>10</v>
      </c>
      <c r="C11" s="46">
        <v>5.51</v>
      </c>
      <c r="D11" s="124"/>
    </row>
    <row r="12" spans="1:4" ht="15.75" hidden="1" outlineLevel="1">
      <c r="A12" s="46" t="s">
        <v>2825</v>
      </c>
      <c r="B12" s="47" t="s">
        <v>11</v>
      </c>
      <c r="C12" s="46">
        <v>5.53</v>
      </c>
      <c r="D12" s="124"/>
    </row>
    <row r="13" spans="1:4" ht="15.75" hidden="1" outlineLevel="1">
      <c r="A13" s="46" t="s">
        <v>2825</v>
      </c>
      <c r="B13" s="47" t="s">
        <v>2196</v>
      </c>
      <c r="C13" s="46">
        <v>5.59</v>
      </c>
      <c r="D13" s="124"/>
    </row>
    <row r="14" spans="1:4" ht="15.75" hidden="1" outlineLevel="1">
      <c r="A14" s="46" t="s">
        <v>2825</v>
      </c>
      <c r="B14" s="47" t="s">
        <v>18</v>
      </c>
      <c r="C14" s="46">
        <v>5.54</v>
      </c>
      <c r="D14" s="124"/>
    </row>
    <row r="15" spans="1:4" ht="15.75" hidden="1" outlineLevel="1">
      <c r="A15" s="46" t="s">
        <v>2825</v>
      </c>
      <c r="B15" s="47" t="s">
        <v>14</v>
      </c>
      <c r="C15" s="48">
        <v>5.7</v>
      </c>
      <c r="D15" s="123" t="s">
        <v>3104</v>
      </c>
    </row>
    <row r="16" spans="1:4" ht="15.75" hidden="1" outlineLevel="1">
      <c r="A16" s="46" t="s">
        <v>2825</v>
      </c>
      <c r="B16" s="47" t="s">
        <v>20</v>
      </c>
      <c r="C16" s="46">
        <v>5.63</v>
      </c>
      <c r="D16" s="124"/>
    </row>
    <row r="17" spans="1:4" ht="15.75" hidden="1" outlineLevel="1">
      <c r="A17" s="46" t="s">
        <v>2825</v>
      </c>
      <c r="B17" s="47" t="s">
        <v>24</v>
      </c>
      <c r="C17" s="46">
        <v>5.47</v>
      </c>
      <c r="D17" s="124"/>
    </row>
    <row r="18" spans="1:4" ht="15.75" hidden="1" outlineLevel="1">
      <c r="A18" s="46" t="s">
        <v>2825</v>
      </c>
      <c r="B18" s="47" t="s">
        <v>25</v>
      </c>
      <c r="C18" s="46">
        <v>5.48</v>
      </c>
      <c r="D18" s="124"/>
    </row>
    <row r="19" spans="1:4" ht="15.75">
      <c r="A19" s="52" t="s">
        <v>2825</v>
      </c>
      <c r="B19" s="47"/>
      <c r="C19" s="46"/>
      <c r="D19" s="124"/>
    </row>
    <row r="20" spans="1:4" ht="15.75" hidden="1" outlineLevel="1">
      <c r="A20" s="46" t="s">
        <v>2835</v>
      </c>
      <c r="B20" s="47" t="s">
        <v>0</v>
      </c>
      <c r="C20" s="46">
        <v>5.0999999999999996</v>
      </c>
      <c r="D20" s="124"/>
    </row>
    <row r="21" spans="1:4" ht="15.75" hidden="1" outlineLevel="1">
      <c r="A21" s="46" t="s">
        <v>2835</v>
      </c>
      <c r="B21" s="47" t="s">
        <v>1</v>
      </c>
      <c r="C21" s="46">
        <v>5.2</v>
      </c>
      <c r="D21" s="124"/>
    </row>
    <row r="22" spans="1:4" ht="15.75" hidden="1" outlineLevel="1">
      <c r="A22" s="46" t="s">
        <v>2835</v>
      </c>
      <c r="B22" s="47" t="s">
        <v>2</v>
      </c>
      <c r="C22" s="46">
        <v>5.3</v>
      </c>
      <c r="D22" s="124"/>
    </row>
    <row r="23" spans="1:4" ht="15.75" hidden="1" outlineLevel="1">
      <c r="A23" s="46" t="s">
        <v>2835</v>
      </c>
      <c r="B23" s="47" t="s">
        <v>1491</v>
      </c>
      <c r="C23" s="46">
        <v>5.14</v>
      </c>
      <c r="D23" s="124"/>
    </row>
    <row r="24" spans="1:4" ht="15.75" hidden="1" outlineLevel="1">
      <c r="A24" s="46" t="s">
        <v>2835</v>
      </c>
      <c r="B24" s="47" t="s">
        <v>4</v>
      </c>
      <c r="C24" s="46">
        <v>5.19</v>
      </c>
      <c r="D24" s="124"/>
    </row>
    <row r="25" spans="1:4" ht="15.75" hidden="1" outlineLevel="1">
      <c r="A25" s="46" t="s">
        <v>2835</v>
      </c>
      <c r="B25" s="47" t="s">
        <v>5</v>
      </c>
      <c r="C25" s="46">
        <v>5.26</v>
      </c>
      <c r="D25" s="124"/>
    </row>
    <row r="26" spans="1:4" ht="15.75" hidden="1" outlineLevel="1">
      <c r="A26" s="46" t="s">
        <v>2835</v>
      </c>
      <c r="B26" s="47" t="s">
        <v>6</v>
      </c>
      <c r="C26" s="46">
        <v>5.27</v>
      </c>
      <c r="D26" s="124"/>
    </row>
    <row r="27" spans="1:4" ht="15.75" hidden="1" outlineLevel="1">
      <c r="A27" s="46" t="s">
        <v>2835</v>
      </c>
      <c r="B27" s="47" t="s">
        <v>7</v>
      </c>
      <c r="C27" s="46">
        <v>5.28</v>
      </c>
      <c r="D27" s="124"/>
    </row>
    <row r="28" spans="1:4" ht="15.75" hidden="1" outlineLevel="1">
      <c r="A28" s="46" t="s">
        <v>2835</v>
      </c>
      <c r="B28" s="47" t="s">
        <v>8</v>
      </c>
      <c r="C28" s="48">
        <v>5.3</v>
      </c>
      <c r="D28" s="124"/>
    </row>
    <row r="29" spans="1:4" ht="15.75" hidden="1" outlineLevel="1">
      <c r="A29" s="46" t="s">
        <v>2835</v>
      </c>
      <c r="B29" s="47" t="s">
        <v>9</v>
      </c>
      <c r="C29" s="46">
        <v>5.49</v>
      </c>
      <c r="D29" s="124"/>
    </row>
    <row r="30" spans="1:4" ht="15.75" hidden="1" outlineLevel="1">
      <c r="A30" s="46" t="s">
        <v>2835</v>
      </c>
      <c r="B30" s="47" t="s">
        <v>10</v>
      </c>
      <c r="C30" s="46">
        <v>5.51</v>
      </c>
      <c r="D30" s="124"/>
    </row>
    <row r="31" spans="1:4" ht="15.75" hidden="1" outlineLevel="1">
      <c r="A31" s="46" t="s">
        <v>2835</v>
      </c>
      <c r="B31" s="47" t="s">
        <v>11</v>
      </c>
      <c r="C31" s="46">
        <v>5.53</v>
      </c>
      <c r="D31" s="124"/>
    </row>
    <row r="32" spans="1:4" ht="15.75" hidden="1" outlineLevel="1">
      <c r="A32" s="46" t="s">
        <v>2835</v>
      </c>
      <c r="B32" s="47" t="s">
        <v>12</v>
      </c>
      <c r="C32" s="46">
        <v>5.69</v>
      </c>
      <c r="D32" s="124"/>
    </row>
    <row r="33" spans="1:4" ht="15.75" hidden="1" outlineLevel="1">
      <c r="A33" s="46" t="s">
        <v>2835</v>
      </c>
      <c r="B33" s="47" t="s">
        <v>13</v>
      </c>
      <c r="C33" s="46">
        <v>5.75</v>
      </c>
      <c r="D33" s="124"/>
    </row>
    <row r="34" spans="1:4" ht="15.75" hidden="1" outlineLevel="1">
      <c r="A34" s="46" t="s">
        <v>2835</v>
      </c>
      <c r="B34" s="47" t="s">
        <v>14</v>
      </c>
      <c r="C34" s="48">
        <v>5.7</v>
      </c>
      <c r="D34" s="124"/>
    </row>
    <row r="35" spans="1:4" ht="15.75" hidden="1" outlineLevel="1">
      <c r="A35" s="46" t="s">
        <v>2835</v>
      </c>
      <c r="B35" s="47" t="s">
        <v>15</v>
      </c>
      <c r="C35" s="46">
        <v>5.74</v>
      </c>
      <c r="D35" s="124"/>
    </row>
    <row r="36" spans="1:4" ht="15.75" hidden="1" outlineLevel="1">
      <c r="A36" s="46" t="s">
        <v>2835</v>
      </c>
      <c r="B36" s="47" t="s">
        <v>16</v>
      </c>
      <c r="C36" s="46">
        <v>5.62</v>
      </c>
      <c r="D36" s="124"/>
    </row>
    <row r="37" spans="1:4" ht="15.75" hidden="1" outlineLevel="1">
      <c r="A37" s="46" t="s">
        <v>2835</v>
      </c>
      <c r="B37" s="47" t="s">
        <v>17</v>
      </c>
      <c r="C37" s="46">
        <v>5.58</v>
      </c>
      <c r="D37" s="124"/>
    </row>
    <row r="38" spans="1:4" ht="15.75" hidden="1" outlineLevel="1">
      <c r="A38" s="46" t="s">
        <v>2835</v>
      </c>
      <c r="B38" s="47" t="s">
        <v>18</v>
      </c>
      <c r="C38" s="46">
        <v>5.54</v>
      </c>
      <c r="D38" s="124"/>
    </row>
    <row r="39" spans="1:4" ht="15.75" hidden="1" outlineLevel="1">
      <c r="A39" s="46" t="s">
        <v>2835</v>
      </c>
      <c r="B39" s="47" t="s">
        <v>19</v>
      </c>
      <c r="C39" s="46">
        <v>5.55</v>
      </c>
      <c r="D39" s="124"/>
    </row>
    <row r="40" spans="1:4" ht="15.75" hidden="1" outlineLevel="1">
      <c r="A40" s="46" t="s">
        <v>2835</v>
      </c>
      <c r="B40" s="47" t="s">
        <v>20</v>
      </c>
      <c r="C40" s="46">
        <v>5.63</v>
      </c>
      <c r="D40" s="124"/>
    </row>
    <row r="41" spans="1:4" ht="15.75" hidden="1" outlineLevel="1">
      <c r="A41" s="46" t="s">
        <v>2835</v>
      </c>
      <c r="B41" s="47" t="s">
        <v>21</v>
      </c>
      <c r="C41" s="46">
        <v>5.65</v>
      </c>
      <c r="D41" s="124"/>
    </row>
    <row r="42" spans="1:4" ht="15.75" hidden="1" outlineLevel="1">
      <c r="A42" s="46" t="s">
        <v>2835</v>
      </c>
      <c r="B42" s="47" t="s">
        <v>22</v>
      </c>
      <c r="C42" s="46">
        <v>5.68</v>
      </c>
      <c r="D42" s="124"/>
    </row>
    <row r="43" spans="1:4" ht="15.75" hidden="1" outlineLevel="1">
      <c r="A43" s="46" t="s">
        <v>2835</v>
      </c>
      <c r="B43" s="47" t="s">
        <v>23</v>
      </c>
      <c r="C43" s="46">
        <v>5.45</v>
      </c>
      <c r="D43" s="124"/>
    </row>
    <row r="44" spans="1:4" ht="15.75" hidden="1" outlineLevel="1">
      <c r="A44" s="46" t="s">
        <v>2835</v>
      </c>
      <c r="B44" s="47" t="s">
        <v>24</v>
      </c>
      <c r="C44" s="46">
        <v>5.47</v>
      </c>
      <c r="D44" s="124"/>
    </row>
    <row r="45" spans="1:4" ht="15.75" hidden="1" outlineLevel="1">
      <c r="A45" s="46" t="s">
        <v>2835</v>
      </c>
      <c r="B45" s="47" t="s">
        <v>25</v>
      </c>
      <c r="C45" s="46">
        <v>5.48</v>
      </c>
      <c r="D45" s="124"/>
    </row>
    <row r="46" spans="1:4" ht="15.75">
      <c r="A46" s="52" t="s">
        <v>2835</v>
      </c>
      <c r="B46" s="47"/>
      <c r="C46" s="46"/>
      <c r="D46" s="124"/>
    </row>
    <row r="47" spans="1:4" ht="15.75" hidden="1" outlineLevel="1">
      <c r="A47" s="46" t="s">
        <v>2840</v>
      </c>
      <c r="B47" s="47" t="s">
        <v>0</v>
      </c>
      <c r="C47" s="46">
        <v>5.0999999999999996</v>
      </c>
      <c r="D47" s="124"/>
    </row>
    <row r="48" spans="1:4" ht="15.75" hidden="1" outlineLevel="1">
      <c r="A48" s="46" t="s">
        <v>2840</v>
      </c>
      <c r="B48" s="47" t="s">
        <v>1</v>
      </c>
      <c r="C48" s="46">
        <v>5.2</v>
      </c>
      <c r="D48" s="124"/>
    </row>
    <row r="49" spans="1:4" ht="15.75" hidden="1" outlineLevel="1">
      <c r="A49" s="46" t="s">
        <v>2840</v>
      </c>
      <c r="B49" s="47" t="s">
        <v>2</v>
      </c>
      <c r="C49" s="46">
        <v>5.3</v>
      </c>
      <c r="D49" s="124"/>
    </row>
    <row r="50" spans="1:4" ht="15.75" hidden="1" outlineLevel="1">
      <c r="A50" s="46" t="s">
        <v>2840</v>
      </c>
      <c r="B50" s="47" t="s">
        <v>136</v>
      </c>
      <c r="C50" s="46">
        <v>5.6</v>
      </c>
      <c r="D50" s="124"/>
    </row>
    <row r="51" spans="1:4" ht="15.75" hidden="1" outlineLevel="1">
      <c r="A51" s="46" t="s">
        <v>2840</v>
      </c>
      <c r="B51" s="47" t="s">
        <v>3105</v>
      </c>
      <c r="C51" s="48">
        <v>5.0999999999999996</v>
      </c>
      <c r="D51" s="124"/>
    </row>
    <row r="52" spans="1:4" ht="15.75" hidden="1" outlineLevel="1">
      <c r="A52" s="46" t="s">
        <v>2840</v>
      </c>
      <c r="B52" s="47" t="s">
        <v>1491</v>
      </c>
      <c r="C52" s="46">
        <v>5.14</v>
      </c>
      <c r="D52" s="124"/>
    </row>
    <row r="53" spans="1:4" ht="15.75" hidden="1" outlineLevel="1">
      <c r="A53" s="46" t="s">
        <v>2840</v>
      </c>
      <c r="B53" s="47" t="s">
        <v>4</v>
      </c>
      <c r="C53" s="46">
        <v>5.19</v>
      </c>
      <c r="D53" s="124"/>
    </row>
    <row r="54" spans="1:4" ht="15.75" hidden="1" outlineLevel="1">
      <c r="A54" s="46" t="s">
        <v>2840</v>
      </c>
      <c r="B54" s="47" t="s">
        <v>138</v>
      </c>
      <c r="C54" s="46">
        <v>5.24</v>
      </c>
      <c r="D54" s="124"/>
    </row>
    <row r="55" spans="1:4" ht="15.75" hidden="1" outlineLevel="1">
      <c r="A55" s="46" t="s">
        <v>2840</v>
      </c>
      <c r="B55" s="47" t="s">
        <v>5</v>
      </c>
      <c r="C55" s="46">
        <v>5.26</v>
      </c>
      <c r="D55" s="124"/>
    </row>
    <row r="56" spans="1:4" ht="15.75" hidden="1" outlineLevel="1">
      <c r="A56" s="46" t="s">
        <v>2840</v>
      </c>
      <c r="B56" s="47" t="s">
        <v>6</v>
      </c>
      <c r="C56" s="46">
        <v>5.27</v>
      </c>
      <c r="D56" s="124"/>
    </row>
    <row r="57" spans="1:4" ht="15.75" hidden="1" outlineLevel="1">
      <c r="A57" s="46" t="s">
        <v>2840</v>
      </c>
      <c r="B57" s="47" t="s">
        <v>7</v>
      </c>
      <c r="C57" s="46">
        <v>5.28</v>
      </c>
      <c r="D57" s="124"/>
    </row>
    <row r="58" spans="1:4" ht="15.75" hidden="1" outlineLevel="1">
      <c r="A58" s="46" t="s">
        <v>2840</v>
      </c>
      <c r="B58" s="47" t="s">
        <v>8</v>
      </c>
      <c r="C58" s="48">
        <v>5.3</v>
      </c>
      <c r="D58" s="124"/>
    </row>
    <row r="59" spans="1:4" ht="15.75" hidden="1" outlineLevel="1">
      <c r="A59" s="46" t="s">
        <v>2840</v>
      </c>
      <c r="B59" s="47" t="s">
        <v>139</v>
      </c>
      <c r="C59" s="46">
        <v>5.31</v>
      </c>
      <c r="D59" s="124"/>
    </row>
    <row r="60" spans="1:4" ht="15.75" hidden="1" outlineLevel="1">
      <c r="A60" s="46" t="s">
        <v>2840</v>
      </c>
      <c r="B60" s="47" t="s">
        <v>140</v>
      </c>
      <c r="C60" s="46">
        <v>5.36</v>
      </c>
      <c r="D60" s="124"/>
    </row>
    <row r="61" spans="1:4" ht="15.75" hidden="1" outlineLevel="1">
      <c r="A61" s="46" t="s">
        <v>2840</v>
      </c>
      <c r="B61" s="47" t="s">
        <v>9</v>
      </c>
      <c r="C61" s="46">
        <v>5.49</v>
      </c>
      <c r="D61" s="124"/>
    </row>
    <row r="62" spans="1:4" ht="15.75" hidden="1" outlineLevel="1">
      <c r="A62" s="46" t="s">
        <v>2840</v>
      </c>
      <c r="B62" s="47" t="s">
        <v>10</v>
      </c>
      <c r="C62" s="46">
        <v>5.51</v>
      </c>
      <c r="D62" s="124"/>
    </row>
    <row r="63" spans="1:4" ht="15.75" hidden="1" outlineLevel="1">
      <c r="A63" s="46" t="s">
        <v>2840</v>
      </c>
      <c r="B63" s="47" t="s">
        <v>3106</v>
      </c>
      <c r="C63" s="46">
        <v>5.52</v>
      </c>
      <c r="D63" s="124"/>
    </row>
    <row r="64" spans="1:4" ht="15.75" hidden="1" outlineLevel="1">
      <c r="A64" s="46" t="s">
        <v>2840</v>
      </c>
      <c r="B64" s="47" t="s">
        <v>11</v>
      </c>
      <c r="C64" s="46">
        <v>5.53</v>
      </c>
      <c r="D64" s="124"/>
    </row>
    <row r="65" spans="1:4" ht="15.75" hidden="1" outlineLevel="1">
      <c r="A65" s="46" t="s">
        <v>2840</v>
      </c>
      <c r="B65" s="47" t="s">
        <v>12</v>
      </c>
      <c r="C65" s="46">
        <v>5.69</v>
      </c>
      <c r="D65" s="124"/>
    </row>
    <row r="66" spans="1:4" ht="15.75" hidden="1" outlineLevel="1">
      <c r="A66" s="46" t="s">
        <v>2840</v>
      </c>
      <c r="B66" s="47" t="s">
        <v>142</v>
      </c>
      <c r="C66" s="48">
        <v>5.72</v>
      </c>
      <c r="D66" s="124"/>
    </row>
    <row r="67" spans="1:4" ht="15.75" hidden="1" outlineLevel="1">
      <c r="A67" s="46" t="s">
        <v>2840</v>
      </c>
      <c r="B67" s="47" t="s">
        <v>13</v>
      </c>
      <c r="C67" s="46">
        <v>5.75</v>
      </c>
      <c r="D67" s="124"/>
    </row>
    <row r="68" spans="1:4" ht="15.75" hidden="1" outlineLevel="1">
      <c r="A68" s="46" t="s">
        <v>2840</v>
      </c>
      <c r="B68" s="47" t="s">
        <v>14</v>
      </c>
      <c r="C68" s="48">
        <v>5.7</v>
      </c>
      <c r="D68" s="124"/>
    </row>
    <row r="69" spans="1:4" ht="15.75" hidden="1" outlineLevel="1">
      <c r="A69" s="46" t="s">
        <v>2840</v>
      </c>
      <c r="B69" s="47" t="s">
        <v>15</v>
      </c>
      <c r="C69" s="46">
        <v>5.74</v>
      </c>
      <c r="D69" s="124"/>
    </row>
    <row r="70" spans="1:4" ht="15.75" hidden="1" outlineLevel="1">
      <c r="A70" s="46" t="s">
        <v>2840</v>
      </c>
      <c r="B70" s="47" t="s">
        <v>143</v>
      </c>
      <c r="C70" s="46">
        <v>5.76</v>
      </c>
      <c r="D70" s="124"/>
    </row>
    <row r="71" spans="1:4" ht="15.75" hidden="1" outlineLevel="1">
      <c r="A71" s="46" t="s">
        <v>2840</v>
      </c>
      <c r="B71" s="47" t="s">
        <v>144</v>
      </c>
      <c r="C71" s="46">
        <v>5.89</v>
      </c>
      <c r="D71" s="123" t="s">
        <v>3104</v>
      </c>
    </row>
    <row r="72" spans="1:4" ht="15.75" hidden="1" outlineLevel="1">
      <c r="A72" s="46" t="s">
        <v>2840</v>
      </c>
      <c r="B72" s="47" t="s">
        <v>17</v>
      </c>
      <c r="C72" s="46">
        <v>5.58</v>
      </c>
      <c r="D72" s="124"/>
    </row>
    <row r="73" spans="1:4" ht="15.75" hidden="1" outlineLevel="1">
      <c r="A73" s="46" t="s">
        <v>2840</v>
      </c>
      <c r="B73" s="47" t="s">
        <v>16</v>
      </c>
      <c r="C73" s="46">
        <v>5.62</v>
      </c>
      <c r="D73" s="124"/>
    </row>
    <row r="74" spans="1:4" ht="15.75" hidden="1" outlineLevel="1">
      <c r="A74" s="46" t="s">
        <v>2840</v>
      </c>
      <c r="B74" s="47" t="s">
        <v>18</v>
      </c>
      <c r="C74" s="46">
        <v>5.54</v>
      </c>
      <c r="D74" s="124"/>
    </row>
    <row r="75" spans="1:4" ht="15.75" hidden="1" outlineLevel="1">
      <c r="A75" s="46" t="s">
        <v>2840</v>
      </c>
      <c r="B75" s="47" t="s">
        <v>19</v>
      </c>
      <c r="C75" s="46">
        <v>5.55</v>
      </c>
      <c r="D75" s="124"/>
    </row>
    <row r="76" spans="1:4" ht="15.75" hidden="1" outlineLevel="1">
      <c r="A76" s="46" t="s">
        <v>2840</v>
      </c>
      <c r="B76" s="47" t="s">
        <v>20</v>
      </c>
      <c r="C76" s="46">
        <v>5.63</v>
      </c>
      <c r="D76" s="124"/>
    </row>
    <row r="77" spans="1:4" ht="15.75" hidden="1" outlineLevel="1">
      <c r="A77" s="46" t="s">
        <v>2840</v>
      </c>
      <c r="B77" s="47" t="s">
        <v>21</v>
      </c>
      <c r="C77" s="46">
        <v>5.65</v>
      </c>
      <c r="D77" s="124"/>
    </row>
    <row r="78" spans="1:4" ht="15.75" hidden="1" outlineLevel="1">
      <c r="A78" s="46" t="s">
        <v>2840</v>
      </c>
      <c r="B78" s="47" t="s">
        <v>145</v>
      </c>
      <c r="C78" s="46">
        <v>5.66</v>
      </c>
      <c r="D78" s="124"/>
    </row>
    <row r="79" spans="1:4" ht="15.75" hidden="1" outlineLevel="1">
      <c r="A79" s="46" t="s">
        <v>2840</v>
      </c>
      <c r="B79" s="47" t="s">
        <v>22</v>
      </c>
      <c r="C79" s="46">
        <v>5.68</v>
      </c>
      <c r="D79" s="124"/>
    </row>
    <row r="80" spans="1:4" ht="15.75" hidden="1" outlineLevel="1">
      <c r="A80" s="46" t="s">
        <v>2840</v>
      </c>
      <c r="B80" s="47" t="s">
        <v>23</v>
      </c>
      <c r="C80" s="46">
        <v>5.45</v>
      </c>
      <c r="D80" s="124"/>
    </row>
    <row r="81" spans="1:4" ht="15.75" hidden="1" outlineLevel="1">
      <c r="A81" s="46" t="s">
        <v>2840</v>
      </c>
      <c r="B81" s="47" t="s">
        <v>24</v>
      </c>
      <c r="C81" s="46">
        <v>5.47</v>
      </c>
      <c r="D81" s="124"/>
    </row>
    <row r="82" spans="1:4" ht="15.75" hidden="1" outlineLevel="1">
      <c r="A82" s="46" t="s">
        <v>2840</v>
      </c>
      <c r="B82" s="47" t="s">
        <v>25</v>
      </c>
      <c r="C82" s="46">
        <v>5.48</v>
      </c>
      <c r="D82" s="124"/>
    </row>
    <row r="83" spans="1:4" ht="15.75">
      <c r="A83" s="52" t="s">
        <v>2840</v>
      </c>
      <c r="B83" s="47"/>
      <c r="C83" s="46"/>
      <c r="D83" s="124"/>
    </row>
    <row r="84" spans="1:4" ht="15.75" hidden="1" outlineLevel="1">
      <c r="A84" s="46" t="s">
        <v>2841</v>
      </c>
      <c r="B84" s="47" t="s">
        <v>0</v>
      </c>
      <c r="C84" s="46">
        <v>5.0999999999999996</v>
      </c>
      <c r="D84" s="124"/>
    </row>
    <row r="85" spans="1:4" ht="15.75" hidden="1" outlineLevel="1">
      <c r="A85" s="46" t="s">
        <v>2841</v>
      </c>
      <c r="B85" s="47" t="s">
        <v>1</v>
      </c>
      <c r="C85" s="46">
        <v>5.2</v>
      </c>
      <c r="D85" s="124"/>
    </row>
    <row r="86" spans="1:4" ht="15.75" hidden="1" outlineLevel="1">
      <c r="A86" s="46" t="s">
        <v>2841</v>
      </c>
      <c r="B86" s="47" t="s">
        <v>2</v>
      </c>
      <c r="C86" s="46">
        <v>5.3</v>
      </c>
      <c r="D86" s="124"/>
    </row>
    <row r="87" spans="1:4" ht="15.75" hidden="1" outlineLevel="1">
      <c r="A87" s="46" t="s">
        <v>2841</v>
      </c>
      <c r="B87" s="47" t="s">
        <v>136</v>
      </c>
      <c r="C87" s="46">
        <v>5.6</v>
      </c>
      <c r="D87" s="124"/>
    </row>
    <row r="88" spans="1:4" ht="15.75" hidden="1" outlineLevel="1">
      <c r="A88" s="46" t="s">
        <v>2841</v>
      </c>
      <c r="B88" s="47" t="s">
        <v>3105</v>
      </c>
      <c r="C88" s="48">
        <v>5.0999999999999996</v>
      </c>
      <c r="D88" s="124"/>
    </row>
    <row r="89" spans="1:4" ht="15.75" hidden="1" outlineLevel="1">
      <c r="A89" s="46" t="s">
        <v>2841</v>
      </c>
      <c r="B89" s="47" t="s">
        <v>1491</v>
      </c>
      <c r="C89" s="46">
        <v>5.14</v>
      </c>
      <c r="D89" s="124"/>
    </row>
    <row r="90" spans="1:4" ht="15.75" hidden="1" outlineLevel="1">
      <c r="A90" s="46" t="s">
        <v>2841</v>
      </c>
      <c r="B90" s="47" t="s">
        <v>4</v>
      </c>
      <c r="C90" s="46">
        <v>5.19</v>
      </c>
      <c r="D90" s="124"/>
    </row>
    <row r="91" spans="1:4" ht="15.75" hidden="1" outlineLevel="1">
      <c r="A91" s="46" t="s">
        <v>2841</v>
      </c>
      <c r="B91" s="47" t="s">
        <v>138</v>
      </c>
      <c r="C91" s="46">
        <v>5.24</v>
      </c>
      <c r="D91" s="124"/>
    </row>
    <row r="92" spans="1:4" ht="15.75" hidden="1" outlineLevel="1">
      <c r="A92" s="46" t="s">
        <v>2841</v>
      </c>
      <c r="B92" s="47" t="s">
        <v>5</v>
      </c>
      <c r="C92" s="46">
        <v>5.26</v>
      </c>
      <c r="D92" s="124"/>
    </row>
    <row r="93" spans="1:4" ht="15.75" hidden="1" outlineLevel="1">
      <c r="A93" s="46" t="s">
        <v>2841</v>
      </c>
      <c r="B93" s="47" t="s">
        <v>6</v>
      </c>
      <c r="C93" s="46">
        <v>5.27</v>
      </c>
      <c r="D93" s="124"/>
    </row>
    <row r="94" spans="1:4" ht="15.75" hidden="1" outlineLevel="1">
      <c r="A94" s="46" t="s">
        <v>2841</v>
      </c>
      <c r="B94" s="47" t="s">
        <v>7</v>
      </c>
      <c r="C94" s="46">
        <v>5.28</v>
      </c>
      <c r="D94" s="124"/>
    </row>
    <row r="95" spans="1:4" ht="15.75" hidden="1" outlineLevel="1">
      <c r="A95" s="46" t="s">
        <v>2841</v>
      </c>
      <c r="B95" s="47" t="s">
        <v>146</v>
      </c>
      <c r="C95" s="46">
        <v>5.29</v>
      </c>
      <c r="D95" s="124"/>
    </row>
    <row r="96" spans="1:4" ht="15.75" hidden="1" outlineLevel="1">
      <c r="A96" s="46" t="s">
        <v>2841</v>
      </c>
      <c r="B96" s="47" t="s">
        <v>8</v>
      </c>
      <c r="C96" s="48">
        <v>5.3</v>
      </c>
      <c r="D96" s="124"/>
    </row>
    <row r="97" spans="1:4" ht="15.75" hidden="1" outlineLevel="1">
      <c r="A97" s="46" t="s">
        <v>2841</v>
      </c>
      <c r="B97" s="47" t="s">
        <v>139</v>
      </c>
      <c r="C97" s="46">
        <v>5.31</v>
      </c>
      <c r="D97" s="124"/>
    </row>
    <row r="98" spans="1:4" ht="15.75" hidden="1" outlineLevel="1">
      <c r="A98" s="46" t="s">
        <v>2841</v>
      </c>
      <c r="B98" s="47" t="s">
        <v>140</v>
      </c>
      <c r="C98" s="46">
        <v>5.36</v>
      </c>
      <c r="D98" s="124"/>
    </row>
    <row r="99" spans="1:4" ht="15.75" hidden="1" outlineLevel="1">
      <c r="A99" s="46" t="s">
        <v>2841</v>
      </c>
      <c r="B99" s="47" t="s">
        <v>9</v>
      </c>
      <c r="C99" s="46">
        <v>5.49</v>
      </c>
      <c r="D99" s="124"/>
    </row>
    <row r="100" spans="1:4" ht="15.75" hidden="1" outlineLevel="1">
      <c r="A100" s="46" t="s">
        <v>2841</v>
      </c>
      <c r="B100" s="47" t="s">
        <v>10</v>
      </c>
      <c r="C100" s="46">
        <v>5.51</v>
      </c>
      <c r="D100" s="124"/>
    </row>
    <row r="101" spans="1:4" ht="15.75" hidden="1" outlineLevel="1">
      <c r="A101" s="46" t="s">
        <v>2841</v>
      </c>
      <c r="B101" s="47" t="s">
        <v>3106</v>
      </c>
      <c r="C101" s="46">
        <v>5.52</v>
      </c>
      <c r="D101" s="124"/>
    </row>
    <row r="102" spans="1:4" ht="15.75" hidden="1" outlineLevel="1">
      <c r="A102" s="46" t="s">
        <v>2841</v>
      </c>
      <c r="B102" s="47" t="s">
        <v>11</v>
      </c>
      <c r="C102" s="46">
        <v>5.53</v>
      </c>
      <c r="D102" s="124"/>
    </row>
    <row r="103" spans="1:4" ht="15.75" hidden="1" outlineLevel="1">
      <c r="A103" s="46" t="s">
        <v>2841</v>
      </c>
      <c r="B103" s="47" t="s">
        <v>12</v>
      </c>
      <c r="C103" s="46">
        <v>5.69</v>
      </c>
      <c r="D103" s="124"/>
    </row>
    <row r="104" spans="1:4" ht="15.75" hidden="1" outlineLevel="1">
      <c r="A104" s="46" t="s">
        <v>2841</v>
      </c>
      <c r="B104" s="47" t="s">
        <v>13</v>
      </c>
      <c r="C104" s="46">
        <v>5.75</v>
      </c>
      <c r="D104" s="124"/>
    </row>
    <row r="105" spans="1:4" ht="15.75" hidden="1" outlineLevel="1">
      <c r="A105" s="46" t="s">
        <v>2841</v>
      </c>
      <c r="B105" s="47" t="s">
        <v>14</v>
      </c>
      <c r="C105" s="48">
        <v>5.7</v>
      </c>
      <c r="D105" s="124"/>
    </row>
    <row r="106" spans="1:4" ht="15.75" hidden="1" outlineLevel="1">
      <c r="A106" s="46" t="s">
        <v>2841</v>
      </c>
      <c r="B106" s="47" t="s">
        <v>15</v>
      </c>
      <c r="C106" s="46">
        <v>5.74</v>
      </c>
      <c r="D106" s="124"/>
    </row>
    <row r="107" spans="1:4" ht="15.75" hidden="1" outlineLevel="1">
      <c r="A107" s="46" t="s">
        <v>2841</v>
      </c>
      <c r="B107" s="47" t="s">
        <v>143</v>
      </c>
      <c r="C107" s="46">
        <v>5.76</v>
      </c>
      <c r="D107" s="124"/>
    </row>
    <row r="108" spans="1:4" ht="15.75" hidden="1" outlineLevel="1">
      <c r="A108" s="46" t="s">
        <v>2841</v>
      </c>
      <c r="B108" s="47" t="s">
        <v>144</v>
      </c>
      <c r="C108" s="46">
        <v>5.89</v>
      </c>
      <c r="D108" s="123" t="s">
        <v>3104</v>
      </c>
    </row>
    <row r="109" spans="1:4" ht="15.75" hidden="1" outlineLevel="1">
      <c r="A109" s="46" t="s">
        <v>2841</v>
      </c>
      <c r="B109" s="47" t="s">
        <v>17</v>
      </c>
      <c r="C109" s="46">
        <v>5.58</v>
      </c>
      <c r="D109" s="124"/>
    </row>
    <row r="110" spans="1:4" ht="15.75" hidden="1" outlineLevel="1">
      <c r="A110" s="46" t="s">
        <v>2841</v>
      </c>
      <c r="B110" s="47" t="s">
        <v>16</v>
      </c>
      <c r="C110" s="46">
        <v>5.62</v>
      </c>
      <c r="D110" s="124"/>
    </row>
    <row r="111" spans="1:4" ht="15.75" hidden="1" outlineLevel="1">
      <c r="A111" s="46" t="s">
        <v>2841</v>
      </c>
      <c r="B111" s="47" t="s">
        <v>18</v>
      </c>
      <c r="C111" s="46">
        <v>5.54</v>
      </c>
      <c r="D111" s="124"/>
    </row>
    <row r="112" spans="1:4" ht="15.75" hidden="1" outlineLevel="1">
      <c r="A112" s="46" t="s">
        <v>2841</v>
      </c>
      <c r="B112" s="47" t="s">
        <v>19</v>
      </c>
      <c r="C112" s="46">
        <v>5.55</v>
      </c>
      <c r="D112" s="124"/>
    </row>
    <row r="113" spans="1:4" ht="15.75" hidden="1" outlineLevel="1">
      <c r="A113" s="46" t="s">
        <v>2841</v>
      </c>
      <c r="B113" s="47" t="s">
        <v>21</v>
      </c>
      <c r="C113" s="46">
        <v>5.65</v>
      </c>
      <c r="D113" s="124"/>
    </row>
    <row r="114" spans="1:4" ht="15.75" hidden="1" outlineLevel="1">
      <c r="A114" s="46" t="s">
        <v>2841</v>
      </c>
      <c r="B114" s="47" t="s">
        <v>145</v>
      </c>
      <c r="C114" s="46">
        <v>5.66</v>
      </c>
      <c r="D114" s="124"/>
    </row>
    <row r="115" spans="1:4" ht="15.75" hidden="1" outlineLevel="1">
      <c r="A115" s="46" t="s">
        <v>2841</v>
      </c>
      <c r="B115" s="47" t="s">
        <v>22</v>
      </c>
      <c r="C115" s="46">
        <v>5.68</v>
      </c>
      <c r="D115" s="124"/>
    </row>
    <row r="116" spans="1:4" ht="15.75" hidden="1" outlineLevel="1">
      <c r="A116" s="46" t="s">
        <v>2841</v>
      </c>
      <c r="B116" s="47" t="s">
        <v>23</v>
      </c>
      <c r="C116" s="46">
        <v>5.45</v>
      </c>
      <c r="D116" s="124"/>
    </row>
    <row r="117" spans="1:4" ht="15.75" hidden="1" outlineLevel="1">
      <c r="A117" s="46" t="s">
        <v>2841</v>
      </c>
      <c r="B117" s="47" t="s">
        <v>24</v>
      </c>
      <c r="C117" s="46">
        <v>5.47</v>
      </c>
      <c r="D117" s="124"/>
    </row>
    <row r="118" spans="1:4" ht="15.75" hidden="1" outlineLevel="1">
      <c r="A118" s="46" t="s">
        <v>2841</v>
      </c>
      <c r="B118" s="47" t="s">
        <v>25</v>
      </c>
      <c r="C118" s="46">
        <v>5.48</v>
      </c>
      <c r="D118" s="124"/>
    </row>
    <row r="119" spans="1:4" ht="15.75">
      <c r="A119" s="52" t="s">
        <v>2841</v>
      </c>
      <c r="B119" s="47"/>
      <c r="C119" s="46"/>
      <c r="D119" s="124"/>
    </row>
    <row r="120" spans="1:4" ht="15.75" hidden="1" outlineLevel="1">
      <c r="A120" s="46" t="s">
        <v>3107</v>
      </c>
      <c r="B120" s="47" t="s">
        <v>0</v>
      </c>
      <c r="C120" s="46">
        <v>5.0999999999999996</v>
      </c>
      <c r="D120" s="124"/>
    </row>
    <row r="121" spans="1:4" ht="15.75" hidden="1" outlineLevel="1">
      <c r="A121" s="46" t="s">
        <v>3107</v>
      </c>
      <c r="B121" s="47" t="s">
        <v>1</v>
      </c>
      <c r="C121" s="46">
        <v>5.2</v>
      </c>
      <c r="D121" s="124"/>
    </row>
    <row r="122" spans="1:4" ht="15.75" hidden="1" outlineLevel="1">
      <c r="A122" s="46" t="s">
        <v>3107</v>
      </c>
      <c r="B122" s="47" t="s">
        <v>2</v>
      </c>
      <c r="C122" s="46">
        <v>5.3</v>
      </c>
      <c r="D122" s="124"/>
    </row>
    <row r="123" spans="1:4" ht="15.75" hidden="1" outlineLevel="1">
      <c r="A123" s="46" t="s">
        <v>3107</v>
      </c>
      <c r="B123" s="47" t="s">
        <v>136</v>
      </c>
      <c r="C123" s="46">
        <v>5.6</v>
      </c>
      <c r="D123" s="124"/>
    </row>
    <row r="124" spans="1:4" ht="15.75" hidden="1" outlineLevel="1">
      <c r="A124" s="46" t="s">
        <v>3107</v>
      </c>
      <c r="B124" s="47" t="s">
        <v>3105</v>
      </c>
      <c r="C124" s="48">
        <v>5.0999999999999996</v>
      </c>
      <c r="D124" s="124"/>
    </row>
    <row r="125" spans="1:4" ht="15.75" hidden="1" outlineLevel="1">
      <c r="A125" s="46" t="s">
        <v>3107</v>
      </c>
      <c r="B125" s="47" t="s">
        <v>1491</v>
      </c>
      <c r="C125" s="46">
        <v>5.14</v>
      </c>
      <c r="D125" s="124"/>
    </row>
    <row r="126" spans="1:4" ht="15.75" hidden="1" outlineLevel="1">
      <c r="A126" s="46" t="s">
        <v>3107</v>
      </c>
      <c r="B126" s="47" t="s">
        <v>4</v>
      </c>
      <c r="C126" s="46">
        <v>5.19</v>
      </c>
      <c r="D126" s="124"/>
    </row>
    <row r="127" spans="1:4" ht="15.75" hidden="1" outlineLevel="1">
      <c r="A127" s="46" t="s">
        <v>3107</v>
      </c>
      <c r="B127" s="47" t="s">
        <v>138</v>
      </c>
      <c r="C127" s="46">
        <v>5.24</v>
      </c>
      <c r="D127" s="124"/>
    </row>
    <row r="128" spans="1:4" ht="15.75" hidden="1" outlineLevel="1">
      <c r="A128" s="46" t="s">
        <v>3107</v>
      </c>
      <c r="B128" s="47" t="s">
        <v>5</v>
      </c>
      <c r="C128" s="46">
        <v>5.26</v>
      </c>
      <c r="D128" s="124"/>
    </row>
    <row r="129" spans="1:4" ht="15.75" hidden="1" outlineLevel="1">
      <c r="A129" s="46" t="s">
        <v>3107</v>
      </c>
      <c r="B129" s="47" t="s">
        <v>6</v>
      </c>
      <c r="C129" s="46">
        <v>5.27</v>
      </c>
      <c r="D129" s="124"/>
    </row>
    <row r="130" spans="1:4" ht="15.75" hidden="1" outlineLevel="1">
      <c r="A130" s="46" t="s">
        <v>3107</v>
      </c>
      <c r="B130" s="47" t="s">
        <v>7</v>
      </c>
      <c r="C130" s="46">
        <v>5.28</v>
      </c>
      <c r="D130" s="124"/>
    </row>
    <row r="131" spans="1:4" ht="15.75" hidden="1" outlineLevel="1">
      <c r="A131" s="46" t="s">
        <v>3107</v>
      </c>
      <c r="B131" s="47" t="s">
        <v>146</v>
      </c>
      <c r="C131" s="46">
        <v>5.29</v>
      </c>
      <c r="D131" s="124"/>
    </row>
    <row r="132" spans="1:4" ht="15.75" hidden="1" outlineLevel="1">
      <c r="A132" s="46" t="s">
        <v>3107</v>
      </c>
      <c r="B132" s="47" t="s">
        <v>8</v>
      </c>
      <c r="C132" s="48">
        <v>5.3</v>
      </c>
      <c r="D132" s="124"/>
    </row>
    <row r="133" spans="1:4" ht="15.75" hidden="1" outlineLevel="1">
      <c r="A133" s="46" t="s">
        <v>3107</v>
      </c>
      <c r="B133" s="47" t="s">
        <v>139</v>
      </c>
      <c r="C133" s="46">
        <v>5.31</v>
      </c>
      <c r="D133" s="124"/>
    </row>
    <row r="134" spans="1:4" ht="15.75" hidden="1" outlineLevel="1">
      <c r="A134" s="46" t="s">
        <v>3107</v>
      </c>
      <c r="B134" s="47" t="s">
        <v>140</v>
      </c>
      <c r="C134" s="46">
        <v>5.36</v>
      </c>
      <c r="D134" s="124"/>
    </row>
    <row r="135" spans="1:4" ht="15.75" hidden="1" outlineLevel="1">
      <c r="A135" s="46" t="s">
        <v>3107</v>
      </c>
      <c r="B135" s="47" t="s">
        <v>11</v>
      </c>
      <c r="C135" s="46">
        <v>5.53</v>
      </c>
      <c r="D135" s="124"/>
    </row>
    <row r="136" spans="1:4" ht="15.75" hidden="1" outlineLevel="1">
      <c r="A136" s="46" t="s">
        <v>3107</v>
      </c>
      <c r="B136" s="47" t="s">
        <v>17</v>
      </c>
      <c r="C136" s="46">
        <v>5.58</v>
      </c>
      <c r="D136" s="124"/>
    </row>
    <row r="137" spans="1:4" ht="15.75" hidden="1" outlineLevel="1">
      <c r="A137" s="46" t="s">
        <v>3107</v>
      </c>
      <c r="B137" s="47" t="s">
        <v>16</v>
      </c>
      <c r="C137" s="46">
        <v>5.62</v>
      </c>
      <c r="D137" s="124"/>
    </row>
    <row r="138" spans="1:4" ht="15.75" hidden="1" outlineLevel="1">
      <c r="A138" s="46" t="s">
        <v>3107</v>
      </c>
      <c r="B138" s="47" t="s">
        <v>18</v>
      </c>
      <c r="C138" s="46">
        <v>5.54</v>
      </c>
      <c r="D138" s="124"/>
    </row>
    <row r="139" spans="1:4" ht="15.75" hidden="1" outlineLevel="1">
      <c r="A139" s="46" t="s">
        <v>3107</v>
      </c>
      <c r="B139" s="47" t="s">
        <v>19</v>
      </c>
      <c r="C139" s="46">
        <v>5.55</v>
      </c>
      <c r="D139" s="124"/>
    </row>
    <row r="140" spans="1:4" ht="15.75" hidden="1" outlineLevel="1">
      <c r="A140" s="46" t="s">
        <v>3107</v>
      </c>
      <c r="B140" s="47" t="s">
        <v>20</v>
      </c>
      <c r="C140" s="46">
        <v>5.63</v>
      </c>
      <c r="D140" s="124"/>
    </row>
    <row r="141" spans="1:4" ht="15.75" hidden="1" outlineLevel="1">
      <c r="A141" s="46" t="s">
        <v>3107</v>
      </c>
      <c r="B141" s="47" t="s">
        <v>23</v>
      </c>
      <c r="C141" s="46">
        <v>5.45</v>
      </c>
      <c r="D141" s="124"/>
    </row>
    <row r="142" spans="1:4" ht="15.75" hidden="1" outlineLevel="1">
      <c r="A142" s="46" t="s">
        <v>3107</v>
      </c>
      <c r="B142" s="47" t="s">
        <v>24</v>
      </c>
      <c r="C142" s="46">
        <v>5.47</v>
      </c>
      <c r="D142" s="124"/>
    </row>
    <row r="143" spans="1:4" ht="15.75" hidden="1" outlineLevel="1">
      <c r="A143" s="46" t="s">
        <v>3107</v>
      </c>
      <c r="B143" s="47" t="s">
        <v>25</v>
      </c>
      <c r="C143" s="46">
        <v>5.48</v>
      </c>
      <c r="D143" s="124"/>
    </row>
    <row r="144" spans="1:4" ht="15.75">
      <c r="A144" s="52" t="s">
        <v>3107</v>
      </c>
      <c r="B144" s="47"/>
      <c r="C144" s="46"/>
      <c r="D144" s="124"/>
    </row>
    <row r="145" spans="1:4" ht="15.75" hidden="1" outlineLevel="1">
      <c r="A145" s="46" t="s">
        <v>2441</v>
      </c>
      <c r="B145" s="47" t="s">
        <v>0</v>
      </c>
      <c r="C145" s="46">
        <v>5.0999999999999996</v>
      </c>
      <c r="D145" s="124"/>
    </row>
    <row r="146" spans="1:4" ht="15.75" hidden="1" outlineLevel="1">
      <c r="A146" s="46" t="s">
        <v>2441</v>
      </c>
      <c r="B146" s="47" t="s">
        <v>1</v>
      </c>
      <c r="C146" s="46">
        <v>5.2</v>
      </c>
      <c r="D146" s="124"/>
    </row>
    <row r="147" spans="1:4" ht="15.75" hidden="1" outlineLevel="1">
      <c r="A147" s="46" t="s">
        <v>2441</v>
      </c>
      <c r="B147" s="47" t="s">
        <v>2</v>
      </c>
      <c r="C147" s="46">
        <v>5.3</v>
      </c>
      <c r="D147" s="124"/>
    </row>
    <row r="148" spans="1:4" ht="15.75" hidden="1" outlineLevel="1">
      <c r="A148" s="46" t="s">
        <v>2441</v>
      </c>
      <c r="B148" s="47" t="s">
        <v>136</v>
      </c>
      <c r="C148" s="46">
        <v>5.6</v>
      </c>
      <c r="D148" s="124"/>
    </row>
    <row r="149" spans="1:4" ht="15.75" hidden="1" outlineLevel="1">
      <c r="A149" s="46" t="s">
        <v>2441</v>
      </c>
      <c r="B149" s="47" t="s">
        <v>3105</v>
      </c>
      <c r="C149" s="48">
        <v>5.0999999999999996</v>
      </c>
      <c r="D149" s="124"/>
    </row>
    <row r="150" spans="1:4" ht="15.75" hidden="1" outlineLevel="1">
      <c r="A150" s="46" t="s">
        <v>2441</v>
      </c>
      <c r="B150" s="47" t="s">
        <v>1491</v>
      </c>
      <c r="C150" s="46">
        <v>5.14</v>
      </c>
      <c r="D150" s="124"/>
    </row>
    <row r="151" spans="1:4" ht="15.75" hidden="1" outlineLevel="1">
      <c r="A151" s="46" t="s">
        <v>2441</v>
      </c>
      <c r="B151" s="47" t="s">
        <v>4</v>
      </c>
      <c r="C151" s="46">
        <v>5.19</v>
      </c>
      <c r="D151" s="124"/>
    </row>
    <row r="152" spans="1:4" ht="15.75" hidden="1" outlineLevel="1">
      <c r="A152" s="46" t="s">
        <v>2441</v>
      </c>
      <c r="B152" s="47" t="s">
        <v>138</v>
      </c>
      <c r="C152" s="46">
        <v>5.24</v>
      </c>
      <c r="D152" s="124"/>
    </row>
    <row r="153" spans="1:4" ht="15.75" hidden="1" outlineLevel="1">
      <c r="A153" s="46" t="s">
        <v>2441</v>
      </c>
      <c r="B153" s="47" t="s">
        <v>5</v>
      </c>
      <c r="C153" s="46">
        <v>5.26</v>
      </c>
      <c r="D153" s="124"/>
    </row>
    <row r="154" spans="1:4" ht="15.75" hidden="1" outlineLevel="1">
      <c r="A154" s="46" t="s">
        <v>2441</v>
      </c>
      <c r="B154" s="47" t="s">
        <v>6</v>
      </c>
      <c r="C154" s="46">
        <v>5.27</v>
      </c>
      <c r="D154" s="124"/>
    </row>
    <row r="155" spans="1:4" ht="15.75" hidden="1" outlineLevel="1">
      <c r="A155" s="46" t="s">
        <v>2441</v>
      </c>
      <c r="B155" s="47" t="s">
        <v>7</v>
      </c>
      <c r="C155" s="46">
        <v>5.28</v>
      </c>
      <c r="D155" s="124"/>
    </row>
    <row r="156" spans="1:4" ht="15.75" hidden="1" outlineLevel="1">
      <c r="A156" s="46" t="s">
        <v>2441</v>
      </c>
      <c r="B156" s="47" t="s">
        <v>8</v>
      </c>
      <c r="C156" s="48">
        <v>5.3</v>
      </c>
      <c r="D156" s="124"/>
    </row>
    <row r="157" spans="1:4" ht="15.75" hidden="1" outlineLevel="1">
      <c r="A157" s="46" t="s">
        <v>2441</v>
      </c>
      <c r="B157" s="47" t="s">
        <v>1248</v>
      </c>
      <c r="C157" s="46">
        <v>5.32</v>
      </c>
      <c r="D157" s="124"/>
    </row>
    <row r="158" spans="1:4" ht="15.75" hidden="1" outlineLevel="1">
      <c r="A158" s="46" t="s">
        <v>2441</v>
      </c>
      <c r="B158" s="47" t="s">
        <v>140</v>
      </c>
      <c r="C158" s="46">
        <v>5.36</v>
      </c>
      <c r="D158" s="124"/>
    </row>
    <row r="159" spans="1:4" ht="15.75" hidden="1" outlineLevel="1">
      <c r="A159" s="46" t="s">
        <v>2441</v>
      </c>
      <c r="B159" s="47" t="s">
        <v>11</v>
      </c>
      <c r="C159" s="46">
        <v>5.53</v>
      </c>
      <c r="D159" s="124"/>
    </row>
    <row r="160" spans="1:4" ht="15.75" hidden="1" outlineLevel="1">
      <c r="A160" s="46" t="s">
        <v>2441</v>
      </c>
      <c r="B160" s="47" t="s">
        <v>17</v>
      </c>
      <c r="C160" s="46">
        <v>5.58</v>
      </c>
      <c r="D160" s="124"/>
    </row>
    <row r="161" spans="1:4" ht="15.75" hidden="1" outlineLevel="1">
      <c r="A161" s="46" t="s">
        <v>2441</v>
      </c>
      <c r="B161" s="47" t="s">
        <v>18</v>
      </c>
      <c r="C161" s="46">
        <v>5.54</v>
      </c>
      <c r="D161" s="124"/>
    </row>
    <row r="162" spans="1:4" ht="15.75" hidden="1" outlineLevel="1">
      <c r="A162" s="46" t="s">
        <v>2441</v>
      </c>
      <c r="B162" s="47" t="s">
        <v>19</v>
      </c>
      <c r="C162" s="46">
        <v>5.55</v>
      </c>
      <c r="D162" s="124"/>
    </row>
    <row r="163" spans="1:4" ht="15.75" hidden="1" outlineLevel="1">
      <c r="A163" s="46" t="s">
        <v>2441</v>
      </c>
      <c r="B163" s="47" t="s">
        <v>16</v>
      </c>
      <c r="C163" s="46">
        <v>5.62</v>
      </c>
      <c r="D163" s="124"/>
    </row>
    <row r="164" spans="1:4" ht="15.75" hidden="1" outlineLevel="1">
      <c r="A164" s="46" t="s">
        <v>2441</v>
      </c>
      <c r="B164" s="47" t="s">
        <v>20</v>
      </c>
      <c r="C164" s="46">
        <v>5.63</v>
      </c>
      <c r="D164" s="124"/>
    </row>
    <row r="165" spans="1:4" ht="15.75" hidden="1" outlineLevel="1">
      <c r="A165" s="46" t="s">
        <v>2441</v>
      </c>
      <c r="B165" s="47" t="s">
        <v>23</v>
      </c>
      <c r="C165" s="46">
        <v>5.45</v>
      </c>
      <c r="D165" s="124"/>
    </row>
    <row r="166" spans="1:4" ht="15.75" hidden="1" outlineLevel="1">
      <c r="A166" s="46" t="s">
        <v>2441</v>
      </c>
      <c r="B166" s="47" t="s">
        <v>24</v>
      </c>
      <c r="C166" s="46">
        <v>5.47</v>
      </c>
      <c r="D166" s="124"/>
    </row>
    <row r="167" spans="1:4" ht="15.75" hidden="1" outlineLevel="1">
      <c r="A167" s="46" t="s">
        <v>2441</v>
      </c>
      <c r="B167" s="47" t="s">
        <v>25</v>
      </c>
      <c r="C167" s="46">
        <v>5.48</v>
      </c>
      <c r="D167" s="124"/>
    </row>
    <row r="168" spans="1:4" ht="15.75">
      <c r="A168" s="52" t="s">
        <v>2441</v>
      </c>
      <c r="B168" s="47"/>
      <c r="C168" s="46"/>
      <c r="D168" s="124"/>
    </row>
    <row r="169" spans="1:4" ht="15.75" hidden="1" outlineLevel="1">
      <c r="A169" s="46" t="s">
        <v>2856</v>
      </c>
      <c r="B169" s="47" t="s">
        <v>0</v>
      </c>
      <c r="C169" s="46">
        <v>5.0999999999999996</v>
      </c>
      <c r="D169" s="124"/>
    </row>
    <row r="170" spans="1:4" ht="15.75" hidden="1" outlineLevel="1">
      <c r="A170" s="46" t="s">
        <v>2856</v>
      </c>
      <c r="B170" s="47" t="s">
        <v>1</v>
      </c>
      <c r="C170" s="46">
        <v>5.2</v>
      </c>
      <c r="D170" s="124"/>
    </row>
    <row r="171" spans="1:4" ht="15.75" hidden="1" outlineLevel="1">
      <c r="A171" s="46" t="s">
        <v>2856</v>
      </c>
      <c r="B171" s="47" t="s">
        <v>2</v>
      </c>
      <c r="C171" s="46">
        <v>5.3</v>
      </c>
      <c r="D171" s="124"/>
    </row>
    <row r="172" spans="1:4" ht="15.75" hidden="1" outlineLevel="1">
      <c r="A172" s="46" t="s">
        <v>2856</v>
      </c>
      <c r="B172" s="47" t="s">
        <v>136</v>
      </c>
      <c r="C172" s="46">
        <v>5.6</v>
      </c>
      <c r="D172" s="124"/>
    </row>
    <row r="173" spans="1:4" ht="15.75" hidden="1" outlineLevel="1">
      <c r="A173" s="46" t="s">
        <v>2856</v>
      </c>
      <c r="B173" s="47" t="s">
        <v>3105</v>
      </c>
      <c r="C173" s="48">
        <v>5.0999999999999996</v>
      </c>
      <c r="D173" s="124"/>
    </row>
    <row r="174" spans="1:4" ht="15.75" hidden="1" outlineLevel="1">
      <c r="A174" s="46" t="s">
        <v>2856</v>
      </c>
      <c r="B174" s="47" t="s">
        <v>1491</v>
      </c>
      <c r="C174" s="46">
        <v>5.14</v>
      </c>
      <c r="D174" s="124"/>
    </row>
    <row r="175" spans="1:4" ht="15.75" hidden="1" outlineLevel="1">
      <c r="A175" s="46" t="s">
        <v>2856</v>
      </c>
      <c r="B175" s="47" t="s">
        <v>4</v>
      </c>
      <c r="C175" s="46">
        <v>5.19</v>
      </c>
      <c r="D175" s="124"/>
    </row>
    <row r="176" spans="1:4" ht="15.75" hidden="1" outlineLevel="1">
      <c r="A176" s="46" t="s">
        <v>2856</v>
      </c>
      <c r="B176" s="47" t="s">
        <v>138</v>
      </c>
      <c r="C176" s="46">
        <v>5.24</v>
      </c>
      <c r="D176" s="124"/>
    </row>
    <row r="177" spans="1:4" ht="15.75" hidden="1" outlineLevel="1">
      <c r="A177" s="46" t="s">
        <v>2856</v>
      </c>
      <c r="B177" s="47" t="s">
        <v>5</v>
      </c>
      <c r="C177" s="46">
        <v>5.26</v>
      </c>
      <c r="D177" s="124"/>
    </row>
    <row r="178" spans="1:4" ht="15.75" hidden="1" outlineLevel="1">
      <c r="A178" s="46" t="s">
        <v>2856</v>
      </c>
      <c r="B178" s="47" t="s">
        <v>6</v>
      </c>
      <c r="C178" s="46">
        <v>5.27</v>
      </c>
      <c r="D178" s="124"/>
    </row>
    <row r="179" spans="1:4" ht="15.75" hidden="1" outlineLevel="1">
      <c r="A179" s="46" t="s">
        <v>2856</v>
      </c>
      <c r="B179" s="47" t="s">
        <v>7</v>
      </c>
      <c r="C179" s="46">
        <v>5.28</v>
      </c>
      <c r="D179" s="124"/>
    </row>
    <row r="180" spans="1:4" ht="15.75" hidden="1" outlineLevel="1">
      <c r="A180" s="46" t="s">
        <v>2856</v>
      </c>
      <c r="B180" s="47" t="s">
        <v>146</v>
      </c>
      <c r="C180" s="46">
        <v>5.29</v>
      </c>
      <c r="D180" s="124"/>
    </row>
    <row r="181" spans="1:4" ht="15.75" hidden="1" outlineLevel="1">
      <c r="A181" s="46" t="s">
        <v>2856</v>
      </c>
      <c r="B181" s="47" t="s">
        <v>8</v>
      </c>
      <c r="C181" s="48">
        <v>5.3</v>
      </c>
      <c r="D181" s="124"/>
    </row>
    <row r="182" spans="1:4" ht="15.75" hidden="1" outlineLevel="1">
      <c r="A182" s="46" t="s">
        <v>2856</v>
      </c>
      <c r="B182" s="47" t="s">
        <v>1248</v>
      </c>
      <c r="C182" s="46">
        <v>5.32</v>
      </c>
      <c r="D182" s="124"/>
    </row>
    <row r="183" spans="1:4" ht="15.75" hidden="1" outlineLevel="1">
      <c r="A183" s="46" t="s">
        <v>2856</v>
      </c>
      <c r="B183" s="47" t="s">
        <v>140</v>
      </c>
      <c r="C183" s="46">
        <v>5.36</v>
      </c>
      <c r="D183" s="124"/>
    </row>
    <row r="184" spans="1:4" ht="15.75" hidden="1" outlineLevel="1">
      <c r="A184" s="46" t="s">
        <v>2856</v>
      </c>
      <c r="B184" s="47" t="s">
        <v>11</v>
      </c>
      <c r="C184" s="46">
        <v>5.53</v>
      </c>
      <c r="D184" s="124"/>
    </row>
    <row r="185" spans="1:4" ht="15.75" hidden="1" outlineLevel="1">
      <c r="A185" s="46" t="s">
        <v>2856</v>
      </c>
      <c r="B185" s="47" t="s">
        <v>17</v>
      </c>
      <c r="C185" s="46">
        <v>5.58</v>
      </c>
      <c r="D185" s="124"/>
    </row>
    <row r="186" spans="1:4" ht="15.75" hidden="1" outlineLevel="1">
      <c r="A186" s="46" t="s">
        <v>2856</v>
      </c>
      <c r="B186" s="47" t="s">
        <v>18</v>
      </c>
      <c r="C186" s="46">
        <v>5.54</v>
      </c>
      <c r="D186" s="124"/>
    </row>
    <row r="187" spans="1:4" ht="15.75" hidden="1" outlineLevel="1">
      <c r="A187" s="46" t="s">
        <v>2856</v>
      </c>
      <c r="B187" s="47" t="s">
        <v>19</v>
      </c>
      <c r="C187" s="46">
        <v>5.55</v>
      </c>
      <c r="D187" s="124"/>
    </row>
    <row r="188" spans="1:4" ht="15.75" hidden="1" outlineLevel="1">
      <c r="A188" s="46" t="s">
        <v>2856</v>
      </c>
      <c r="B188" s="47" t="s">
        <v>20</v>
      </c>
      <c r="C188" s="46">
        <v>5.63</v>
      </c>
      <c r="D188" s="124"/>
    </row>
    <row r="189" spans="1:4" ht="15.75" hidden="1" outlineLevel="1">
      <c r="A189" s="46" t="s">
        <v>2856</v>
      </c>
      <c r="B189" s="47" t="s">
        <v>23</v>
      </c>
      <c r="C189" s="46">
        <v>5.45</v>
      </c>
      <c r="D189" s="124"/>
    </row>
    <row r="190" spans="1:4" ht="15.75" hidden="1" outlineLevel="1">
      <c r="A190" s="46" t="s">
        <v>2856</v>
      </c>
      <c r="B190" s="47" t="s">
        <v>24</v>
      </c>
      <c r="C190" s="46">
        <v>5.47</v>
      </c>
      <c r="D190" s="124"/>
    </row>
    <row r="191" spans="1:4" ht="15.75" hidden="1" outlineLevel="1">
      <c r="A191" s="46" t="s">
        <v>2856</v>
      </c>
      <c r="B191" s="47" t="s">
        <v>25</v>
      </c>
      <c r="C191" s="46">
        <v>5.48</v>
      </c>
      <c r="D191" s="124"/>
    </row>
    <row r="192" spans="1:4" ht="15.75">
      <c r="A192" s="52" t="s">
        <v>2856</v>
      </c>
      <c r="B192" s="47"/>
      <c r="C192" s="46"/>
      <c r="D192" s="124"/>
    </row>
    <row r="193" spans="1:4" ht="15.75" hidden="1" outlineLevel="1">
      <c r="A193" s="46" t="s">
        <v>3108</v>
      </c>
      <c r="B193" s="47" t="s">
        <v>0</v>
      </c>
      <c r="C193" s="46">
        <v>5.0999999999999996</v>
      </c>
      <c r="D193" s="124"/>
    </row>
    <row r="194" spans="1:4" ht="15.75" hidden="1" outlineLevel="1">
      <c r="A194" s="46" t="s">
        <v>3108</v>
      </c>
      <c r="B194" s="47" t="s">
        <v>1</v>
      </c>
      <c r="C194" s="46">
        <v>5.2</v>
      </c>
      <c r="D194" s="124"/>
    </row>
    <row r="195" spans="1:4" ht="15.75" hidden="1" outlineLevel="1">
      <c r="A195" s="46" t="s">
        <v>3108</v>
      </c>
      <c r="B195" s="47" t="s">
        <v>2</v>
      </c>
      <c r="C195" s="46">
        <v>5.3</v>
      </c>
      <c r="D195" s="124"/>
    </row>
    <row r="196" spans="1:4" ht="15.75" hidden="1" outlineLevel="1">
      <c r="A196" s="46" t="s">
        <v>3108</v>
      </c>
      <c r="B196" s="47" t="s">
        <v>136</v>
      </c>
      <c r="C196" s="46">
        <v>5.6</v>
      </c>
      <c r="D196" s="124"/>
    </row>
    <row r="197" spans="1:4" ht="15.75" hidden="1" outlineLevel="1">
      <c r="A197" s="46" t="s">
        <v>3108</v>
      </c>
      <c r="B197" s="47" t="s">
        <v>3105</v>
      </c>
      <c r="C197" s="48">
        <v>5.0999999999999996</v>
      </c>
      <c r="D197" s="124"/>
    </row>
    <row r="198" spans="1:4" ht="15.75" hidden="1" outlineLevel="1">
      <c r="A198" s="46" t="s">
        <v>3108</v>
      </c>
      <c r="B198" s="47" t="s">
        <v>1491</v>
      </c>
      <c r="C198" s="46">
        <v>5.14</v>
      </c>
      <c r="D198" s="124"/>
    </row>
    <row r="199" spans="1:4" ht="15.75" hidden="1" outlineLevel="1">
      <c r="A199" s="46" t="s">
        <v>3108</v>
      </c>
      <c r="B199" s="47" t="s">
        <v>4</v>
      </c>
      <c r="C199" s="46">
        <v>5.19</v>
      </c>
      <c r="D199" s="124"/>
    </row>
    <row r="200" spans="1:4" ht="15.75" hidden="1" outlineLevel="1">
      <c r="A200" s="46" t="s">
        <v>3108</v>
      </c>
      <c r="B200" s="47" t="s">
        <v>138</v>
      </c>
      <c r="C200" s="46">
        <v>5.24</v>
      </c>
      <c r="D200" s="124"/>
    </row>
    <row r="201" spans="1:4" ht="15.75" hidden="1" outlineLevel="1">
      <c r="A201" s="46" t="s">
        <v>3108</v>
      </c>
      <c r="B201" s="47" t="s">
        <v>6</v>
      </c>
      <c r="C201" s="46">
        <v>5.27</v>
      </c>
      <c r="D201" s="124"/>
    </row>
    <row r="202" spans="1:4" ht="15.75" hidden="1" outlineLevel="1">
      <c r="A202" s="46" t="s">
        <v>3108</v>
      </c>
      <c r="B202" s="47" t="s">
        <v>7</v>
      </c>
      <c r="C202" s="46">
        <v>5.28</v>
      </c>
      <c r="D202" s="124"/>
    </row>
    <row r="203" spans="1:4" ht="15.75" hidden="1" outlineLevel="1">
      <c r="A203" s="46" t="s">
        <v>3108</v>
      </c>
      <c r="B203" s="47" t="s">
        <v>146</v>
      </c>
      <c r="C203" s="46">
        <v>5.29</v>
      </c>
      <c r="D203" s="124"/>
    </row>
    <row r="204" spans="1:4" ht="15.75" hidden="1" outlineLevel="1">
      <c r="A204" s="46" t="s">
        <v>3108</v>
      </c>
      <c r="B204" s="47" t="s">
        <v>8</v>
      </c>
      <c r="C204" s="48">
        <v>5.3</v>
      </c>
      <c r="D204" s="124"/>
    </row>
    <row r="205" spans="1:4" ht="15.75" hidden="1" outlineLevel="1">
      <c r="A205" s="46" t="s">
        <v>3108</v>
      </c>
      <c r="B205" s="47" t="s">
        <v>1513</v>
      </c>
      <c r="C205" s="46">
        <v>5.34</v>
      </c>
      <c r="D205" s="124"/>
    </row>
    <row r="206" spans="1:4" ht="15.75" hidden="1" outlineLevel="1">
      <c r="A206" s="46" t="s">
        <v>3108</v>
      </c>
      <c r="B206" s="47" t="s">
        <v>139</v>
      </c>
      <c r="C206" s="46">
        <v>5.31</v>
      </c>
      <c r="D206" s="124"/>
    </row>
    <row r="207" spans="1:4" ht="15.75" hidden="1" outlineLevel="1">
      <c r="A207" s="46" t="s">
        <v>3108</v>
      </c>
      <c r="B207" s="47" t="s">
        <v>1514</v>
      </c>
      <c r="C207" s="46">
        <v>5.101</v>
      </c>
      <c r="D207" s="124"/>
    </row>
    <row r="208" spans="1:4" ht="15.75" hidden="1" outlineLevel="1">
      <c r="A208" s="46" t="s">
        <v>3108</v>
      </c>
      <c r="B208" s="47" t="s">
        <v>140</v>
      </c>
      <c r="C208" s="46">
        <v>5.36</v>
      </c>
      <c r="D208" s="124"/>
    </row>
    <row r="209" spans="1:4" ht="15.75" hidden="1" outlineLevel="1">
      <c r="A209" s="46" t="s">
        <v>3108</v>
      </c>
      <c r="B209" s="47" t="s">
        <v>11</v>
      </c>
      <c r="C209" s="46">
        <v>5.53</v>
      </c>
      <c r="D209" s="124"/>
    </row>
    <row r="210" spans="1:4" ht="15.75" hidden="1" outlineLevel="1">
      <c r="A210" s="46" t="s">
        <v>3108</v>
      </c>
      <c r="B210" s="47" t="s">
        <v>1515</v>
      </c>
      <c r="C210" s="46">
        <v>5.1020000000000003</v>
      </c>
      <c r="D210" s="124"/>
    </row>
    <row r="211" spans="1:4" ht="15.75" hidden="1" outlineLevel="1">
      <c r="A211" s="46" t="s">
        <v>3108</v>
      </c>
      <c r="B211" s="47" t="s">
        <v>1516</v>
      </c>
      <c r="C211" s="49">
        <v>5.0999999999999996</v>
      </c>
      <c r="D211" s="124"/>
    </row>
    <row r="212" spans="1:4" ht="15.75" hidden="1" outlineLevel="1">
      <c r="A212" s="46" t="s">
        <v>3108</v>
      </c>
      <c r="B212" s="47" t="s">
        <v>17</v>
      </c>
      <c r="C212" s="46">
        <v>5.58</v>
      </c>
      <c r="D212" s="124"/>
    </row>
    <row r="213" spans="1:4" ht="15.75" hidden="1" outlineLevel="1">
      <c r="A213" s="46" t="s">
        <v>3108</v>
      </c>
      <c r="B213" s="47" t="s">
        <v>18</v>
      </c>
      <c r="C213" s="46">
        <v>5.54</v>
      </c>
      <c r="D213" s="124"/>
    </row>
    <row r="214" spans="1:4" ht="15.75" hidden="1" outlineLevel="1">
      <c r="A214" s="46" t="s">
        <v>3108</v>
      </c>
      <c r="B214" s="47" t="s">
        <v>19</v>
      </c>
      <c r="C214" s="46">
        <v>5.55</v>
      </c>
      <c r="D214" s="124"/>
    </row>
    <row r="215" spans="1:4" ht="15.75" hidden="1" outlineLevel="1">
      <c r="A215" s="46" t="s">
        <v>3108</v>
      </c>
      <c r="B215" s="47" t="s">
        <v>20</v>
      </c>
      <c r="C215" s="46">
        <v>5.63</v>
      </c>
      <c r="D215" s="124"/>
    </row>
    <row r="216" spans="1:4" ht="15.75" hidden="1" outlineLevel="1">
      <c r="A216" s="46" t="s">
        <v>3108</v>
      </c>
      <c r="B216" s="47" t="s">
        <v>24</v>
      </c>
      <c r="C216" s="46">
        <v>5.47</v>
      </c>
      <c r="D216" s="124"/>
    </row>
    <row r="217" spans="1:4" ht="15.75" hidden="1" outlineLevel="1">
      <c r="A217" s="46" t="s">
        <v>3108</v>
      </c>
      <c r="B217" s="47" t="s">
        <v>25</v>
      </c>
      <c r="C217" s="46">
        <v>5.48</v>
      </c>
      <c r="D217" s="124"/>
    </row>
    <row r="218" spans="1:4" ht="15.75">
      <c r="A218" s="52" t="s">
        <v>3108</v>
      </c>
      <c r="B218" s="47"/>
      <c r="C218" s="46"/>
      <c r="D218" s="124"/>
    </row>
    <row r="219" spans="1:4" ht="15.75" hidden="1" outlineLevel="1">
      <c r="A219" s="46" t="s">
        <v>2858</v>
      </c>
      <c r="B219" s="47" t="s">
        <v>0</v>
      </c>
      <c r="C219" s="46">
        <v>5.0999999999999996</v>
      </c>
      <c r="D219" s="124"/>
    </row>
    <row r="220" spans="1:4" ht="15.75" hidden="1" outlineLevel="1">
      <c r="A220" s="46" t="s">
        <v>2858</v>
      </c>
      <c r="B220" s="47" t="s">
        <v>1</v>
      </c>
      <c r="C220" s="46">
        <v>5.2</v>
      </c>
      <c r="D220" s="124"/>
    </row>
    <row r="221" spans="1:4" ht="15.75" hidden="1" outlineLevel="1">
      <c r="A221" s="46" t="s">
        <v>2858</v>
      </c>
      <c r="B221" s="47" t="s">
        <v>2</v>
      </c>
      <c r="C221" s="46">
        <v>5.3</v>
      </c>
      <c r="D221" s="124"/>
    </row>
    <row r="222" spans="1:4" ht="15.75" hidden="1" outlineLevel="1">
      <c r="A222" s="46" t="s">
        <v>2858</v>
      </c>
      <c r="B222" s="47" t="s">
        <v>136</v>
      </c>
      <c r="C222" s="46">
        <v>5.6</v>
      </c>
      <c r="D222" s="124"/>
    </row>
    <row r="223" spans="1:4" ht="15.75" hidden="1" outlineLevel="1">
      <c r="A223" s="46" t="s">
        <v>2858</v>
      </c>
      <c r="B223" s="47" t="s">
        <v>3105</v>
      </c>
      <c r="C223" s="48">
        <v>5.0999999999999996</v>
      </c>
      <c r="D223" s="124"/>
    </row>
    <row r="224" spans="1:4" ht="15.75" hidden="1" outlineLevel="1">
      <c r="A224" s="46" t="s">
        <v>2858</v>
      </c>
      <c r="B224" s="47" t="s">
        <v>1491</v>
      </c>
      <c r="C224" s="46">
        <v>5.14</v>
      </c>
      <c r="D224" s="124"/>
    </row>
    <row r="225" spans="1:4" ht="15.75" hidden="1" outlineLevel="1">
      <c r="A225" s="46" t="s">
        <v>2858</v>
      </c>
      <c r="B225" s="47" t="s">
        <v>4</v>
      </c>
      <c r="C225" s="46">
        <v>5.19</v>
      </c>
      <c r="D225" s="124"/>
    </row>
    <row r="226" spans="1:4" ht="15.75" hidden="1" outlineLevel="1">
      <c r="A226" s="46" t="s">
        <v>2858</v>
      </c>
      <c r="B226" s="47" t="s">
        <v>138</v>
      </c>
      <c r="C226" s="46">
        <v>5.24</v>
      </c>
      <c r="D226" s="124"/>
    </row>
    <row r="227" spans="1:4" ht="15.75" hidden="1" outlineLevel="1">
      <c r="A227" s="46" t="s">
        <v>2858</v>
      </c>
      <c r="B227" s="47" t="s">
        <v>5</v>
      </c>
      <c r="C227" s="46">
        <v>5.26</v>
      </c>
      <c r="D227" s="124"/>
    </row>
    <row r="228" spans="1:4" ht="15.75" hidden="1" outlineLevel="1">
      <c r="A228" s="46" t="s">
        <v>2858</v>
      </c>
      <c r="B228" s="47" t="s">
        <v>6</v>
      </c>
      <c r="C228" s="46">
        <v>5.27</v>
      </c>
      <c r="D228" s="124"/>
    </row>
    <row r="229" spans="1:4" ht="15.75" hidden="1" outlineLevel="1">
      <c r="A229" s="46" t="s">
        <v>2858</v>
      </c>
      <c r="B229" s="47" t="s">
        <v>7</v>
      </c>
      <c r="C229" s="46">
        <v>5.28</v>
      </c>
      <c r="D229" s="124"/>
    </row>
    <row r="230" spans="1:4" ht="15.75" hidden="1" outlineLevel="1">
      <c r="A230" s="46" t="s">
        <v>2858</v>
      </c>
      <c r="B230" s="47" t="s">
        <v>146</v>
      </c>
      <c r="C230" s="46">
        <v>5.29</v>
      </c>
      <c r="D230" s="124"/>
    </row>
    <row r="231" spans="1:4" ht="15.75" hidden="1" outlineLevel="1">
      <c r="A231" s="46" t="s">
        <v>2858</v>
      </c>
      <c r="B231" s="47" t="s">
        <v>8</v>
      </c>
      <c r="C231" s="48">
        <v>5.3</v>
      </c>
      <c r="D231" s="124"/>
    </row>
    <row r="232" spans="1:4" ht="15.75" hidden="1" outlineLevel="1">
      <c r="A232" s="46" t="s">
        <v>2858</v>
      </c>
      <c r="B232" s="47" t="s">
        <v>139</v>
      </c>
      <c r="C232" s="46">
        <v>5.31</v>
      </c>
      <c r="D232" s="124"/>
    </row>
    <row r="233" spans="1:4" ht="15.75" hidden="1" outlineLevel="1">
      <c r="A233" s="46" t="s">
        <v>2858</v>
      </c>
      <c r="B233" s="47" t="s">
        <v>1524</v>
      </c>
      <c r="C233" s="46">
        <v>5.33</v>
      </c>
      <c r="D233" s="124"/>
    </row>
    <row r="234" spans="1:4" ht="15.75" hidden="1" outlineLevel="1">
      <c r="A234" s="46" t="s">
        <v>2858</v>
      </c>
      <c r="B234" s="47" t="s">
        <v>1514</v>
      </c>
      <c r="C234" s="46">
        <v>5.101</v>
      </c>
      <c r="D234" s="124"/>
    </row>
    <row r="235" spans="1:4" ht="15.75" hidden="1" outlineLevel="1">
      <c r="A235" s="46" t="s">
        <v>2858</v>
      </c>
      <c r="B235" s="47" t="s">
        <v>140</v>
      </c>
      <c r="C235" s="46">
        <v>5.36</v>
      </c>
      <c r="D235" s="124"/>
    </row>
    <row r="236" spans="1:4" ht="15.75" hidden="1" outlineLevel="1">
      <c r="A236" s="46" t="s">
        <v>2858</v>
      </c>
      <c r="B236" s="47" t="s">
        <v>11</v>
      </c>
      <c r="C236" s="46">
        <v>5.53</v>
      </c>
      <c r="D236" s="124"/>
    </row>
    <row r="237" spans="1:4" ht="15.75" hidden="1" outlineLevel="1">
      <c r="A237" s="46" t="s">
        <v>2858</v>
      </c>
      <c r="B237" s="47" t="s">
        <v>1515</v>
      </c>
      <c r="C237" s="46">
        <v>5.1020000000000003</v>
      </c>
      <c r="D237" s="124"/>
    </row>
    <row r="238" spans="1:4" ht="15.75" hidden="1" outlineLevel="1">
      <c r="A238" s="46" t="s">
        <v>2858</v>
      </c>
      <c r="B238" s="47" t="s">
        <v>17</v>
      </c>
      <c r="C238" s="46">
        <v>5.58</v>
      </c>
      <c r="D238" s="124"/>
    </row>
    <row r="239" spans="1:4" ht="15.75" hidden="1" outlineLevel="1">
      <c r="A239" s="46" t="s">
        <v>2858</v>
      </c>
      <c r="B239" s="47" t="s">
        <v>18</v>
      </c>
      <c r="C239" s="46">
        <v>5.54</v>
      </c>
      <c r="D239" s="124"/>
    </row>
    <row r="240" spans="1:4" ht="15.75" hidden="1" outlineLevel="1">
      <c r="A240" s="46" t="s">
        <v>2858</v>
      </c>
      <c r="B240" s="47" t="s">
        <v>19</v>
      </c>
      <c r="C240" s="46">
        <v>5.55</v>
      </c>
      <c r="D240" s="124"/>
    </row>
    <row r="241" spans="1:4" ht="15.75" hidden="1" outlineLevel="1">
      <c r="A241" s="46" t="s">
        <v>2858</v>
      </c>
      <c r="B241" s="47" t="s">
        <v>20</v>
      </c>
      <c r="C241" s="46">
        <v>5.63</v>
      </c>
      <c r="D241" s="124"/>
    </row>
    <row r="242" spans="1:4" ht="15.75" hidden="1" outlineLevel="1">
      <c r="A242" s="46" t="s">
        <v>2858</v>
      </c>
      <c r="B242" s="47" t="s">
        <v>24</v>
      </c>
      <c r="C242" s="46">
        <v>5.47</v>
      </c>
      <c r="D242" s="124"/>
    </row>
    <row r="243" spans="1:4" ht="15.75" hidden="1" outlineLevel="1">
      <c r="A243" s="46" t="s">
        <v>2858</v>
      </c>
      <c r="B243" s="47" t="s">
        <v>25</v>
      </c>
      <c r="C243" s="46">
        <v>5.48</v>
      </c>
      <c r="D243" s="124"/>
    </row>
    <row r="244" spans="1:4" ht="15.75">
      <c r="A244" s="52" t="s">
        <v>2858</v>
      </c>
      <c r="B244" s="47"/>
      <c r="C244" s="46"/>
      <c r="D244" s="124"/>
    </row>
    <row r="245" spans="1:4" ht="15.75" hidden="1" outlineLevel="1">
      <c r="A245" s="46" t="s">
        <v>3109</v>
      </c>
      <c r="B245" s="47" t="s">
        <v>0</v>
      </c>
      <c r="C245" s="46">
        <v>5.0999999999999996</v>
      </c>
      <c r="D245" s="124"/>
    </row>
    <row r="246" spans="1:4" ht="15.75" hidden="1" outlineLevel="1">
      <c r="A246" s="46" t="s">
        <v>3109</v>
      </c>
      <c r="B246" s="47" t="s">
        <v>1</v>
      </c>
      <c r="C246" s="46">
        <v>5.2</v>
      </c>
      <c r="D246" s="124"/>
    </row>
    <row r="247" spans="1:4" ht="15.75" hidden="1" outlineLevel="1">
      <c r="A247" s="46" t="s">
        <v>3109</v>
      </c>
      <c r="B247" s="47" t="s">
        <v>2</v>
      </c>
      <c r="C247" s="46">
        <v>5.3</v>
      </c>
      <c r="D247" s="124"/>
    </row>
    <row r="248" spans="1:4" ht="15.75" hidden="1" outlineLevel="1">
      <c r="A248" s="46" t="s">
        <v>3109</v>
      </c>
      <c r="B248" s="47" t="s">
        <v>136</v>
      </c>
      <c r="C248" s="46">
        <v>5.6</v>
      </c>
      <c r="D248" s="124"/>
    </row>
    <row r="249" spans="1:4" ht="15.75" hidden="1" outlineLevel="1">
      <c r="A249" s="46" t="s">
        <v>3109</v>
      </c>
      <c r="B249" s="47" t="s">
        <v>3105</v>
      </c>
      <c r="C249" s="48">
        <v>5.0999999999999996</v>
      </c>
      <c r="D249" s="124"/>
    </row>
    <row r="250" spans="1:4" ht="15.75" hidden="1" outlineLevel="1">
      <c r="A250" s="46" t="s">
        <v>3109</v>
      </c>
      <c r="B250" s="47" t="s">
        <v>1491</v>
      </c>
      <c r="C250" s="46">
        <v>5.14</v>
      </c>
      <c r="D250" s="124"/>
    </row>
    <row r="251" spans="1:4" ht="15.75" hidden="1" outlineLevel="1">
      <c r="A251" s="46" t="s">
        <v>3109</v>
      </c>
      <c r="B251" s="47" t="s">
        <v>4</v>
      </c>
      <c r="C251" s="46">
        <v>5.19</v>
      </c>
      <c r="D251" s="124"/>
    </row>
    <row r="252" spans="1:4" ht="15.75" hidden="1" outlineLevel="1">
      <c r="A252" s="46" t="s">
        <v>3109</v>
      </c>
      <c r="B252" s="47" t="s">
        <v>138</v>
      </c>
      <c r="C252" s="46">
        <v>5.24</v>
      </c>
      <c r="D252" s="124"/>
    </row>
    <row r="253" spans="1:4" ht="15.75" hidden="1" outlineLevel="1">
      <c r="A253" s="46" t="s">
        <v>3109</v>
      </c>
      <c r="B253" s="47" t="s">
        <v>6</v>
      </c>
      <c r="C253" s="46">
        <v>5.27</v>
      </c>
      <c r="D253" s="124"/>
    </row>
    <row r="254" spans="1:4" ht="15.75" hidden="1" outlineLevel="1">
      <c r="A254" s="46" t="s">
        <v>3109</v>
      </c>
      <c r="B254" s="47" t="s">
        <v>7</v>
      </c>
      <c r="C254" s="46">
        <v>5.28</v>
      </c>
      <c r="D254" s="124"/>
    </row>
    <row r="255" spans="1:4" ht="15.75" hidden="1" outlineLevel="1">
      <c r="A255" s="46" t="s">
        <v>3109</v>
      </c>
      <c r="B255" s="47" t="s">
        <v>8</v>
      </c>
      <c r="C255" s="48">
        <v>5.3</v>
      </c>
      <c r="D255" s="124"/>
    </row>
    <row r="256" spans="1:4" ht="15.75" hidden="1" outlineLevel="1">
      <c r="A256" s="46" t="s">
        <v>3109</v>
      </c>
      <c r="B256" s="47" t="s">
        <v>1524</v>
      </c>
      <c r="C256" s="46">
        <v>5.33</v>
      </c>
      <c r="D256" s="124"/>
    </row>
    <row r="257" spans="1:4" ht="15.75" hidden="1" outlineLevel="1">
      <c r="A257" s="46" t="s">
        <v>3109</v>
      </c>
      <c r="B257" s="47" t="s">
        <v>140</v>
      </c>
      <c r="C257" s="46">
        <v>5.36</v>
      </c>
      <c r="D257" s="124"/>
    </row>
    <row r="258" spans="1:4" ht="15.75" hidden="1" outlineLevel="1">
      <c r="A258" s="46" t="s">
        <v>3109</v>
      </c>
      <c r="B258" s="47" t="s">
        <v>11</v>
      </c>
      <c r="C258" s="46">
        <v>5.53</v>
      </c>
      <c r="D258" s="124"/>
    </row>
    <row r="259" spans="1:4" ht="15.75" hidden="1" outlineLevel="1">
      <c r="A259" s="46" t="s">
        <v>3109</v>
      </c>
      <c r="B259" s="47" t="s">
        <v>17</v>
      </c>
      <c r="C259" s="46">
        <v>5.58</v>
      </c>
      <c r="D259" s="124"/>
    </row>
    <row r="260" spans="1:4" ht="15.75" hidden="1" outlineLevel="1">
      <c r="A260" s="46" t="s">
        <v>3109</v>
      </c>
      <c r="B260" s="47" t="s">
        <v>18</v>
      </c>
      <c r="C260" s="46">
        <v>5.54</v>
      </c>
      <c r="D260" s="124"/>
    </row>
    <row r="261" spans="1:4" ht="15.75" hidden="1" outlineLevel="1">
      <c r="A261" s="46" t="s">
        <v>3109</v>
      </c>
      <c r="B261" s="47" t="s">
        <v>19</v>
      </c>
      <c r="C261" s="46">
        <v>5.55</v>
      </c>
      <c r="D261" s="124"/>
    </row>
    <row r="262" spans="1:4" ht="15.75" hidden="1" outlineLevel="1">
      <c r="A262" s="46" t="s">
        <v>3109</v>
      </c>
      <c r="B262" s="47" t="s">
        <v>20</v>
      </c>
      <c r="C262" s="46">
        <v>5.63</v>
      </c>
      <c r="D262" s="124"/>
    </row>
    <row r="263" spans="1:4" ht="15.75" hidden="1" outlineLevel="1">
      <c r="A263" s="46" t="s">
        <v>3109</v>
      </c>
      <c r="B263" s="47" t="s">
        <v>24</v>
      </c>
      <c r="C263" s="46">
        <v>5.47</v>
      </c>
      <c r="D263" s="124"/>
    </row>
    <row r="264" spans="1:4" ht="15.75" hidden="1" outlineLevel="1">
      <c r="A264" s="46" t="s">
        <v>3109</v>
      </c>
      <c r="B264" s="47" t="s">
        <v>25</v>
      </c>
      <c r="C264" s="46">
        <v>5.48</v>
      </c>
      <c r="D264" s="124"/>
    </row>
    <row r="265" spans="1:4" ht="15.75">
      <c r="A265" s="52" t="s">
        <v>3109</v>
      </c>
      <c r="B265" s="47"/>
      <c r="C265" s="46"/>
      <c r="D265" s="124"/>
    </row>
    <row r="266" spans="1:4" ht="15.75" hidden="1" outlineLevel="1">
      <c r="A266" s="46" t="s">
        <v>2863</v>
      </c>
      <c r="B266" s="47" t="s">
        <v>0</v>
      </c>
      <c r="C266" s="46">
        <v>5.0999999999999996</v>
      </c>
      <c r="D266" s="124"/>
    </row>
    <row r="267" spans="1:4" ht="15.75" hidden="1" outlineLevel="1">
      <c r="A267" s="46" t="s">
        <v>2863</v>
      </c>
      <c r="B267" s="47" t="s">
        <v>1</v>
      </c>
      <c r="C267" s="46">
        <v>5.2</v>
      </c>
      <c r="D267" s="124"/>
    </row>
    <row r="268" spans="1:4" ht="15.75" hidden="1" outlineLevel="1">
      <c r="A268" s="46" t="s">
        <v>2863</v>
      </c>
      <c r="B268" s="47" t="s">
        <v>2</v>
      </c>
      <c r="C268" s="46">
        <v>5.3</v>
      </c>
      <c r="D268" s="124"/>
    </row>
    <row r="269" spans="1:4" ht="15.75" hidden="1" outlineLevel="1">
      <c r="A269" s="46" t="s">
        <v>2863</v>
      </c>
      <c r="B269" s="47" t="s">
        <v>136</v>
      </c>
      <c r="C269" s="46">
        <v>5.6</v>
      </c>
      <c r="D269" s="124"/>
    </row>
    <row r="270" spans="1:4" ht="15.75" hidden="1" outlineLevel="1">
      <c r="A270" s="46" t="s">
        <v>2863</v>
      </c>
      <c r="B270" s="47" t="s">
        <v>3105</v>
      </c>
      <c r="C270" s="48">
        <v>5.0999999999999996</v>
      </c>
      <c r="D270" s="124"/>
    </row>
    <row r="271" spans="1:4" ht="15.75" hidden="1" outlineLevel="1">
      <c r="A271" s="46" t="s">
        <v>2863</v>
      </c>
      <c r="B271" s="47" t="s">
        <v>1491</v>
      </c>
      <c r="C271" s="46">
        <v>5.14</v>
      </c>
      <c r="D271" s="124"/>
    </row>
    <row r="272" spans="1:4" ht="15.75" hidden="1" outlineLevel="1">
      <c r="A272" s="46" t="s">
        <v>2863</v>
      </c>
      <c r="B272" s="47" t="s">
        <v>4</v>
      </c>
      <c r="C272" s="46">
        <v>5.19</v>
      </c>
      <c r="D272" s="124"/>
    </row>
    <row r="273" spans="1:4" ht="15.75" hidden="1" outlineLevel="1">
      <c r="A273" s="46" t="s">
        <v>2863</v>
      </c>
      <c r="B273" s="47" t="s">
        <v>138</v>
      </c>
      <c r="C273" s="46">
        <v>5.24</v>
      </c>
      <c r="D273" s="124"/>
    </row>
    <row r="274" spans="1:4" ht="15.75" hidden="1" outlineLevel="1">
      <c r="A274" s="46" t="s">
        <v>2863</v>
      </c>
      <c r="B274" s="47" t="s">
        <v>5</v>
      </c>
      <c r="C274" s="46">
        <v>5.26</v>
      </c>
      <c r="D274" s="124"/>
    </row>
    <row r="275" spans="1:4" ht="15.75" hidden="1" outlineLevel="1">
      <c r="A275" s="46" t="s">
        <v>2863</v>
      </c>
      <c r="B275" s="47" t="s">
        <v>6</v>
      </c>
      <c r="C275" s="46">
        <v>5.27</v>
      </c>
      <c r="D275" s="124"/>
    </row>
    <row r="276" spans="1:4" ht="15.75" hidden="1" outlineLevel="1">
      <c r="A276" s="46" t="s">
        <v>2863</v>
      </c>
      <c r="B276" s="47" t="s">
        <v>7</v>
      </c>
      <c r="C276" s="46">
        <v>5.28</v>
      </c>
      <c r="D276" s="124"/>
    </row>
    <row r="277" spans="1:4" ht="15.75" hidden="1" outlineLevel="1">
      <c r="A277" s="46" t="s">
        <v>2863</v>
      </c>
      <c r="B277" s="47" t="s">
        <v>146</v>
      </c>
      <c r="C277" s="46">
        <v>5.29</v>
      </c>
      <c r="D277" s="124"/>
    </row>
    <row r="278" spans="1:4" ht="15.75" hidden="1" outlineLevel="1">
      <c r="A278" s="46" t="s">
        <v>2863</v>
      </c>
      <c r="B278" s="47" t="s">
        <v>8</v>
      </c>
      <c r="C278" s="48">
        <v>5.3</v>
      </c>
      <c r="D278" s="124"/>
    </row>
    <row r="279" spans="1:4" ht="15.75" hidden="1" outlineLevel="1">
      <c r="A279" s="46" t="s">
        <v>2863</v>
      </c>
      <c r="B279" s="47" t="s">
        <v>1524</v>
      </c>
      <c r="C279" s="46">
        <v>5.33</v>
      </c>
      <c r="D279" s="124"/>
    </row>
    <row r="280" spans="1:4" ht="15.75" hidden="1" outlineLevel="1">
      <c r="A280" s="46" t="s">
        <v>2863</v>
      </c>
      <c r="B280" s="47" t="s">
        <v>140</v>
      </c>
      <c r="C280" s="46">
        <v>5.36</v>
      </c>
      <c r="D280" s="124"/>
    </row>
    <row r="281" spans="1:4" ht="15.75" hidden="1" outlineLevel="1">
      <c r="A281" s="46" t="s">
        <v>2863</v>
      </c>
      <c r="B281" s="47" t="s">
        <v>12</v>
      </c>
      <c r="C281" s="46">
        <v>5.69</v>
      </c>
      <c r="D281" s="124"/>
    </row>
    <row r="282" spans="1:4" ht="15.75" hidden="1" outlineLevel="1">
      <c r="A282" s="46" t="s">
        <v>2863</v>
      </c>
      <c r="B282" s="47" t="s">
        <v>14</v>
      </c>
      <c r="C282" s="48">
        <v>5.7</v>
      </c>
      <c r="D282" s="124"/>
    </row>
    <row r="283" spans="1:4" ht="15.75" hidden="1" outlineLevel="1">
      <c r="A283" s="46" t="s">
        <v>2863</v>
      </c>
      <c r="B283" s="47" t="s">
        <v>15</v>
      </c>
      <c r="C283" s="46">
        <v>5.74</v>
      </c>
      <c r="D283" s="124"/>
    </row>
    <row r="284" spans="1:4" ht="15.75" hidden="1" outlineLevel="1">
      <c r="A284" s="46" t="s">
        <v>2863</v>
      </c>
      <c r="B284" s="47" t="s">
        <v>9</v>
      </c>
      <c r="C284" s="46">
        <v>5.49</v>
      </c>
      <c r="D284" s="124"/>
    </row>
    <row r="285" spans="1:4" ht="15.75" hidden="1" outlineLevel="1">
      <c r="A285" s="46" t="s">
        <v>2863</v>
      </c>
      <c r="B285" s="47" t="s">
        <v>10</v>
      </c>
      <c r="C285" s="46">
        <v>5.51</v>
      </c>
      <c r="D285" s="124"/>
    </row>
    <row r="286" spans="1:4" ht="15.75" hidden="1" outlineLevel="1">
      <c r="A286" s="46" t="s">
        <v>2863</v>
      </c>
      <c r="B286" s="47" t="s">
        <v>3106</v>
      </c>
      <c r="C286" s="46">
        <v>5.52</v>
      </c>
      <c r="D286" s="124"/>
    </row>
    <row r="287" spans="1:4" ht="15.75" hidden="1" outlineLevel="1">
      <c r="A287" s="46" t="s">
        <v>2863</v>
      </c>
      <c r="B287" s="47" t="s">
        <v>11</v>
      </c>
      <c r="C287" s="46">
        <v>5.53</v>
      </c>
      <c r="D287" s="124"/>
    </row>
    <row r="288" spans="1:4" ht="15.75" hidden="1" outlineLevel="1">
      <c r="A288" s="46" t="s">
        <v>2863</v>
      </c>
      <c r="B288" s="47" t="s">
        <v>17</v>
      </c>
      <c r="C288" s="46">
        <v>5.58</v>
      </c>
      <c r="D288" s="124"/>
    </row>
    <row r="289" spans="1:4" ht="15.75" hidden="1" outlineLevel="1">
      <c r="A289" s="46" t="s">
        <v>2863</v>
      </c>
      <c r="B289" s="47" t="s">
        <v>18</v>
      </c>
      <c r="C289" s="46">
        <v>5.54</v>
      </c>
      <c r="D289" s="124"/>
    </row>
    <row r="290" spans="1:4" ht="15.75" hidden="1" outlineLevel="1">
      <c r="A290" s="46" t="s">
        <v>2863</v>
      </c>
      <c r="B290" s="47" t="s">
        <v>19</v>
      </c>
      <c r="C290" s="46">
        <v>5.55</v>
      </c>
      <c r="D290" s="124"/>
    </row>
    <row r="291" spans="1:4" ht="15.75" hidden="1" outlineLevel="1">
      <c r="A291" s="46" t="s">
        <v>2863</v>
      </c>
      <c r="B291" s="47" t="s">
        <v>20</v>
      </c>
      <c r="C291" s="46">
        <v>5.63</v>
      </c>
      <c r="D291" s="124"/>
    </row>
    <row r="292" spans="1:4" ht="15.75" hidden="1" outlineLevel="1">
      <c r="A292" s="46" t="s">
        <v>2863</v>
      </c>
      <c r="B292" s="47" t="s">
        <v>24</v>
      </c>
      <c r="C292" s="46">
        <v>5.47</v>
      </c>
      <c r="D292" s="124"/>
    </row>
    <row r="293" spans="1:4" ht="15.75" hidden="1" outlineLevel="1">
      <c r="A293" s="46" t="s">
        <v>2863</v>
      </c>
      <c r="B293" s="47" t="s">
        <v>25</v>
      </c>
      <c r="C293" s="46">
        <v>5.48</v>
      </c>
      <c r="D293" s="124"/>
    </row>
    <row r="294" spans="1:4" ht="15.75">
      <c r="A294" s="52" t="s">
        <v>2863</v>
      </c>
      <c r="B294" s="47"/>
      <c r="C294" s="46"/>
      <c r="D294" s="124"/>
    </row>
    <row r="295" spans="1:4" ht="31.5" hidden="1" outlineLevel="1">
      <c r="A295" s="46" t="s">
        <v>2869</v>
      </c>
      <c r="B295" s="47" t="s">
        <v>0</v>
      </c>
      <c r="C295" s="46">
        <v>5.0999999999999996</v>
      </c>
      <c r="D295" s="124"/>
    </row>
    <row r="296" spans="1:4" ht="31.5" hidden="1" outlineLevel="1">
      <c r="A296" s="46" t="s">
        <v>2869</v>
      </c>
      <c r="B296" s="47" t="s">
        <v>1</v>
      </c>
      <c r="C296" s="46">
        <v>5.2</v>
      </c>
      <c r="D296" s="124"/>
    </row>
    <row r="297" spans="1:4" ht="31.5" hidden="1" outlineLevel="1">
      <c r="A297" s="46" t="s">
        <v>2869</v>
      </c>
      <c r="B297" s="47" t="s">
        <v>2</v>
      </c>
      <c r="C297" s="46">
        <v>5.3</v>
      </c>
      <c r="D297" s="124"/>
    </row>
    <row r="298" spans="1:4" ht="31.5" hidden="1" outlineLevel="1">
      <c r="A298" s="46" t="s">
        <v>2869</v>
      </c>
      <c r="B298" s="47" t="s">
        <v>1491</v>
      </c>
      <c r="C298" s="46">
        <v>5.14</v>
      </c>
      <c r="D298" s="124"/>
    </row>
    <row r="299" spans="1:4" ht="31.5" hidden="1" outlineLevel="1">
      <c r="A299" s="46" t="s">
        <v>2869</v>
      </c>
      <c r="B299" s="47" t="s">
        <v>4</v>
      </c>
      <c r="C299" s="46">
        <v>5.19</v>
      </c>
      <c r="D299" s="124"/>
    </row>
    <row r="300" spans="1:4" ht="31.5" hidden="1" outlineLevel="1">
      <c r="A300" s="46" t="s">
        <v>2869</v>
      </c>
      <c r="B300" s="47" t="s">
        <v>138</v>
      </c>
      <c r="C300" s="46">
        <v>5.24</v>
      </c>
      <c r="D300" s="124"/>
    </row>
    <row r="301" spans="1:4" ht="31.5" hidden="1" outlineLevel="1">
      <c r="A301" s="46" t="s">
        <v>2869</v>
      </c>
      <c r="B301" s="47" t="s">
        <v>5</v>
      </c>
      <c r="C301" s="46">
        <v>5.26</v>
      </c>
      <c r="D301" s="124"/>
    </row>
    <row r="302" spans="1:4" ht="31.5" hidden="1" outlineLevel="1">
      <c r="A302" s="46" t="s">
        <v>2869</v>
      </c>
      <c r="B302" s="47" t="s">
        <v>6</v>
      </c>
      <c r="C302" s="46">
        <v>5.27</v>
      </c>
      <c r="D302" s="124"/>
    </row>
    <row r="303" spans="1:4" ht="31.5" hidden="1" outlineLevel="1">
      <c r="A303" s="46" t="s">
        <v>2869</v>
      </c>
      <c r="B303" s="47" t="s">
        <v>7</v>
      </c>
      <c r="C303" s="46">
        <v>5.28</v>
      </c>
      <c r="D303" s="124"/>
    </row>
    <row r="304" spans="1:4" ht="31.5" hidden="1" outlineLevel="1">
      <c r="A304" s="46" t="s">
        <v>2869</v>
      </c>
      <c r="B304" s="47" t="s">
        <v>1546</v>
      </c>
      <c r="C304" s="46">
        <v>5.37</v>
      </c>
      <c r="D304" s="124"/>
    </row>
    <row r="305" spans="1:4" ht="31.5" hidden="1" outlineLevel="1">
      <c r="A305" s="46" t="s">
        <v>2869</v>
      </c>
      <c r="B305" s="47" t="s">
        <v>9</v>
      </c>
      <c r="C305" s="46">
        <v>5.49</v>
      </c>
      <c r="D305" s="124"/>
    </row>
    <row r="306" spans="1:4" ht="31.5" hidden="1" outlineLevel="1">
      <c r="A306" s="46" t="s">
        <v>2869</v>
      </c>
      <c r="B306" s="47" t="s">
        <v>10</v>
      </c>
      <c r="C306" s="46">
        <v>5.51</v>
      </c>
      <c r="D306" s="124"/>
    </row>
    <row r="307" spans="1:4" ht="31.5" hidden="1" outlineLevel="1">
      <c r="A307" s="46" t="s">
        <v>2869</v>
      </c>
      <c r="B307" s="47" t="s">
        <v>11</v>
      </c>
      <c r="C307" s="46">
        <v>5.53</v>
      </c>
      <c r="D307" s="124"/>
    </row>
    <row r="308" spans="1:4" ht="31.5" hidden="1" outlineLevel="1">
      <c r="A308" s="46" t="s">
        <v>2869</v>
      </c>
      <c r="B308" s="47" t="s">
        <v>12</v>
      </c>
      <c r="C308" s="46">
        <v>5.69</v>
      </c>
      <c r="D308" s="124"/>
    </row>
    <row r="309" spans="1:4" ht="31.5" hidden="1" outlineLevel="1">
      <c r="A309" s="46" t="s">
        <v>2869</v>
      </c>
      <c r="B309" s="47" t="s">
        <v>13</v>
      </c>
      <c r="C309" s="46">
        <v>5.75</v>
      </c>
      <c r="D309" s="124"/>
    </row>
    <row r="310" spans="1:4" ht="31.5" hidden="1" outlineLevel="1">
      <c r="A310" s="46" t="s">
        <v>2869</v>
      </c>
      <c r="B310" s="47" t="s">
        <v>14</v>
      </c>
      <c r="C310" s="48">
        <v>5.7</v>
      </c>
      <c r="D310" s="124"/>
    </row>
    <row r="311" spans="1:4" ht="31.5" hidden="1" outlineLevel="1">
      <c r="A311" s="46" t="s">
        <v>2869</v>
      </c>
      <c r="B311" s="47" t="s">
        <v>15</v>
      </c>
      <c r="C311" s="46">
        <v>5.74</v>
      </c>
      <c r="D311" s="124"/>
    </row>
    <row r="312" spans="1:4" ht="31.5" hidden="1" outlineLevel="1">
      <c r="A312" s="46" t="s">
        <v>2869</v>
      </c>
      <c r="B312" s="47" t="s">
        <v>17</v>
      </c>
      <c r="C312" s="46">
        <v>5.58</v>
      </c>
      <c r="D312" s="124"/>
    </row>
    <row r="313" spans="1:4" ht="31.5" hidden="1" outlineLevel="1">
      <c r="A313" s="46" t="s">
        <v>2869</v>
      </c>
      <c r="B313" s="47" t="s">
        <v>18</v>
      </c>
      <c r="C313" s="46">
        <v>5.54</v>
      </c>
      <c r="D313" s="124"/>
    </row>
    <row r="314" spans="1:4" ht="31.5" hidden="1" outlineLevel="1">
      <c r="A314" s="46" t="s">
        <v>2869</v>
      </c>
      <c r="B314" s="47" t="s">
        <v>19</v>
      </c>
      <c r="C314" s="46">
        <v>5.55</v>
      </c>
      <c r="D314" s="124"/>
    </row>
    <row r="315" spans="1:4" ht="31.5" hidden="1" outlineLevel="1">
      <c r="A315" s="46" t="s">
        <v>2869</v>
      </c>
      <c r="B315" s="47" t="s">
        <v>20</v>
      </c>
      <c r="C315" s="46">
        <v>5.63</v>
      </c>
      <c r="D315" s="124"/>
    </row>
    <row r="316" spans="1:4" ht="31.5" hidden="1" outlineLevel="1">
      <c r="A316" s="46" t="s">
        <v>2869</v>
      </c>
      <c r="B316" s="47" t="s">
        <v>21</v>
      </c>
      <c r="C316" s="46">
        <v>5.65</v>
      </c>
      <c r="D316" s="124"/>
    </row>
    <row r="317" spans="1:4" ht="31.5" hidden="1" outlineLevel="1">
      <c r="A317" s="46" t="s">
        <v>2869</v>
      </c>
      <c r="B317" s="47" t="s">
        <v>22</v>
      </c>
      <c r="C317" s="46">
        <v>5.68</v>
      </c>
      <c r="D317" s="124"/>
    </row>
    <row r="318" spans="1:4" ht="31.5" hidden="1" outlineLevel="1">
      <c r="A318" s="46" t="s">
        <v>2869</v>
      </c>
      <c r="B318" s="47" t="s">
        <v>24</v>
      </c>
      <c r="C318" s="46">
        <v>5.47</v>
      </c>
      <c r="D318" s="124"/>
    </row>
    <row r="319" spans="1:4" ht="31.5" hidden="1" outlineLevel="1">
      <c r="A319" s="46" t="s">
        <v>2869</v>
      </c>
      <c r="B319" s="47" t="s">
        <v>25</v>
      </c>
      <c r="C319" s="46">
        <v>5.48</v>
      </c>
      <c r="D319" s="124"/>
    </row>
    <row r="320" spans="1:4" ht="31.5">
      <c r="A320" s="52" t="s">
        <v>2869</v>
      </c>
      <c r="B320" s="47"/>
      <c r="C320" s="46"/>
      <c r="D320" s="124"/>
    </row>
    <row r="321" spans="1:4" ht="31.5" hidden="1" outlineLevel="1">
      <c r="A321" s="46" t="s">
        <v>2870</v>
      </c>
      <c r="B321" s="47" t="s">
        <v>0</v>
      </c>
      <c r="C321" s="46">
        <v>5.0999999999999996</v>
      </c>
      <c r="D321" s="124"/>
    </row>
    <row r="322" spans="1:4" ht="31.5" hidden="1" outlineLevel="1">
      <c r="A322" s="46" t="s">
        <v>2870</v>
      </c>
      <c r="B322" s="47" t="s">
        <v>1</v>
      </c>
      <c r="C322" s="46">
        <v>5.2</v>
      </c>
      <c r="D322" s="124"/>
    </row>
    <row r="323" spans="1:4" ht="31.5" hidden="1" outlineLevel="1">
      <c r="A323" s="46" t="s">
        <v>2870</v>
      </c>
      <c r="B323" s="47" t="s">
        <v>5</v>
      </c>
      <c r="C323" s="46">
        <v>5.26</v>
      </c>
      <c r="D323" s="124"/>
    </row>
    <row r="324" spans="1:4" ht="31.5" hidden="1" outlineLevel="1">
      <c r="A324" s="46" t="s">
        <v>2870</v>
      </c>
      <c r="B324" s="47" t="s">
        <v>1491</v>
      </c>
      <c r="C324" s="46">
        <v>5.14</v>
      </c>
      <c r="D324" s="124"/>
    </row>
    <row r="325" spans="1:4" ht="31.5" hidden="1" outlineLevel="1">
      <c r="A325" s="46" t="s">
        <v>2870</v>
      </c>
      <c r="B325" s="47" t="s">
        <v>4</v>
      </c>
      <c r="C325" s="46">
        <v>5.19</v>
      </c>
      <c r="D325" s="124"/>
    </row>
    <row r="326" spans="1:4" ht="31.5" hidden="1" outlineLevel="1">
      <c r="A326" s="46" t="s">
        <v>2870</v>
      </c>
      <c r="B326" s="47" t="s">
        <v>1546</v>
      </c>
      <c r="C326" s="46">
        <v>5.37</v>
      </c>
      <c r="D326" s="124"/>
    </row>
    <row r="327" spans="1:4" ht="31.5" hidden="1" outlineLevel="1">
      <c r="A327" s="46" t="s">
        <v>2870</v>
      </c>
      <c r="B327" s="47" t="s">
        <v>12</v>
      </c>
      <c r="C327" s="46">
        <v>5.69</v>
      </c>
      <c r="D327" s="124"/>
    </row>
    <row r="328" spans="1:4" ht="31.5" hidden="1" outlineLevel="1">
      <c r="A328" s="46" t="s">
        <v>2870</v>
      </c>
      <c r="B328" s="47" t="s">
        <v>1547</v>
      </c>
      <c r="C328" s="48">
        <v>5.8</v>
      </c>
      <c r="D328" s="124"/>
    </row>
    <row r="329" spans="1:4" ht="31.5" hidden="1" outlineLevel="1">
      <c r="A329" s="46" t="s">
        <v>2870</v>
      </c>
      <c r="B329" s="47" t="s">
        <v>13</v>
      </c>
      <c r="C329" s="46">
        <v>5.75</v>
      </c>
      <c r="D329" s="124"/>
    </row>
    <row r="330" spans="1:4" ht="31.5" hidden="1" outlineLevel="1">
      <c r="A330" s="46" t="s">
        <v>2870</v>
      </c>
      <c r="B330" s="47" t="s">
        <v>14</v>
      </c>
      <c r="C330" s="48">
        <v>5.7</v>
      </c>
      <c r="D330" s="124"/>
    </row>
    <row r="331" spans="1:4" ht="31.5" hidden="1" outlineLevel="1">
      <c r="A331" s="46" t="s">
        <v>2870</v>
      </c>
      <c r="B331" s="47" t="s">
        <v>15</v>
      </c>
      <c r="C331" s="46">
        <v>5.74</v>
      </c>
      <c r="D331" s="124"/>
    </row>
    <row r="332" spans="1:4" ht="31.5" hidden="1" outlineLevel="1">
      <c r="A332" s="46" t="s">
        <v>2870</v>
      </c>
      <c r="B332" s="47" t="s">
        <v>17</v>
      </c>
      <c r="C332" s="46">
        <v>5.58</v>
      </c>
      <c r="D332" s="124"/>
    </row>
    <row r="333" spans="1:4" ht="31.5" hidden="1" outlineLevel="1">
      <c r="A333" s="46" t="s">
        <v>2870</v>
      </c>
      <c r="B333" s="47" t="s">
        <v>19</v>
      </c>
      <c r="C333" s="46">
        <v>5.55</v>
      </c>
      <c r="D333" s="124"/>
    </row>
    <row r="334" spans="1:4" ht="31.5" hidden="1" outlineLevel="1">
      <c r="A334" s="46" t="s">
        <v>2870</v>
      </c>
      <c r="B334" s="47" t="s">
        <v>20</v>
      </c>
      <c r="C334" s="46">
        <v>5.63</v>
      </c>
      <c r="D334" s="124"/>
    </row>
    <row r="335" spans="1:4" ht="31.5" hidden="1" outlineLevel="1">
      <c r="A335" s="46" t="s">
        <v>2870</v>
      </c>
      <c r="B335" s="47" t="s">
        <v>21</v>
      </c>
      <c r="C335" s="46">
        <v>5.65</v>
      </c>
      <c r="D335" s="124"/>
    </row>
    <row r="336" spans="1:4" ht="31.5" hidden="1" outlineLevel="1">
      <c r="A336" s="46" t="s">
        <v>2870</v>
      </c>
      <c r="B336" s="47" t="s">
        <v>22</v>
      </c>
      <c r="C336" s="46">
        <v>5.68</v>
      </c>
      <c r="D336" s="124"/>
    </row>
    <row r="337" spans="1:4" ht="31.5" hidden="1" outlineLevel="1">
      <c r="A337" s="46" t="s">
        <v>2870</v>
      </c>
      <c r="B337" s="47" t="s">
        <v>24</v>
      </c>
      <c r="C337" s="46">
        <v>5.47</v>
      </c>
      <c r="D337" s="124"/>
    </row>
    <row r="338" spans="1:4" ht="31.5" hidden="1" outlineLevel="1">
      <c r="A338" s="46" t="s">
        <v>2870</v>
      </c>
      <c r="B338" s="47" t="s">
        <v>25</v>
      </c>
      <c r="C338" s="46">
        <v>5.48</v>
      </c>
      <c r="D338" s="124"/>
    </row>
    <row r="339" spans="1:4" ht="31.5">
      <c r="A339" s="52" t="s">
        <v>2870</v>
      </c>
      <c r="B339" s="47"/>
      <c r="C339" s="46"/>
      <c r="D339" s="124"/>
    </row>
    <row r="340" spans="1:4" ht="31.5" hidden="1" outlineLevel="1">
      <c r="A340" s="46" t="s">
        <v>2876</v>
      </c>
      <c r="B340" s="47" t="s">
        <v>1548</v>
      </c>
      <c r="C340" s="46">
        <v>5.0999999999999996</v>
      </c>
      <c r="D340" s="124"/>
    </row>
    <row r="341" spans="1:4" ht="31.5" hidden="1" outlineLevel="1">
      <c r="A341" s="46" t="s">
        <v>2876</v>
      </c>
      <c r="B341" s="47" t="s">
        <v>1</v>
      </c>
      <c r="C341" s="46">
        <v>5.2</v>
      </c>
      <c r="D341" s="124"/>
    </row>
    <row r="342" spans="1:4" ht="31.5" hidden="1" outlineLevel="1">
      <c r="A342" s="46" t="s">
        <v>2876</v>
      </c>
      <c r="B342" s="47" t="s">
        <v>5</v>
      </c>
      <c r="C342" s="46">
        <v>5.26</v>
      </c>
      <c r="D342" s="124"/>
    </row>
    <row r="343" spans="1:4" ht="31.5" hidden="1" outlineLevel="1">
      <c r="A343" s="46" t="s">
        <v>2876</v>
      </c>
      <c r="B343" s="47" t="s">
        <v>1549</v>
      </c>
      <c r="C343" s="46">
        <v>5.38</v>
      </c>
      <c r="D343" s="124"/>
    </row>
    <row r="344" spans="1:4" ht="31.5" hidden="1" outlineLevel="1">
      <c r="A344" s="46" t="s">
        <v>2876</v>
      </c>
      <c r="B344" s="47" t="s">
        <v>1550</v>
      </c>
      <c r="C344" s="46">
        <v>5.39</v>
      </c>
      <c r="D344" s="124"/>
    </row>
    <row r="345" spans="1:4" ht="31.5" hidden="1" outlineLevel="1">
      <c r="A345" s="46" t="s">
        <v>2876</v>
      </c>
      <c r="B345" s="47" t="s">
        <v>1551</v>
      </c>
      <c r="C345" s="48">
        <v>5.6</v>
      </c>
      <c r="D345" s="124"/>
    </row>
    <row r="346" spans="1:4" ht="31.5" hidden="1" outlineLevel="1">
      <c r="A346" s="46" t="s">
        <v>2876</v>
      </c>
      <c r="B346" s="47" t="s">
        <v>25</v>
      </c>
      <c r="C346" s="46">
        <v>5.48</v>
      </c>
      <c r="D346" s="124"/>
    </row>
    <row r="347" spans="1:4" ht="31.5">
      <c r="A347" s="52" t="s">
        <v>2876</v>
      </c>
      <c r="B347" s="47"/>
      <c r="C347" s="46"/>
      <c r="D347" s="124"/>
    </row>
    <row r="348" spans="1:4" ht="31.5" hidden="1" outlineLevel="1">
      <c r="A348" s="46" t="s">
        <v>2880</v>
      </c>
      <c r="B348" s="47" t="s">
        <v>0</v>
      </c>
      <c r="C348" s="46">
        <v>5.0999999999999996</v>
      </c>
      <c r="D348" s="124"/>
    </row>
    <row r="349" spans="1:4" ht="31.5" hidden="1" outlineLevel="1">
      <c r="A349" s="46" t="s">
        <v>2880</v>
      </c>
      <c r="B349" s="47" t="s">
        <v>1</v>
      </c>
      <c r="C349" s="46">
        <v>5.2</v>
      </c>
      <c r="D349" s="124"/>
    </row>
    <row r="350" spans="1:4" ht="31.5" hidden="1" outlineLevel="1">
      <c r="A350" s="46" t="s">
        <v>2880</v>
      </c>
      <c r="B350" s="47" t="s">
        <v>2</v>
      </c>
      <c r="C350" s="46">
        <v>5.3</v>
      </c>
      <c r="D350" s="124"/>
    </row>
    <row r="351" spans="1:4" ht="31.5" hidden="1" outlineLevel="1">
      <c r="A351" s="46" t="s">
        <v>2880</v>
      </c>
      <c r="B351" s="47" t="s">
        <v>136</v>
      </c>
      <c r="C351" s="46">
        <v>5.6</v>
      </c>
      <c r="D351" s="124"/>
    </row>
    <row r="352" spans="1:4" ht="31.5" hidden="1" outlineLevel="1">
      <c r="A352" s="46" t="s">
        <v>2880</v>
      </c>
      <c r="B352" s="47" t="s">
        <v>3105</v>
      </c>
      <c r="C352" s="48">
        <v>5.0999999999999996</v>
      </c>
      <c r="D352" s="124"/>
    </row>
    <row r="353" spans="1:4" ht="31.5" hidden="1" outlineLevel="1">
      <c r="A353" s="46" t="s">
        <v>2880</v>
      </c>
      <c r="B353" s="47" t="s">
        <v>1491</v>
      </c>
      <c r="C353" s="46">
        <v>5.14</v>
      </c>
      <c r="D353" s="124"/>
    </row>
    <row r="354" spans="1:4" ht="31.5" hidden="1" outlineLevel="1">
      <c r="A354" s="46" t="s">
        <v>2880</v>
      </c>
      <c r="B354" s="47" t="s">
        <v>4</v>
      </c>
      <c r="C354" s="46">
        <v>5.19</v>
      </c>
      <c r="D354" s="124"/>
    </row>
    <row r="355" spans="1:4" ht="31.5" hidden="1" outlineLevel="1">
      <c r="A355" s="46" t="s">
        <v>2880</v>
      </c>
      <c r="B355" s="47" t="s">
        <v>138</v>
      </c>
      <c r="C355" s="46">
        <v>5.24</v>
      </c>
      <c r="D355" s="124"/>
    </row>
    <row r="356" spans="1:4" ht="31.5" hidden="1" outlineLevel="1">
      <c r="A356" s="46" t="s">
        <v>2880</v>
      </c>
      <c r="B356" s="47" t="s">
        <v>5</v>
      </c>
      <c r="C356" s="46">
        <v>5.26</v>
      </c>
      <c r="D356" s="124"/>
    </row>
    <row r="357" spans="1:4" ht="31.5" hidden="1" outlineLevel="1">
      <c r="A357" s="46" t="s">
        <v>2880</v>
      </c>
      <c r="B357" s="47" t="s">
        <v>6</v>
      </c>
      <c r="C357" s="46">
        <v>5.27</v>
      </c>
      <c r="D357" s="124"/>
    </row>
    <row r="358" spans="1:4" ht="31.5" hidden="1" outlineLevel="1">
      <c r="A358" s="46" t="s">
        <v>2880</v>
      </c>
      <c r="B358" s="47" t="s">
        <v>7</v>
      </c>
      <c r="C358" s="46">
        <v>5.28</v>
      </c>
      <c r="D358" s="124"/>
    </row>
    <row r="359" spans="1:4" ht="31.5" hidden="1" outlineLevel="1">
      <c r="A359" s="46" t="s">
        <v>2880</v>
      </c>
      <c r="B359" s="47" t="s">
        <v>139</v>
      </c>
      <c r="C359" s="46">
        <v>5.31</v>
      </c>
      <c r="D359" s="124"/>
    </row>
    <row r="360" spans="1:4" ht="31.5" hidden="1" outlineLevel="1">
      <c r="A360" s="46" t="s">
        <v>2880</v>
      </c>
      <c r="B360" s="47" t="s">
        <v>140</v>
      </c>
      <c r="C360" s="46">
        <v>5.36</v>
      </c>
      <c r="D360" s="124"/>
    </row>
    <row r="361" spans="1:4" ht="31.5" hidden="1" outlineLevel="1">
      <c r="A361" s="46" t="s">
        <v>2880</v>
      </c>
      <c r="B361" s="47" t="s">
        <v>1546</v>
      </c>
      <c r="C361" s="46">
        <v>5.37</v>
      </c>
      <c r="D361" s="124"/>
    </row>
    <row r="362" spans="1:4" ht="31.5" hidden="1" outlineLevel="1">
      <c r="A362" s="46" t="s">
        <v>2880</v>
      </c>
      <c r="B362" s="47" t="s">
        <v>9</v>
      </c>
      <c r="C362" s="46">
        <v>5.49</v>
      </c>
      <c r="D362" s="124"/>
    </row>
    <row r="363" spans="1:4" ht="31.5" hidden="1" outlineLevel="1">
      <c r="A363" s="46" t="s">
        <v>2880</v>
      </c>
      <c r="B363" s="47" t="s">
        <v>10</v>
      </c>
      <c r="C363" s="46">
        <v>5.51</v>
      </c>
      <c r="D363" s="124"/>
    </row>
    <row r="364" spans="1:4" ht="31.5" hidden="1" outlineLevel="1">
      <c r="A364" s="46" t="s">
        <v>2880</v>
      </c>
      <c r="B364" s="47" t="s">
        <v>3106</v>
      </c>
      <c r="C364" s="46">
        <v>5.52</v>
      </c>
      <c r="D364" s="124"/>
    </row>
    <row r="365" spans="1:4" ht="31.5" hidden="1" outlineLevel="1">
      <c r="A365" s="46" t="s">
        <v>2880</v>
      </c>
      <c r="B365" s="47" t="s">
        <v>11</v>
      </c>
      <c r="C365" s="46">
        <v>5.53</v>
      </c>
      <c r="D365" s="124"/>
    </row>
    <row r="366" spans="1:4" ht="31.5" hidden="1" outlineLevel="1">
      <c r="A366" s="46" t="s">
        <v>2880</v>
      </c>
      <c r="B366" s="47" t="s">
        <v>12</v>
      </c>
      <c r="C366" s="46">
        <v>5.69</v>
      </c>
      <c r="D366" s="124"/>
    </row>
    <row r="367" spans="1:4" ht="31.5" hidden="1" outlineLevel="1">
      <c r="A367" s="46" t="s">
        <v>2880</v>
      </c>
      <c r="B367" s="47" t="s">
        <v>1547</v>
      </c>
      <c r="C367" s="48">
        <v>5.8</v>
      </c>
      <c r="D367" s="124"/>
    </row>
    <row r="368" spans="1:4" ht="31.5" hidden="1" outlineLevel="1">
      <c r="A368" s="46" t="s">
        <v>2880</v>
      </c>
      <c r="B368" s="47" t="s">
        <v>142</v>
      </c>
      <c r="C368" s="48">
        <v>5.72</v>
      </c>
      <c r="D368" s="124"/>
    </row>
    <row r="369" spans="1:4" ht="31.5" hidden="1" outlineLevel="1">
      <c r="A369" s="46" t="s">
        <v>2880</v>
      </c>
      <c r="B369" s="47" t="s">
        <v>13</v>
      </c>
      <c r="C369" s="46">
        <v>5.75</v>
      </c>
      <c r="D369" s="124"/>
    </row>
    <row r="370" spans="1:4" ht="31.5" hidden="1" outlineLevel="1">
      <c r="A370" s="46" t="s">
        <v>2880</v>
      </c>
      <c r="B370" s="47" t="s">
        <v>14</v>
      </c>
      <c r="C370" s="48">
        <v>5.7</v>
      </c>
      <c r="D370" s="124"/>
    </row>
    <row r="371" spans="1:4" ht="31.5" hidden="1" outlineLevel="1">
      <c r="A371" s="46" t="s">
        <v>2880</v>
      </c>
      <c r="B371" s="47" t="s">
        <v>15</v>
      </c>
      <c r="C371" s="46">
        <v>5.74</v>
      </c>
      <c r="D371" s="124"/>
    </row>
    <row r="372" spans="1:4" ht="31.5" hidden="1" outlineLevel="1">
      <c r="A372" s="46" t="s">
        <v>2880</v>
      </c>
      <c r="B372" s="47" t="s">
        <v>143</v>
      </c>
      <c r="C372" s="46">
        <v>5.76</v>
      </c>
      <c r="D372" s="124"/>
    </row>
    <row r="373" spans="1:4" ht="31.5" hidden="1" outlineLevel="1">
      <c r="A373" s="46" t="s">
        <v>2880</v>
      </c>
      <c r="B373" s="47" t="s">
        <v>144</v>
      </c>
      <c r="C373" s="46">
        <v>5.89</v>
      </c>
      <c r="D373" s="123" t="s">
        <v>3104</v>
      </c>
    </row>
    <row r="374" spans="1:4" ht="31.5" hidden="1" outlineLevel="1">
      <c r="A374" s="46" t="s">
        <v>2880</v>
      </c>
      <c r="B374" s="47" t="s">
        <v>1552</v>
      </c>
      <c r="C374" s="46">
        <v>5.109</v>
      </c>
      <c r="D374" s="123"/>
    </row>
    <row r="375" spans="1:4" ht="31.5" hidden="1" outlineLevel="1">
      <c r="A375" s="46" t="s">
        <v>2880</v>
      </c>
      <c r="B375" s="47" t="s">
        <v>1553</v>
      </c>
      <c r="C375" s="46">
        <v>5.1109999999999998</v>
      </c>
      <c r="D375" s="124"/>
    </row>
    <row r="376" spans="1:4" ht="31.5" hidden="1" outlineLevel="1">
      <c r="A376" s="46" t="s">
        <v>2880</v>
      </c>
      <c r="B376" s="47" t="s">
        <v>1555</v>
      </c>
      <c r="C376" s="46">
        <v>5.1120000000000001</v>
      </c>
      <c r="D376" s="124"/>
    </row>
    <row r="377" spans="1:4" ht="31.5" hidden="1" outlineLevel="1">
      <c r="A377" s="46" t="s">
        <v>2880</v>
      </c>
      <c r="B377" s="50" t="s">
        <v>3110</v>
      </c>
      <c r="C377" s="46">
        <v>5.1130000000000004</v>
      </c>
      <c r="D377" s="124"/>
    </row>
    <row r="378" spans="1:4" ht="31.5" hidden="1" outlineLevel="1">
      <c r="A378" s="46" t="s">
        <v>2880</v>
      </c>
      <c r="B378" s="47" t="s">
        <v>17</v>
      </c>
      <c r="C378" s="46">
        <v>5.58</v>
      </c>
      <c r="D378" s="124"/>
    </row>
    <row r="379" spans="1:4" ht="31.5" hidden="1" outlineLevel="1">
      <c r="A379" s="46" t="s">
        <v>2880</v>
      </c>
      <c r="B379" s="47" t="s">
        <v>18</v>
      </c>
      <c r="C379" s="46">
        <v>5.54</v>
      </c>
      <c r="D379" s="124"/>
    </row>
    <row r="380" spans="1:4" ht="31.5" hidden="1" outlineLevel="1">
      <c r="A380" s="46" t="s">
        <v>2880</v>
      </c>
      <c r="B380" s="47" t="s">
        <v>19</v>
      </c>
      <c r="C380" s="46">
        <v>5.55</v>
      </c>
      <c r="D380" s="124"/>
    </row>
    <row r="381" spans="1:4" ht="31.5" hidden="1" outlineLevel="1">
      <c r="A381" s="46" t="s">
        <v>2880</v>
      </c>
      <c r="B381" s="47" t="s">
        <v>20</v>
      </c>
      <c r="C381" s="46">
        <v>5.63</v>
      </c>
      <c r="D381" s="124"/>
    </row>
    <row r="382" spans="1:4" ht="31.5" hidden="1" outlineLevel="1">
      <c r="A382" s="46" t="s">
        <v>2880</v>
      </c>
      <c r="B382" s="47" t="s">
        <v>21</v>
      </c>
      <c r="C382" s="46">
        <v>5.65</v>
      </c>
      <c r="D382" s="124"/>
    </row>
    <row r="383" spans="1:4" ht="31.5" hidden="1" outlineLevel="1">
      <c r="A383" s="46" t="s">
        <v>2880</v>
      </c>
      <c r="B383" s="47" t="s">
        <v>145</v>
      </c>
      <c r="C383" s="46">
        <v>5.66</v>
      </c>
      <c r="D383" s="124"/>
    </row>
    <row r="384" spans="1:4" ht="31.5" hidden="1" outlineLevel="1">
      <c r="A384" s="46" t="s">
        <v>2880</v>
      </c>
      <c r="B384" s="47" t="s">
        <v>22</v>
      </c>
      <c r="C384" s="46">
        <v>5.68</v>
      </c>
      <c r="D384" s="124"/>
    </row>
    <row r="385" spans="1:4" ht="31.5" hidden="1" outlineLevel="1">
      <c r="A385" s="46" t="s">
        <v>2880</v>
      </c>
      <c r="B385" s="47" t="s">
        <v>24</v>
      </c>
      <c r="C385" s="46">
        <v>5.47</v>
      </c>
      <c r="D385" s="124"/>
    </row>
    <row r="386" spans="1:4" ht="31.5" hidden="1" outlineLevel="1">
      <c r="A386" s="46" t="s">
        <v>2880</v>
      </c>
      <c r="B386" s="47" t="s">
        <v>25</v>
      </c>
      <c r="C386" s="46">
        <v>5.48</v>
      </c>
      <c r="D386" s="124"/>
    </row>
    <row r="387" spans="1:4" ht="31.5">
      <c r="A387" s="52" t="s">
        <v>2880</v>
      </c>
      <c r="B387" s="47"/>
      <c r="C387" s="46"/>
      <c r="D387" s="124"/>
    </row>
    <row r="388" spans="1:4" ht="15.75" hidden="1" outlineLevel="1">
      <c r="A388" s="46" t="s">
        <v>2882</v>
      </c>
      <c r="B388" s="47" t="s">
        <v>0</v>
      </c>
      <c r="C388" s="46">
        <v>5.0999999999999996</v>
      </c>
      <c r="D388" s="124"/>
    </row>
    <row r="389" spans="1:4" ht="15.75" hidden="1" outlineLevel="1">
      <c r="A389" s="46" t="s">
        <v>2882</v>
      </c>
      <c r="B389" s="47" t="s">
        <v>1</v>
      </c>
      <c r="C389" s="46">
        <v>5.2</v>
      </c>
      <c r="D389" s="124"/>
    </row>
    <row r="390" spans="1:4" ht="15.75" hidden="1" outlineLevel="1">
      <c r="A390" s="46" t="s">
        <v>2882</v>
      </c>
      <c r="B390" s="47" t="s">
        <v>2</v>
      </c>
      <c r="C390" s="46">
        <v>5.3</v>
      </c>
      <c r="D390" s="124"/>
    </row>
    <row r="391" spans="1:4" ht="15.75" hidden="1" outlineLevel="1">
      <c r="A391" s="46" t="s">
        <v>2882</v>
      </c>
      <c r="B391" s="47" t="s">
        <v>136</v>
      </c>
      <c r="C391" s="46">
        <v>5.6</v>
      </c>
      <c r="D391" s="124"/>
    </row>
    <row r="392" spans="1:4" ht="15.75" hidden="1" outlineLevel="1">
      <c r="A392" s="46" t="s">
        <v>2882</v>
      </c>
      <c r="B392" s="47" t="s">
        <v>3105</v>
      </c>
      <c r="C392" s="48">
        <v>5.0999999999999996</v>
      </c>
      <c r="D392" s="124"/>
    </row>
    <row r="393" spans="1:4" ht="15.75" hidden="1" outlineLevel="1">
      <c r="A393" s="46" t="s">
        <v>2882</v>
      </c>
      <c r="B393" s="47" t="s">
        <v>1491</v>
      </c>
      <c r="C393" s="46">
        <v>5.14</v>
      </c>
      <c r="D393" s="124"/>
    </row>
    <row r="394" spans="1:4" ht="15.75" hidden="1" outlineLevel="1">
      <c r="A394" s="46" t="s">
        <v>2882</v>
      </c>
      <c r="B394" s="47" t="s">
        <v>4</v>
      </c>
      <c r="C394" s="46">
        <v>5.19</v>
      </c>
      <c r="D394" s="124"/>
    </row>
    <row r="395" spans="1:4" ht="15.75" hidden="1" outlineLevel="1">
      <c r="A395" s="46" t="s">
        <v>2882</v>
      </c>
      <c r="B395" s="47" t="s">
        <v>138</v>
      </c>
      <c r="C395" s="46">
        <v>5.24</v>
      </c>
      <c r="D395" s="124"/>
    </row>
    <row r="396" spans="1:4" ht="15.75" hidden="1" outlineLevel="1">
      <c r="A396" s="46" t="s">
        <v>2882</v>
      </c>
      <c r="B396" s="47" t="s">
        <v>5</v>
      </c>
      <c r="C396" s="46">
        <v>5.26</v>
      </c>
      <c r="D396" s="124"/>
    </row>
    <row r="397" spans="1:4" ht="15.75" hidden="1" outlineLevel="1">
      <c r="A397" s="46" t="s">
        <v>2882</v>
      </c>
      <c r="B397" s="47" t="s">
        <v>6</v>
      </c>
      <c r="C397" s="46">
        <v>5.27</v>
      </c>
      <c r="D397" s="124"/>
    </row>
    <row r="398" spans="1:4" ht="15.75" hidden="1" outlineLevel="1">
      <c r="A398" s="46" t="s">
        <v>2882</v>
      </c>
      <c r="B398" s="47" t="s">
        <v>7</v>
      </c>
      <c r="C398" s="46">
        <v>5.28</v>
      </c>
      <c r="D398" s="124"/>
    </row>
    <row r="399" spans="1:4" ht="15.75" hidden="1" outlineLevel="1">
      <c r="A399" s="46" t="s">
        <v>2882</v>
      </c>
      <c r="B399" s="47" t="s">
        <v>146</v>
      </c>
      <c r="C399" s="46">
        <v>5.29</v>
      </c>
      <c r="D399" s="124"/>
    </row>
    <row r="400" spans="1:4" ht="15.75" hidden="1" outlineLevel="1">
      <c r="A400" s="46" t="s">
        <v>2882</v>
      </c>
      <c r="B400" s="47" t="s">
        <v>139</v>
      </c>
      <c r="C400" s="46">
        <v>5.31</v>
      </c>
      <c r="D400" s="124"/>
    </row>
    <row r="401" spans="1:4" ht="15.75" hidden="1" outlineLevel="1">
      <c r="A401" s="46" t="s">
        <v>2882</v>
      </c>
      <c r="B401" s="47" t="s">
        <v>140</v>
      </c>
      <c r="C401" s="46">
        <v>5.36</v>
      </c>
      <c r="D401" s="124"/>
    </row>
    <row r="402" spans="1:4" ht="15.75" hidden="1" outlineLevel="1">
      <c r="A402" s="46" t="s">
        <v>2882</v>
      </c>
      <c r="B402" s="47" t="s">
        <v>1546</v>
      </c>
      <c r="C402" s="46">
        <v>5.37</v>
      </c>
      <c r="D402" s="124"/>
    </row>
    <row r="403" spans="1:4" ht="15.75" hidden="1" outlineLevel="1">
      <c r="A403" s="46" t="s">
        <v>2882</v>
      </c>
      <c r="B403" s="47" t="s">
        <v>9</v>
      </c>
      <c r="C403" s="46">
        <v>5.49</v>
      </c>
      <c r="D403" s="124"/>
    </row>
    <row r="404" spans="1:4" ht="15.75" hidden="1" outlineLevel="1">
      <c r="A404" s="46" t="s">
        <v>2882</v>
      </c>
      <c r="B404" s="47" t="s">
        <v>10</v>
      </c>
      <c r="C404" s="46">
        <v>5.51</v>
      </c>
      <c r="D404" s="124"/>
    </row>
    <row r="405" spans="1:4" ht="15.75" hidden="1" outlineLevel="1">
      <c r="A405" s="46" t="s">
        <v>2882</v>
      </c>
      <c r="B405" s="47" t="s">
        <v>3106</v>
      </c>
      <c r="C405" s="46">
        <v>5.52</v>
      </c>
      <c r="D405" s="124"/>
    </row>
    <row r="406" spans="1:4" ht="15.75" hidden="1" outlineLevel="1">
      <c r="A406" s="46" t="s">
        <v>2882</v>
      </c>
      <c r="B406" s="47" t="s">
        <v>11</v>
      </c>
      <c r="C406" s="46">
        <v>5.53</v>
      </c>
      <c r="D406" s="124"/>
    </row>
    <row r="407" spans="1:4" ht="15.75" hidden="1" outlineLevel="1">
      <c r="A407" s="46" t="s">
        <v>2882</v>
      </c>
      <c r="B407" s="47" t="s">
        <v>12</v>
      </c>
      <c r="C407" s="46">
        <v>5.69</v>
      </c>
      <c r="D407" s="124"/>
    </row>
    <row r="408" spans="1:4" ht="15.75" hidden="1" outlineLevel="1">
      <c r="A408" s="46" t="s">
        <v>2882</v>
      </c>
      <c r="B408" s="47" t="s">
        <v>13</v>
      </c>
      <c r="C408" s="46">
        <v>5.75</v>
      </c>
      <c r="D408" s="124"/>
    </row>
    <row r="409" spans="1:4" ht="15.75" hidden="1" outlineLevel="1">
      <c r="A409" s="46" t="s">
        <v>2882</v>
      </c>
      <c r="B409" s="47" t="s">
        <v>15</v>
      </c>
      <c r="C409" s="46">
        <v>5.74</v>
      </c>
      <c r="D409" s="124"/>
    </row>
    <row r="410" spans="1:4" ht="15.75" hidden="1" outlineLevel="1">
      <c r="A410" s="46" t="s">
        <v>2882</v>
      </c>
      <c r="B410" s="47" t="s">
        <v>14</v>
      </c>
      <c r="C410" s="48">
        <v>5.7</v>
      </c>
      <c r="D410" s="124"/>
    </row>
    <row r="411" spans="1:4" ht="15.75" hidden="1" outlineLevel="1">
      <c r="A411" s="46" t="s">
        <v>2882</v>
      </c>
      <c r="B411" s="47" t="s">
        <v>143</v>
      </c>
      <c r="C411" s="46">
        <v>5.76</v>
      </c>
      <c r="D411" s="124"/>
    </row>
    <row r="412" spans="1:4" ht="15.75" hidden="1" outlineLevel="1">
      <c r="A412" s="46" t="s">
        <v>2882</v>
      </c>
      <c r="B412" s="47" t="s">
        <v>144</v>
      </c>
      <c r="C412" s="46">
        <v>5.89</v>
      </c>
      <c r="D412" s="123" t="s">
        <v>3104</v>
      </c>
    </row>
    <row r="413" spans="1:4" ht="15.75" hidden="1" outlineLevel="1">
      <c r="A413" s="46" t="s">
        <v>2882</v>
      </c>
      <c r="B413" s="47" t="s">
        <v>1552</v>
      </c>
      <c r="C413" s="46">
        <v>5.109</v>
      </c>
      <c r="D413" s="124"/>
    </row>
    <row r="414" spans="1:4" ht="15.75" hidden="1" outlineLevel="1">
      <c r="A414" s="46" t="s">
        <v>2882</v>
      </c>
      <c r="B414" s="47" t="s">
        <v>1553</v>
      </c>
      <c r="C414" s="46">
        <v>5.1109999999999998</v>
      </c>
      <c r="D414" s="124"/>
    </row>
    <row r="415" spans="1:4" ht="15.75" hidden="1" outlineLevel="1">
      <c r="A415" s="46" t="s">
        <v>2882</v>
      </c>
      <c r="B415" s="47" t="s">
        <v>1555</v>
      </c>
      <c r="C415" s="46">
        <v>5.1120000000000001</v>
      </c>
      <c r="D415" s="124"/>
    </row>
    <row r="416" spans="1:4" ht="15.75" hidden="1" outlineLevel="1">
      <c r="A416" s="46" t="s">
        <v>2882</v>
      </c>
      <c r="B416" s="50" t="s">
        <v>3110</v>
      </c>
      <c r="C416" s="46">
        <v>5.1130000000000004</v>
      </c>
      <c r="D416" s="124"/>
    </row>
    <row r="417" spans="1:4" ht="15.75" hidden="1" outlineLevel="1">
      <c r="A417" s="46" t="s">
        <v>2882</v>
      </c>
      <c r="B417" s="47" t="s">
        <v>17</v>
      </c>
      <c r="C417" s="46">
        <v>5.58</v>
      </c>
      <c r="D417" s="124"/>
    </row>
    <row r="418" spans="1:4" ht="15.75" hidden="1" outlineLevel="1">
      <c r="A418" s="46" t="s">
        <v>2882</v>
      </c>
      <c r="B418" s="47" t="s">
        <v>18</v>
      </c>
      <c r="C418" s="46">
        <v>5.54</v>
      </c>
      <c r="D418" s="124"/>
    </row>
    <row r="419" spans="1:4" ht="15.75" hidden="1" outlineLevel="1">
      <c r="A419" s="46" t="s">
        <v>2882</v>
      </c>
      <c r="B419" s="47" t="s">
        <v>19</v>
      </c>
      <c r="C419" s="46">
        <v>5.55</v>
      </c>
      <c r="D419" s="124"/>
    </row>
    <row r="420" spans="1:4" ht="15.75" hidden="1" outlineLevel="1">
      <c r="A420" s="46" t="s">
        <v>2882</v>
      </c>
      <c r="B420" s="47" t="s">
        <v>20</v>
      </c>
      <c r="C420" s="46">
        <v>5.63</v>
      </c>
      <c r="D420" s="124"/>
    </row>
    <row r="421" spans="1:4" ht="15.75" hidden="1" outlineLevel="1">
      <c r="A421" s="46" t="s">
        <v>2882</v>
      </c>
      <c r="B421" s="47" t="s">
        <v>21</v>
      </c>
      <c r="C421" s="46">
        <v>5.65</v>
      </c>
      <c r="D421" s="124"/>
    </row>
    <row r="422" spans="1:4" ht="15.75" hidden="1" outlineLevel="1">
      <c r="A422" s="46" t="s">
        <v>2882</v>
      </c>
      <c r="B422" s="47" t="s">
        <v>145</v>
      </c>
      <c r="C422" s="46">
        <v>5.66</v>
      </c>
      <c r="D422" s="124"/>
    </row>
    <row r="423" spans="1:4" ht="15.75" hidden="1" outlineLevel="1">
      <c r="A423" s="46" t="s">
        <v>2882</v>
      </c>
      <c r="B423" s="47" t="s">
        <v>22</v>
      </c>
      <c r="C423" s="46">
        <v>5.68</v>
      </c>
      <c r="D423" s="124"/>
    </row>
    <row r="424" spans="1:4" ht="15.75" hidden="1" outlineLevel="1">
      <c r="A424" s="46" t="s">
        <v>2882</v>
      </c>
      <c r="B424" s="47" t="s">
        <v>24</v>
      </c>
      <c r="C424" s="46">
        <v>5.47</v>
      </c>
      <c r="D424" s="124"/>
    </row>
    <row r="425" spans="1:4" ht="15.75" hidden="1" outlineLevel="1">
      <c r="A425" s="46" t="s">
        <v>2882</v>
      </c>
      <c r="B425" s="47" t="s">
        <v>25</v>
      </c>
      <c r="C425" s="46">
        <v>5.48</v>
      </c>
      <c r="D425" s="124"/>
    </row>
    <row r="426" spans="1:4" ht="15.75">
      <c r="A426" s="52" t="s">
        <v>2882</v>
      </c>
      <c r="B426" s="47"/>
      <c r="C426" s="46"/>
      <c r="D426" s="124"/>
    </row>
    <row r="427" spans="1:4" ht="31.5" outlineLevel="1">
      <c r="A427" s="46" t="s">
        <v>3111</v>
      </c>
      <c r="B427" s="47" t="s">
        <v>0</v>
      </c>
      <c r="C427" s="46">
        <v>5.0999999999999996</v>
      </c>
      <c r="D427" s="124"/>
    </row>
    <row r="428" spans="1:4" ht="31.5" outlineLevel="1">
      <c r="A428" s="46" t="s">
        <v>3111</v>
      </c>
      <c r="B428" s="47" t="s">
        <v>1</v>
      </c>
      <c r="C428" s="46">
        <v>5.2</v>
      </c>
      <c r="D428" s="124"/>
    </row>
    <row r="429" spans="1:4" ht="31.5" outlineLevel="1">
      <c r="A429" s="46" t="s">
        <v>3111</v>
      </c>
      <c r="B429" s="47" t="s">
        <v>2</v>
      </c>
      <c r="C429" s="46">
        <v>5.3</v>
      </c>
      <c r="D429" s="124"/>
    </row>
    <row r="430" spans="1:4" ht="31.5" outlineLevel="1">
      <c r="A430" s="46" t="s">
        <v>3111</v>
      </c>
      <c r="B430" s="47" t="s">
        <v>136</v>
      </c>
      <c r="C430" s="46">
        <v>5.6</v>
      </c>
      <c r="D430" s="124"/>
    </row>
    <row r="431" spans="1:4" ht="31.5" outlineLevel="1">
      <c r="A431" s="46" t="s">
        <v>3111</v>
      </c>
      <c r="B431" s="47" t="s">
        <v>3105</v>
      </c>
      <c r="C431" s="48">
        <v>5.0999999999999996</v>
      </c>
      <c r="D431" s="124"/>
    </row>
    <row r="432" spans="1:4" ht="31.5" outlineLevel="1">
      <c r="A432" s="46" t="s">
        <v>3111</v>
      </c>
      <c r="B432" s="47" t="s">
        <v>1491</v>
      </c>
      <c r="C432" s="46">
        <v>5.14</v>
      </c>
      <c r="D432" s="124"/>
    </row>
    <row r="433" spans="1:4" ht="31.5" outlineLevel="1">
      <c r="A433" s="46" t="s">
        <v>3111</v>
      </c>
      <c r="B433" s="47" t="s">
        <v>4</v>
      </c>
      <c r="C433" s="46">
        <v>5.19</v>
      </c>
      <c r="D433" s="124"/>
    </row>
    <row r="434" spans="1:4" ht="31.5" outlineLevel="1">
      <c r="A434" s="46" t="s">
        <v>3111</v>
      </c>
      <c r="B434" s="47" t="s">
        <v>138</v>
      </c>
      <c r="C434" s="46">
        <v>5.24</v>
      </c>
      <c r="D434" s="124"/>
    </row>
    <row r="435" spans="1:4" ht="31.5" outlineLevel="1">
      <c r="A435" s="46" t="s">
        <v>3111</v>
      </c>
      <c r="B435" s="47" t="s">
        <v>5</v>
      </c>
      <c r="C435" s="46">
        <v>5.26</v>
      </c>
      <c r="D435" s="124"/>
    </row>
    <row r="436" spans="1:4" ht="31.5" outlineLevel="1">
      <c r="A436" s="46" t="s">
        <v>3111</v>
      </c>
      <c r="B436" s="47" t="s">
        <v>6</v>
      </c>
      <c r="C436" s="46">
        <v>5.27</v>
      </c>
      <c r="D436" s="124"/>
    </row>
    <row r="437" spans="1:4" ht="31.5" outlineLevel="1">
      <c r="A437" s="46" t="s">
        <v>3111</v>
      </c>
      <c r="B437" s="47" t="s">
        <v>7</v>
      </c>
      <c r="C437" s="46">
        <v>5.28</v>
      </c>
      <c r="D437" s="124"/>
    </row>
    <row r="438" spans="1:4" ht="31.5" outlineLevel="1">
      <c r="A438" s="46" t="s">
        <v>3111</v>
      </c>
      <c r="B438" s="47" t="s">
        <v>146</v>
      </c>
      <c r="C438" s="46">
        <v>5.29</v>
      </c>
      <c r="D438" s="124"/>
    </row>
    <row r="439" spans="1:4" ht="31.5" outlineLevel="1">
      <c r="A439" s="46" t="s">
        <v>3111</v>
      </c>
      <c r="B439" s="47" t="s">
        <v>139</v>
      </c>
      <c r="C439" s="46">
        <v>5.31</v>
      </c>
      <c r="D439" s="124"/>
    </row>
    <row r="440" spans="1:4" ht="31.5" outlineLevel="1">
      <c r="A440" s="46" t="s">
        <v>3111</v>
      </c>
      <c r="B440" s="47" t="s">
        <v>140</v>
      </c>
      <c r="C440" s="46">
        <v>5.36</v>
      </c>
      <c r="D440" s="124"/>
    </row>
    <row r="441" spans="1:4" ht="31.5" outlineLevel="1">
      <c r="A441" s="46" t="s">
        <v>3111</v>
      </c>
      <c r="B441" s="47" t="s">
        <v>1546</v>
      </c>
      <c r="C441" s="46">
        <v>5.37</v>
      </c>
      <c r="D441" s="124"/>
    </row>
    <row r="442" spans="1:4" ht="31.5" outlineLevel="1">
      <c r="A442" s="46" t="s">
        <v>3111</v>
      </c>
      <c r="B442" s="47" t="s">
        <v>11</v>
      </c>
      <c r="C442" s="46">
        <v>5.53</v>
      </c>
      <c r="D442" s="124"/>
    </row>
    <row r="443" spans="1:4" ht="31.5" outlineLevel="1">
      <c r="A443" s="46" t="s">
        <v>3111</v>
      </c>
      <c r="B443" s="47" t="s">
        <v>1552</v>
      </c>
      <c r="C443" s="46">
        <v>5.109</v>
      </c>
      <c r="D443" s="124"/>
    </row>
    <row r="444" spans="1:4" ht="31.5" outlineLevel="1">
      <c r="A444" s="46" t="s">
        <v>3111</v>
      </c>
      <c r="B444" s="47" t="s">
        <v>1553</v>
      </c>
      <c r="C444" s="46">
        <v>5.1109999999999998</v>
      </c>
      <c r="D444" s="124"/>
    </row>
    <row r="445" spans="1:4" ht="31.5" outlineLevel="1">
      <c r="A445" s="46" t="s">
        <v>3111</v>
      </c>
      <c r="B445" s="47" t="s">
        <v>1555</v>
      </c>
      <c r="C445" s="46">
        <v>5.1120000000000001</v>
      </c>
      <c r="D445" s="124"/>
    </row>
    <row r="446" spans="1:4" ht="31.5" outlineLevel="1">
      <c r="A446" s="46" t="s">
        <v>3111</v>
      </c>
      <c r="B446" s="50" t="s">
        <v>3110</v>
      </c>
      <c r="C446" s="46">
        <v>5.1130000000000004</v>
      </c>
      <c r="D446" s="124"/>
    </row>
    <row r="447" spans="1:4" ht="31.5" outlineLevel="1">
      <c r="A447" s="46" t="s">
        <v>3111</v>
      </c>
      <c r="B447" s="47" t="s">
        <v>17</v>
      </c>
      <c r="C447" s="46">
        <v>5.58</v>
      </c>
      <c r="D447" s="124"/>
    </row>
    <row r="448" spans="1:4" ht="31.5" outlineLevel="1">
      <c r="A448" s="46" t="s">
        <v>3111</v>
      </c>
      <c r="B448" s="47" t="s">
        <v>18</v>
      </c>
      <c r="C448" s="46">
        <v>5.54</v>
      </c>
      <c r="D448" s="124"/>
    </row>
    <row r="449" spans="1:4" ht="31.5" outlineLevel="1">
      <c r="A449" s="46" t="s">
        <v>3111</v>
      </c>
      <c r="B449" s="47" t="s">
        <v>19</v>
      </c>
      <c r="C449" s="46">
        <v>5.55</v>
      </c>
      <c r="D449" s="124"/>
    </row>
    <row r="450" spans="1:4" ht="31.5" outlineLevel="1">
      <c r="A450" s="46" t="s">
        <v>3111</v>
      </c>
      <c r="B450" s="47" t="s">
        <v>20</v>
      </c>
      <c r="C450" s="46">
        <v>5.63</v>
      </c>
      <c r="D450" s="124"/>
    </row>
    <row r="451" spans="1:4" ht="31.5" outlineLevel="1">
      <c r="A451" s="46" t="s">
        <v>3111</v>
      </c>
      <c r="B451" s="47" t="s">
        <v>24</v>
      </c>
      <c r="C451" s="46">
        <v>5.47</v>
      </c>
      <c r="D451" s="124"/>
    </row>
    <row r="452" spans="1:4" ht="31.5" outlineLevel="1">
      <c r="A452" s="46" t="s">
        <v>3111</v>
      </c>
      <c r="B452" s="47" t="s">
        <v>25</v>
      </c>
      <c r="C452" s="46">
        <v>5.48</v>
      </c>
      <c r="D452" s="124"/>
    </row>
    <row r="453" spans="1:4" ht="31.5">
      <c r="A453" s="52" t="s">
        <v>3111</v>
      </c>
      <c r="B453" s="47"/>
      <c r="C453" s="46"/>
      <c r="D453" s="124"/>
    </row>
    <row r="454" spans="1:4" ht="15.75" outlineLevel="1">
      <c r="A454" s="46" t="s">
        <v>2688</v>
      </c>
      <c r="B454" s="47" t="s">
        <v>0</v>
      </c>
      <c r="C454" s="46">
        <v>5.0999999999999996</v>
      </c>
      <c r="D454" s="124"/>
    </row>
    <row r="455" spans="1:4" ht="15.75" outlineLevel="1">
      <c r="A455" s="46" t="s">
        <v>2688</v>
      </c>
      <c r="B455" s="47" t="s">
        <v>1</v>
      </c>
      <c r="C455" s="46">
        <v>5.2</v>
      </c>
      <c r="D455" s="124"/>
    </row>
    <row r="456" spans="1:4" ht="15.75" outlineLevel="1">
      <c r="A456" s="46" t="s">
        <v>2688</v>
      </c>
      <c r="B456" s="47" t="s">
        <v>1723</v>
      </c>
      <c r="C456" s="46">
        <v>5.5</v>
      </c>
      <c r="D456" s="124"/>
    </row>
    <row r="457" spans="1:4" ht="15.75" outlineLevel="1">
      <c r="A457" s="46" t="s">
        <v>2688</v>
      </c>
      <c r="B457" s="47" t="s">
        <v>1724</v>
      </c>
      <c r="C457" s="46">
        <v>5.8</v>
      </c>
      <c r="D457" s="123" t="s">
        <v>3104</v>
      </c>
    </row>
    <row r="458" spans="1:4" ht="15.75" outlineLevel="1">
      <c r="A458" s="46" t="s">
        <v>2688</v>
      </c>
      <c r="B458" s="47" t="s">
        <v>1725</v>
      </c>
      <c r="C458" s="46">
        <v>5.12</v>
      </c>
      <c r="D458" s="123" t="s">
        <v>3104</v>
      </c>
    </row>
    <row r="459" spans="1:4" ht="15.75" outlineLevel="1">
      <c r="A459" s="46" t="s">
        <v>2688</v>
      </c>
      <c r="B459" s="47" t="s">
        <v>1726</v>
      </c>
      <c r="C459" s="46">
        <v>5.15</v>
      </c>
      <c r="D459" s="124"/>
    </row>
    <row r="460" spans="1:4" ht="15.75" outlineLevel="1">
      <c r="A460" s="46" t="s">
        <v>2688</v>
      </c>
      <c r="B460" s="47" t="s">
        <v>1727</v>
      </c>
      <c r="C460" s="48">
        <v>5.2</v>
      </c>
      <c r="D460" s="123"/>
    </row>
    <row r="461" spans="1:4" ht="15.75" outlineLevel="1">
      <c r="A461" s="46" t="s">
        <v>2688</v>
      </c>
      <c r="B461" s="47" t="s">
        <v>1728</v>
      </c>
      <c r="C461" s="46">
        <v>5.25</v>
      </c>
      <c r="D461" s="124"/>
    </row>
    <row r="462" spans="1:4" ht="15.75" outlineLevel="1">
      <c r="A462" s="46" t="s">
        <v>2688</v>
      </c>
      <c r="B462" s="47" t="s">
        <v>5</v>
      </c>
      <c r="C462" s="46">
        <v>5.26</v>
      </c>
      <c r="D462" s="124"/>
    </row>
    <row r="463" spans="1:4" ht="15.75" outlineLevel="1">
      <c r="A463" s="46" t="s">
        <v>2688</v>
      </c>
      <c r="B463" s="47" t="s">
        <v>1729</v>
      </c>
      <c r="C463" s="46">
        <v>5.1139999999999999</v>
      </c>
      <c r="D463" s="123" t="s">
        <v>3104</v>
      </c>
    </row>
    <row r="464" spans="1:4" ht="15.75" outlineLevel="1">
      <c r="A464" s="46" t="s">
        <v>2688</v>
      </c>
      <c r="B464" s="47" t="s">
        <v>6</v>
      </c>
      <c r="C464" s="46">
        <v>5.27</v>
      </c>
      <c r="D464" s="124"/>
    </row>
    <row r="465" spans="1:4" ht="15.75" outlineLevel="1">
      <c r="A465" s="46" t="s">
        <v>2688</v>
      </c>
      <c r="B465" s="47" t="s">
        <v>1730</v>
      </c>
      <c r="C465" s="46">
        <v>5.1150000000000002</v>
      </c>
      <c r="D465" s="123" t="s">
        <v>3104</v>
      </c>
    </row>
    <row r="466" spans="1:4" ht="15.75" outlineLevel="1">
      <c r="A466" s="46" t="s">
        <v>2688</v>
      </c>
      <c r="B466" s="47" t="s">
        <v>1731</v>
      </c>
      <c r="C466" s="46">
        <v>5.1159999999999997</v>
      </c>
      <c r="D466" s="123" t="s">
        <v>3104</v>
      </c>
    </row>
    <row r="467" spans="1:4" ht="15.75" outlineLevel="1">
      <c r="A467" s="46" t="s">
        <v>2688</v>
      </c>
      <c r="B467" s="47" t="s">
        <v>7</v>
      </c>
      <c r="C467" s="46">
        <v>5.28</v>
      </c>
      <c r="D467" s="124"/>
    </row>
    <row r="468" spans="1:4" ht="15.75" outlineLevel="1">
      <c r="A468" s="46" t="s">
        <v>2688</v>
      </c>
      <c r="B468" s="47" t="s">
        <v>140</v>
      </c>
      <c r="C468" s="46">
        <v>5.36</v>
      </c>
      <c r="D468" s="124"/>
    </row>
    <row r="469" spans="1:4" ht="15.75" outlineLevel="1">
      <c r="A469" s="46" t="s">
        <v>2688</v>
      </c>
      <c r="B469" s="47" t="s">
        <v>1546</v>
      </c>
      <c r="C469" s="46">
        <v>5.37</v>
      </c>
      <c r="D469" s="124"/>
    </row>
    <row r="470" spans="1:4" ht="15.75" outlineLevel="1">
      <c r="A470" s="46" t="s">
        <v>2688</v>
      </c>
      <c r="B470" s="47" t="s">
        <v>11</v>
      </c>
      <c r="C470" s="46">
        <v>5.53</v>
      </c>
      <c r="D470" s="124"/>
    </row>
    <row r="471" spans="1:4" ht="15.75" outlineLevel="1">
      <c r="A471" s="46" t="s">
        <v>2688</v>
      </c>
      <c r="B471" s="47" t="s">
        <v>1552</v>
      </c>
      <c r="C471" s="46">
        <v>5.109</v>
      </c>
      <c r="D471" s="124"/>
    </row>
    <row r="472" spans="1:4" ht="15.75" outlineLevel="1">
      <c r="A472" s="46" t="s">
        <v>2688</v>
      </c>
      <c r="B472" s="47" t="s">
        <v>1553</v>
      </c>
      <c r="C472" s="46">
        <v>5.1109999999999998</v>
      </c>
      <c r="D472" s="124"/>
    </row>
    <row r="473" spans="1:4" ht="15.75" outlineLevel="1">
      <c r="A473" s="46" t="s">
        <v>2688</v>
      </c>
      <c r="B473" s="47" t="s">
        <v>1555</v>
      </c>
      <c r="C473" s="46">
        <v>5.1120000000000001</v>
      </c>
      <c r="D473" s="124"/>
    </row>
    <row r="474" spans="1:4" ht="15.75" outlineLevel="1">
      <c r="A474" s="46" t="s">
        <v>2688</v>
      </c>
      <c r="B474" s="47" t="s">
        <v>18</v>
      </c>
      <c r="C474" s="46">
        <v>5.54</v>
      </c>
      <c r="D474" s="124"/>
    </row>
    <row r="475" spans="1:4" ht="15.75" outlineLevel="1">
      <c r="A475" s="46" t="s">
        <v>2688</v>
      </c>
      <c r="B475" s="47" t="s">
        <v>1732</v>
      </c>
      <c r="C475" s="46">
        <v>5.61</v>
      </c>
      <c r="D475" s="124"/>
    </row>
    <row r="476" spans="1:4" ht="15.75" outlineLevel="1">
      <c r="A476" s="46" t="s">
        <v>2688</v>
      </c>
      <c r="B476" s="47" t="s">
        <v>20</v>
      </c>
      <c r="C476" s="46">
        <v>5.63</v>
      </c>
      <c r="D476" s="124"/>
    </row>
    <row r="477" spans="1:4" ht="15.75" outlineLevel="1">
      <c r="A477" s="46" t="s">
        <v>2688</v>
      </c>
      <c r="B477" s="47" t="s">
        <v>1733</v>
      </c>
      <c r="C477" s="46">
        <v>5.46</v>
      </c>
      <c r="D477" s="124"/>
    </row>
    <row r="478" spans="1:4" ht="15.75" outlineLevel="1">
      <c r="A478" s="46" t="s">
        <v>2688</v>
      </c>
      <c r="B478" s="47" t="s">
        <v>24</v>
      </c>
      <c r="C478" s="46">
        <v>5.47</v>
      </c>
      <c r="D478" s="124"/>
    </row>
    <row r="479" spans="1:4" ht="15.75" outlineLevel="1">
      <c r="A479" s="46" t="s">
        <v>2688</v>
      </c>
      <c r="B479" s="47" t="s">
        <v>25</v>
      </c>
      <c r="C479" s="46">
        <v>5.48</v>
      </c>
      <c r="D479" s="124"/>
    </row>
    <row r="480" spans="1:4" ht="15.75">
      <c r="A480" s="52" t="s">
        <v>2688</v>
      </c>
      <c r="B480" s="47"/>
      <c r="C480" s="46"/>
      <c r="D480" s="124"/>
    </row>
    <row r="481" spans="1:4" ht="15.75" hidden="1" outlineLevel="1">
      <c r="A481" s="46" t="s">
        <v>3112</v>
      </c>
      <c r="B481" s="47" t="s">
        <v>0</v>
      </c>
      <c r="C481" s="46">
        <v>5.0999999999999996</v>
      </c>
      <c r="D481" s="124"/>
    </row>
    <row r="482" spans="1:4" ht="15.75" hidden="1" outlineLevel="1">
      <c r="A482" s="46" t="s">
        <v>3112</v>
      </c>
      <c r="B482" s="47" t="s">
        <v>1</v>
      </c>
      <c r="C482" s="46">
        <v>5.2</v>
      </c>
      <c r="D482" s="124"/>
    </row>
    <row r="483" spans="1:4" ht="15.75" hidden="1" outlineLevel="1">
      <c r="A483" s="46" t="s">
        <v>3112</v>
      </c>
      <c r="B483" s="47" t="s">
        <v>2</v>
      </c>
      <c r="C483" s="46">
        <v>5.3</v>
      </c>
      <c r="D483" s="124"/>
    </row>
    <row r="484" spans="1:4" ht="15.75" hidden="1" outlineLevel="1">
      <c r="A484" s="46" t="s">
        <v>3112</v>
      </c>
      <c r="B484" s="47" t="s">
        <v>136</v>
      </c>
      <c r="C484" s="46">
        <v>5.6</v>
      </c>
      <c r="D484" s="124"/>
    </row>
    <row r="485" spans="1:4" ht="15.75" hidden="1" outlineLevel="1">
      <c r="A485" s="46" t="s">
        <v>3112</v>
      </c>
      <c r="B485" s="47" t="s">
        <v>3105</v>
      </c>
      <c r="C485" s="48">
        <v>5.0999999999999996</v>
      </c>
      <c r="D485" s="124"/>
    </row>
    <row r="486" spans="1:4" ht="15.75" hidden="1" outlineLevel="1">
      <c r="A486" s="46" t="s">
        <v>3112</v>
      </c>
      <c r="B486" s="47" t="s">
        <v>1491</v>
      </c>
      <c r="C486" s="46">
        <v>5.14</v>
      </c>
      <c r="D486" s="124"/>
    </row>
    <row r="487" spans="1:4" ht="15.75" hidden="1" outlineLevel="1">
      <c r="A487" s="46" t="s">
        <v>3112</v>
      </c>
      <c r="B487" s="47" t="s">
        <v>4</v>
      </c>
      <c r="C487" s="46">
        <v>5.19</v>
      </c>
      <c r="D487" s="124"/>
    </row>
    <row r="488" spans="1:4" ht="15.75" hidden="1" outlineLevel="1">
      <c r="A488" s="46" t="s">
        <v>3112</v>
      </c>
      <c r="B488" s="47" t="s">
        <v>138</v>
      </c>
      <c r="C488" s="46">
        <v>5.24</v>
      </c>
      <c r="D488" s="124"/>
    </row>
    <row r="489" spans="1:4" ht="15.75" hidden="1" outlineLevel="1">
      <c r="A489" s="46" t="s">
        <v>3112</v>
      </c>
      <c r="B489" s="47" t="s">
        <v>6</v>
      </c>
      <c r="C489" s="46">
        <v>5.27</v>
      </c>
      <c r="D489" s="124"/>
    </row>
    <row r="490" spans="1:4" ht="15.75" hidden="1" outlineLevel="1">
      <c r="A490" s="46" t="s">
        <v>3112</v>
      </c>
      <c r="B490" s="47" t="s">
        <v>7</v>
      </c>
      <c r="C490" s="46">
        <v>5.28</v>
      </c>
      <c r="D490" s="124"/>
    </row>
    <row r="491" spans="1:4" ht="15.75" hidden="1" outlineLevel="1">
      <c r="A491" s="46" t="s">
        <v>3112</v>
      </c>
      <c r="B491" s="47" t="s">
        <v>146</v>
      </c>
      <c r="C491" s="46">
        <v>5.29</v>
      </c>
      <c r="D491" s="124"/>
    </row>
    <row r="492" spans="1:4" ht="15.75" hidden="1" outlineLevel="1">
      <c r="A492" s="46" t="s">
        <v>3112</v>
      </c>
      <c r="B492" s="47" t="s">
        <v>1513</v>
      </c>
      <c r="C492" s="46">
        <v>5.34</v>
      </c>
      <c r="D492" s="124"/>
    </row>
    <row r="493" spans="1:4" ht="15.75" hidden="1" outlineLevel="1">
      <c r="A493" s="46" t="s">
        <v>3112</v>
      </c>
      <c r="B493" s="47" t="s">
        <v>139</v>
      </c>
      <c r="C493" s="46">
        <v>5.31</v>
      </c>
      <c r="D493" s="124"/>
    </row>
    <row r="494" spans="1:4" ht="15.75" hidden="1" outlineLevel="1">
      <c r="A494" s="46" t="s">
        <v>3112</v>
      </c>
      <c r="B494" s="47" t="s">
        <v>1514</v>
      </c>
      <c r="C494" s="46">
        <v>5.101</v>
      </c>
      <c r="D494" s="124"/>
    </row>
    <row r="495" spans="1:4" ht="15.75" hidden="1" outlineLevel="1">
      <c r="A495" s="46" t="s">
        <v>3112</v>
      </c>
      <c r="B495" s="47" t="s">
        <v>140</v>
      </c>
      <c r="C495" s="46">
        <v>5.36</v>
      </c>
      <c r="D495" s="124"/>
    </row>
    <row r="496" spans="1:4" ht="15.75" hidden="1" outlineLevel="1">
      <c r="A496" s="46" t="s">
        <v>3112</v>
      </c>
      <c r="B496" s="47" t="s">
        <v>1546</v>
      </c>
      <c r="C496" s="46">
        <v>5.37</v>
      </c>
      <c r="D496" s="124"/>
    </row>
    <row r="497" spans="1:4" ht="15.75" hidden="1" outlineLevel="1">
      <c r="A497" s="46" t="s">
        <v>3112</v>
      </c>
      <c r="B497" s="47" t="s">
        <v>11</v>
      </c>
      <c r="C497" s="46">
        <v>5.53</v>
      </c>
      <c r="D497" s="124"/>
    </row>
    <row r="498" spans="1:4" ht="15.75" hidden="1" outlineLevel="1">
      <c r="A498" s="46" t="s">
        <v>3112</v>
      </c>
      <c r="B498" s="47" t="s">
        <v>1552</v>
      </c>
      <c r="C498" s="46">
        <v>5.109</v>
      </c>
      <c r="D498" s="124"/>
    </row>
    <row r="499" spans="1:4" ht="15.75" hidden="1" outlineLevel="1">
      <c r="A499" s="46" t="s">
        <v>3112</v>
      </c>
      <c r="B499" s="47" t="s">
        <v>1553</v>
      </c>
      <c r="C499" s="46">
        <v>5.1109999999999998</v>
      </c>
      <c r="D499" s="124"/>
    </row>
    <row r="500" spans="1:4" ht="15.75" hidden="1" outlineLevel="1">
      <c r="A500" s="46" t="s">
        <v>3112</v>
      </c>
      <c r="B500" s="47" t="s">
        <v>1555</v>
      </c>
      <c r="C500" s="46">
        <v>5.1120000000000001</v>
      </c>
      <c r="D500" s="124"/>
    </row>
    <row r="501" spans="1:4" ht="15.75" hidden="1" outlineLevel="1">
      <c r="A501" s="46" t="s">
        <v>3112</v>
      </c>
      <c r="B501" s="47" t="s">
        <v>1515</v>
      </c>
      <c r="C501" s="46">
        <v>5.1020000000000003</v>
      </c>
      <c r="D501" s="124"/>
    </row>
    <row r="502" spans="1:4" ht="15.75" hidden="1" outlineLevel="1">
      <c r="A502" s="46" t="s">
        <v>3112</v>
      </c>
      <c r="B502" s="47" t="s">
        <v>1516</v>
      </c>
      <c r="C502" s="49">
        <v>5.0999999999999996</v>
      </c>
      <c r="D502" s="124"/>
    </row>
    <row r="503" spans="1:4" ht="15.75" hidden="1" outlineLevel="1">
      <c r="A503" s="46" t="s">
        <v>3112</v>
      </c>
      <c r="B503" s="47" t="s">
        <v>17</v>
      </c>
      <c r="C503" s="46">
        <v>5.58</v>
      </c>
      <c r="D503" s="124"/>
    </row>
    <row r="504" spans="1:4" ht="15.75" hidden="1" outlineLevel="1">
      <c r="A504" s="46" t="s">
        <v>3112</v>
      </c>
      <c r="B504" s="47" t="s">
        <v>19</v>
      </c>
      <c r="C504" s="46">
        <v>5.55</v>
      </c>
      <c r="D504" s="124"/>
    </row>
    <row r="505" spans="1:4" ht="15.75" hidden="1" outlineLevel="1">
      <c r="A505" s="46" t="s">
        <v>3112</v>
      </c>
      <c r="B505" s="47" t="s">
        <v>18</v>
      </c>
      <c r="C505" s="46">
        <v>5.54</v>
      </c>
      <c r="D505" s="124"/>
    </row>
    <row r="506" spans="1:4" ht="15.75" hidden="1" outlineLevel="1">
      <c r="A506" s="46" t="s">
        <v>3112</v>
      </c>
      <c r="B506" s="47" t="s">
        <v>20</v>
      </c>
      <c r="C506" s="46">
        <v>5.63</v>
      </c>
      <c r="D506" s="124"/>
    </row>
    <row r="507" spans="1:4" ht="15.75" hidden="1" outlineLevel="1">
      <c r="A507" s="46" t="s">
        <v>3112</v>
      </c>
      <c r="B507" s="47" t="s">
        <v>24</v>
      </c>
      <c r="C507" s="46">
        <v>5.47</v>
      </c>
      <c r="D507" s="124"/>
    </row>
    <row r="508" spans="1:4" ht="15.75" hidden="1" outlineLevel="1">
      <c r="A508" s="46" t="s">
        <v>3112</v>
      </c>
      <c r="B508" s="47" t="s">
        <v>25</v>
      </c>
      <c r="C508" s="46">
        <v>5.48</v>
      </c>
      <c r="D508" s="124"/>
    </row>
    <row r="509" spans="1:4" ht="15.75">
      <c r="A509" s="52" t="s">
        <v>3112</v>
      </c>
      <c r="B509" s="47"/>
      <c r="C509" s="46"/>
      <c r="D509" s="124"/>
    </row>
    <row r="510" spans="1:4" ht="15.75" hidden="1" outlineLevel="1">
      <c r="A510" s="46" t="s">
        <v>2896</v>
      </c>
      <c r="B510" s="47" t="s">
        <v>0</v>
      </c>
      <c r="C510" s="46">
        <v>5.0999999999999996</v>
      </c>
      <c r="D510" s="124"/>
    </row>
    <row r="511" spans="1:4" ht="15.75" hidden="1" outlineLevel="1">
      <c r="A511" s="46" t="s">
        <v>2896</v>
      </c>
      <c r="B511" s="47" t="s">
        <v>1</v>
      </c>
      <c r="C511" s="46">
        <v>5.2</v>
      </c>
      <c r="D511" s="124"/>
    </row>
    <row r="512" spans="1:4" ht="15.75" hidden="1" outlineLevel="1">
      <c r="A512" s="46" t="s">
        <v>2896</v>
      </c>
      <c r="B512" s="47" t="s">
        <v>2</v>
      </c>
      <c r="C512" s="46">
        <v>5.3</v>
      </c>
      <c r="D512" s="124"/>
    </row>
    <row r="513" spans="1:4" ht="15.75" hidden="1" outlineLevel="1">
      <c r="A513" s="46" t="s">
        <v>2896</v>
      </c>
      <c r="B513" s="47" t="s">
        <v>136</v>
      </c>
      <c r="C513" s="46">
        <v>5.6</v>
      </c>
      <c r="D513" s="124"/>
    </row>
    <row r="514" spans="1:4" ht="15.75" hidden="1" outlineLevel="1">
      <c r="A514" s="46" t="s">
        <v>2896</v>
      </c>
      <c r="B514" s="47" t="s">
        <v>3105</v>
      </c>
      <c r="C514" s="48">
        <v>5.0999999999999996</v>
      </c>
      <c r="D514" s="124"/>
    </row>
    <row r="515" spans="1:4" ht="15.75" hidden="1" outlineLevel="1">
      <c r="A515" s="46" t="s">
        <v>2896</v>
      </c>
      <c r="B515" s="47" t="s">
        <v>1491</v>
      </c>
      <c r="C515" s="46">
        <v>5.14</v>
      </c>
      <c r="D515" s="124"/>
    </row>
    <row r="516" spans="1:4" ht="15.75" hidden="1" outlineLevel="1">
      <c r="A516" s="46" t="s">
        <v>2896</v>
      </c>
      <c r="B516" s="47" t="s">
        <v>4</v>
      </c>
      <c r="C516" s="46">
        <v>5.19</v>
      </c>
      <c r="D516" s="124"/>
    </row>
    <row r="517" spans="1:4" ht="15.75" hidden="1" outlineLevel="1">
      <c r="A517" s="46" t="s">
        <v>2896</v>
      </c>
      <c r="B517" s="47" t="s">
        <v>138</v>
      </c>
      <c r="C517" s="46">
        <v>5.24</v>
      </c>
      <c r="D517" s="124"/>
    </row>
    <row r="518" spans="1:4" ht="15.75" hidden="1" outlineLevel="1">
      <c r="A518" s="46" t="s">
        <v>2896</v>
      </c>
      <c r="B518" s="47" t="s">
        <v>5</v>
      </c>
      <c r="C518" s="46">
        <v>5.26</v>
      </c>
      <c r="D518" s="124"/>
    </row>
    <row r="519" spans="1:4" ht="15.75" hidden="1" outlineLevel="1">
      <c r="A519" s="46" t="s">
        <v>2896</v>
      </c>
      <c r="B519" s="47" t="s">
        <v>6</v>
      </c>
      <c r="C519" s="46">
        <v>5.27</v>
      </c>
      <c r="D519" s="124"/>
    </row>
    <row r="520" spans="1:4" ht="15.75" hidden="1" outlineLevel="1">
      <c r="A520" s="46" t="s">
        <v>2896</v>
      </c>
      <c r="B520" s="47" t="s">
        <v>7</v>
      </c>
      <c r="C520" s="46">
        <v>5.28</v>
      </c>
      <c r="D520" s="124"/>
    </row>
    <row r="521" spans="1:4" ht="15.75" hidden="1" outlineLevel="1">
      <c r="A521" s="46" t="s">
        <v>2896</v>
      </c>
      <c r="B521" s="47" t="s">
        <v>139</v>
      </c>
      <c r="C521" s="46">
        <v>5.31</v>
      </c>
      <c r="D521" s="124"/>
    </row>
    <row r="522" spans="1:4" ht="15.75" hidden="1" outlineLevel="1">
      <c r="A522" s="46" t="s">
        <v>2896</v>
      </c>
      <c r="B522" s="47" t="s">
        <v>1524</v>
      </c>
      <c r="C522" s="46">
        <v>5.33</v>
      </c>
      <c r="D522" s="124"/>
    </row>
    <row r="523" spans="1:4" ht="15.75" hidden="1" outlineLevel="1">
      <c r="A523" s="46" t="s">
        <v>2896</v>
      </c>
      <c r="B523" s="47" t="s">
        <v>1514</v>
      </c>
      <c r="C523" s="46">
        <v>5.101</v>
      </c>
      <c r="D523" s="124"/>
    </row>
    <row r="524" spans="1:4" ht="15.75" hidden="1" outlineLevel="1">
      <c r="A524" s="46" t="s">
        <v>2896</v>
      </c>
      <c r="B524" s="47" t="s">
        <v>140</v>
      </c>
      <c r="C524" s="46">
        <v>5.36</v>
      </c>
      <c r="D524" s="124"/>
    </row>
    <row r="525" spans="1:4" ht="15.75" hidden="1" outlineLevel="1">
      <c r="A525" s="46" t="s">
        <v>2896</v>
      </c>
      <c r="B525" s="47" t="s">
        <v>1546</v>
      </c>
      <c r="C525" s="46">
        <v>5.37</v>
      </c>
      <c r="D525" s="124"/>
    </row>
    <row r="526" spans="1:4" ht="15.75" hidden="1" outlineLevel="1">
      <c r="A526" s="46" t="s">
        <v>2896</v>
      </c>
      <c r="B526" s="47" t="s">
        <v>11</v>
      </c>
      <c r="C526" s="46">
        <v>5.53</v>
      </c>
      <c r="D526" s="124"/>
    </row>
    <row r="527" spans="1:4" ht="15.75" hidden="1" outlineLevel="1">
      <c r="A527" s="46" t="s">
        <v>2896</v>
      </c>
      <c r="B527" s="47" t="s">
        <v>1552</v>
      </c>
      <c r="C527" s="46">
        <v>5.109</v>
      </c>
      <c r="D527" s="124"/>
    </row>
    <row r="528" spans="1:4" ht="15.75" hidden="1" outlineLevel="1">
      <c r="A528" s="46" t="s">
        <v>2896</v>
      </c>
      <c r="B528" s="47" t="s">
        <v>1553</v>
      </c>
      <c r="C528" s="46">
        <v>5.1109999999999998</v>
      </c>
      <c r="D528" s="124"/>
    </row>
    <row r="529" spans="1:4" ht="15.75" hidden="1" outlineLevel="1">
      <c r="A529" s="46" t="s">
        <v>2896</v>
      </c>
      <c r="B529" s="47" t="s">
        <v>1555</v>
      </c>
      <c r="C529" s="46">
        <v>5.1120000000000001</v>
      </c>
      <c r="D529" s="124"/>
    </row>
    <row r="530" spans="1:4" ht="15.75" hidden="1" outlineLevel="1">
      <c r="A530" s="46" t="s">
        <v>2896</v>
      </c>
      <c r="B530" s="47" t="s">
        <v>1515</v>
      </c>
      <c r="C530" s="46">
        <v>5.1020000000000003</v>
      </c>
      <c r="D530" s="124"/>
    </row>
    <row r="531" spans="1:4" ht="15.75" hidden="1" outlineLevel="1">
      <c r="A531" s="46" t="s">
        <v>2896</v>
      </c>
      <c r="B531" s="47" t="s">
        <v>1516</v>
      </c>
      <c r="C531" s="49">
        <v>5.0999999999999996</v>
      </c>
      <c r="D531" s="124"/>
    </row>
    <row r="532" spans="1:4" ht="15.75" hidden="1" outlineLevel="1">
      <c r="A532" s="46" t="s">
        <v>2896</v>
      </c>
      <c r="B532" s="47" t="s">
        <v>17</v>
      </c>
      <c r="C532" s="46">
        <v>5.58</v>
      </c>
      <c r="D532" s="124"/>
    </row>
    <row r="533" spans="1:4" ht="15.75" hidden="1" outlineLevel="1">
      <c r="A533" s="46" t="s">
        <v>2896</v>
      </c>
      <c r="B533" s="47" t="s">
        <v>19</v>
      </c>
      <c r="C533" s="46">
        <v>5.55</v>
      </c>
      <c r="D533" s="124"/>
    </row>
    <row r="534" spans="1:4" ht="15.75" hidden="1" outlineLevel="1">
      <c r="A534" s="46" t="s">
        <v>2896</v>
      </c>
      <c r="B534" s="47" t="s">
        <v>18</v>
      </c>
      <c r="C534" s="46">
        <v>5.54</v>
      </c>
      <c r="D534" s="124"/>
    </row>
    <row r="535" spans="1:4" ht="15.75" hidden="1" outlineLevel="1">
      <c r="A535" s="46" t="s">
        <v>2896</v>
      </c>
      <c r="B535" s="47" t="s">
        <v>20</v>
      </c>
      <c r="C535" s="46">
        <v>5.63</v>
      </c>
      <c r="D535" s="124"/>
    </row>
    <row r="536" spans="1:4" ht="15.75" hidden="1" outlineLevel="1">
      <c r="A536" s="46" t="s">
        <v>2896</v>
      </c>
      <c r="B536" s="47" t="s">
        <v>24</v>
      </c>
      <c r="C536" s="46">
        <v>5.47</v>
      </c>
      <c r="D536" s="124"/>
    </row>
    <row r="537" spans="1:4" ht="15.75" hidden="1" outlineLevel="1">
      <c r="A537" s="46" t="s">
        <v>2896</v>
      </c>
      <c r="B537" s="47" t="s">
        <v>25</v>
      </c>
      <c r="C537" s="46">
        <v>5.48</v>
      </c>
      <c r="D537" s="124"/>
    </row>
    <row r="538" spans="1:4" ht="15.75">
      <c r="A538" s="52" t="s">
        <v>2896</v>
      </c>
      <c r="B538" s="47"/>
      <c r="C538" s="46"/>
      <c r="D538" s="124"/>
    </row>
    <row r="539" spans="1:4" ht="15.75" hidden="1" outlineLevel="1">
      <c r="A539" s="46" t="s">
        <v>2903</v>
      </c>
      <c r="B539" s="47" t="s">
        <v>0</v>
      </c>
      <c r="C539" s="46">
        <v>5.0999999999999996</v>
      </c>
      <c r="D539" s="124"/>
    </row>
    <row r="540" spans="1:4" ht="15.75" hidden="1" outlineLevel="1">
      <c r="A540" s="46" t="s">
        <v>2903</v>
      </c>
      <c r="B540" s="47" t="s">
        <v>1</v>
      </c>
      <c r="C540" s="46">
        <v>5.2</v>
      </c>
      <c r="D540" s="124"/>
    </row>
    <row r="541" spans="1:4" ht="15.75" hidden="1" outlineLevel="1">
      <c r="A541" s="46" t="s">
        <v>2903</v>
      </c>
      <c r="B541" s="47" t="s">
        <v>5</v>
      </c>
      <c r="C541" s="46">
        <v>5.26</v>
      </c>
      <c r="D541" s="124"/>
    </row>
    <row r="542" spans="1:4" ht="15.75" hidden="1" outlineLevel="1">
      <c r="A542" s="46" t="s">
        <v>2903</v>
      </c>
      <c r="B542" s="47" t="s">
        <v>2083</v>
      </c>
      <c r="C542" s="46">
        <v>5.21</v>
      </c>
      <c r="D542" s="124"/>
    </row>
    <row r="543" spans="1:4" ht="15.75" hidden="1" outlineLevel="1">
      <c r="A543" s="46" t="s">
        <v>2903</v>
      </c>
      <c r="B543" s="47" t="s">
        <v>2084</v>
      </c>
      <c r="C543" s="46">
        <v>5.53</v>
      </c>
      <c r="D543" s="124"/>
    </row>
    <row r="544" spans="1:4" ht="15.75" hidden="1" outlineLevel="1">
      <c r="A544" s="46" t="s">
        <v>2903</v>
      </c>
      <c r="B544" s="47" t="s">
        <v>18</v>
      </c>
      <c r="C544" s="46">
        <v>5.54</v>
      </c>
      <c r="D544" s="124"/>
    </row>
    <row r="545" spans="1:4" ht="15.75" hidden="1" outlineLevel="1">
      <c r="A545" s="46" t="s">
        <v>2903</v>
      </c>
      <c r="B545" s="47" t="s">
        <v>2085</v>
      </c>
      <c r="C545" s="46">
        <v>5.58</v>
      </c>
      <c r="D545" s="124"/>
    </row>
    <row r="546" spans="1:4" ht="15.75" hidden="1" outlineLevel="1">
      <c r="A546" s="46" t="s">
        <v>2903</v>
      </c>
      <c r="B546" s="47" t="s">
        <v>2086</v>
      </c>
      <c r="C546" s="46">
        <v>5.1180000000000003</v>
      </c>
      <c r="D546" s="124"/>
    </row>
    <row r="547" spans="1:4" ht="15.75" hidden="1" outlineLevel="1">
      <c r="A547" s="46" t="s">
        <v>2903</v>
      </c>
      <c r="B547" s="50" t="s">
        <v>2087</v>
      </c>
      <c r="C547" s="46">
        <v>5.47</v>
      </c>
      <c r="D547" s="124"/>
    </row>
    <row r="548" spans="1:4" ht="15.75" hidden="1" outlineLevel="1">
      <c r="A548" s="46" t="s">
        <v>2903</v>
      </c>
      <c r="B548" s="47" t="s">
        <v>2088</v>
      </c>
      <c r="C548" s="46">
        <v>5.48</v>
      </c>
      <c r="D548" s="124"/>
    </row>
    <row r="549" spans="1:4" ht="15.75" hidden="1" outlineLevel="1">
      <c r="A549" s="46" t="s">
        <v>2903</v>
      </c>
      <c r="B549" s="47" t="s">
        <v>2089</v>
      </c>
      <c r="C549" s="46">
        <v>5.21</v>
      </c>
      <c r="D549" s="124"/>
    </row>
    <row r="550" spans="1:4" ht="15.75" hidden="1" outlineLevel="1">
      <c r="A550" s="46" t="s">
        <v>2903</v>
      </c>
      <c r="B550" s="47" t="s">
        <v>2090</v>
      </c>
      <c r="C550" s="46">
        <v>5.53</v>
      </c>
      <c r="D550" s="124"/>
    </row>
    <row r="551" spans="1:4" ht="15.75" hidden="1" outlineLevel="1">
      <c r="A551" s="46" t="s">
        <v>2903</v>
      </c>
      <c r="B551" s="47" t="s">
        <v>18</v>
      </c>
      <c r="C551" s="46">
        <v>5.54</v>
      </c>
      <c r="D551" s="124"/>
    </row>
    <row r="552" spans="1:4" ht="15.75" hidden="1" outlineLevel="1">
      <c r="A552" s="46" t="s">
        <v>2903</v>
      </c>
      <c r="B552" s="47" t="s">
        <v>2091</v>
      </c>
      <c r="C552" s="46">
        <v>5.58</v>
      </c>
      <c r="D552" s="124"/>
    </row>
    <row r="553" spans="1:4" ht="15.75" hidden="1" outlineLevel="1">
      <c r="A553" s="46" t="s">
        <v>2903</v>
      </c>
      <c r="B553" s="47" t="s">
        <v>2092</v>
      </c>
      <c r="C553" s="46">
        <v>5.1180000000000003</v>
      </c>
      <c r="D553" s="124"/>
    </row>
    <row r="554" spans="1:4" ht="15.75" hidden="1" outlineLevel="1">
      <c r="A554" s="46" t="s">
        <v>2903</v>
      </c>
      <c r="B554" s="47" t="s">
        <v>3113</v>
      </c>
      <c r="C554" s="46">
        <v>5.47</v>
      </c>
      <c r="D554" s="124"/>
    </row>
    <row r="555" spans="1:4" ht="15.75" hidden="1" outlineLevel="1">
      <c r="A555" s="46" t="s">
        <v>2903</v>
      </c>
      <c r="B555" s="47" t="s">
        <v>3114</v>
      </c>
      <c r="C555" s="46">
        <v>5.48</v>
      </c>
      <c r="D555" s="124"/>
    </row>
    <row r="556" spans="1:4" ht="15.75" hidden="1" outlineLevel="1">
      <c r="A556" s="46" t="s">
        <v>2903</v>
      </c>
      <c r="B556" s="47" t="s">
        <v>3115</v>
      </c>
      <c r="C556" s="46">
        <v>5.63</v>
      </c>
      <c r="D556" s="124"/>
    </row>
    <row r="557" spans="1:4" ht="15.75" hidden="1" outlineLevel="1">
      <c r="A557" s="46" t="s">
        <v>2903</v>
      </c>
      <c r="B557" s="47" t="s">
        <v>6</v>
      </c>
      <c r="C557" s="46">
        <v>5.27</v>
      </c>
      <c r="D557" s="124"/>
    </row>
    <row r="558" spans="1:4" ht="15.75" hidden="1" outlineLevel="1">
      <c r="A558" s="46" t="s">
        <v>2903</v>
      </c>
      <c r="B558" s="47" t="s">
        <v>7</v>
      </c>
      <c r="C558" s="46">
        <v>5.28</v>
      </c>
      <c r="D558" s="124"/>
    </row>
    <row r="559" spans="1:4" ht="15.75" hidden="1" outlineLevel="1">
      <c r="A559" s="46" t="s">
        <v>2903</v>
      </c>
      <c r="B559" s="47" t="s">
        <v>2096</v>
      </c>
      <c r="C559" s="46">
        <v>5.35</v>
      </c>
      <c r="D559" s="124"/>
    </row>
    <row r="560" spans="1:4" ht="15.75" hidden="1" outlineLevel="1">
      <c r="A560" s="46" t="s">
        <v>2903</v>
      </c>
      <c r="B560" s="47" t="s">
        <v>2097</v>
      </c>
      <c r="C560" s="46">
        <v>5.1189999999999998</v>
      </c>
      <c r="D560" s="124"/>
    </row>
    <row r="561" spans="1:4" ht="15.75" hidden="1" outlineLevel="1">
      <c r="A561" s="46" t="s">
        <v>2903</v>
      </c>
      <c r="B561" s="47" t="s">
        <v>2098</v>
      </c>
      <c r="C561" s="49">
        <v>5.12</v>
      </c>
      <c r="D561" s="124"/>
    </row>
    <row r="562" spans="1:4" ht="15.75" hidden="1" outlineLevel="1">
      <c r="A562" s="46" t="s">
        <v>2903</v>
      </c>
      <c r="B562" s="47" t="s">
        <v>2099</v>
      </c>
      <c r="C562" s="46">
        <v>5.1210000000000004</v>
      </c>
      <c r="D562" s="124"/>
    </row>
    <row r="563" spans="1:4" ht="15.75" hidden="1" outlineLevel="1">
      <c r="A563" s="46" t="s">
        <v>2903</v>
      </c>
      <c r="B563" s="47" t="s">
        <v>140</v>
      </c>
      <c r="C563" s="46">
        <v>5.36</v>
      </c>
      <c r="D563" s="124"/>
    </row>
    <row r="564" spans="1:4" ht="15.75" hidden="1" outlineLevel="1">
      <c r="A564" s="46" t="s">
        <v>2903</v>
      </c>
      <c r="B564" s="47" t="s">
        <v>2100</v>
      </c>
      <c r="C564" s="46">
        <v>5.1219999999999999</v>
      </c>
      <c r="D564" s="124"/>
    </row>
    <row r="565" spans="1:4" ht="15.75" hidden="1" outlineLevel="1">
      <c r="A565" s="46" t="s">
        <v>2903</v>
      </c>
      <c r="B565" s="47" t="s">
        <v>2101</v>
      </c>
      <c r="C565" s="46">
        <v>5.1230000000000002</v>
      </c>
      <c r="D565" s="124"/>
    </row>
    <row r="566" spans="1:4" ht="15.75" hidden="1" outlineLevel="1">
      <c r="A566" s="46" t="s">
        <v>2903</v>
      </c>
      <c r="B566" s="47" t="s">
        <v>2102</v>
      </c>
      <c r="C566" s="46">
        <v>5.1239999999999997</v>
      </c>
      <c r="D566" s="124"/>
    </row>
    <row r="567" spans="1:4" ht="15.75" hidden="1" outlineLevel="1">
      <c r="A567" s="46" t="s">
        <v>2903</v>
      </c>
      <c r="B567" s="47" t="s">
        <v>2103</v>
      </c>
      <c r="C567" s="46">
        <v>5.125</v>
      </c>
      <c r="D567" s="124"/>
    </row>
    <row r="568" spans="1:4" ht="15.75" hidden="1" outlineLevel="1">
      <c r="A568" s="46" t="s">
        <v>2903</v>
      </c>
      <c r="B568" s="47" t="s">
        <v>2104</v>
      </c>
      <c r="C568" s="46">
        <v>5.1260000000000003</v>
      </c>
      <c r="D568" s="124"/>
    </row>
    <row r="569" spans="1:4" ht="15.75" hidden="1" outlineLevel="1">
      <c r="A569" s="46" t="s">
        <v>2903</v>
      </c>
      <c r="B569" s="47" t="s">
        <v>2105</v>
      </c>
      <c r="C569" s="46">
        <v>5.1269999999999998</v>
      </c>
      <c r="D569" s="124"/>
    </row>
    <row r="570" spans="1:4" ht="15.75" hidden="1" outlineLevel="1">
      <c r="A570" s="46" t="s">
        <v>2903</v>
      </c>
      <c r="B570" s="47" t="s">
        <v>142</v>
      </c>
      <c r="C570" s="48">
        <v>5.72</v>
      </c>
      <c r="D570" s="124"/>
    </row>
    <row r="571" spans="1:4" ht="15.75" hidden="1" outlineLevel="1">
      <c r="A571" s="46" t="s">
        <v>2903</v>
      </c>
      <c r="B571" s="47" t="s">
        <v>2106</v>
      </c>
      <c r="C571" s="46">
        <v>5.1280000000000001</v>
      </c>
      <c r="D571" s="124"/>
    </row>
    <row r="572" spans="1:4" ht="15.75" hidden="1" outlineLevel="1">
      <c r="A572" s="46" t="s">
        <v>2903</v>
      </c>
      <c r="B572" s="47" t="s">
        <v>2107</v>
      </c>
      <c r="C572" s="46">
        <v>5.1289999999999996</v>
      </c>
      <c r="D572" s="123" t="s">
        <v>3104</v>
      </c>
    </row>
    <row r="573" spans="1:4" ht="15.75" hidden="1" outlineLevel="1">
      <c r="A573" s="46" t="s">
        <v>2903</v>
      </c>
      <c r="B573" s="47" t="s">
        <v>2108</v>
      </c>
      <c r="C573" s="46">
        <v>5.1310000000000002</v>
      </c>
      <c r="D573" s="124"/>
    </row>
    <row r="574" spans="1:4" ht="15.75" hidden="1" outlineLevel="1">
      <c r="A574" s="46" t="s">
        <v>2903</v>
      </c>
      <c r="B574" s="47" t="s">
        <v>2109</v>
      </c>
      <c r="C574" s="46">
        <v>5.1319999999999997</v>
      </c>
      <c r="D574" s="123" t="s">
        <v>3104</v>
      </c>
    </row>
    <row r="575" spans="1:4" ht="15.75" hidden="1" outlineLevel="1">
      <c r="A575" s="46" t="s">
        <v>2903</v>
      </c>
      <c r="B575" s="47" t="s">
        <v>2110</v>
      </c>
      <c r="C575" s="46">
        <v>5.133</v>
      </c>
      <c r="D575" s="123" t="s">
        <v>3104</v>
      </c>
    </row>
    <row r="576" spans="1:4" ht="15.75" hidden="1" outlineLevel="1">
      <c r="A576" s="46" t="s">
        <v>2903</v>
      </c>
      <c r="B576" s="47" t="s">
        <v>2111</v>
      </c>
      <c r="C576" s="46">
        <v>5.1340000000000003</v>
      </c>
      <c r="D576" s="123" t="s">
        <v>3104</v>
      </c>
    </row>
    <row r="577" spans="1:4" ht="15.75" hidden="1" outlineLevel="1">
      <c r="A577" s="46" t="s">
        <v>2903</v>
      </c>
      <c r="B577" s="47" t="s">
        <v>2112</v>
      </c>
      <c r="C577" s="49">
        <v>5.13</v>
      </c>
      <c r="D577" s="124"/>
    </row>
    <row r="578" spans="1:4" ht="15.75" hidden="1" outlineLevel="1">
      <c r="A578" s="46" t="s">
        <v>2903</v>
      </c>
      <c r="B578" s="47" t="s">
        <v>24</v>
      </c>
      <c r="C578" s="46">
        <v>5.47</v>
      </c>
      <c r="D578" s="124"/>
    </row>
    <row r="579" spans="1:4" ht="15.75" hidden="1" outlineLevel="1">
      <c r="A579" s="46" t="s">
        <v>2903</v>
      </c>
      <c r="B579" s="47" t="s">
        <v>25</v>
      </c>
      <c r="C579" s="46">
        <v>5.48</v>
      </c>
      <c r="D579" s="124"/>
    </row>
    <row r="580" spans="1:4" ht="15.75">
      <c r="A580" s="52" t="s">
        <v>2903</v>
      </c>
      <c r="B580" s="47"/>
      <c r="C580" s="46"/>
      <c r="D580" s="124"/>
    </row>
    <row r="581" spans="1:4" ht="15.75" hidden="1" outlineLevel="1">
      <c r="A581" s="46" t="s">
        <v>2898</v>
      </c>
      <c r="B581" s="47" t="s">
        <v>0</v>
      </c>
      <c r="C581" s="46">
        <v>5.0999999999999996</v>
      </c>
      <c r="D581" s="124"/>
    </row>
    <row r="582" spans="1:4" ht="15.75" hidden="1" outlineLevel="1">
      <c r="A582" s="46" t="s">
        <v>2898</v>
      </c>
      <c r="B582" s="47" t="s">
        <v>1</v>
      </c>
      <c r="C582" s="46">
        <v>5.2</v>
      </c>
      <c r="D582" s="124"/>
    </row>
    <row r="583" spans="1:4" ht="15.75" hidden="1" outlineLevel="1">
      <c r="A583" s="46" t="s">
        <v>2898</v>
      </c>
      <c r="B583" s="47" t="s">
        <v>2141</v>
      </c>
      <c r="C583" s="46">
        <v>5.9</v>
      </c>
      <c r="D583" s="123" t="s">
        <v>3104</v>
      </c>
    </row>
    <row r="584" spans="1:4" ht="15.75" hidden="1" outlineLevel="1">
      <c r="A584" s="46" t="s">
        <v>2898</v>
      </c>
      <c r="B584" s="47" t="s">
        <v>2142</v>
      </c>
      <c r="C584" s="46">
        <v>5.13</v>
      </c>
      <c r="D584" s="123" t="s">
        <v>3104</v>
      </c>
    </row>
    <row r="585" spans="1:4" ht="15.75" hidden="1" outlineLevel="1">
      <c r="A585" s="46" t="s">
        <v>2898</v>
      </c>
      <c r="B585" s="47" t="s">
        <v>2143</v>
      </c>
      <c r="C585" s="46">
        <v>5.16</v>
      </c>
      <c r="D585" s="123" t="s">
        <v>3104</v>
      </c>
    </row>
    <row r="586" spans="1:4" ht="15.75" hidden="1" outlineLevel="1">
      <c r="A586" s="46" t="s">
        <v>2898</v>
      </c>
      <c r="B586" s="47" t="s">
        <v>2144</v>
      </c>
      <c r="C586" s="46">
        <v>5.22</v>
      </c>
      <c r="D586" s="123"/>
    </row>
    <row r="587" spans="1:4" ht="15.75" hidden="1" outlineLevel="1">
      <c r="A587" s="46" t="s">
        <v>2898</v>
      </c>
      <c r="B587" s="47" t="s">
        <v>5</v>
      </c>
      <c r="C587" s="46">
        <v>5.26</v>
      </c>
      <c r="D587" s="124"/>
    </row>
    <row r="588" spans="1:4" ht="15.75" hidden="1" outlineLevel="1">
      <c r="A588" s="46" t="s">
        <v>2898</v>
      </c>
      <c r="B588" s="47" t="s">
        <v>2145</v>
      </c>
      <c r="C588" s="46">
        <v>5.77</v>
      </c>
      <c r="D588" s="124"/>
    </row>
    <row r="589" spans="1:4" ht="15.75" hidden="1" outlineLevel="1">
      <c r="A589" s="46" t="s">
        <v>2898</v>
      </c>
      <c r="B589" s="47" t="s">
        <v>6</v>
      </c>
      <c r="C589" s="46">
        <v>5.27</v>
      </c>
      <c r="D589" s="124"/>
    </row>
    <row r="590" spans="1:4" ht="15.75" hidden="1" outlineLevel="1">
      <c r="A590" s="46" t="s">
        <v>2898</v>
      </c>
      <c r="B590" s="47" t="s">
        <v>7</v>
      </c>
      <c r="C590" s="46">
        <v>5.28</v>
      </c>
      <c r="D590" s="123" t="s">
        <v>3104</v>
      </c>
    </row>
    <row r="591" spans="1:4" ht="15.75" hidden="1" outlineLevel="1">
      <c r="A591" s="46" t="s">
        <v>2898</v>
      </c>
      <c r="B591" s="47" t="s">
        <v>139</v>
      </c>
      <c r="C591" s="46">
        <v>5.31</v>
      </c>
      <c r="D591" s="124"/>
    </row>
    <row r="592" spans="1:4" ht="15.75" hidden="1" outlineLevel="1">
      <c r="A592" s="46" t="s">
        <v>2898</v>
      </c>
      <c r="B592" s="47" t="s">
        <v>140</v>
      </c>
      <c r="C592" s="46">
        <v>5.36</v>
      </c>
      <c r="D592" s="124"/>
    </row>
    <row r="593" spans="1:4" ht="15.75" hidden="1" outlineLevel="1">
      <c r="A593" s="46" t="s">
        <v>2898</v>
      </c>
      <c r="B593" s="47" t="s">
        <v>2146</v>
      </c>
      <c r="C593" s="46">
        <v>5.78</v>
      </c>
      <c r="D593" s="124"/>
    </row>
    <row r="594" spans="1:4" ht="15.75" hidden="1" outlineLevel="1">
      <c r="A594" s="46" t="s">
        <v>2898</v>
      </c>
      <c r="B594" s="47" t="s">
        <v>2147</v>
      </c>
      <c r="C594" s="46">
        <v>5.79</v>
      </c>
      <c r="D594" s="123" t="s">
        <v>3104</v>
      </c>
    </row>
    <row r="595" spans="1:4" ht="15.75" hidden="1" outlineLevel="1">
      <c r="A595" s="46" t="s">
        <v>2898</v>
      </c>
      <c r="B595" s="47" t="s">
        <v>2148</v>
      </c>
      <c r="C595" s="46">
        <v>5.41</v>
      </c>
      <c r="D595" s="124"/>
    </row>
    <row r="596" spans="1:4" ht="15.75" hidden="1" outlineLevel="1">
      <c r="A596" s="46" t="s">
        <v>2898</v>
      </c>
      <c r="B596" s="47" t="s">
        <v>9</v>
      </c>
      <c r="C596" s="46">
        <v>5.49</v>
      </c>
      <c r="D596" s="124"/>
    </row>
    <row r="597" spans="1:4" ht="15.75" hidden="1" outlineLevel="1">
      <c r="A597" s="46" t="s">
        <v>2898</v>
      </c>
      <c r="B597" s="47" t="s">
        <v>10</v>
      </c>
      <c r="C597" s="46">
        <v>5.51</v>
      </c>
      <c r="D597" s="124"/>
    </row>
    <row r="598" spans="1:4" ht="15.75" hidden="1" outlineLevel="1">
      <c r="A598" s="46" t="s">
        <v>2898</v>
      </c>
      <c r="B598" s="47" t="s">
        <v>3116</v>
      </c>
      <c r="C598" s="46">
        <v>5.52</v>
      </c>
      <c r="D598" s="124"/>
    </row>
    <row r="599" spans="1:4" ht="15.75" hidden="1" outlineLevel="1">
      <c r="A599" s="46" t="s">
        <v>2898</v>
      </c>
      <c r="B599" s="47" t="s">
        <v>11</v>
      </c>
      <c r="C599" s="46">
        <v>5.53</v>
      </c>
      <c r="D599" s="124"/>
    </row>
    <row r="600" spans="1:4" ht="15.75" hidden="1" outlineLevel="1">
      <c r="A600" s="46" t="s">
        <v>2898</v>
      </c>
      <c r="B600" s="47" t="s">
        <v>12</v>
      </c>
      <c r="C600" s="46">
        <v>5.69</v>
      </c>
      <c r="D600" s="124"/>
    </row>
    <row r="601" spans="1:4" ht="15.75" hidden="1" outlineLevel="1">
      <c r="A601" s="46" t="s">
        <v>2898</v>
      </c>
      <c r="B601" s="47" t="s">
        <v>2150</v>
      </c>
      <c r="C601" s="46">
        <v>5.71</v>
      </c>
      <c r="D601" s="124"/>
    </row>
    <row r="602" spans="1:4" ht="15.75" hidden="1" outlineLevel="1">
      <c r="A602" s="46" t="s">
        <v>2898</v>
      </c>
      <c r="B602" s="47" t="s">
        <v>14</v>
      </c>
      <c r="C602" s="48">
        <v>5.7</v>
      </c>
      <c r="D602" s="124"/>
    </row>
    <row r="603" spans="1:4" ht="15.75" hidden="1" outlineLevel="1">
      <c r="A603" s="46" t="s">
        <v>2898</v>
      </c>
      <c r="B603" s="47" t="s">
        <v>1547</v>
      </c>
      <c r="C603" s="48">
        <v>5.8</v>
      </c>
      <c r="D603" s="123" t="s">
        <v>3104</v>
      </c>
    </row>
    <row r="604" spans="1:4" ht="15.75" hidden="1" outlineLevel="1">
      <c r="A604" s="46" t="s">
        <v>2898</v>
      </c>
      <c r="B604" s="47" t="s">
        <v>142</v>
      </c>
      <c r="C604" s="48">
        <v>5.72</v>
      </c>
      <c r="D604" s="123" t="s">
        <v>3104</v>
      </c>
    </row>
    <row r="605" spans="1:4" ht="15.75" hidden="1" outlineLevel="1">
      <c r="A605" s="46" t="s">
        <v>2898</v>
      </c>
      <c r="B605" s="47" t="s">
        <v>2151</v>
      </c>
      <c r="C605" s="46">
        <v>5.73</v>
      </c>
      <c r="D605" s="123" t="s">
        <v>3104</v>
      </c>
    </row>
    <row r="606" spans="1:4" ht="15.75" hidden="1" outlineLevel="1">
      <c r="A606" s="46" t="s">
        <v>2898</v>
      </c>
      <c r="B606" s="47" t="s">
        <v>15</v>
      </c>
      <c r="C606" s="46">
        <v>5.74</v>
      </c>
      <c r="D606" s="124"/>
    </row>
    <row r="607" spans="1:4" ht="15.75" hidden="1" outlineLevel="1">
      <c r="A607" s="46" t="s">
        <v>2898</v>
      </c>
      <c r="B607" s="47" t="s">
        <v>13</v>
      </c>
      <c r="C607" s="46">
        <v>5.75</v>
      </c>
      <c r="D607" s="124"/>
    </row>
    <row r="608" spans="1:4" ht="15.75" hidden="1" outlineLevel="1">
      <c r="A608" s="46" t="s">
        <v>2898</v>
      </c>
      <c r="B608" s="47" t="s">
        <v>143</v>
      </c>
      <c r="C608" s="46">
        <v>5.76</v>
      </c>
      <c r="D608" s="124"/>
    </row>
    <row r="609" spans="1:4" ht="15.75" hidden="1" outlineLevel="1">
      <c r="A609" s="46" t="s">
        <v>2898</v>
      </c>
      <c r="B609" s="47" t="s">
        <v>2152</v>
      </c>
      <c r="C609" s="46">
        <v>5.81</v>
      </c>
      <c r="D609" s="123" t="s">
        <v>3104</v>
      </c>
    </row>
    <row r="610" spans="1:4" ht="15.75" hidden="1" outlineLevel="1">
      <c r="A610" s="46" t="s">
        <v>2898</v>
      </c>
      <c r="B610" s="47" t="s">
        <v>2153</v>
      </c>
      <c r="C610" s="46">
        <v>5.82</v>
      </c>
      <c r="D610" s="123" t="s">
        <v>3104</v>
      </c>
    </row>
    <row r="611" spans="1:4" ht="15.75" hidden="1" outlineLevel="1">
      <c r="A611" s="46" t="s">
        <v>2898</v>
      </c>
      <c r="B611" s="47" t="s">
        <v>2154</v>
      </c>
      <c r="C611" s="46">
        <v>5.83</v>
      </c>
      <c r="D611" s="123" t="s">
        <v>3104</v>
      </c>
    </row>
    <row r="612" spans="1:4" ht="15.75" hidden="1" outlineLevel="1">
      <c r="A612" s="46" t="s">
        <v>2898</v>
      </c>
      <c r="B612" s="47" t="s">
        <v>2155</v>
      </c>
      <c r="C612" s="46">
        <v>5.84</v>
      </c>
      <c r="D612" s="124"/>
    </row>
    <row r="613" spans="1:4" ht="15.75" hidden="1" outlineLevel="1">
      <c r="A613" s="46" t="s">
        <v>2898</v>
      </c>
      <c r="B613" s="47" t="s">
        <v>2156</v>
      </c>
      <c r="C613" s="46">
        <v>5.85</v>
      </c>
      <c r="D613" s="123" t="s">
        <v>3104</v>
      </c>
    </row>
    <row r="614" spans="1:4" ht="15.75" hidden="1" outlineLevel="1">
      <c r="A614" s="46" t="s">
        <v>2898</v>
      </c>
      <c r="B614" s="47" t="s">
        <v>2157</v>
      </c>
      <c r="C614" s="46">
        <v>5.86</v>
      </c>
      <c r="D614" s="123" t="s">
        <v>3104</v>
      </c>
    </row>
    <row r="615" spans="1:4" ht="15.75" hidden="1" outlineLevel="1">
      <c r="A615" s="46" t="s">
        <v>2898</v>
      </c>
      <c r="B615" s="47" t="s">
        <v>2158</v>
      </c>
      <c r="C615" s="46">
        <v>5.88</v>
      </c>
      <c r="D615" s="123" t="s">
        <v>3104</v>
      </c>
    </row>
    <row r="616" spans="1:4" ht="15.75" hidden="1" outlineLevel="1">
      <c r="A616" s="46" t="s">
        <v>2898</v>
      </c>
      <c r="B616" s="47" t="s">
        <v>2159</v>
      </c>
      <c r="C616" s="46">
        <v>5.87</v>
      </c>
      <c r="D616" s="124"/>
    </row>
    <row r="617" spans="1:4" ht="15.75" hidden="1" outlineLevel="1">
      <c r="A617" s="46" t="s">
        <v>2898</v>
      </c>
      <c r="B617" s="47" t="s">
        <v>1552</v>
      </c>
      <c r="C617" s="46">
        <v>5.109</v>
      </c>
      <c r="D617" s="124"/>
    </row>
    <row r="618" spans="1:4" ht="15.75" hidden="1" outlineLevel="1">
      <c r="A618" s="46" t="s">
        <v>2898</v>
      </c>
      <c r="B618" s="47" t="s">
        <v>1554</v>
      </c>
      <c r="C618" s="49">
        <v>5.1100000000000003</v>
      </c>
      <c r="D618" s="123" t="s">
        <v>3104</v>
      </c>
    </row>
    <row r="619" spans="1:4" ht="15.75" hidden="1" outlineLevel="1">
      <c r="A619" s="46" t="s">
        <v>2898</v>
      </c>
      <c r="B619" s="47" t="s">
        <v>1553</v>
      </c>
      <c r="C619" s="46">
        <v>5.1109999999999998</v>
      </c>
      <c r="D619" s="124"/>
    </row>
    <row r="620" spans="1:4" ht="15.75" hidden="1" outlineLevel="1">
      <c r="A620" s="46" t="s">
        <v>2898</v>
      </c>
      <c r="B620" s="47" t="s">
        <v>1555</v>
      </c>
      <c r="C620" s="46">
        <v>5.1120000000000001</v>
      </c>
      <c r="D620" s="124"/>
    </row>
    <row r="621" spans="1:4" ht="15.75" hidden="1" outlineLevel="1">
      <c r="A621" s="46" t="s">
        <v>2898</v>
      </c>
      <c r="B621" s="47" t="s">
        <v>3110</v>
      </c>
      <c r="C621" s="46">
        <v>5.1130000000000004</v>
      </c>
      <c r="D621" s="124"/>
    </row>
    <row r="622" spans="1:4" ht="15.75" hidden="1" outlineLevel="1">
      <c r="A622" s="46" t="s">
        <v>2898</v>
      </c>
      <c r="B622" s="47" t="s">
        <v>2160</v>
      </c>
      <c r="C622" s="46">
        <v>5.99</v>
      </c>
      <c r="D622" s="123" t="s">
        <v>3104</v>
      </c>
    </row>
    <row r="623" spans="1:4" ht="15.75" hidden="1" outlineLevel="1">
      <c r="A623" s="46" t="s">
        <v>2898</v>
      </c>
      <c r="B623" s="47" t="s">
        <v>2161</v>
      </c>
      <c r="C623" s="46">
        <v>5.58</v>
      </c>
      <c r="D623" s="123"/>
    </row>
    <row r="624" spans="1:4" ht="15.75" hidden="1" outlineLevel="1">
      <c r="A624" s="46" t="s">
        <v>2898</v>
      </c>
      <c r="B624" s="47" t="s">
        <v>18</v>
      </c>
      <c r="C624" s="46">
        <v>5.54</v>
      </c>
      <c r="D624" s="124"/>
    </row>
    <row r="625" spans="1:4" ht="15.75" hidden="1" outlineLevel="1">
      <c r="A625" s="46" t="s">
        <v>2898</v>
      </c>
      <c r="B625" s="47" t="s">
        <v>2162</v>
      </c>
      <c r="C625" s="46">
        <v>5.56</v>
      </c>
      <c r="D625" s="124"/>
    </row>
    <row r="626" spans="1:4" ht="15.75" hidden="1" outlineLevel="1">
      <c r="A626" s="46" t="s">
        <v>2898</v>
      </c>
      <c r="B626" s="47" t="s">
        <v>20</v>
      </c>
      <c r="C626" s="46">
        <v>5.63</v>
      </c>
      <c r="D626" s="124"/>
    </row>
    <row r="627" spans="1:4" ht="15.75" hidden="1" outlineLevel="1">
      <c r="A627" s="46" t="s">
        <v>2898</v>
      </c>
      <c r="B627" s="47" t="s">
        <v>2163</v>
      </c>
      <c r="C627" s="46">
        <v>5.64</v>
      </c>
      <c r="D627" s="124"/>
    </row>
    <row r="628" spans="1:4" ht="15.75" hidden="1" outlineLevel="1">
      <c r="A628" s="46" t="s">
        <v>2898</v>
      </c>
      <c r="B628" s="47" t="s">
        <v>21</v>
      </c>
      <c r="C628" s="46">
        <v>5.65</v>
      </c>
      <c r="D628" s="124"/>
    </row>
    <row r="629" spans="1:4" ht="15.75" hidden="1" outlineLevel="1">
      <c r="A629" s="46" t="s">
        <v>2898</v>
      </c>
      <c r="B629" s="47" t="s">
        <v>145</v>
      </c>
      <c r="C629" s="46">
        <v>5.66</v>
      </c>
      <c r="D629" s="124"/>
    </row>
    <row r="630" spans="1:4" ht="15.75" hidden="1" outlineLevel="1">
      <c r="A630" s="46" t="s">
        <v>2898</v>
      </c>
      <c r="B630" s="47" t="s">
        <v>144</v>
      </c>
      <c r="C630" s="46">
        <v>5.89</v>
      </c>
      <c r="D630" s="123" t="s">
        <v>3104</v>
      </c>
    </row>
    <row r="631" spans="1:4" ht="15.75" hidden="1" outlineLevel="1">
      <c r="A631" s="46" t="s">
        <v>2898</v>
      </c>
      <c r="B631" s="47" t="s">
        <v>22</v>
      </c>
      <c r="C631" s="46">
        <v>5.68</v>
      </c>
      <c r="D631" s="124"/>
    </row>
    <row r="632" spans="1:4" ht="15.75" hidden="1" outlineLevel="1">
      <c r="A632" s="46" t="s">
        <v>2898</v>
      </c>
      <c r="B632" s="47" t="s">
        <v>24</v>
      </c>
      <c r="C632" s="46">
        <v>5.47</v>
      </c>
      <c r="D632" s="124"/>
    </row>
    <row r="633" spans="1:4" ht="15.75" hidden="1" outlineLevel="1">
      <c r="A633" s="46" t="s">
        <v>2898</v>
      </c>
      <c r="B633" s="47" t="s">
        <v>25</v>
      </c>
      <c r="C633" s="46">
        <v>5.48</v>
      </c>
      <c r="D633" s="124"/>
    </row>
    <row r="634" spans="1:4" ht="15.75">
      <c r="A634" s="52" t="s">
        <v>2898</v>
      </c>
      <c r="B634" s="47"/>
      <c r="C634" s="46"/>
      <c r="D634" s="124"/>
    </row>
    <row r="635" spans="1:4" ht="15.75" hidden="1" outlineLevel="1">
      <c r="A635" s="46" t="s">
        <v>2914</v>
      </c>
      <c r="B635" s="47" t="s">
        <v>0</v>
      </c>
      <c r="C635" s="46">
        <v>5.0999999999999996</v>
      </c>
      <c r="D635" s="124"/>
    </row>
    <row r="636" spans="1:4" ht="15.75" hidden="1" outlineLevel="1">
      <c r="A636" s="46" t="s">
        <v>2914</v>
      </c>
      <c r="B636" s="47" t="s">
        <v>1</v>
      </c>
      <c r="C636" s="46">
        <v>5.2</v>
      </c>
      <c r="D636" s="124"/>
    </row>
    <row r="637" spans="1:4" ht="15.75" hidden="1" outlineLevel="1">
      <c r="A637" s="46" t="s">
        <v>2914</v>
      </c>
      <c r="B637" s="47" t="s">
        <v>2</v>
      </c>
      <c r="C637" s="46">
        <v>5.3</v>
      </c>
      <c r="D637" s="124"/>
    </row>
    <row r="638" spans="1:4" ht="15.75" hidden="1" outlineLevel="1">
      <c r="A638" s="46" t="s">
        <v>2914</v>
      </c>
      <c r="B638" s="47" t="s">
        <v>136</v>
      </c>
      <c r="C638" s="46">
        <v>5.6</v>
      </c>
      <c r="D638" s="124"/>
    </row>
    <row r="639" spans="1:4" ht="15.75" hidden="1" outlineLevel="1">
      <c r="A639" s="46" t="s">
        <v>2914</v>
      </c>
      <c r="B639" s="47" t="s">
        <v>3105</v>
      </c>
      <c r="C639" s="48">
        <v>5.0999999999999996</v>
      </c>
      <c r="D639" s="124"/>
    </row>
    <row r="640" spans="1:4" ht="15.75" hidden="1" outlineLevel="1">
      <c r="A640" s="46" t="s">
        <v>2914</v>
      </c>
      <c r="B640" s="47" t="s">
        <v>1491</v>
      </c>
      <c r="C640" s="46">
        <v>5.14</v>
      </c>
      <c r="D640" s="124"/>
    </row>
    <row r="641" spans="1:4" ht="15.75" hidden="1" outlineLevel="1">
      <c r="A641" s="46" t="s">
        <v>2914</v>
      </c>
      <c r="B641" s="47" t="s">
        <v>4</v>
      </c>
      <c r="C641" s="46">
        <v>5.19</v>
      </c>
      <c r="D641" s="124"/>
    </row>
    <row r="642" spans="1:4" ht="15.75" hidden="1" outlineLevel="1">
      <c r="A642" s="46" t="s">
        <v>2914</v>
      </c>
      <c r="B642" s="47" t="s">
        <v>138</v>
      </c>
      <c r="C642" s="46">
        <v>5.24</v>
      </c>
      <c r="D642" s="124"/>
    </row>
    <row r="643" spans="1:4" ht="15.75" hidden="1" outlineLevel="1">
      <c r="A643" s="46" t="s">
        <v>2914</v>
      </c>
      <c r="B643" s="47" t="s">
        <v>5</v>
      </c>
      <c r="C643" s="46">
        <v>5.26</v>
      </c>
      <c r="D643" s="124"/>
    </row>
    <row r="644" spans="1:4" ht="15.75" hidden="1" outlineLevel="1">
      <c r="A644" s="46" t="s">
        <v>2914</v>
      </c>
      <c r="B644" s="47" t="s">
        <v>6</v>
      </c>
      <c r="C644" s="46">
        <v>5.27</v>
      </c>
      <c r="D644" s="124"/>
    </row>
    <row r="645" spans="1:4" ht="15.75" hidden="1" outlineLevel="1">
      <c r="A645" s="46" t="s">
        <v>2914</v>
      </c>
      <c r="B645" s="47" t="s">
        <v>7</v>
      </c>
      <c r="C645" s="46">
        <v>5.28</v>
      </c>
      <c r="D645" s="124"/>
    </row>
    <row r="646" spans="1:4" ht="15.75" hidden="1" outlineLevel="1">
      <c r="A646" s="46" t="s">
        <v>2914</v>
      </c>
      <c r="B646" s="47" t="s">
        <v>140</v>
      </c>
      <c r="C646" s="46">
        <v>5.36</v>
      </c>
      <c r="D646" s="124"/>
    </row>
    <row r="647" spans="1:4" ht="15.75" hidden="1" outlineLevel="1">
      <c r="A647" s="46" t="s">
        <v>2914</v>
      </c>
      <c r="B647" s="47" t="s">
        <v>1524</v>
      </c>
      <c r="C647" s="46">
        <v>5.33</v>
      </c>
      <c r="D647" s="124"/>
    </row>
    <row r="648" spans="1:4" ht="15.75" hidden="1" outlineLevel="1">
      <c r="A648" s="46" t="s">
        <v>2914</v>
      </c>
      <c r="B648" s="47" t="s">
        <v>1546</v>
      </c>
      <c r="C648" s="46">
        <v>5.37</v>
      </c>
      <c r="D648" s="124"/>
    </row>
    <row r="649" spans="1:4" ht="15.75" hidden="1" outlineLevel="1">
      <c r="A649" s="46" t="s">
        <v>2914</v>
      </c>
      <c r="B649" s="47" t="s">
        <v>9</v>
      </c>
      <c r="C649" s="46">
        <v>5.49</v>
      </c>
      <c r="D649" s="124"/>
    </row>
    <row r="650" spans="1:4" ht="15.75" hidden="1" outlineLevel="1">
      <c r="A650" s="46" t="s">
        <v>2914</v>
      </c>
      <c r="B650" s="47" t="s">
        <v>10</v>
      </c>
      <c r="C650" s="46">
        <v>5.51</v>
      </c>
      <c r="D650" s="124"/>
    </row>
    <row r="651" spans="1:4" ht="15.75" hidden="1" outlineLevel="1">
      <c r="A651" s="46" t="s">
        <v>2914</v>
      </c>
      <c r="B651" s="47" t="s">
        <v>3106</v>
      </c>
      <c r="C651" s="46">
        <v>5.52</v>
      </c>
      <c r="D651" s="124"/>
    </row>
    <row r="652" spans="1:4" ht="15.75" hidden="1" outlineLevel="1">
      <c r="A652" s="46" t="s">
        <v>2914</v>
      </c>
      <c r="B652" s="47" t="s">
        <v>11</v>
      </c>
      <c r="C652" s="46">
        <v>5.53</v>
      </c>
      <c r="D652" s="124"/>
    </row>
    <row r="653" spans="1:4" ht="15.75" hidden="1" outlineLevel="1">
      <c r="A653" s="46" t="s">
        <v>2914</v>
      </c>
      <c r="B653" s="47" t="s">
        <v>12</v>
      </c>
      <c r="C653" s="46">
        <v>5.69</v>
      </c>
      <c r="D653" s="124"/>
    </row>
    <row r="654" spans="1:4" ht="15.75" hidden="1" outlineLevel="1">
      <c r="A654" s="46" t="s">
        <v>2914</v>
      </c>
      <c r="B654" s="47" t="s">
        <v>14</v>
      </c>
      <c r="C654" s="48">
        <v>5.7</v>
      </c>
      <c r="D654" s="124"/>
    </row>
    <row r="655" spans="1:4" ht="15.75" hidden="1" outlineLevel="1">
      <c r="A655" s="46" t="s">
        <v>2914</v>
      </c>
      <c r="B655" s="47" t="s">
        <v>15</v>
      </c>
      <c r="C655" s="46">
        <v>5.74</v>
      </c>
      <c r="D655" s="124"/>
    </row>
    <row r="656" spans="1:4" ht="15.75" hidden="1" outlineLevel="1">
      <c r="A656" s="46" t="s">
        <v>2914</v>
      </c>
      <c r="B656" s="47" t="s">
        <v>1552</v>
      </c>
      <c r="C656" s="46">
        <v>5.109</v>
      </c>
      <c r="D656" s="124"/>
    </row>
    <row r="657" spans="1:4" ht="15.75" hidden="1" outlineLevel="1">
      <c r="A657" s="46" t="s">
        <v>2914</v>
      </c>
      <c r="B657" s="47" t="s">
        <v>1553</v>
      </c>
      <c r="C657" s="46">
        <v>5.1109999999999998</v>
      </c>
      <c r="D657" s="124"/>
    </row>
    <row r="658" spans="1:4" ht="15.75" hidden="1" outlineLevel="1">
      <c r="A658" s="46" t="s">
        <v>2914</v>
      </c>
      <c r="B658" s="47" t="s">
        <v>1555</v>
      </c>
      <c r="C658" s="46">
        <v>5.1120000000000001</v>
      </c>
      <c r="D658" s="124"/>
    </row>
    <row r="659" spans="1:4" ht="15.75" hidden="1" outlineLevel="1">
      <c r="A659" s="46" t="s">
        <v>2914</v>
      </c>
      <c r="B659" s="47" t="s">
        <v>17</v>
      </c>
      <c r="C659" s="46">
        <v>5.58</v>
      </c>
      <c r="D659" s="124"/>
    </row>
    <row r="660" spans="1:4" ht="15.75" hidden="1" outlineLevel="1">
      <c r="A660" s="46" t="s">
        <v>2914</v>
      </c>
      <c r="B660" s="47" t="s">
        <v>18</v>
      </c>
      <c r="C660" s="46">
        <v>5.54</v>
      </c>
      <c r="D660" s="124"/>
    </row>
    <row r="661" spans="1:4" ht="15.75" hidden="1" outlineLevel="1">
      <c r="A661" s="46" t="s">
        <v>2914</v>
      </c>
      <c r="B661" s="47" t="s">
        <v>19</v>
      </c>
      <c r="C661" s="46">
        <v>5.55</v>
      </c>
      <c r="D661" s="124"/>
    </row>
    <row r="662" spans="1:4" ht="15.75" hidden="1" outlineLevel="1">
      <c r="A662" s="46" t="s">
        <v>2914</v>
      </c>
      <c r="B662" s="47" t="s">
        <v>20</v>
      </c>
      <c r="C662" s="46">
        <v>5.63</v>
      </c>
      <c r="D662" s="124"/>
    </row>
    <row r="663" spans="1:4" ht="15.75" hidden="1" outlineLevel="1">
      <c r="A663" s="46" t="s">
        <v>2914</v>
      </c>
      <c r="B663" s="47" t="s">
        <v>24</v>
      </c>
      <c r="C663" s="46">
        <v>5.47</v>
      </c>
      <c r="D663" s="124"/>
    </row>
    <row r="664" spans="1:4" ht="15.75" hidden="1" outlineLevel="1">
      <c r="A664" s="46" t="s">
        <v>2914</v>
      </c>
      <c r="B664" s="47" t="s">
        <v>25</v>
      </c>
      <c r="C664" s="46">
        <v>5.48</v>
      </c>
      <c r="D664" s="124"/>
    </row>
    <row r="665" spans="1:4" ht="15.75">
      <c r="A665" s="52" t="s">
        <v>2914</v>
      </c>
      <c r="B665" s="47"/>
      <c r="C665" s="46"/>
      <c r="D665" s="124"/>
    </row>
    <row r="666" spans="1:4" ht="15.75" hidden="1" outlineLevel="1">
      <c r="A666" s="46" t="s">
        <v>2919</v>
      </c>
      <c r="B666" s="47" t="s">
        <v>0</v>
      </c>
      <c r="C666" s="46">
        <v>5.0999999999999996</v>
      </c>
      <c r="D666" s="124"/>
    </row>
    <row r="667" spans="1:4" ht="15.75" hidden="1" outlineLevel="1">
      <c r="A667" s="46" t="s">
        <v>2919</v>
      </c>
      <c r="B667" s="47" t="s">
        <v>1</v>
      </c>
      <c r="C667" s="46">
        <v>5.2</v>
      </c>
      <c r="D667" s="124"/>
    </row>
    <row r="668" spans="1:4" ht="15.75" hidden="1" outlineLevel="1">
      <c r="A668" s="46" t="s">
        <v>2919</v>
      </c>
      <c r="B668" s="47" t="s">
        <v>2191</v>
      </c>
      <c r="C668" s="46">
        <v>5.4</v>
      </c>
      <c r="D668" s="124"/>
    </row>
    <row r="669" spans="1:4" ht="15.75" hidden="1" outlineLevel="1">
      <c r="A669" s="46" t="s">
        <v>2919</v>
      </c>
      <c r="B669" s="47" t="s">
        <v>2192</v>
      </c>
      <c r="C669" s="46">
        <v>5.7</v>
      </c>
      <c r="D669" s="124"/>
    </row>
    <row r="670" spans="1:4" ht="15.75" hidden="1" outlineLevel="1">
      <c r="A670" s="46" t="s">
        <v>2919</v>
      </c>
      <c r="B670" s="47" t="s">
        <v>2193</v>
      </c>
      <c r="C670" s="46">
        <v>5.1100000000000003</v>
      </c>
      <c r="D670" s="124"/>
    </row>
    <row r="671" spans="1:4" ht="15.75" hidden="1" outlineLevel="1">
      <c r="A671" s="46" t="s">
        <v>2919</v>
      </c>
      <c r="B671" s="47" t="s">
        <v>5</v>
      </c>
      <c r="C671" s="46">
        <v>5.26</v>
      </c>
      <c r="D671" s="124"/>
    </row>
    <row r="672" spans="1:4" ht="15.75" hidden="1" outlineLevel="1">
      <c r="A672" s="46" t="s">
        <v>2919</v>
      </c>
      <c r="B672" s="47" t="s">
        <v>2194</v>
      </c>
      <c r="C672" s="46">
        <v>5.43</v>
      </c>
      <c r="D672" s="124"/>
    </row>
    <row r="673" spans="1:4" ht="15.75" hidden="1" outlineLevel="1">
      <c r="A673" s="46" t="s">
        <v>2919</v>
      </c>
      <c r="B673" s="47" t="s">
        <v>6</v>
      </c>
      <c r="C673" s="46">
        <v>5.27</v>
      </c>
      <c r="D673" s="124"/>
    </row>
    <row r="674" spans="1:4" ht="15.75" hidden="1" outlineLevel="1">
      <c r="A674" s="46" t="s">
        <v>2919</v>
      </c>
      <c r="B674" s="47" t="s">
        <v>7</v>
      </c>
      <c r="C674" s="46">
        <v>5.28</v>
      </c>
      <c r="D674" s="124"/>
    </row>
    <row r="675" spans="1:4" ht="15.75" hidden="1" outlineLevel="1">
      <c r="A675" s="46" t="s">
        <v>2919</v>
      </c>
      <c r="B675" s="47" t="s">
        <v>140</v>
      </c>
      <c r="C675" s="46">
        <v>5.36</v>
      </c>
      <c r="D675" s="124"/>
    </row>
    <row r="676" spans="1:4" ht="15.75" hidden="1" outlineLevel="1">
      <c r="A676" s="46" t="s">
        <v>2919</v>
      </c>
      <c r="B676" s="47" t="s">
        <v>2195</v>
      </c>
      <c r="C676" s="48">
        <v>5.5</v>
      </c>
      <c r="D676" s="124"/>
    </row>
    <row r="677" spans="1:4" ht="15.75" hidden="1" outlineLevel="1">
      <c r="A677" s="46" t="s">
        <v>2919</v>
      </c>
      <c r="B677" s="47" t="s">
        <v>10</v>
      </c>
      <c r="C677" s="46">
        <v>5.51</v>
      </c>
      <c r="D677" s="124"/>
    </row>
    <row r="678" spans="1:4" ht="15.75" hidden="1" outlineLevel="1">
      <c r="A678" s="46" t="s">
        <v>2919</v>
      </c>
      <c r="B678" s="47" t="s">
        <v>11</v>
      </c>
      <c r="C678" s="46">
        <v>5.53</v>
      </c>
      <c r="D678" s="124"/>
    </row>
    <row r="679" spans="1:4" ht="15.75" hidden="1" outlineLevel="1">
      <c r="A679" s="46" t="s">
        <v>2919</v>
      </c>
      <c r="B679" s="47" t="s">
        <v>12</v>
      </c>
      <c r="C679" s="46">
        <v>5.69</v>
      </c>
      <c r="D679" s="124"/>
    </row>
    <row r="680" spans="1:4" ht="15.75" hidden="1" outlineLevel="1">
      <c r="A680" s="46" t="s">
        <v>2919</v>
      </c>
      <c r="B680" s="47" t="s">
        <v>14</v>
      </c>
      <c r="C680" s="48">
        <v>5.7</v>
      </c>
      <c r="D680" s="123" t="s">
        <v>3104</v>
      </c>
    </row>
    <row r="681" spans="1:4" ht="15.75" hidden="1" outlineLevel="1">
      <c r="A681" s="46" t="s">
        <v>2919</v>
      </c>
      <c r="B681" s="47" t="s">
        <v>15</v>
      </c>
      <c r="C681" s="46">
        <v>5.74</v>
      </c>
      <c r="D681" s="124"/>
    </row>
    <row r="682" spans="1:4" ht="15.75" hidden="1" outlineLevel="1">
      <c r="A682" s="46" t="s">
        <v>2919</v>
      </c>
      <c r="B682" s="47" t="s">
        <v>2196</v>
      </c>
      <c r="C682" s="46">
        <v>5.59</v>
      </c>
      <c r="D682" s="124"/>
    </row>
    <row r="683" spans="1:4" ht="15.75" hidden="1" outlineLevel="1">
      <c r="A683" s="46" t="s">
        <v>2919</v>
      </c>
      <c r="B683" s="47" t="s">
        <v>18</v>
      </c>
      <c r="C683" s="46">
        <v>5.54</v>
      </c>
      <c r="D683" s="124"/>
    </row>
    <row r="684" spans="1:4" ht="15.75" hidden="1" outlineLevel="1">
      <c r="A684" s="46" t="s">
        <v>2919</v>
      </c>
      <c r="B684" s="47" t="s">
        <v>2197</v>
      </c>
      <c r="C684" s="46">
        <v>5.57</v>
      </c>
      <c r="D684" s="124"/>
    </row>
    <row r="685" spans="1:4" ht="15.75" hidden="1" outlineLevel="1">
      <c r="A685" s="46" t="s">
        <v>2919</v>
      </c>
      <c r="B685" s="47" t="s">
        <v>20</v>
      </c>
      <c r="C685" s="46">
        <v>5.63</v>
      </c>
      <c r="D685" s="124"/>
    </row>
    <row r="686" spans="1:4" ht="15.75" hidden="1" outlineLevel="1">
      <c r="A686" s="46" t="s">
        <v>2919</v>
      </c>
      <c r="B686" s="47" t="s">
        <v>24</v>
      </c>
      <c r="C686" s="46">
        <v>5.47</v>
      </c>
      <c r="D686" s="124"/>
    </row>
    <row r="687" spans="1:4" ht="15.75" hidden="1" outlineLevel="1">
      <c r="A687" s="46" t="s">
        <v>2919</v>
      </c>
      <c r="B687" s="47" t="s">
        <v>25</v>
      </c>
      <c r="C687" s="46">
        <v>5.48</v>
      </c>
      <c r="D687" s="124"/>
    </row>
    <row r="688" spans="1:4" ht="15.75">
      <c r="A688" s="52" t="s">
        <v>2919</v>
      </c>
      <c r="B688" s="47"/>
      <c r="C688" s="46"/>
      <c r="D688" s="124"/>
    </row>
    <row r="689" spans="1:4" ht="15.75" hidden="1" outlineLevel="1">
      <c r="A689" s="46" t="s">
        <v>2922</v>
      </c>
      <c r="B689" s="47" t="s">
        <v>0</v>
      </c>
      <c r="C689" s="46">
        <v>5.0999999999999996</v>
      </c>
      <c r="D689" s="124"/>
    </row>
    <row r="690" spans="1:4" ht="15.75" hidden="1" outlineLevel="1">
      <c r="A690" s="46" t="s">
        <v>2922</v>
      </c>
      <c r="B690" s="47" t="s">
        <v>1</v>
      </c>
      <c r="C690" s="46">
        <v>5.2</v>
      </c>
      <c r="D690" s="124"/>
    </row>
    <row r="691" spans="1:4" ht="15.75" hidden="1" outlineLevel="1">
      <c r="A691" s="46" t="s">
        <v>2922</v>
      </c>
      <c r="B691" s="47" t="s">
        <v>2198</v>
      </c>
      <c r="C691" s="46">
        <v>5.17</v>
      </c>
      <c r="D691" s="124"/>
    </row>
    <row r="692" spans="1:4" ht="15.75" hidden="1" outlineLevel="1">
      <c r="A692" s="46" t="s">
        <v>2922</v>
      </c>
      <c r="B692" s="47" t="s">
        <v>5</v>
      </c>
      <c r="C692" s="46">
        <v>5.26</v>
      </c>
      <c r="D692" s="124"/>
    </row>
    <row r="693" spans="1:4" ht="15.75" hidden="1" outlineLevel="1">
      <c r="A693" s="46" t="s">
        <v>2922</v>
      </c>
      <c r="B693" s="47" t="s">
        <v>2199</v>
      </c>
      <c r="C693" s="46">
        <v>5.1029999999999998</v>
      </c>
      <c r="D693" s="124"/>
    </row>
    <row r="694" spans="1:4" ht="15.75" hidden="1" outlineLevel="1">
      <c r="A694" s="46" t="s">
        <v>2922</v>
      </c>
      <c r="B694" s="47" t="s">
        <v>140</v>
      </c>
      <c r="C694" s="46">
        <v>5.36</v>
      </c>
      <c r="D694" s="124"/>
    </row>
    <row r="695" spans="1:4" ht="15.75" hidden="1" outlineLevel="1">
      <c r="A695" s="46" t="s">
        <v>2922</v>
      </c>
      <c r="B695" s="47" t="s">
        <v>1546</v>
      </c>
      <c r="C695" s="46">
        <v>5.37</v>
      </c>
      <c r="D695" s="124"/>
    </row>
    <row r="696" spans="1:4" ht="15.75" hidden="1" outlineLevel="1">
      <c r="A696" s="46" t="s">
        <v>2922</v>
      </c>
      <c r="B696" s="47" t="s">
        <v>2200</v>
      </c>
      <c r="C696" s="46">
        <v>5.1040000000000001</v>
      </c>
      <c r="D696" s="124"/>
    </row>
    <row r="697" spans="1:4" ht="15.75" hidden="1" outlineLevel="1">
      <c r="A697" s="46" t="s">
        <v>2922</v>
      </c>
      <c r="B697" s="47" t="s">
        <v>2201</v>
      </c>
      <c r="C697" s="46">
        <v>5.1050000000000004</v>
      </c>
      <c r="D697" s="124"/>
    </row>
    <row r="698" spans="1:4" ht="15.75" hidden="1" outlineLevel="1">
      <c r="A698" s="46" t="s">
        <v>2922</v>
      </c>
      <c r="B698" s="47" t="s">
        <v>2202</v>
      </c>
      <c r="C698" s="46">
        <v>5.1059999999999999</v>
      </c>
      <c r="D698" s="124"/>
    </row>
    <row r="699" spans="1:4" ht="15.75" hidden="1" outlineLevel="1">
      <c r="A699" s="46" t="s">
        <v>2922</v>
      </c>
      <c r="B699" s="47" t="s">
        <v>2203</v>
      </c>
      <c r="C699" s="46">
        <v>5.1070000000000002</v>
      </c>
      <c r="D699" s="124"/>
    </row>
    <row r="700" spans="1:4" ht="15.75" hidden="1" outlineLevel="1">
      <c r="A700" s="46" t="s">
        <v>2922</v>
      </c>
      <c r="B700" s="47" t="s">
        <v>2777</v>
      </c>
      <c r="C700" s="46">
        <v>5.1079999999999997</v>
      </c>
      <c r="D700" s="123" t="s">
        <v>3104</v>
      </c>
    </row>
    <row r="701" spans="1:4" ht="15.75" hidden="1" outlineLevel="1">
      <c r="A701" s="46" t="s">
        <v>2922</v>
      </c>
      <c r="B701" s="47" t="s">
        <v>1552</v>
      </c>
      <c r="C701" s="46">
        <v>5.109</v>
      </c>
      <c r="D701" s="124"/>
    </row>
    <row r="702" spans="1:4" ht="15.75" hidden="1" outlineLevel="1">
      <c r="A702" s="46" t="s">
        <v>2922</v>
      </c>
      <c r="B702" s="47" t="s">
        <v>1554</v>
      </c>
      <c r="C702" s="49">
        <v>5.1100000000000003</v>
      </c>
      <c r="D702" s="123" t="s">
        <v>3104</v>
      </c>
    </row>
    <row r="703" spans="1:4" ht="15.75" hidden="1" outlineLevel="1">
      <c r="A703" s="46" t="s">
        <v>2922</v>
      </c>
      <c r="B703" s="47" t="s">
        <v>1553</v>
      </c>
      <c r="C703" s="46">
        <v>5.1109999999999998</v>
      </c>
      <c r="D703" s="124"/>
    </row>
    <row r="704" spans="1:4" ht="15.75" hidden="1" outlineLevel="1">
      <c r="A704" s="46" t="s">
        <v>2922</v>
      </c>
      <c r="B704" s="47" t="s">
        <v>1555</v>
      </c>
      <c r="C704" s="46">
        <v>5.1120000000000001</v>
      </c>
      <c r="D704" s="124"/>
    </row>
    <row r="705" spans="1:4" ht="15.75" hidden="1" outlineLevel="1">
      <c r="A705" s="46" t="s">
        <v>2922</v>
      </c>
      <c r="B705" s="47" t="s">
        <v>11</v>
      </c>
      <c r="C705" s="46">
        <v>5.53</v>
      </c>
      <c r="D705" s="124"/>
    </row>
    <row r="706" spans="1:4" ht="15.75" hidden="1" outlineLevel="1">
      <c r="A706" s="46" t="s">
        <v>2922</v>
      </c>
      <c r="B706" s="47" t="s">
        <v>2163</v>
      </c>
      <c r="C706" s="46">
        <v>5.64</v>
      </c>
      <c r="D706" s="124"/>
    </row>
    <row r="707" spans="1:4" ht="15.75" hidden="1" outlineLevel="1">
      <c r="A707" s="46" t="s">
        <v>2922</v>
      </c>
      <c r="B707" s="47" t="s">
        <v>20</v>
      </c>
      <c r="C707" s="46">
        <v>5.63</v>
      </c>
      <c r="D707" s="124"/>
    </row>
    <row r="708" spans="1:4" ht="15.75" hidden="1" outlineLevel="1">
      <c r="A708" s="46" t="s">
        <v>2922</v>
      </c>
      <c r="B708" s="47" t="s">
        <v>21</v>
      </c>
      <c r="C708" s="46">
        <v>5.65</v>
      </c>
      <c r="D708" s="124"/>
    </row>
    <row r="709" spans="1:4" ht="15.75" hidden="1" outlineLevel="1">
      <c r="A709" s="46" t="s">
        <v>2922</v>
      </c>
      <c r="B709" s="47" t="s">
        <v>145</v>
      </c>
      <c r="C709" s="46">
        <v>5.66</v>
      </c>
      <c r="D709" s="124"/>
    </row>
    <row r="710" spans="1:4" ht="15.75" hidden="1" outlineLevel="1">
      <c r="A710" s="46" t="s">
        <v>2922</v>
      </c>
      <c r="B710" s="47" t="s">
        <v>22</v>
      </c>
      <c r="C710" s="46">
        <v>5.68</v>
      </c>
      <c r="D710" s="124"/>
    </row>
    <row r="711" spans="1:4" ht="15.75" hidden="1" outlineLevel="1">
      <c r="A711" s="46" t="s">
        <v>2922</v>
      </c>
      <c r="B711" s="47" t="s">
        <v>24</v>
      </c>
      <c r="C711" s="46">
        <v>5.47</v>
      </c>
      <c r="D711" s="124"/>
    </row>
    <row r="712" spans="1:4" ht="15.75" hidden="1" outlineLevel="1">
      <c r="A712" s="46" t="s">
        <v>2922</v>
      </c>
      <c r="B712" s="47" t="s">
        <v>25</v>
      </c>
      <c r="C712" s="46">
        <v>5.48</v>
      </c>
      <c r="D712" s="124"/>
    </row>
    <row r="713" spans="1:4" ht="15.75">
      <c r="A713" s="52" t="s">
        <v>2922</v>
      </c>
      <c r="B713" s="47"/>
      <c r="C713" s="46"/>
      <c r="D713" s="124"/>
    </row>
    <row r="714" spans="1:4" ht="15.75" hidden="1" outlineLevel="1">
      <c r="A714" s="46" t="s">
        <v>3117</v>
      </c>
      <c r="B714" s="47" t="s">
        <v>0</v>
      </c>
      <c r="C714" s="46">
        <v>5.0999999999999996</v>
      </c>
      <c r="D714" s="124"/>
    </row>
    <row r="715" spans="1:4" ht="15.75" hidden="1" outlineLevel="1">
      <c r="A715" s="46" t="s">
        <v>3117</v>
      </c>
      <c r="B715" s="47" t="s">
        <v>1</v>
      </c>
      <c r="C715" s="46">
        <v>5.2</v>
      </c>
      <c r="D715" s="124"/>
    </row>
    <row r="716" spans="1:4" ht="15.75" hidden="1" outlineLevel="1">
      <c r="A716" s="46" t="s">
        <v>3117</v>
      </c>
      <c r="B716" s="47" t="s">
        <v>2</v>
      </c>
      <c r="C716" s="46">
        <v>5.3</v>
      </c>
      <c r="D716" s="124"/>
    </row>
    <row r="717" spans="1:4" ht="15.75" hidden="1" outlineLevel="1">
      <c r="A717" s="46" t="s">
        <v>3117</v>
      </c>
      <c r="B717" s="47" t="s">
        <v>136</v>
      </c>
      <c r="C717" s="46">
        <v>5.6</v>
      </c>
      <c r="D717" s="124"/>
    </row>
    <row r="718" spans="1:4" ht="15.75" hidden="1" outlineLevel="1">
      <c r="A718" s="46" t="s">
        <v>3117</v>
      </c>
      <c r="B718" s="47" t="s">
        <v>3105</v>
      </c>
      <c r="C718" s="48">
        <v>5.0999999999999996</v>
      </c>
      <c r="D718" s="124"/>
    </row>
    <row r="719" spans="1:4" ht="15.75" hidden="1" outlineLevel="1">
      <c r="A719" s="46" t="s">
        <v>3117</v>
      </c>
      <c r="B719" s="47" t="s">
        <v>1491</v>
      </c>
      <c r="C719" s="46">
        <v>5.14</v>
      </c>
      <c r="D719" s="124"/>
    </row>
    <row r="720" spans="1:4" ht="15.75" hidden="1" outlineLevel="1">
      <c r="A720" s="46" t="s">
        <v>3117</v>
      </c>
      <c r="B720" s="47" t="s">
        <v>4</v>
      </c>
      <c r="C720" s="46">
        <v>5.19</v>
      </c>
      <c r="D720" s="124"/>
    </row>
    <row r="721" spans="1:4" ht="15.75" hidden="1" outlineLevel="1">
      <c r="A721" s="46" t="s">
        <v>3117</v>
      </c>
      <c r="B721" s="47" t="s">
        <v>138</v>
      </c>
      <c r="C721" s="46">
        <v>5.24</v>
      </c>
      <c r="D721" s="124"/>
    </row>
    <row r="722" spans="1:4" ht="15.75" hidden="1" outlineLevel="1">
      <c r="A722" s="46" t="s">
        <v>3117</v>
      </c>
      <c r="B722" s="47" t="s">
        <v>5</v>
      </c>
      <c r="C722" s="46">
        <v>5.26</v>
      </c>
      <c r="D722" s="124"/>
    </row>
    <row r="723" spans="1:4" ht="15.75" hidden="1" outlineLevel="1">
      <c r="A723" s="46" t="s">
        <v>3117</v>
      </c>
      <c r="B723" s="47" t="s">
        <v>6</v>
      </c>
      <c r="C723" s="46">
        <v>5.27</v>
      </c>
      <c r="D723" s="124"/>
    </row>
    <row r="724" spans="1:4" ht="15.75" hidden="1" outlineLevel="1">
      <c r="A724" s="46" t="s">
        <v>3117</v>
      </c>
      <c r="B724" s="47" t="s">
        <v>7</v>
      </c>
      <c r="C724" s="46">
        <v>5.28</v>
      </c>
      <c r="D724" s="124"/>
    </row>
    <row r="725" spans="1:4" ht="15.75" hidden="1" outlineLevel="1">
      <c r="A725" s="46" t="s">
        <v>3117</v>
      </c>
      <c r="B725" s="47" t="s">
        <v>139</v>
      </c>
      <c r="C725" s="46">
        <v>5.31</v>
      </c>
      <c r="D725" s="124"/>
    </row>
    <row r="726" spans="1:4" ht="15.75" hidden="1" outlineLevel="1">
      <c r="A726" s="46" t="s">
        <v>3117</v>
      </c>
      <c r="B726" s="47" t="s">
        <v>140</v>
      </c>
      <c r="C726" s="46">
        <v>5.36</v>
      </c>
      <c r="D726" s="124"/>
    </row>
    <row r="727" spans="1:4" ht="15.75" hidden="1" outlineLevel="1">
      <c r="A727" s="46" t="s">
        <v>3117</v>
      </c>
      <c r="B727" s="47" t="s">
        <v>11</v>
      </c>
      <c r="C727" s="46">
        <v>5.53</v>
      </c>
      <c r="D727" s="124"/>
    </row>
    <row r="728" spans="1:4" ht="15.75" hidden="1" outlineLevel="1">
      <c r="A728" s="46" t="s">
        <v>3117</v>
      </c>
      <c r="B728" s="47" t="s">
        <v>1552</v>
      </c>
      <c r="C728" s="46">
        <v>5.109</v>
      </c>
      <c r="D728" s="124"/>
    </row>
    <row r="729" spans="1:4" ht="15.75" hidden="1" outlineLevel="1">
      <c r="A729" s="46" t="s">
        <v>3117</v>
      </c>
      <c r="B729" s="47" t="s">
        <v>1553</v>
      </c>
      <c r="C729" s="46">
        <v>5.1109999999999998</v>
      </c>
      <c r="D729" s="124"/>
    </row>
    <row r="730" spans="1:4" ht="15.75" hidden="1" outlineLevel="1">
      <c r="A730" s="46" t="s">
        <v>3117</v>
      </c>
      <c r="B730" s="47" t="s">
        <v>1555</v>
      </c>
      <c r="C730" s="46">
        <v>5.1120000000000001</v>
      </c>
      <c r="D730" s="124"/>
    </row>
    <row r="731" spans="1:4" ht="15.75" hidden="1" outlineLevel="1">
      <c r="A731" s="46" t="s">
        <v>3117</v>
      </c>
      <c r="B731" s="47" t="s">
        <v>3110</v>
      </c>
      <c r="C731" s="46">
        <v>5.1130000000000004</v>
      </c>
      <c r="D731" s="124"/>
    </row>
    <row r="732" spans="1:4" ht="15.75" hidden="1" outlineLevel="1">
      <c r="A732" s="46" t="s">
        <v>3117</v>
      </c>
      <c r="B732" s="47" t="s">
        <v>2211</v>
      </c>
      <c r="C732" s="46">
        <v>5.117</v>
      </c>
      <c r="D732" s="124"/>
    </row>
    <row r="733" spans="1:4" ht="15.75" hidden="1" outlineLevel="1">
      <c r="A733" s="46" t="s">
        <v>3117</v>
      </c>
      <c r="B733" s="47" t="s">
        <v>2212</v>
      </c>
      <c r="C733" s="46">
        <v>5.67</v>
      </c>
      <c r="D733" s="124"/>
    </row>
    <row r="734" spans="1:4" ht="15.75" hidden="1" outlineLevel="1">
      <c r="A734" s="46" t="s">
        <v>3117</v>
      </c>
      <c r="B734" s="47" t="s">
        <v>20</v>
      </c>
      <c r="C734" s="46">
        <v>5.63</v>
      </c>
      <c r="D734" s="124"/>
    </row>
    <row r="735" spans="1:4" ht="15.75" hidden="1" outlineLevel="1">
      <c r="A735" s="46" t="s">
        <v>3117</v>
      </c>
      <c r="B735" s="47" t="s">
        <v>24</v>
      </c>
      <c r="C735" s="46">
        <v>5.47</v>
      </c>
      <c r="D735" s="124"/>
    </row>
    <row r="736" spans="1:4" ht="15.75" hidden="1" outlineLevel="1">
      <c r="A736" s="46" t="s">
        <v>3117</v>
      </c>
      <c r="B736" s="47" t="s">
        <v>25</v>
      </c>
      <c r="C736" s="46">
        <v>5.48</v>
      </c>
      <c r="D736" s="124"/>
    </row>
    <row r="737" spans="1:4" ht="15.75">
      <c r="A737" s="52" t="s">
        <v>3118</v>
      </c>
      <c r="B737" s="47"/>
      <c r="C737" s="46"/>
      <c r="D737" s="124"/>
    </row>
    <row r="738" spans="1:4" ht="15.75" hidden="1" outlineLevel="1">
      <c r="A738" s="46" t="s">
        <v>2924</v>
      </c>
      <c r="B738" s="47" t="s">
        <v>0</v>
      </c>
      <c r="C738" s="46">
        <v>5.0999999999999996</v>
      </c>
      <c r="D738" s="124"/>
    </row>
    <row r="739" spans="1:4" ht="15.75" hidden="1" outlineLevel="1">
      <c r="A739" s="46" t="s">
        <v>2924</v>
      </c>
      <c r="B739" s="47" t="s">
        <v>1</v>
      </c>
      <c r="C739" s="46">
        <v>5.2</v>
      </c>
      <c r="D739" s="124"/>
    </row>
    <row r="740" spans="1:4" ht="15.75" hidden="1" outlineLevel="1">
      <c r="A740" s="46" t="s">
        <v>2924</v>
      </c>
      <c r="B740" s="47" t="s">
        <v>2213</v>
      </c>
      <c r="C740" s="46">
        <v>5.18</v>
      </c>
      <c r="D740" s="124"/>
    </row>
    <row r="741" spans="1:4" ht="15.75" hidden="1" outlineLevel="1">
      <c r="A741" s="46" t="s">
        <v>2924</v>
      </c>
      <c r="B741" s="47" t="s">
        <v>2214</v>
      </c>
      <c r="C741" s="46">
        <v>5.23</v>
      </c>
      <c r="D741" s="124"/>
    </row>
    <row r="742" spans="1:4" ht="15.75" hidden="1" outlineLevel="1">
      <c r="A742" s="46" t="s">
        <v>2924</v>
      </c>
      <c r="B742" s="47" t="s">
        <v>5</v>
      </c>
      <c r="C742" s="46">
        <v>5.26</v>
      </c>
      <c r="D742" s="124"/>
    </row>
    <row r="743" spans="1:4" ht="15.75" hidden="1" outlineLevel="1">
      <c r="A743" s="46" t="s">
        <v>2924</v>
      </c>
      <c r="B743" s="47" t="s">
        <v>6</v>
      </c>
      <c r="C743" s="46">
        <v>5.27</v>
      </c>
      <c r="D743" s="124"/>
    </row>
    <row r="744" spans="1:4" ht="15.75" hidden="1" outlineLevel="1">
      <c r="A744" s="46" t="s">
        <v>2924</v>
      </c>
      <c r="B744" s="47" t="s">
        <v>7</v>
      </c>
      <c r="C744" s="46">
        <v>5.28</v>
      </c>
      <c r="D744" s="124"/>
    </row>
    <row r="745" spans="1:4" ht="15.75" hidden="1" outlineLevel="1">
      <c r="A745" s="46" t="s">
        <v>2924</v>
      </c>
      <c r="B745" s="47" t="s">
        <v>140</v>
      </c>
      <c r="C745" s="46">
        <v>5.36</v>
      </c>
      <c r="D745" s="124"/>
    </row>
    <row r="746" spans="1:4" ht="15.75" hidden="1" outlineLevel="1">
      <c r="A746" s="46" t="s">
        <v>2924</v>
      </c>
      <c r="B746" s="47" t="s">
        <v>2215</v>
      </c>
      <c r="C746" s="46">
        <v>5.44</v>
      </c>
      <c r="D746" s="124"/>
    </row>
    <row r="747" spans="1:4" ht="15.75" hidden="1" outlineLevel="1">
      <c r="A747" s="46" t="s">
        <v>2924</v>
      </c>
      <c r="B747" s="47" t="s">
        <v>11</v>
      </c>
      <c r="C747" s="46">
        <v>5.53</v>
      </c>
      <c r="D747" s="124"/>
    </row>
    <row r="748" spans="1:4" ht="15.75" hidden="1" outlineLevel="1">
      <c r="A748" s="46" t="s">
        <v>2924</v>
      </c>
      <c r="B748" s="47" t="s">
        <v>1555</v>
      </c>
      <c r="C748" s="46">
        <v>5.1120000000000001</v>
      </c>
      <c r="D748" s="124"/>
    </row>
    <row r="749" spans="1:4" ht="15.75" hidden="1" outlineLevel="1">
      <c r="A749" s="46" t="s">
        <v>2924</v>
      </c>
      <c r="B749" s="47" t="s">
        <v>2196</v>
      </c>
      <c r="C749" s="46">
        <v>5.59</v>
      </c>
      <c r="D749" s="124"/>
    </row>
    <row r="750" spans="1:4" ht="15.75" hidden="1" outlineLevel="1">
      <c r="A750" s="46" t="s">
        <v>2924</v>
      </c>
      <c r="B750" s="47" t="s">
        <v>18</v>
      </c>
      <c r="C750" s="46">
        <v>5.54</v>
      </c>
      <c r="D750" s="124"/>
    </row>
    <row r="751" spans="1:4" ht="15.75" hidden="1" outlineLevel="1">
      <c r="A751" s="46" t="s">
        <v>2924</v>
      </c>
      <c r="B751" s="47" t="s">
        <v>20</v>
      </c>
      <c r="C751" s="46">
        <v>5.63</v>
      </c>
      <c r="D751" s="124"/>
    </row>
    <row r="752" spans="1:4" ht="15.75" hidden="1" outlineLevel="1">
      <c r="A752" s="46" t="s">
        <v>2924</v>
      </c>
      <c r="B752" s="47" t="s">
        <v>21</v>
      </c>
      <c r="C752" s="46">
        <v>5.65</v>
      </c>
      <c r="D752" s="124"/>
    </row>
    <row r="753" spans="1:4" ht="15.75" hidden="1" outlineLevel="1">
      <c r="A753" s="46" t="s">
        <v>2924</v>
      </c>
      <c r="B753" s="47" t="s">
        <v>22</v>
      </c>
      <c r="C753" s="46">
        <v>5.68</v>
      </c>
      <c r="D753" s="124"/>
    </row>
    <row r="754" spans="1:4" ht="15.75" hidden="1" outlineLevel="1">
      <c r="A754" s="46" t="s">
        <v>2924</v>
      </c>
      <c r="B754" s="47" t="s">
        <v>24</v>
      </c>
      <c r="C754" s="46">
        <v>5.47</v>
      </c>
      <c r="D754" s="124"/>
    </row>
    <row r="755" spans="1:4" ht="15.75" hidden="1" outlineLevel="1">
      <c r="A755" s="46" t="s">
        <v>2924</v>
      </c>
      <c r="B755" s="47" t="s">
        <v>25</v>
      </c>
      <c r="C755" s="46">
        <v>5.48</v>
      </c>
      <c r="D755" s="124"/>
    </row>
    <row r="756" spans="1:4" ht="15.75">
      <c r="A756" s="52" t="s">
        <v>2924</v>
      </c>
      <c r="B756" s="47"/>
      <c r="C756" s="46"/>
      <c r="D756" s="124"/>
    </row>
    <row r="757" spans="1:4" ht="15.75" hidden="1" outlineLevel="1">
      <c r="A757" s="46" t="s">
        <v>3119</v>
      </c>
      <c r="B757" s="47" t="s">
        <v>0</v>
      </c>
      <c r="C757" s="46">
        <v>5.0999999999999996</v>
      </c>
      <c r="D757" s="124"/>
    </row>
    <row r="758" spans="1:4" ht="15.75" hidden="1" outlineLevel="1">
      <c r="A758" s="46" t="s">
        <v>3119</v>
      </c>
      <c r="B758" s="47" t="s">
        <v>1</v>
      </c>
      <c r="C758" s="46">
        <v>5.2</v>
      </c>
      <c r="D758" s="124"/>
    </row>
    <row r="759" spans="1:4" ht="15.75" hidden="1" outlineLevel="1">
      <c r="A759" s="46" t="s">
        <v>3119</v>
      </c>
      <c r="B759" s="47" t="s">
        <v>2141</v>
      </c>
      <c r="C759" s="46">
        <v>5.9</v>
      </c>
      <c r="D759" s="123" t="s">
        <v>3104</v>
      </c>
    </row>
    <row r="760" spans="1:4" ht="15.75" hidden="1" outlineLevel="1">
      <c r="A760" s="46" t="s">
        <v>3119</v>
      </c>
      <c r="B760" s="47" t="s">
        <v>2142</v>
      </c>
      <c r="C760" s="46">
        <v>5.13</v>
      </c>
      <c r="D760" s="124"/>
    </row>
    <row r="761" spans="1:4" ht="15.75" hidden="1" outlineLevel="1">
      <c r="A761" s="46" t="s">
        <v>3119</v>
      </c>
      <c r="B761" s="47" t="s">
        <v>2143</v>
      </c>
      <c r="C761" s="46">
        <v>5.16</v>
      </c>
      <c r="D761" s="123" t="s">
        <v>3104</v>
      </c>
    </row>
    <row r="762" spans="1:4" ht="15.75" hidden="1" outlineLevel="1">
      <c r="A762" s="46" t="s">
        <v>3119</v>
      </c>
      <c r="B762" s="47" t="s">
        <v>2144</v>
      </c>
      <c r="C762" s="46">
        <v>5.22</v>
      </c>
      <c r="D762" s="123"/>
    </row>
    <row r="763" spans="1:4" ht="15.75" hidden="1" outlineLevel="1">
      <c r="A763" s="46" t="s">
        <v>3119</v>
      </c>
      <c r="B763" s="47" t="s">
        <v>2224</v>
      </c>
      <c r="C763" s="46">
        <v>5.42</v>
      </c>
      <c r="D763" s="124"/>
    </row>
    <row r="764" spans="1:4" ht="15.75" hidden="1" outlineLevel="1">
      <c r="A764" s="46" t="s">
        <v>3119</v>
      </c>
      <c r="B764" s="47" t="s">
        <v>6</v>
      </c>
      <c r="C764" s="46">
        <v>5.27</v>
      </c>
      <c r="D764" s="124"/>
    </row>
    <row r="765" spans="1:4" ht="15.75" hidden="1" outlineLevel="1">
      <c r="A765" s="46" t="s">
        <v>3119</v>
      </c>
      <c r="B765" s="47" t="s">
        <v>7</v>
      </c>
      <c r="C765" s="46">
        <v>5.28</v>
      </c>
      <c r="D765" s="123" t="s">
        <v>3104</v>
      </c>
    </row>
    <row r="766" spans="1:4" ht="15.75" hidden="1" outlineLevel="1">
      <c r="A766" s="46" t="s">
        <v>3119</v>
      </c>
      <c r="B766" s="47" t="s">
        <v>140</v>
      </c>
      <c r="C766" s="46">
        <v>5.36</v>
      </c>
      <c r="D766" s="124"/>
    </row>
    <row r="767" spans="1:4" ht="15.75" hidden="1" outlineLevel="1">
      <c r="A767" s="46" t="s">
        <v>3119</v>
      </c>
      <c r="B767" s="47" t="s">
        <v>9</v>
      </c>
      <c r="C767" s="46">
        <v>5.49</v>
      </c>
      <c r="D767" s="124"/>
    </row>
    <row r="768" spans="1:4" ht="15.75" hidden="1" outlineLevel="1">
      <c r="A768" s="46" t="s">
        <v>3119</v>
      </c>
      <c r="B768" s="47" t="s">
        <v>10</v>
      </c>
      <c r="C768" s="46">
        <v>5.51</v>
      </c>
      <c r="D768" s="124"/>
    </row>
    <row r="769" spans="1:4" ht="15.75" hidden="1" outlineLevel="1">
      <c r="A769" s="46" t="s">
        <v>3119</v>
      </c>
      <c r="B769" s="47" t="s">
        <v>3116</v>
      </c>
      <c r="C769" s="46">
        <v>5.52</v>
      </c>
      <c r="D769" s="124"/>
    </row>
    <row r="770" spans="1:4" ht="15.75" hidden="1" outlineLevel="1">
      <c r="A770" s="46" t="s">
        <v>3119</v>
      </c>
      <c r="B770" s="47" t="s">
        <v>11</v>
      </c>
      <c r="C770" s="46">
        <v>5.53</v>
      </c>
      <c r="D770" s="124"/>
    </row>
    <row r="771" spans="1:4" ht="15.75" hidden="1" outlineLevel="1">
      <c r="A771" s="46" t="s">
        <v>3119</v>
      </c>
      <c r="B771" s="47" t="s">
        <v>18</v>
      </c>
      <c r="C771" s="46">
        <v>5.54</v>
      </c>
      <c r="D771" s="124"/>
    </row>
    <row r="772" spans="1:4" ht="15.75" hidden="1" outlineLevel="1">
      <c r="A772" s="46" t="s">
        <v>3119</v>
      </c>
      <c r="B772" s="47" t="s">
        <v>14</v>
      </c>
      <c r="C772" s="48">
        <v>5.7</v>
      </c>
      <c r="D772" s="124"/>
    </row>
    <row r="773" spans="1:4" ht="15.75" hidden="1" outlineLevel="1">
      <c r="A773" s="46" t="s">
        <v>3119</v>
      </c>
      <c r="B773" s="47" t="s">
        <v>2150</v>
      </c>
      <c r="C773" s="46">
        <v>5.71</v>
      </c>
      <c r="D773" s="124"/>
    </row>
    <row r="774" spans="1:4" ht="15.75" hidden="1" outlineLevel="1">
      <c r="A774" s="46" t="s">
        <v>3119</v>
      </c>
      <c r="B774" s="47" t="s">
        <v>2225</v>
      </c>
      <c r="C774" s="48">
        <v>5.9</v>
      </c>
      <c r="D774" s="124"/>
    </row>
    <row r="775" spans="1:4" ht="15.75" hidden="1" outlineLevel="1">
      <c r="A775" s="46" t="s">
        <v>3119</v>
      </c>
      <c r="B775" s="47" t="s">
        <v>2226</v>
      </c>
      <c r="C775" s="46">
        <v>5.91</v>
      </c>
      <c r="D775" s="124"/>
    </row>
    <row r="776" spans="1:4" ht="15.75" hidden="1" outlineLevel="1">
      <c r="A776" s="46" t="s">
        <v>3119</v>
      </c>
      <c r="B776" s="47" t="s">
        <v>2227</v>
      </c>
      <c r="C776" s="46">
        <v>5.97</v>
      </c>
      <c r="D776" s="124"/>
    </row>
    <row r="777" spans="1:4" ht="15.75">
      <c r="A777" s="52" t="s">
        <v>3119</v>
      </c>
      <c r="B777" s="47"/>
      <c r="C777" s="46"/>
      <c r="D777" s="124"/>
    </row>
    <row r="778" spans="1:4" ht="31.5" hidden="1" outlineLevel="1">
      <c r="A778" s="46" t="s">
        <v>2959</v>
      </c>
      <c r="B778" s="47" t="s">
        <v>0</v>
      </c>
      <c r="C778" s="46">
        <v>5.0999999999999996</v>
      </c>
      <c r="D778" s="124"/>
    </row>
    <row r="779" spans="1:4" ht="31.5" hidden="1" outlineLevel="1">
      <c r="A779" s="46" t="s">
        <v>2959</v>
      </c>
      <c r="B779" s="47" t="s">
        <v>1</v>
      </c>
      <c r="C779" s="46">
        <v>5.2</v>
      </c>
      <c r="D779" s="124"/>
    </row>
    <row r="780" spans="1:4" ht="31.5" hidden="1" outlineLevel="1">
      <c r="A780" s="46" t="s">
        <v>2959</v>
      </c>
      <c r="B780" s="47" t="s">
        <v>5</v>
      </c>
      <c r="C780" s="46">
        <v>5.26</v>
      </c>
      <c r="D780" s="124"/>
    </row>
    <row r="781" spans="1:4" ht="31.5" hidden="1" outlineLevel="1">
      <c r="A781" s="46" t="s">
        <v>2959</v>
      </c>
      <c r="B781" s="47" t="s">
        <v>1723</v>
      </c>
      <c r="C781" s="46">
        <v>5.5</v>
      </c>
      <c r="D781" s="124"/>
    </row>
    <row r="782" spans="1:4" ht="31.5" hidden="1" outlineLevel="1">
      <c r="A782" s="46" t="s">
        <v>2959</v>
      </c>
      <c r="B782" s="47" t="s">
        <v>1724</v>
      </c>
      <c r="C782" s="46">
        <v>5.8</v>
      </c>
      <c r="D782" s="123" t="s">
        <v>3104</v>
      </c>
    </row>
    <row r="783" spans="1:4" ht="31.5" hidden="1" outlineLevel="1">
      <c r="A783" s="46" t="s">
        <v>2959</v>
      </c>
      <c r="B783" s="47" t="s">
        <v>1725</v>
      </c>
      <c r="C783" s="46">
        <v>5.12</v>
      </c>
      <c r="D783" s="46"/>
    </row>
    <row r="784" spans="1:4" ht="31.5" hidden="1" outlineLevel="1">
      <c r="A784" s="46" t="s">
        <v>2959</v>
      </c>
      <c r="B784" s="47" t="s">
        <v>1726</v>
      </c>
      <c r="C784" s="46">
        <v>5.15</v>
      </c>
      <c r="D784" s="46"/>
    </row>
    <row r="785" spans="1:4" ht="31.5" hidden="1" outlineLevel="1">
      <c r="A785" s="46" t="s">
        <v>2959</v>
      </c>
      <c r="B785" s="47" t="s">
        <v>1727</v>
      </c>
      <c r="C785" s="48">
        <v>5.2</v>
      </c>
      <c r="D785" s="123"/>
    </row>
    <row r="786" spans="1:4" ht="31.5" hidden="1" outlineLevel="1">
      <c r="A786" s="46" t="s">
        <v>2959</v>
      </c>
      <c r="B786" s="47" t="s">
        <v>1728</v>
      </c>
      <c r="C786" s="46">
        <v>5.25</v>
      </c>
      <c r="D786" s="46"/>
    </row>
    <row r="787" spans="1:4" ht="31.5" hidden="1" outlineLevel="1">
      <c r="A787" s="46" t="s">
        <v>2959</v>
      </c>
      <c r="B787" s="47" t="s">
        <v>11</v>
      </c>
      <c r="C787" s="46">
        <v>5.53</v>
      </c>
      <c r="D787" s="46"/>
    </row>
    <row r="788" spans="1:4" ht="31.5" hidden="1" outlineLevel="1">
      <c r="A788" s="46" t="s">
        <v>2959</v>
      </c>
      <c r="B788" s="47" t="s">
        <v>2228</v>
      </c>
      <c r="C788" s="48">
        <v>5.4</v>
      </c>
      <c r="D788" s="46"/>
    </row>
    <row r="789" spans="1:4" ht="31.5" hidden="1" outlineLevel="1">
      <c r="A789" s="46" t="s">
        <v>2959</v>
      </c>
      <c r="B789" s="47" t="s">
        <v>2229</v>
      </c>
      <c r="C789" s="46">
        <v>5.92</v>
      </c>
      <c r="D789" s="46"/>
    </row>
    <row r="790" spans="1:4" ht="31.5" hidden="1" outlineLevel="1">
      <c r="A790" s="46" t="s">
        <v>2959</v>
      </c>
      <c r="B790" s="47" t="s">
        <v>2230</v>
      </c>
      <c r="C790" s="46">
        <v>5.93</v>
      </c>
      <c r="D790" s="46"/>
    </row>
    <row r="791" spans="1:4" ht="31.5" hidden="1" outlineLevel="1">
      <c r="A791" s="46" t="s">
        <v>2959</v>
      </c>
      <c r="B791" s="47" t="s">
        <v>2231</v>
      </c>
      <c r="C791" s="46">
        <v>5.94</v>
      </c>
      <c r="D791" s="46"/>
    </row>
    <row r="792" spans="1:4" ht="31.5" hidden="1" outlineLevel="1">
      <c r="A792" s="46" t="s">
        <v>2959</v>
      </c>
      <c r="B792" s="47" t="s">
        <v>2232</v>
      </c>
      <c r="C792" s="46">
        <v>5.95</v>
      </c>
      <c r="D792" s="46"/>
    </row>
    <row r="793" spans="1:4" ht="31.5" hidden="1" outlineLevel="1">
      <c r="A793" s="46" t="s">
        <v>2959</v>
      </c>
      <c r="B793" s="47" t="s">
        <v>2233</v>
      </c>
      <c r="C793" s="46">
        <v>5.98</v>
      </c>
      <c r="D793" s="46"/>
    </row>
    <row r="794" spans="1:4" ht="31.5" hidden="1" outlineLevel="1">
      <c r="A794" s="46" t="s">
        <v>2959</v>
      </c>
      <c r="B794" s="47" t="s">
        <v>2234</v>
      </c>
      <c r="C794" s="46">
        <v>5.96</v>
      </c>
      <c r="D794" s="46"/>
    </row>
    <row r="795" spans="1:4" ht="31.5">
      <c r="A795" s="52" t="s">
        <v>2959</v>
      </c>
      <c r="B795" s="47"/>
      <c r="C795" s="46"/>
      <c r="D795" s="46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7" t="s">
        <v>2982</v>
      </c>
    </row>
    <row r="3" spans="1:2">
      <c r="A3" t="s">
        <v>2983</v>
      </c>
      <c r="B3" t="s">
        <v>2984</v>
      </c>
    </row>
    <row r="4" spans="1:2">
      <c r="A4" t="s">
        <v>2985</v>
      </c>
      <c r="B4" t="s">
        <v>2986</v>
      </c>
    </row>
    <row r="5" spans="1:2">
      <c r="A5" t="s">
        <v>2987</v>
      </c>
      <c r="B5" t="s">
        <v>2988</v>
      </c>
    </row>
    <row r="6" spans="1:2">
      <c r="A6" t="s">
        <v>2989</v>
      </c>
      <c r="B6" t="s">
        <v>2990</v>
      </c>
    </row>
    <row r="7" spans="1:2">
      <c r="A7" t="s">
        <v>2991</v>
      </c>
      <c r="B7" t="s">
        <v>2992</v>
      </c>
    </row>
    <row r="8" spans="1:2">
      <c r="A8" t="s">
        <v>2993</v>
      </c>
      <c r="B8" t="s">
        <v>2994</v>
      </c>
    </row>
    <row r="10" spans="1:2" ht="15">
      <c r="A10" s="27" t="s">
        <v>2995</v>
      </c>
    </row>
    <row r="11" spans="1:2">
      <c r="A11" t="s">
        <v>2996</v>
      </c>
    </row>
    <row r="12" spans="1:2">
      <c r="A12" t="s">
        <v>2997</v>
      </c>
      <c r="B12" t="s">
        <v>2998</v>
      </c>
    </row>
    <row r="14" spans="1:2">
      <c r="A14" s="38"/>
    </row>
    <row r="15" spans="1:2" ht="15">
      <c r="A15" s="27" t="s">
        <v>2999</v>
      </c>
    </row>
    <row r="16" spans="1:2">
      <c r="A16" s="36" t="s">
        <v>3000</v>
      </c>
    </row>
    <row r="17" spans="1:2">
      <c r="A17" s="36" t="s">
        <v>3001</v>
      </c>
    </row>
    <row r="18" spans="1:2">
      <c r="A18" s="36" t="s">
        <v>3002</v>
      </c>
    </row>
    <row r="19" spans="1:2">
      <c r="A19" s="36" t="s">
        <v>3003</v>
      </c>
    </row>
    <row r="21" spans="1:2" ht="15">
      <c r="A21" s="37" t="s">
        <v>3004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7" t="s">
        <v>3005</v>
      </c>
      <c r="B34" s="27" t="s">
        <v>149</v>
      </c>
    </row>
    <row r="35" spans="1:2">
      <c r="A35" s="145" t="s">
        <v>3006</v>
      </c>
      <c r="B35" s="146">
        <v>520023185</v>
      </c>
    </row>
    <row r="36" spans="1:2">
      <c r="A36" s="147" t="s">
        <v>3007</v>
      </c>
      <c r="B36" s="146">
        <v>520024647</v>
      </c>
    </row>
    <row r="37" spans="1:2">
      <c r="A37" s="147" t="s">
        <v>3008</v>
      </c>
      <c r="B37" s="146">
        <v>520004896</v>
      </c>
    </row>
    <row r="38" spans="1:2">
      <c r="A38" s="147" t="s">
        <v>3009</v>
      </c>
      <c r="B38" s="146">
        <v>520042540</v>
      </c>
    </row>
    <row r="39" spans="1:2">
      <c r="A39" s="147" t="s">
        <v>3010</v>
      </c>
      <c r="B39" s="146">
        <v>520021916</v>
      </c>
    </row>
    <row r="40" spans="1:2">
      <c r="A40" s="147" t="s">
        <v>3011</v>
      </c>
      <c r="B40" s="148">
        <v>510015951</v>
      </c>
    </row>
    <row r="41" spans="1:2">
      <c r="A41" s="147" t="s">
        <v>3012</v>
      </c>
      <c r="B41" s="148">
        <v>510888985</v>
      </c>
    </row>
    <row r="42" spans="1:2">
      <c r="A42" s="147" t="s">
        <v>747</v>
      </c>
      <c r="B42" s="148">
        <v>520042177</v>
      </c>
    </row>
    <row r="43" spans="1:2">
      <c r="A43" s="147" t="s">
        <v>3013</v>
      </c>
      <c r="B43" s="147">
        <v>520031030</v>
      </c>
    </row>
    <row r="44" spans="1:2">
      <c r="A44" s="147" t="s">
        <v>3014</v>
      </c>
      <c r="B44" s="147">
        <v>520030677</v>
      </c>
    </row>
    <row r="45" spans="1:2">
      <c r="A45" s="147" t="s">
        <v>3015</v>
      </c>
      <c r="B45" s="147">
        <v>513879189</v>
      </c>
    </row>
    <row r="46" spans="1:2">
      <c r="A46" s="147" t="s">
        <v>3016</v>
      </c>
      <c r="B46" s="148">
        <v>520027848</v>
      </c>
    </row>
    <row r="47" spans="1:2">
      <c r="A47" s="147" t="s">
        <v>3017</v>
      </c>
      <c r="B47" s="148">
        <v>570003152</v>
      </c>
    </row>
    <row r="48" spans="1:2">
      <c r="A48" s="147" t="s">
        <v>3018</v>
      </c>
      <c r="B48" s="147">
        <v>513910703</v>
      </c>
    </row>
    <row r="49" spans="1:2">
      <c r="A49" s="147" t="s">
        <v>3019</v>
      </c>
      <c r="B49" s="148">
        <v>512304882</v>
      </c>
    </row>
    <row r="50" spans="1:2">
      <c r="A50" s="147" t="s">
        <v>3020</v>
      </c>
      <c r="B50" s="148">
        <v>512310509</v>
      </c>
    </row>
    <row r="51" spans="1:2">
      <c r="A51" s="147" t="s">
        <v>3021</v>
      </c>
      <c r="B51" s="148">
        <v>512904608</v>
      </c>
    </row>
    <row r="52" spans="1:2">
      <c r="A52" s="147" t="s">
        <v>3022</v>
      </c>
      <c r="B52" s="148">
        <v>500500376</v>
      </c>
    </row>
    <row r="53" spans="1:2">
      <c r="A53" s="147" t="s">
        <v>3023</v>
      </c>
      <c r="B53" s="148">
        <v>520044025</v>
      </c>
    </row>
    <row r="54" spans="1:2">
      <c r="A54" s="147" t="s">
        <v>3024</v>
      </c>
      <c r="B54" s="148">
        <v>513136895</v>
      </c>
    </row>
    <row r="55" spans="1:2">
      <c r="A55" s="147" t="s">
        <v>3025</v>
      </c>
      <c r="B55" s="148">
        <v>520004078</v>
      </c>
    </row>
    <row r="56" spans="1:2">
      <c r="A56" s="147" t="s">
        <v>3026</v>
      </c>
      <c r="B56" s="148">
        <v>515761625</v>
      </c>
    </row>
    <row r="57" spans="1:2">
      <c r="A57" s="147" t="s">
        <v>3027</v>
      </c>
      <c r="B57" s="148">
        <v>515764868</v>
      </c>
    </row>
    <row r="58" spans="1:2">
      <c r="A58" s="147" t="s">
        <v>3028</v>
      </c>
      <c r="B58" s="149">
        <v>515859379</v>
      </c>
    </row>
    <row r="59" spans="1:2">
      <c r="A59" s="147" t="s">
        <v>3029</v>
      </c>
      <c r="B59" s="148">
        <v>516687407</v>
      </c>
    </row>
    <row r="60" spans="1:2">
      <c r="A60" s="147" t="s">
        <v>3030</v>
      </c>
      <c r="B60" s="148">
        <v>516885639</v>
      </c>
    </row>
    <row r="61" spans="1:2">
      <c r="A61" s="147" t="s">
        <v>3031</v>
      </c>
      <c r="B61" s="147">
        <v>570009449</v>
      </c>
    </row>
    <row r="62" spans="1:2">
      <c r="A62" s="147" t="s">
        <v>3032</v>
      </c>
      <c r="B62" s="148">
        <v>520027954</v>
      </c>
    </row>
    <row r="63" spans="1:2">
      <c r="A63" s="147" t="s">
        <v>3033</v>
      </c>
      <c r="B63" s="148">
        <v>512362914</v>
      </c>
    </row>
    <row r="64" spans="1:2">
      <c r="A64" s="147" t="s">
        <v>3034</v>
      </c>
      <c r="B64" s="148">
        <v>511880460</v>
      </c>
    </row>
    <row r="65" spans="1:2">
      <c r="A65" s="147" t="s">
        <v>3035</v>
      </c>
      <c r="B65" s="147">
        <v>511033060</v>
      </c>
    </row>
    <row r="66" spans="1:2">
      <c r="A66" s="147" t="s">
        <v>3036</v>
      </c>
      <c r="B66" s="147">
        <v>570005850</v>
      </c>
    </row>
    <row r="67" spans="1:2">
      <c r="A67" s="147" t="s">
        <v>3037</v>
      </c>
      <c r="B67" s="148">
        <v>510694821</v>
      </c>
    </row>
    <row r="68" spans="1:2">
      <c r="A68" s="147" t="s">
        <v>3038</v>
      </c>
      <c r="B68" s="147">
        <v>520027624</v>
      </c>
    </row>
    <row r="69" spans="1:2">
      <c r="A69" s="147" t="s">
        <v>3039</v>
      </c>
      <c r="B69" s="148">
        <v>520027715</v>
      </c>
    </row>
    <row r="70" spans="1:2">
      <c r="A70" s="147" t="s">
        <v>3040</v>
      </c>
      <c r="B70" s="148">
        <v>520028861</v>
      </c>
    </row>
    <row r="71" spans="1:2">
      <c r="A71" s="147" t="s">
        <v>3041</v>
      </c>
      <c r="B71" s="148">
        <v>520029620</v>
      </c>
    </row>
    <row r="72" spans="1:2">
      <c r="A72" s="147" t="s">
        <v>3042</v>
      </c>
      <c r="B72" s="148">
        <v>520030743</v>
      </c>
    </row>
    <row r="73" spans="1:2">
      <c r="A73" s="147" t="s">
        <v>3043</v>
      </c>
      <c r="B73" s="148">
        <v>520030198</v>
      </c>
    </row>
    <row r="74" spans="1:2">
      <c r="A74" s="147" t="s">
        <v>3044</v>
      </c>
      <c r="B74" s="148">
        <v>520042631</v>
      </c>
    </row>
    <row r="75" spans="1:2">
      <c r="A75" s="147" t="s">
        <v>3045</v>
      </c>
      <c r="B75" s="148">
        <v>520030941</v>
      </c>
    </row>
    <row r="76" spans="1:2">
      <c r="A76" s="147" t="s">
        <v>3046</v>
      </c>
      <c r="B76" s="148">
        <v>520032269</v>
      </c>
    </row>
    <row r="77" spans="1:2">
      <c r="A77" s="147" t="s">
        <v>3047</v>
      </c>
      <c r="B77" s="147">
        <v>510806870</v>
      </c>
    </row>
    <row r="78" spans="1:2">
      <c r="A78" s="147" t="s">
        <v>3048</v>
      </c>
      <c r="B78" s="147">
        <v>520031824</v>
      </c>
    </row>
    <row r="79" spans="1:2">
      <c r="A79" s="147" t="s">
        <v>3049</v>
      </c>
      <c r="B79" s="148">
        <v>510927536</v>
      </c>
    </row>
    <row r="80" spans="1:2">
      <c r="A80" s="147" t="s">
        <v>3050</v>
      </c>
      <c r="B80" s="148">
        <v>510930654</v>
      </c>
    </row>
    <row r="81" spans="1:2">
      <c r="A81" s="147" t="s">
        <v>3051</v>
      </c>
      <c r="B81" s="147">
        <v>510930670</v>
      </c>
    </row>
    <row r="82" spans="1:2">
      <c r="A82" s="147" t="s">
        <v>3052</v>
      </c>
      <c r="B82" s="148">
        <v>520034968</v>
      </c>
    </row>
    <row r="83" spans="1:2">
      <c r="A83" s="147" t="s">
        <v>3053</v>
      </c>
      <c r="B83" s="148">
        <v>520024985</v>
      </c>
    </row>
    <row r="84" spans="1:2">
      <c r="A84" s="147" t="s">
        <v>3054</v>
      </c>
      <c r="B84" s="147">
        <v>520030990</v>
      </c>
    </row>
    <row r="85" spans="1:2">
      <c r="A85" s="147" t="s">
        <v>3055</v>
      </c>
      <c r="B85" s="148">
        <v>520042615</v>
      </c>
    </row>
    <row r="86" spans="1:2">
      <c r="A86" s="147" t="s">
        <v>3056</v>
      </c>
      <c r="B86" s="148">
        <v>520042607</v>
      </c>
    </row>
    <row r="87" spans="1:2">
      <c r="A87" s="147" t="s">
        <v>3057</v>
      </c>
      <c r="B87" s="148">
        <v>520019688</v>
      </c>
    </row>
    <row r="88" spans="1:2">
      <c r="A88" s="147" t="s">
        <v>3058</v>
      </c>
      <c r="B88" s="148">
        <v>570014928</v>
      </c>
    </row>
    <row r="89" spans="1:2">
      <c r="A89" s="147" t="s">
        <v>3059</v>
      </c>
      <c r="B89" s="148">
        <v>510960586</v>
      </c>
    </row>
    <row r="90" spans="1:2">
      <c r="A90" s="147" t="s">
        <v>3060</v>
      </c>
      <c r="B90" s="147">
        <v>520042581</v>
      </c>
    </row>
    <row r="91" spans="1:2">
      <c r="A91" s="147" t="s">
        <v>3061</v>
      </c>
      <c r="B91" s="148">
        <v>570005959</v>
      </c>
    </row>
    <row r="92" spans="1:2">
      <c r="A92" s="147" t="s">
        <v>3062</v>
      </c>
      <c r="B92" s="148">
        <v>570002618</v>
      </c>
    </row>
    <row r="93" spans="1:2">
      <c r="A93" s="147" t="s">
        <v>3063</v>
      </c>
      <c r="B93" s="148">
        <v>511789190</v>
      </c>
    </row>
    <row r="94" spans="1:2">
      <c r="A94" s="147" t="s">
        <v>3064</v>
      </c>
      <c r="B94" s="148">
        <v>520022518</v>
      </c>
    </row>
    <row r="95" spans="1:2">
      <c r="A95" s="147" t="s">
        <v>3065</v>
      </c>
      <c r="B95" s="148">
        <v>520031659</v>
      </c>
    </row>
    <row r="96" spans="1:2">
      <c r="A96" s="147" t="s">
        <v>3066</v>
      </c>
      <c r="B96" s="148">
        <v>570007476</v>
      </c>
    </row>
    <row r="97" spans="1:2">
      <c r="A97" s="147" t="s">
        <v>3067</v>
      </c>
      <c r="B97" s="148">
        <v>570009852</v>
      </c>
    </row>
    <row r="98" spans="1:2">
      <c r="A98" s="147" t="s">
        <v>3068</v>
      </c>
      <c r="B98" s="148">
        <v>510800402</v>
      </c>
    </row>
    <row r="99" spans="1:2">
      <c r="A99" s="147" t="s">
        <v>3069</v>
      </c>
      <c r="B99" s="148">
        <v>510773922</v>
      </c>
    </row>
    <row r="100" spans="1:2">
      <c r="A100" s="147" t="s">
        <v>3070</v>
      </c>
      <c r="B100" s="148">
        <v>512008335</v>
      </c>
    </row>
    <row r="101" spans="1:2">
      <c r="A101" s="147" t="s">
        <v>3071</v>
      </c>
      <c r="B101" s="148">
        <v>510142789</v>
      </c>
    </row>
    <row r="102" spans="1:2">
      <c r="A102" s="147" t="s">
        <v>3072</v>
      </c>
      <c r="B102" s="148">
        <v>520028556</v>
      </c>
    </row>
    <row r="103" spans="1:2">
      <c r="A103" s="147" t="s">
        <v>3073</v>
      </c>
      <c r="B103" s="148">
        <v>520030693</v>
      </c>
    </row>
    <row r="104" spans="1:2">
      <c r="A104" s="147" t="s">
        <v>3074</v>
      </c>
      <c r="B104" s="148">
        <v>520042573</v>
      </c>
    </row>
    <row r="105" spans="1:2">
      <c r="A105" s="147" t="s">
        <v>3075</v>
      </c>
      <c r="B105" s="148">
        <v>511423048</v>
      </c>
    </row>
    <row r="106" spans="1:2">
      <c r="A106" s="147" t="s">
        <v>3076</v>
      </c>
      <c r="B106" s="148">
        <v>570011767</v>
      </c>
    </row>
    <row r="107" spans="1:2">
      <c r="A107" s="147" t="s">
        <v>3077</v>
      </c>
      <c r="B107" s="148">
        <v>512065202</v>
      </c>
    </row>
    <row r="108" spans="1:2">
      <c r="A108" s="147" t="s">
        <v>3078</v>
      </c>
      <c r="B108" s="148">
        <v>512711409</v>
      </c>
    </row>
    <row r="109" spans="1:2">
      <c r="A109" s="147" t="s">
        <v>3079</v>
      </c>
      <c r="B109" s="148">
        <v>520005497</v>
      </c>
    </row>
    <row r="110" spans="1:2">
      <c r="A110" s="147" t="s">
        <v>3080</v>
      </c>
      <c r="B110" s="148">
        <v>570024109</v>
      </c>
    </row>
    <row r="111" spans="1:2">
      <c r="A111" s="147" t="s">
        <v>3081</v>
      </c>
      <c r="B111" s="148">
        <v>520020447</v>
      </c>
    </row>
    <row r="112" spans="1:2">
      <c r="A112" s="147" t="s">
        <v>3082</v>
      </c>
      <c r="B112" s="148">
        <v>520023094</v>
      </c>
    </row>
    <row r="113" spans="1:2">
      <c r="A113" s="147" t="s">
        <v>3083</v>
      </c>
      <c r="B113" s="148">
        <v>520028812</v>
      </c>
    </row>
    <row r="114" spans="1:2">
      <c r="A114" s="147" t="s">
        <v>3084</v>
      </c>
      <c r="B114" s="148">
        <v>520022963</v>
      </c>
    </row>
    <row r="115" spans="1:2">
      <c r="A115" s="147" t="s">
        <v>3085</v>
      </c>
      <c r="B115" s="148">
        <v>520027251</v>
      </c>
    </row>
    <row r="116" spans="1:2">
      <c r="A116" s="147" t="s">
        <v>3086</v>
      </c>
      <c r="B116" s="148">
        <v>520028390</v>
      </c>
    </row>
    <row r="117" spans="1:2">
      <c r="A117" s="147" t="s">
        <v>3087</v>
      </c>
      <c r="B117" s="148">
        <v>513026484</v>
      </c>
    </row>
    <row r="118" spans="1:2">
      <c r="A118" s="147" t="s">
        <v>3088</v>
      </c>
      <c r="B118" s="148">
        <v>513173393</v>
      </c>
    </row>
    <row r="119" spans="1:2">
      <c r="A119" s="147" t="s">
        <v>3089</v>
      </c>
      <c r="B119" s="148">
        <v>513452003</v>
      </c>
    </row>
    <row r="120" spans="1:2">
      <c r="A120" s="147" t="s">
        <v>3090</v>
      </c>
      <c r="B120" s="148">
        <v>513611509</v>
      </c>
    </row>
    <row r="121" spans="1:2">
      <c r="A121" s="147" t="s">
        <v>3091</v>
      </c>
      <c r="B121" s="148">
        <v>513621110</v>
      </c>
    </row>
    <row r="122" spans="1:2">
      <c r="A122" s="147" t="s">
        <v>3092</v>
      </c>
      <c r="B122" s="147">
        <v>512244146</v>
      </c>
    </row>
    <row r="123" spans="1:2">
      <c r="A123" s="147" t="s">
        <v>3093</v>
      </c>
      <c r="B123" s="148">
        <v>512237744</v>
      </c>
    </row>
    <row r="124" spans="1:2">
      <c r="A124" s="147" t="s">
        <v>3094</v>
      </c>
      <c r="B124" s="148">
        <v>512267592</v>
      </c>
    </row>
    <row r="125" spans="1:2">
      <c r="A125" s="147" t="s">
        <v>3095</v>
      </c>
      <c r="B125" s="148">
        <v>514767490</v>
      </c>
    </row>
    <row r="126" spans="1:2">
      <c r="A126" s="147" t="s">
        <v>1144</v>
      </c>
      <c r="B126" s="148">
        <v>514956465</v>
      </c>
    </row>
    <row r="127" spans="1:2">
      <c r="A127" s="147" t="s">
        <v>3096</v>
      </c>
      <c r="B127" s="148">
        <v>512245812</v>
      </c>
    </row>
    <row r="128" spans="1:2">
      <c r="A128" s="147" t="s">
        <v>3097</v>
      </c>
      <c r="B128" s="148">
        <v>515447035</v>
      </c>
    </row>
    <row r="129" spans="1:2">
      <c r="A129" s="147" t="s">
        <v>3098</v>
      </c>
      <c r="B129" s="148">
        <v>516463635</v>
      </c>
    </row>
    <row r="130" spans="1:2">
      <c r="A130" s="147" t="s">
        <v>3099</v>
      </c>
      <c r="B130" s="148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Mashraki Osnat</cp:lastModifiedBy>
  <cp:lastPrinted>2022-08-08T09:16:18Z</cp:lastPrinted>
  <dcterms:created xsi:type="dcterms:W3CDTF">2021-05-03T04:41:48Z</dcterms:created>
  <dcterms:modified xsi:type="dcterms:W3CDTF">2025-11-30T08:20:20Z</dcterms:modified>
</cp:coreProperties>
</file>